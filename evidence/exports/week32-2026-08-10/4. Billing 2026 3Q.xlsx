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5" name="Billing (29)" state="visible" r:id="rId4"/>
    <sheet sheetId="4" name="Billing (28)" state="visible" r:id="rId5"/>
    <sheet sheetId="3" name="Billing (27)" state="visible" r:id="rId6"/>
    <sheet sheetId="1" name="Billing (32)" state="visible" r:id="rId7"/>
  </sheets>
  <calcPr calcId="171027" fullCalcOnLoad="1"/>
</workbook>
</file>

<file path=xl/sharedStrings.xml><?xml version="1.0" encoding="utf-8"?>
<sst xmlns="http://schemas.openxmlformats.org/spreadsheetml/2006/main" count="246" uniqueCount="63">
  <si>
    <r>
      <t>M</t>
    </r>
    <r>
      <rPr>
        <b/>
        <u/>
        <color theme="9" tint="-0.499984740745262"/>
        <sz val="16"/>
        <rFont val="Saginaw"/>
      </rPr>
      <t>&amp;</t>
    </r>
    <r>
      <rPr>
        <b/>
        <u/>
        <color theme="9" tint="-0.499984740745262"/>
        <sz val="26"/>
        <rFont val="Saginaw"/>
      </rPr>
      <t>G</t>
    </r>
  </si>
  <si>
    <t>PRODUCT</t>
  </si>
  <si>
    <t>COST PER CASE</t>
  </si>
  <si>
    <t>LOMBARD</t>
  </si>
  <si>
    <t>NAPERVILLE I</t>
  </si>
  <si>
    <t>CAROL STREAM</t>
  </si>
  <si>
    <t>LISLE</t>
  </si>
  <si>
    <t>GLENDALE H.</t>
  </si>
  <si>
    <t>WEST CHICAGO</t>
  </si>
  <si>
    <t>BATAVIA</t>
  </si>
  <si>
    <t>ALGONQUIN</t>
  </si>
  <si>
    <t>NAPERVILLE II</t>
  </si>
  <si>
    <t>RO-ME</t>
  </si>
  <si>
    <t>SCHAUMBURG</t>
  </si>
  <si>
    <t>CRYSTAL LAKE</t>
  </si>
  <si>
    <t>LAKE ZURICH</t>
  </si>
  <si>
    <t>FRANKFORT</t>
  </si>
  <si>
    <t>PLAINFIELD</t>
  </si>
  <si>
    <t>PROJECT 16</t>
  </si>
  <si>
    <t>PROJECT 17</t>
  </si>
  <si>
    <t>TAQ. AURORA</t>
  </si>
  <si>
    <t>TAQ. AURORA #2</t>
  </si>
  <si>
    <t>LBT GLEN ELLYN</t>
  </si>
  <si>
    <t>LBT STREAMWOOD</t>
  </si>
  <si>
    <t>LBT LOMBARD</t>
  </si>
  <si>
    <t>LBT NAPERVILLE</t>
  </si>
  <si>
    <t>INVENTORY</t>
  </si>
  <si>
    <t>STEAK TACO</t>
  </si>
  <si>
    <t>FRESH MEAT INVENTORY</t>
  </si>
  <si>
    <t xml:space="preserve">CHICKEN </t>
  </si>
  <si>
    <t>FROZEN INV</t>
  </si>
  <si>
    <t>ALPASTOR</t>
  </si>
  <si>
    <t>PAPERWARE</t>
  </si>
  <si>
    <t>CARNE ASADA</t>
  </si>
  <si>
    <t>BILLING 26</t>
  </si>
  <si>
    <t>FAJITAS</t>
  </si>
  <si>
    <t>BILLING 27</t>
  </si>
  <si>
    <t>MILANESA</t>
  </si>
  <si>
    <t>BILLING 28</t>
  </si>
  <si>
    <t>TAMAL ROJO 56 PZ</t>
  </si>
  <si>
    <t>CLOSING WEEK</t>
  </si>
  <si>
    <t>CHILE RELLENO 30 PZ</t>
  </si>
  <si>
    <t>TACO DORADO 60 PZ</t>
  </si>
  <si>
    <t>CURRENT OPEN INVOICES</t>
  </si>
  <si>
    <t>ADOBO PICADILLO</t>
  </si>
  <si>
    <t xml:space="preserve">CHRIST PANOS FOOD </t>
  </si>
  <si>
    <t>CARNITAS</t>
  </si>
  <si>
    <t>GORDON FOOD</t>
  </si>
  <si>
    <t>SYSCO</t>
  </si>
  <si>
    <t>CREDIT LISLE (PRODUCTION)</t>
  </si>
  <si>
    <t>AMIGOS FOOD</t>
  </si>
  <si>
    <t>PULPA TACO MEAT</t>
  </si>
  <si>
    <t>SUPER CLEAN</t>
  </si>
  <si>
    <t>TAPATIOS TACO MEAT</t>
  </si>
  <si>
    <t xml:space="preserve">TOTAL </t>
  </si>
  <si>
    <t>MEAT</t>
  </si>
  <si>
    <t>MARKUP</t>
  </si>
  <si>
    <t>EXTENDED AMOUNT</t>
  </si>
  <si>
    <t>BRD Distributors</t>
  </si>
  <si>
    <t>BILLING 25</t>
  </si>
  <si>
    <t>CARTERA · SALDO REGISTRADO</t>
  </si>
  <si>
    <t>CUENTAS POR PAGAR · SALDO REGISTRADO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</si>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</sst>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(#,##0.00);_(&quot;$&quot;* &quot;-&quot;??_);_(@_)"/>
  </numFmts>
  <fonts count="13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family val="3"/>
      <sz val="12"/>
      <name val="Museo 700"/>
    </font>
    <font>
      <family val="3"/>
      <sz val="12"/>
      <name val="Museo 700"/>
    </font>
    <font>
      <color theme="1"/>
      <family val="3"/>
      <sz val="12"/>
      <name val="Museo 300"/>
    </font>
    <font>
      <b/>
      <u/>
      <color theme="9" tint="-0.499984740745262"/>
      <sz val="26"/>
      <name val="Saginaw"/>
    </font>
    <font>
      <b/>
      <family val="3"/>
      <sz val="12"/>
      <name val="Museo 300"/>
    </font>
    <font>
      <b/>
      <family val="2"/>
      <scheme val="minor"/>
      <sz val="12"/>
      <name val="Calibri"/>
    </font>
    <font>
      <family val="3"/>
      <sz val="12"/>
      <name val="Museo 300"/>
    </font>
    <font>
      <b/>
      <color theme="1"/>
      <family val="2"/>
      <scheme val="minor"/>
      <sz val="12"/>
      <name val="Calibri"/>
    </font>
    <font>
      <b/>
      <color theme="1"/>
      <family val="2"/>
      <scheme val="minor"/>
      <sz val="14"/>
      <name val="Calibri"/>
    </font>
    <font>
      <family val="2"/>
      <scheme val="minor"/>
      <sz val="12"/>
      <name val="Calibri"/>
    </font>
    <font>
      <b/>
      <color theme="1"/>
      <family val="3"/>
      <sz val="12"/>
      <name val="Museo 700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64" fontId="11" fillId="2" borderId="9" xfId="0" applyNumberFormat="1" applyFont="1" applyFill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 wrapText="1"/>
    </xf>
    <xf numFmtId="164" fontId="11" fillId="0" borderId="17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64" fontId="11" fillId="0" borderId="19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164" fontId="11" fillId="2" borderId="2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4" fontId="7" fillId="0" borderId="21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/>
    <xf numFmtId="164" fontId="3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164" fontId="4" fillId="0" borderId="0" xfId="0" applyNumberFormat="1" applyFont="1"/>
    <xf numFmtId="164" fontId="9" fillId="0" borderId="0" xfId="0" applyNumberFormat="1" applyFont="1"/>
    <xf numFmtId="164" fontId="1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0"/>
  <sheetViews>
    <sheetView workbookViewId="0" zoomScale="67" zoomScaleNormal="67">
      <pane xSplit="1" topLeftCell="B1" activePane="topRight" state="frozen"/>
      <selection pane="topRight" activeCell="C15" sqref="C15"/>
    </sheetView>
  </sheetViews>
  <sheetFormatPr defaultRowHeight="15.6" outlineLevelRow="0" outlineLevelCol="0" x14ac:dyDescent="0.3" defaultColWidth="9.109375" customHeight="1"/>
  <cols>
    <col min="1" max="1" width="26.6640625" style="1" customWidth="1"/>
    <col min="2" max="2" width="4.77734375" style="2" customWidth="1"/>
    <col min="3" max="3" width="15.33203125" style="3" customWidth="1"/>
    <col min="4" max="5" width="4.77734375" style="3" customWidth="1"/>
    <col min="6" max="6" width="11.77734375" style="3" customWidth="1"/>
    <col min="7" max="8" width="4.77734375" style="3" customWidth="1"/>
    <col min="9" max="9" width="11.77734375" style="3" customWidth="1"/>
    <col min="10" max="11" width="4.77734375" style="3" customWidth="1"/>
    <col min="12" max="12" width="11.77734375" style="3" customWidth="1"/>
    <col min="13" max="14" width="4.77734375" style="3" customWidth="1"/>
    <col min="15" max="15" width="11.77734375" style="3" customWidth="1"/>
    <col min="16" max="17" width="4.77734375" style="3" customWidth="1"/>
    <col min="18" max="18" width="11.77734375" style="3" customWidth="1"/>
    <col min="19" max="20" width="4.77734375" style="3" customWidth="1"/>
    <col min="21" max="21" width="11.77734375" style="3" customWidth="1"/>
    <col min="22" max="23" width="4.77734375" style="3" customWidth="1"/>
    <col min="24" max="24" width="11.77734375" style="3" customWidth="1"/>
    <col min="25" max="26" width="4.77734375" style="3" customWidth="1"/>
    <col min="27" max="27" width="11.77734375" style="3" customWidth="1"/>
    <col min="28" max="29" width="4.77734375" style="3" customWidth="1"/>
    <col min="30" max="30" width="11.77734375" style="3" customWidth="1"/>
    <col min="31" max="32" width="4.77734375" style="3" customWidth="1"/>
    <col min="33" max="33" width="11.77734375" style="3" customWidth="1"/>
    <col min="34" max="35" width="4.77734375" style="3" customWidth="1"/>
    <col min="36" max="36" width="11.77734375" style="3" customWidth="1"/>
    <col min="37" max="37" width="4.77734375" style="3" customWidth="1"/>
    <col min="38" max="38" width="4.77734375" style="3" hidden="1" customWidth="1"/>
    <col min="39" max="39" width="11.77734375" style="3" hidden="1" customWidth="1"/>
    <col min="40" max="41" width="4.77734375" style="3" hidden="1" customWidth="1"/>
    <col min="42" max="42" width="11.77734375" style="3" hidden="1" customWidth="1"/>
    <col min="43" max="44" width="4.77734375" style="3" hidden="1" customWidth="1"/>
    <col min="45" max="45" width="11.77734375" style="3" hidden="1" customWidth="1"/>
    <col min="46" max="47" width="4.77734375" style="3" hidden="1" customWidth="1"/>
    <col min="48" max="48" width="11.77734375" style="3" hidden="1" customWidth="1"/>
    <col min="49" max="50" width="4.77734375" style="3" hidden="1" customWidth="1"/>
    <col min="51" max="51" width="11.77734375" style="3" hidden="1" customWidth="1"/>
    <col min="52" max="53" width="4.77734375" style="3" hidden="1" customWidth="1"/>
    <col min="54" max="54" width="11.77734375" style="3" hidden="1" customWidth="1"/>
    <col min="55" max="55" width="4.77734375" style="3" hidden="1" customWidth="1"/>
    <col min="56" max="56" width="4.77734375" style="3" customWidth="1"/>
    <col min="57" max="57" width="11.77734375" style="3" customWidth="1"/>
    <col min="58" max="59" width="4.77734375" style="3" customWidth="1"/>
    <col min="60" max="60" width="11.77734375" style="3" customWidth="1"/>
    <col min="61" max="62" width="4.77734375" style="3" customWidth="1"/>
    <col min="63" max="63" width="11.77734375" style="3" customWidth="1"/>
    <col min="64" max="65" width="4.77734375" style="3" customWidth="1"/>
    <col min="66" max="66" width="11.77734375" style="3" customWidth="1"/>
    <col min="67" max="68" width="4.77734375" style="3" customWidth="1"/>
    <col min="69" max="69" width="11.77734375" style="3" customWidth="1"/>
    <col min="70" max="71" width="4.77734375" style="3" customWidth="1"/>
    <col min="72" max="72" width="11.77734375" style="3" customWidth="1"/>
    <col min="73" max="73" width="9.109375" style="3" customWidth="1"/>
    <col min="74" max="74" width="9.109375" style="1" customWidth="1"/>
    <col min="75" max="75" width="14.5546875" style="4" customWidth="1"/>
    <col min="76" max="76" width="9.109375" style="4" customWidth="1"/>
    <col min="77" max="77" width="20.88671875" style="4" customWidth="1"/>
    <col min="78" max="80" width="13.77734375" style="1" customWidth="1"/>
    <col min="81" max="16384" width="9.109375" style="5" customWidth="1"/>
  </cols>
  <sheetData>
    <row r="1" ht="39.6" customHeight="1" spans="1:80" s="6" customFormat="1" x14ac:dyDescent="0.25">
      <c r="A1" s="7" t="s">
        <v>0</v>
      </c>
      <c r="B1" s="8"/>
      <c r="C1" s="9">
        <v>46236.5</v>
      </c>
      <c r="D1" s="10"/>
      <c r="E1" s="9">
        <v>46242.5</v>
      </c>
      <c r="F1" s="9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  <c r="S1" s="12"/>
      <c r="T1" s="13"/>
      <c r="U1" s="13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3"/>
      <c r="AY1" s="13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3"/>
      <c r="BQ1" s="13"/>
      <c r="BR1" s="12"/>
      <c r="BS1" s="13"/>
      <c r="BT1" s="13"/>
      <c r="BU1" s="4"/>
      <c r="BV1" s="4"/>
      <c r="BW1" s="4"/>
      <c r="BX1" s="4"/>
      <c r="BY1" s="4"/>
      <c r="BZ1" s="4"/>
      <c r="CA1" s="4"/>
      <c r="CB1" s="4"/>
    </row>
    <row r="2" ht="28.8" customHeight="1" spans="1:80" s="14" customFormat="1" x14ac:dyDescent="0.25">
      <c r="A2" s="15" t="s">
        <v>1</v>
      </c>
      <c r="B2" s="10"/>
      <c r="C2" s="16" t="s">
        <v>2</v>
      </c>
      <c r="D2" s="10"/>
      <c r="E2" s="17" t="s">
        <v>3</v>
      </c>
      <c r="F2" s="17"/>
      <c r="G2" s="10"/>
      <c r="H2" s="17" t="s">
        <v>4</v>
      </c>
      <c r="I2" s="17"/>
      <c r="J2" s="10"/>
      <c r="K2" s="19" t="s">
        <v>5</v>
      </c>
      <c r="L2" s="19"/>
      <c r="M2" s="10"/>
      <c r="N2" s="17" t="s">
        <v>6</v>
      </c>
      <c r="O2" s="17"/>
      <c r="P2" s="10"/>
      <c r="Q2" s="17" t="s">
        <v>7</v>
      </c>
      <c r="R2" s="17"/>
      <c r="S2" s="10"/>
      <c r="T2" s="17" t="s">
        <v>8</v>
      </c>
      <c r="U2" s="17"/>
      <c r="V2" s="10"/>
      <c r="W2" s="17" t="s">
        <v>9</v>
      </c>
      <c r="X2" s="17"/>
      <c r="Y2" s="10"/>
      <c r="Z2" s="17" t="s">
        <v>10</v>
      </c>
      <c r="AA2" s="17"/>
      <c r="AB2" s="10"/>
      <c r="AC2" s="17" t="s">
        <v>11</v>
      </c>
      <c r="AD2" s="17"/>
      <c r="AE2" s="10"/>
      <c r="AF2" s="17" t="s">
        <v>12</v>
      </c>
      <c r="AG2" s="17"/>
      <c r="AH2" s="10"/>
      <c r="AI2" s="17" t="s">
        <v>13</v>
      </c>
      <c r="AJ2" s="17"/>
      <c r="AK2" s="10"/>
      <c r="AL2" s="17" t="s">
        <v>14</v>
      </c>
      <c r="AM2" s="17"/>
      <c r="AN2" s="10"/>
      <c r="AO2" s="17" t="s">
        <v>15</v>
      </c>
      <c r="AP2" s="17"/>
      <c r="AQ2" s="10"/>
      <c r="AR2" s="17" t="s">
        <v>16</v>
      </c>
      <c r="AS2" s="17"/>
      <c r="AT2" s="10"/>
      <c r="AU2" s="17" t="s">
        <v>17</v>
      </c>
      <c r="AV2" s="17"/>
      <c r="AW2" s="10"/>
      <c r="AX2" s="17" t="s">
        <v>18</v>
      </c>
      <c r="AY2" s="17"/>
      <c r="AZ2" s="10"/>
      <c r="BA2" s="17" t="s">
        <v>19</v>
      </c>
      <c r="BB2" s="17"/>
      <c r="BC2" s="10"/>
      <c r="BD2" s="17" t="s">
        <v>20</v>
      </c>
      <c r="BE2" s="17"/>
      <c r="BF2" s="10"/>
      <c r="BG2" s="17" t="s">
        <v>21</v>
      </c>
      <c r="BH2" s="17"/>
      <c r="BI2" s="10"/>
      <c r="BJ2" s="17" t="s">
        <v>22</v>
      </c>
      <c r="BK2" s="17"/>
      <c r="BL2" s="10"/>
      <c r="BM2" s="17" t="s">
        <v>23</v>
      </c>
      <c r="BN2" s="17"/>
      <c r="BO2" s="10"/>
      <c r="BP2" s="17" t="s">
        <v>24</v>
      </c>
      <c r="BQ2" s="17"/>
      <c r="BR2" s="10"/>
      <c r="BS2" s="17" t="s">
        <v>25</v>
      </c>
      <c r="BT2" s="17"/>
      <c r="BU2" s="20"/>
      <c r="BV2" s="20"/>
      <c r="BW2" s="21" t="s">
        <v>26</v>
      </c>
      <c r="BX2" s="21"/>
      <c r="BY2" s="21"/>
      <c r="BZ2" s="20"/>
      <c r="CA2" s="20"/>
      <c r="CB2" s="20"/>
    </row>
    <row r="3" ht="28.95" customHeight="1" spans="1:77" x14ac:dyDescent="0.25">
      <c r="A3" s="22" t="s">
        <v>27</v>
      </c>
      <c r="B3" s="10"/>
      <c r="C3" s="23">
        <v>163.4293675889328</v>
      </c>
      <c r="D3" s="24"/>
      <c r="E3" s="25">
        <v>15</v>
      </c>
      <c r="F3" s="26">
        <f t="shared" ref="F3:F14" si="0">E3*C3</f>
        <v>2451.44</v>
      </c>
      <c r="G3" s="24"/>
      <c r="H3" s="25">
        <v>31</v>
      </c>
      <c r="I3" s="26">
        <f t="shared" ref="I3:I14" si="1">H3*C3</f>
        <v>5066.31</v>
      </c>
      <c r="J3" s="24"/>
      <c r="K3" s="25">
        <v>20</v>
      </c>
      <c r="L3" s="26">
        <f t="shared" ref="L3:L14" si="2">K3*C3</f>
        <v>3268.59</v>
      </c>
      <c r="M3" s="24"/>
      <c r="N3" s="25">
        <v>28</v>
      </c>
      <c r="O3" s="26">
        <f t="shared" ref="O3:O14" si="3">N3*C3</f>
        <v>4576.02</v>
      </c>
      <c r="P3" s="24"/>
      <c r="Q3" s="25">
        <v>15</v>
      </c>
      <c r="R3" s="26">
        <f t="shared" ref="R3:R14" si="4">Q3*C3</f>
        <v>2451.44</v>
      </c>
      <c r="S3" s="24"/>
      <c r="T3" s="25">
        <v>18</v>
      </c>
      <c r="U3" s="26">
        <f t="shared" ref="U3:U14" si="5">T3*C3</f>
        <v>2941.73</v>
      </c>
      <c r="V3" s="24"/>
      <c r="W3" s="25">
        <v>16</v>
      </c>
      <c r="X3" s="26">
        <f t="shared" ref="X3:X14" si="6">W3*C3</f>
        <v>2614.87</v>
      </c>
      <c r="Y3" s="24"/>
      <c r="Z3" s="25">
        <v>26</v>
      </c>
      <c r="AA3" s="26">
        <f t="shared" ref="AA3:AA14" si="7">Z3*C3</f>
        <v>4249.16</v>
      </c>
      <c r="AB3" s="24"/>
      <c r="AC3" s="25">
        <v>19</v>
      </c>
      <c r="AD3" s="26">
        <f t="shared" ref="AD3:AD14" si="8">AC3*C3</f>
        <v>3105.16</v>
      </c>
      <c r="AE3" s="24"/>
      <c r="AF3" s="25">
        <v>11</v>
      </c>
      <c r="AG3" s="26">
        <f t="shared" ref="AG3:AG14" si="9">AF3*C3</f>
        <v>1797.72</v>
      </c>
      <c r="AH3" s="24"/>
      <c r="AI3" s="25">
        <v>19</v>
      </c>
      <c r="AJ3" s="26">
        <f t="shared" ref="AJ3:AJ14" si="10">AI3*C3</f>
        <v>3105.16</v>
      </c>
      <c r="AK3" s="24"/>
      <c r="AL3" s="25"/>
      <c r="AM3" s="26">
        <f>AL3*C3</f>
        <v>0</v>
      </c>
      <c r="AN3" s="24"/>
      <c r="AO3" s="25"/>
      <c r="AP3" s="26">
        <f>AO3*C3</f>
        <v>0</v>
      </c>
      <c r="AQ3" s="24"/>
      <c r="AR3" s="25"/>
      <c r="AS3" s="26">
        <f>AR3*C3</f>
        <v>0</v>
      </c>
      <c r="AT3" s="24"/>
      <c r="AU3" s="25"/>
      <c r="AV3" s="26">
        <f>AU3*C3</f>
        <v>0</v>
      </c>
      <c r="AW3" s="24"/>
      <c r="AX3" s="25"/>
      <c r="AY3" s="26"/>
      <c r="AZ3" s="24"/>
      <c r="BA3" s="25"/>
      <c r="BB3" s="26"/>
      <c r="BC3" s="24"/>
      <c r="BD3" s="25">
        <v>10</v>
      </c>
      <c r="BE3" s="26">
        <f t="shared" ref="BE3:BE14" si="11">BD3*C3</f>
        <v>1634.29</v>
      </c>
      <c r="BF3" s="24"/>
      <c r="BG3" s="25">
        <v>4</v>
      </c>
      <c r="BH3" s="26">
        <f t="shared" ref="BH3:BH14" si="12">BG3*C3</f>
        <v>653.72</v>
      </c>
      <c r="BI3" s="24"/>
      <c r="BJ3" s="25"/>
      <c r="BK3" s="26">
        <f t="shared" ref="BK3:BK14" si="13">BJ3*C3</f>
        <v>0</v>
      </c>
      <c r="BL3" s="24"/>
      <c r="BM3" s="25"/>
      <c r="BN3" s="26">
        <f t="shared" ref="BN3:BN14" si="14">BM3*C3</f>
        <v>0</v>
      </c>
      <c r="BO3" s="24"/>
      <c r="BP3" s="25"/>
      <c r="BQ3" s="26">
        <f t="shared" ref="BQ3:BQ14" si="15">BP3*C3</f>
        <v>0</v>
      </c>
      <c r="BR3" s="24"/>
      <c r="BS3" s="25"/>
      <c r="BT3" s="26">
        <f t="shared" ref="BT3:BT14" si="16">BS3*C3</f>
        <v>0</v>
      </c>
      <c r="BU3" s="24"/>
      <c r="BV3" s="1"/>
      <c r="BW3" s="27">
        <v>59783.06</v>
      </c>
      <c r="BX3" s="1"/>
      <c r="BY3" s="1" t="s">
        <v>28</v>
      </c>
    </row>
    <row r="4" ht="28.95" customHeight="1" spans="1:77" x14ac:dyDescent="0.25">
      <c r="A4" s="28" t="s">
        <v>29</v>
      </c>
      <c r="B4" s="10"/>
      <c r="C4" s="23">
        <v>32.16528925619835</v>
      </c>
      <c r="D4" s="24"/>
      <c r="E4" s="25">
        <v>10</v>
      </c>
      <c r="F4" s="26">
        <f>E4*C4</f>
        <v>321.65</v>
      </c>
      <c r="G4" s="24"/>
      <c r="H4" s="25">
        <v>19</v>
      </c>
      <c r="I4" s="26">
        <f>H4*C4</f>
        <v>611.14</v>
      </c>
      <c r="J4" s="24"/>
      <c r="K4" s="25">
        <v>13</v>
      </c>
      <c r="L4" s="26">
        <f>K4*C4</f>
        <v>418.15</v>
      </c>
      <c r="M4" s="24"/>
      <c r="N4" s="25">
        <v>16</v>
      </c>
      <c r="O4" s="26">
        <f>N4*C4</f>
        <v>514.64</v>
      </c>
      <c r="P4" s="24"/>
      <c r="Q4" s="25">
        <v>9</v>
      </c>
      <c r="R4" s="26">
        <f>Q4*C4</f>
        <v>289.49</v>
      </c>
      <c r="S4" s="24"/>
      <c r="T4" s="25">
        <v>7</v>
      </c>
      <c r="U4" s="26">
        <f>T4*C4</f>
        <v>225.16</v>
      </c>
      <c r="V4" s="24"/>
      <c r="W4" s="25">
        <v>7</v>
      </c>
      <c r="X4" s="26">
        <f>W4*C4</f>
        <v>225.16</v>
      </c>
      <c r="Y4" s="24"/>
      <c r="Z4" s="25">
        <v>9</v>
      </c>
      <c r="AA4" s="26">
        <f>Z4*C4</f>
        <v>289.49</v>
      </c>
      <c r="AB4" s="24"/>
      <c r="AC4" s="25">
        <v>13</v>
      </c>
      <c r="AD4" s="26">
        <f>AC4*C4</f>
        <v>418.15</v>
      </c>
      <c r="AE4" s="24"/>
      <c r="AF4" s="25">
        <v>7</v>
      </c>
      <c r="AG4" s="26">
        <f>AF4*C4</f>
        <v>225.16</v>
      </c>
      <c r="AH4" s="24"/>
      <c r="AI4" s="25">
        <v>9</v>
      </c>
      <c r="AJ4" s="26">
        <f>AI4*C4</f>
        <v>289.49</v>
      </c>
      <c r="AK4" s="24"/>
      <c r="AL4" s="25"/>
      <c r="AM4" s="26">
        <f>AL4*C4</f>
        <v>0</v>
      </c>
      <c r="AN4" s="24"/>
      <c r="AO4" s="25"/>
      <c r="AP4" s="26">
        <f>AO4*C4</f>
        <v>0</v>
      </c>
      <c r="AQ4" s="24"/>
      <c r="AR4" s="25"/>
      <c r="AS4" s="26">
        <f>AR4*C4</f>
        <v>0</v>
      </c>
      <c r="AT4" s="24"/>
      <c r="AU4" s="25"/>
      <c r="AV4" s="26">
        <f>AU4*C4</f>
        <v>0</v>
      </c>
      <c r="AW4" s="24"/>
      <c r="AX4" s="25"/>
      <c r="AY4" s="26"/>
      <c r="AZ4" s="24"/>
      <c r="BA4" s="25"/>
      <c r="BB4" s="26"/>
      <c r="BC4" s="24"/>
      <c r="BD4" s="25">
        <v>1</v>
      </c>
      <c r="BE4" s="26">
        <f>BD4*C4</f>
        <v>32.17</v>
      </c>
      <c r="BF4" s="24"/>
      <c r="BG4" s="25">
        <v>3</v>
      </c>
      <c r="BH4" s="26">
        <f>BG4*C4</f>
        <v>96.5</v>
      </c>
      <c r="BI4" s="24"/>
      <c r="BJ4" s="25"/>
      <c r="BK4" s="26">
        <f>BJ4*C4</f>
        <v>0</v>
      </c>
      <c r="BL4" s="24"/>
      <c r="BM4" s="25"/>
      <c r="BN4" s="26">
        <f>BM4*C4</f>
        <v>0</v>
      </c>
      <c r="BO4" s="24"/>
      <c r="BP4" s="25"/>
      <c r="BQ4" s="26">
        <f>BP4*C4</f>
        <v>0</v>
      </c>
      <c r="BR4" s="24"/>
      <c r="BS4" s="25"/>
      <c r="BT4" s="26">
        <f>BS4*C4</f>
        <v>0</v>
      </c>
      <c r="BU4" s="24"/>
      <c r="BV4" s="1"/>
      <c r="BW4" s="27">
        <v>0</v>
      </c>
      <c r="BX4" s="1"/>
      <c r="BY4" s="1" t="s">
        <v>30</v>
      </c>
    </row>
    <row r="5" ht="28.8" customHeight="1" spans="1:77" x14ac:dyDescent="0.25">
      <c r="A5" s="29" t="s">
        <v>31</v>
      </c>
      <c r="B5" s="10"/>
      <c r="C5" s="23">
        <v>46.27225</v>
      </c>
      <c r="D5" s="24"/>
      <c r="E5" s="25">
        <v>8</v>
      </c>
      <c r="F5" s="26">
        <f>E5*C5</f>
        <v>370.18</v>
      </c>
      <c r="G5" s="24"/>
      <c r="H5" s="25">
        <v>14</v>
      </c>
      <c r="I5" s="26">
        <f>H5*C5</f>
        <v>647.81</v>
      </c>
      <c r="J5" s="24"/>
      <c r="K5" s="25">
        <v>12</v>
      </c>
      <c r="L5" s="26">
        <f>K5*C5</f>
        <v>555.27</v>
      </c>
      <c r="M5" s="24"/>
      <c r="N5" s="25">
        <v>14</v>
      </c>
      <c r="O5" s="26">
        <f>N5*C5</f>
        <v>647.81</v>
      </c>
      <c r="P5" s="24"/>
      <c r="Q5" s="25">
        <v>7</v>
      </c>
      <c r="R5" s="26">
        <f>Q5*C5</f>
        <v>323.91</v>
      </c>
      <c r="S5" s="24"/>
      <c r="T5" s="25">
        <v>10</v>
      </c>
      <c r="U5" s="26">
        <f>T5*C5</f>
        <v>462.72</v>
      </c>
      <c r="V5" s="24"/>
      <c r="W5" s="25">
        <v>8</v>
      </c>
      <c r="X5" s="26">
        <f>W5*C5</f>
        <v>370.18</v>
      </c>
      <c r="Y5" s="24"/>
      <c r="Z5" s="25">
        <v>9</v>
      </c>
      <c r="AA5" s="26">
        <f>Z5*C5</f>
        <v>416.45</v>
      </c>
      <c r="AB5" s="24"/>
      <c r="AC5" s="25">
        <v>10</v>
      </c>
      <c r="AD5" s="26">
        <f>AC5*C5</f>
        <v>462.72</v>
      </c>
      <c r="AE5" s="24"/>
      <c r="AF5" s="25">
        <v>6</v>
      </c>
      <c r="AG5" s="26">
        <f>AF5*C5</f>
        <v>277.63</v>
      </c>
      <c r="AH5" s="24"/>
      <c r="AI5" s="25">
        <v>7</v>
      </c>
      <c r="AJ5" s="26">
        <f>AI5*C5</f>
        <v>323.91</v>
      </c>
      <c r="AK5" s="24"/>
      <c r="AL5" s="25"/>
      <c r="AM5" s="26">
        <f>AL5*C5</f>
        <v>0</v>
      </c>
      <c r="AN5" s="24"/>
      <c r="AO5" s="25"/>
      <c r="AP5" s="26">
        <f>AO5*C5</f>
        <v>0</v>
      </c>
      <c r="AQ5" s="24"/>
      <c r="AR5" s="25"/>
      <c r="AS5" s="26">
        <f>AR5*C5</f>
        <v>0</v>
      </c>
      <c r="AT5" s="24"/>
      <c r="AU5" s="25"/>
      <c r="AV5" s="26">
        <f>AU5*C5</f>
        <v>0</v>
      </c>
      <c r="AW5" s="24"/>
      <c r="AX5" s="25"/>
      <c r="AY5" s="26"/>
      <c r="AZ5" s="24"/>
      <c r="BA5" s="25"/>
      <c r="BB5" s="26"/>
      <c r="BC5" s="24"/>
      <c r="BD5" s="25">
        <v>6</v>
      </c>
      <c r="BE5" s="26">
        <f>BD5*C5</f>
        <v>277.63</v>
      </c>
      <c r="BF5" s="24"/>
      <c r="BG5" s="25"/>
      <c r="BH5" s="26">
        <f>BG5*C5</f>
        <v>0</v>
      </c>
      <c r="BI5" s="24"/>
      <c r="BJ5" s="25">
        <v>13</v>
      </c>
      <c r="BK5" s="26">
        <f>BJ5*C5</f>
        <v>601.54</v>
      </c>
      <c r="BL5" s="24"/>
      <c r="BM5" s="25">
        <v>8</v>
      </c>
      <c r="BN5" s="26">
        <f>BM5*C5</f>
        <v>370.18</v>
      </c>
      <c r="BO5" s="24"/>
      <c r="BP5" s="25">
        <v>8</v>
      </c>
      <c r="BQ5" s="26">
        <f>BP5*C5</f>
        <v>370.18</v>
      </c>
      <c r="BR5" s="24"/>
      <c r="BS5" s="25"/>
      <c r="BT5" s="26">
        <f>BS5*C5</f>
        <v>0</v>
      </c>
      <c r="BU5" s="24"/>
      <c r="BV5" s="1"/>
      <c r="BW5" s="27">
        <v>251270.58</v>
      </c>
      <c r="BX5" s="1"/>
      <c r="BY5" s="1" t="s">
        <v>32</v>
      </c>
    </row>
    <row r="6" ht="28.95" customHeight="1" spans="1:77" x14ac:dyDescent="0.25">
      <c r="A6" s="29" t="s">
        <v>33</v>
      </c>
      <c r="B6" s="10"/>
      <c r="C6" s="23">
        <v>235.20363636363638</v>
      </c>
      <c r="D6" s="24"/>
      <c r="E6" s="25">
        <v>3</v>
      </c>
      <c r="F6" s="26">
        <f>E6*C6</f>
        <v>705.61</v>
      </c>
      <c r="G6" s="24"/>
      <c r="H6" s="25">
        <v>4</v>
      </c>
      <c r="I6" s="26">
        <f>H6*C6</f>
        <v>940.81</v>
      </c>
      <c r="J6" s="24"/>
      <c r="K6" s="25">
        <v>3</v>
      </c>
      <c r="L6" s="26">
        <f>K6*C6</f>
        <v>705.61</v>
      </c>
      <c r="M6" s="24"/>
      <c r="N6" s="25">
        <v>2</v>
      </c>
      <c r="O6" s="26">
        <f>N6*C6</f>
        <v>470.41</v>
      </c>
      <c r="P6" s="24"/>
      <c r="Q6" s="25">
        <v>1</v>
      </c>
      <c r="R6" s="26">
        <f>Q6*C6</f>
        <v>235.2</v>
      </c>
      <c r="S6" s="24"/>
      <c r="T6" s="25">
        <v>2</v>
      </c>
      <c r="U6" s="26">
        <f>T6*C6</f>
        <v>470.41</v>
      </c>
      <c r="V6" s="24"/>
      <c r="W6" s="25">
        <v>2</v>
      </c>
      <c r="X6" s="26">
        <f>W6*C6</f>
        <v>470.41</v>
      </c>
      <c r="Y6" s="24"/>
      <c r="Z6" s="25">
        <v>4</v>
      </c>
      <c r="AA6" s="26">
        <f>Z6*C6</f>
        <v>940.81</v>
      </c>
      <c r="AB6" s="24"/>
      <c r="AC6" s="25">
        <v>2</v>
      </c>
      <c r="AD6" s="26">
        <f>AC6*C6</f>
        <v>470.41</v>
      </c>
      <c r="AE6" s="24"/>
      <c r="AF6" s="25">
        <v>1</v>
      </c>
      <c r="AG6" s="26">
        <f>AF6*C6</f>
        <v>235.2</v>
      </c>
      <c r="AH6" s="24"/>
      <c r="AI6" s="25">
        <v>2</v>
      </c>
      <c r="AJ6" s="26">
        <f>AI6*C6</f>
        <v>470.41</v>
      </c>
      <c r="AK6" s="24"/>
      <c r="AL6" s="25"/>
      <c r="AM6" s="26">
        <f>AL6*C6</f>
        <v>0</v>
      </c>
      <c r="AN6" s="24"/>
      <c r="AO6" s="25"/>
      <c r="AP6" s="26">
        <f>AO6*C6</f>
        <v>0</v>
      </c>
      <c r="AQ6" s="24"/>
      <c r="AR6" s="25"/>
      <c r="AS6" s="26">
        <f>AR6*C6</f>
        <v>0</v>
      </c>
      <c r="AT6" s="24"/>
      <c r="AU6" s="25"/>
      <c r="AV6" s="26">
        <f>AU6*C6</f>
        <v>0</v>
      </c>
      <c r="AW6" s="24"/>
      <c r="AX6" s="25"/>
      <c r="AY6" s="26"/>
      <c r="AZ6" s="24"/>
      <c r="BA6" s="25"/>
      <c r="BB6" s="26"/>
      <c r="BC6" s="24"/>
      <c r="BD6" s="25"/>
      <c r="BE6" s="26">
        <f>BD6*C6</f>
        <v>0</v>
      </c>
      <c r="BF6" s="24"/>
      <c r="BG6" s="25">
        <v>1</v>
      </c>
      <c r="BH6" s="26">
        <f>BG6*C6</f>
        <v>235.2</v>
      </c>
      <c r="BI6" s="24"/>
      <c r="BJ6" s="25">
        <v>6</v>
      </c>
      <c r="BK6" s="26">
        <f>BJ6*C6</f>
        <v>1411.22</v>
      </c>
      <c r="BL6" s="24"/>
      <c r="BM6" s="25"/>
      <c r="BN6" s="26">
        <f>BM6*C6</f>
        <v>0</v>
      </c>
      <c r="BO6" s="24"/>
      <c r="BP6" s="25">
        <v>4</v>
      </c>
      <c r="BQ6" s="26">
        <f>BP6*C6</f>
        <v>940.81</v>
      </c>
      <c r="BR6" s="24"/>
      <c r="BS6" s="25"/>
      <c r="BT6" s="26">
        <f>BS6*C6</f>
        <v>0</v>
      </c>
      <c r="BU6" s="24"/>
      <c r="BV6" s="1"/>
      <c r="BW6" s="27">
        <v>0</v>
      </c>
      <c r="BX6" s="1"/>
      <c r="BY6" s="1"/>
    </row>
    <row r="7" ht="28.95" customHeight="1" spans="1:77" x14ac:dyDescent="0.25">
      <c r="A7" s="29" t="s">
        <v>35</v>
      </c>
      <c r="B7" s="10"/>
      <c r="C7" s="23">
        <v>235.2039024390244</v>
      </c>
      <c r="D7" s="24"/>
      <c r="E7" s="25">
        <v>2</v>
      </c>
      <c r="F7" s="26">
        <f>E7*C7</f>
        <v>470.41</v>
      </c>
      <c r="G7" s="24"/>
      <c r="H7" s="25">
        <v>2</v>
      </c>
      <c r="I7" s="26">
        <f>H7*C7</f>
        <v>470.41</v>
      </c>
      <c r="J7" s="24"/>
      <c r="K7" s="25">
        <v>7</v>
      </c>
      <c r="L7" s="26">
        <f>K7*C7</f>
        <v>1646.43</v>
      </c>
      <c r="M7" s="24"/>
      <c r="N7" s="25">
        <v>3</v>
      </c>
      <c r="O7" s="26">
        <f>N7*C7</f>
        <v>705.61</v>
      </c>
      <c r="P7" s="24"/>
      <c r="Q7" s="25">
        <v>0.5</v>
      </c>
      <c r="R7" s="26">
        <f>Q7*C7</f>
        <v>117.6</v>
      </c>
      <c r="S7" s="24"/>
      <c r="T7" s="25">
        <v>1</v>
      </c>
      <c r="U7" s="26">
        <f>T7*C7</f>
        <v>235.2</v>
      </c>
      <c r="V7" s="24"/>
      <c r="W7" s="25"/>
      <c r="X7" s="26">
        <f>W7*C7</f>
        <v>0</v>
      </c>
      <c r="Y7" s="24"/>
      <c r="Z7" s="25">
        <v>1.5</v>
      </c>
      <c r="AA7" s="26">
        <f>Z7*C7</f>
        <v>352.81</v>
      </c>
      <c r="AB7" s="24"/>
      <c r="AC7" s="25">
        <v>1.5</v>
      </c>
      <c r="AD7" s="26">
        <f>AC7*C7</f>
        <v>352.81</v>
      </c>
      <c r="AE7" s="24"/>
      <c r="AF7" s="25"/>
      <c r="AG7" s="26">
        <f>AF7*C7</f>
        <v>0</v>
      </c>
      <c r="AH7" s="24"/>
      <c r="AI7" s="25">
        <v>1</v>
      </c>
      <c r="AJ7" s="26">
        <f>AI7*C7</f>
        <v>235.2</v>
      </c>
      <c r="AK7" s="24"/>
      <c r="AL7" s="25"/>
      <c r="AM7" s="26">
        <f>AL7*C7</f>
        <v>0</v>
      </c>
      <c r="AN7" s="24"/>
      <c r="AO7" s="25"/>
      <c r="AP7" s="26">
        <f>AO7*C7</f>
        <v>0</v>
      </c>
      <c r="AQ7" s="24"/>
      <c r="AR7" s="25"/>
      <c r="AS7" s="26">
        <f>AR7*C7</f>
        <v>0</v>
      </c>
      <c r="AT7" s="24"/>
      <c r="AU7" s="25"/>
      <c r="AV7" s="26">
        <f>AU7*C7</f>
        <v>0</v>
      </c>
      <c r="AW7" s="24"/>
      <c r="AX7" s="25"/>
      <c r="AY7" s="26"/>
      <c r="AZ7" s="24"/>
      <c r="BA7" s="25"/>
      <c r="BB7" s="26"/>
      <c r="BC7" s="24"/>
      <c r="BD7" s="25"/>
      <c r="BE7" s="26">
        <f>BD7*C7</f>
        <v>0</v>
      </c>
      <c r="BF7" s="24"/>
      <c r="BG7" s="25"/>
      <c r="BH7" s="26">
        <f>BG7*C7</f>
        <v>0</v>
      </c>
      <c r="BI7" s="24"/>
      <c r="BJ7" s="25"/>
      <c r="BK7" s="26">
        <f>BJ7*C7</f>
        <v>0</v>
      </c>
      <c r="BL7" s="24"/>
      <c r="BM7" s="25"/>
      <c r="BN7" s="26">
        <f>BM7*C7</f>
        <v>0</v>
      </c>
      <c r="BO7" s="24"/>
      <c r="BP7" s="25"/>
      <c r="BQ7" s="26">
        <f>BP7*C7</f>
        <v>0</v>
      </c>
      <c r="BR7" s="24"/>
      <c r="BS7" s="25"/>
      <c r="BT7" s="26">
        <f>BS7*C7</f>
        <v>0</v>
      </c>
      <c r="BU7" s="24"/>
      <c r="BV7" s="1"/>
      <c r="BW7" s="27">
        <v>0</v>
      </c>
      <c r="BX7" s="1"/>
      <c r="BY7" s="1"/>
    </row>
    <row r="8" ht="28.95" customHeight="1" spans="1:77" x14ac:dyDescent="0.25">
      <c r="A8" s="28" t="s">
        <v>37</v>
      </c>
      <c r="B8" s="10"/>
      <c r="C8" s="23">
        <v>142.13</v>
      </c>
      <c r="D8" s="24"/>
      <c r="E8" s="25"/>
      <c r="F8" s="26">
        <f>E8*C8</f>
        <v>0</v>
      </c>
      <c r="G8" s="24"/>
      <c r="H8" s="25">
        <v>1</v>
      </c>
      <c r="I8" s="26">
        <f>H8*C8</f>
        <v>142.13</v>
      </c>
      <c r="J8" s="24"/>
      <c r="K8" s="25">
        <v>1</v>
      </c>
      <c r="L8" s="26">
        <f>K8*C8</f>
        <v>142.13</v>
      </c>
      <c r="M8" s="24"/>
      <c r="N8" s="25">
        <v>1</v>
      </c>
      <c r="O8" s="26">
        <f>N8*C8</f>
        <v>142.13</v>
      </c>
      <c r="P8" s="24"/>
      <c r="Q8" s="25">
        <v>1</v>
      </c>
      <c r="R8" s="26">
        <f>Q8*C8</f>
        <v>142.13</v>
      </c>
      <c r="S8" s="24"/>
      <c r="T8" s="25">
        <v>1</v>
      </c>
      <c r="U8" s="26">
        <f>T8*C8</f>
        <v>142.13</v>
      </c>
      <c r="V8" s="24"/>
      <c r="W8" s="25">
        <v>1</v>
      </c>
      <c r="X8" s="26">
        <f>W8*C8</f>
        <v>142.13</v>
      </c>
      <c r="Y8" s="24"/>
      <c r="Z8" s="25">
        <v>1</v>
      </c>
      <c r="AA8" s="26">
        <f>Z8*C8</f>
        <v>142.13</v>
      </c>
      <c r="AB8" s="24"/>
      <c r="AC8" s="25"/>
      <c r="AD8" s="26">
        <f>AC8*C8</f>
        <v>0</v>
      </c>
      <c r="AE8" s="24"/>
      <c r="AF8" s="25">
        <v>1</v>
      </c>
      <c r="AG8" s="26">
        <f>AF8*C8</f>
        <v>142.13</v>
      </c>
      <c r="AH8" s="24"/>
      <c r="AI8" s="25">
        <v>1</v>
      </c>
      <c r="AJ8" s="26">
        <f>AI8*C8</f>
        <v>142.13</v>
      </c>
      <c r="AK8" s="24"/>
      <c r="AL8" s="25"/>
      <c r="AM8" s="26">
        <f>AL8*C8</f>
        <v>0</v>
      </c>
      <c r="AN8" s="24"/>
      <c r="AO8" s="25"/>
      <c r="AP8" s="26">
        <f>AO8*C8</f>
        <v>0</v>
      </c>
      <c r="AQ8" s="24"/>
      <c r="AR8" s="25"/>
      <c r="AS8" s="26">
        <f>AR8*C8</f>
        <v>0</v>
      </c>
      <c r="AT8" s="24"/>
      <c r="AU8" s="25"/>
      <c r="AV8" s="26">
        <f>AU8*C8</f>
        <v>0</v>
      </c>
      <c r="AW8" s="24"/>
      <c r="AX8" s="25"/>
      <c r="AY8" s="26"/>
      <c r="AZ8" s="24"/>
      <c r="BA8" s="25"/>
      <c r="BB8" s="26"/>
      <c r="BC8" s="24"/>
      <c r="BD8" s="25"/>
      <c r="BE8" s="26">
        <f>BD8*C8</f>
        <v>0</v>
      </c>
      <c r="BF8" s="24"/>
      <c r="BG8" s="25"/>
      <c r="BH8" s="26">
        <f>BG8*C8</f>
        <v>0</v>
      </c>
      <c r="BI8" s="24"/>
      <c r="BJ8" s="25">
        <v>1</v>
      </c>
      <c r="BK8" s="26">
        <f>BJ8*C8</f>
        <v>142.13</v>
      </c>
      <c r="BL8" s="24"/>
      <c r="BM8" s="25"/>
      <c r="BN8" s="26">
        <f>BM8*C8</f>
        <v>0</v>
      </c>
      <c r="BO8" s="24"/>
      <c r="BP8" s="25">
        <v>1</v>
      </c>
      <c r="BQ8" s="26">
        <f>BP8*C8</f>
        <v>142.13</v>
      </c>
      <c r="BR8" s="24"/>
      <c r="BS8" s="25"/>
      <c r="BT8" s="26">
        <f>BS8*C8</f>
        <v>0</v>
      </c>
      <c r="BU8" s="24"/>
      <c r="BV8" s="1"/>
      <c r="BW8" s="27">
        <v>258175.36</v>
      </c>
      <c r="BX8" s="1"/>
      <c r="BY8" s="1" t="s">
        <v>60</v>
      </c>
    </row>
    <row r="9" ht="28.95" customHeight="1" spans="1:77" x14ac:dyDescent="0.25">
      <c r="A9" s="30" t="s">
        <v>39</v>
      </c>
      <c r="B9" s="31"/>
      <c r="C9" s="32">
        <v>91</v>
      </c>
      <c r="D9" s="33"/>
      <c r="E9" s="25">
        <v>1</v>
      </c>
      <c r="F9" s="26">
        <f>E9*C9</f>
        <v>91</v>
      </c>
      <c r="G9" s="24"/>
      <c r="H9" s="25">
        <v>1</v>
      </c>
      <c r="I9" s="26">
        <f>H9*C9</f>
        <v>91</v>
      </c>
      <c r="J9" s="24"/>
      <c r="K9" s="25">
        <v>1</v>
      </c>
      <c r="L9" s="26">
        <f>K9*C9</f>
        <v>91</v>
      </c>
      <c r="M9" s="24"/>
      <c r="N9" s="25">
        <v>1</v>
      </c>
      <c r="O9" s="26">
        <f>N9*C9</f>
        <v>91</v>
      </c>
      <c r="P9" s="24"/>
      <c r="Q9" s="25"/>
      <c r="R9" s="26">
        <f>Q9*C9</f>
        <v>0</v>
      </c>
      <c r="S9" s="24"/>
      <c r="T9" s="25"/>
      <c r="U9" s="26">
        <f>T9*C9</f>
        <v>0</v>
      </c>
      <c r="V9" s="24"/>
      <c r="W9" s="25">
        <v>1</v>
      </c>
      <c r="X9" s="26">
        <f>W9*C9</f>
        <v>91</v>
      </c>
      <c r="Y9" s="24"/>
      <c r="Z9" s="25">
        <v>1</v>
      </c>
      <c r="AA9" s="26">
        <f>Z9*C9</f>
        <v>91</v>
      </c>
      <c r="AB9" s="24"/>
      <c r="AC9" s="25"/>
      <c r="AD9" s="26">
        <f>AC9*C9</f>
        <v>0</v>
      </c>
      <c r="AE9" s="24"/>
      <c r="AF9" s="25"/>
      <c r="AG9" s="26">
        <f>AF9*C9</f>
        <v>0</v>
      </c>
      <c r="AH9" s="24"/>
      <c r="AI9" s="25"/>
      <c r="AJ9" s="26">
        <f>AI9*C9</f>
        <v>0</v>
      </c>
      <c r="AK9" s="24"/>
      <c r="AL9" s="25"/>
      <c r="AM9" s="26">
        <f>AL9*C9</f>
        <v>0</v>
      </c>
      <c r="AN9" s="24"/>
      <c r="AO9" s="25"/>
      <c r="AP9" s="26">
        <f>AO9*C9</f>
        <v>0</v>
      </c>
      <c r="AQ9" s="24"/>
      <c r="AR9" s="25"/>
      <c r="AS9" s="26">
        <f>AR9*C9</f>
        <v>0</v>
      </c>
      <c r="AT9" s="24"/>
      <c r="AU9" s="25"/>
      <c r="AV9" s="26">
        <f>AU9*C9</f>
        <v>0</v>
      </c>
      <c r="AW9" s="24"/>
      <c r="AX9" s="25"/>
      <c r="AY9" s="26"/>
      <c r="AZ9" s="24"/>
      <c r="BA9" s="25"/>
      <c r="BB9" s="26"/>
      <c r="BC9" s="24"/>
      <c r="BD9" s="25"/>
      <c r="BE9" s="26">
        <f>BD9*C9</f>
        <v>0</v>
      </c>
      <c r="BF9" s="24"/>
      <c r="BG9" s="25"/>
      <c r="BH9" s="26">
        <f>BG9*C9</f>
        <v>0</v>
      </c>
      <c r="BI9" s="24"/>
      <c r="BJ9" s="25"/>
      <c r="BK9" s="26">
        <f>BJ9*C9</f>
        <v>0</v>
      </c>
      <c r="BL9" s="24"/>
      <c r="BM9" s="25"/>
      <c r="BN9" s="26">
        <f>BM9*C9</f>
        <v>0</v>
      </c>
      <c r="BO9" s="24"/>
      <c r="BP9" s="25"/>
      <c r="BQ9" s="26">
        <f>BP9*C9</f>
        <v>0</v>
      </c>
      <c r="BR9" s="24"/>
      <c r="BS9" s="25"/>
      <c r="BT9" s="26">
        <f>BS9*C9</f>
        <v>0</v>
      </c>
      <c r="BU9" s="24"/>
      <c r="BV9" s="1"/>
      <c r="BW9" s="34">
        <f>SUM(BW3:BW8)</f>
        <v>569229</v>
      </c>
      <c r="BX9" s="20"/>
      <c r="BY9" s="35" t="s">
        <v>40</v>
      </c>
    </row>
    <row r="10" ht="28.95" customHeight="1" spans="1:75" x14ac:dyDescent="0.25">
      <c r="A10" s="30" t="s">
        <v>41</v>
      </c>
      <c r="B10" s="10"/>
      <c r="C10" s="32">
        <v>91</v>
      </c>
      <c r="D10" s="24"/>
      <c r="E10" s="25"/>
      <c r="F10" s="26">
        <f>E10*C10</f>
        <v>0</v>
      </c>
      <c r="G10" s="24"/>
      <c r="H10" s="25"/>
      <c r="I10" s="26">
        <f>H10*C10</f>
        <v>0</v>
      </c>
      <c r="J10" s="24"/>
      <c r="K10" s="25"/>
      <c r="L10" s="26">
        <f>K10*C10</f>
        <v>0</v>
      </c>
      <c r="M10" s="24"/>
      <c r="N10" s="25"/>
      <c r="O10" s="26">
        <f>N10*C10</f>
        <v>0</v>
      </c>
      <c r="P10" s="24"/>
      <c r="Q10" s="25"/>
      <c r="R10" s="26">
        <f>Q10*C10</f>
        <v>0</v>
      </c>
      <c r="S10" s="24"/>
      <c r="T10" s="25"/>
      <c r="U10" s="26">
        <f>T10*C10</f>
        <v>0</v>
      </c>
      <c r="V10" s="24"/>
      <c r="W10" s="25"/>
      <c r="X10" s="26">
        <f>W10*C10</f>
        <v>0</v>
      </c>
      <c r="Y10" s="24"/>
      <c r="Z10" s="25"/>
      <c r="AA10" s="26">
        <f>Z10*C10</f>
        <v>0</v>
      </c>
      <c r="AB10" s="24"/>
      <c r="AC10" s="25"/>
      <c r="AD10" s="26">
        <f>AC10*C10</f>
        <v>0</v>
      </c>
      <c r="AE10" s="24"/>
      <c r="AF10" s="25"/>
      <c r="AG10" s="26">
        <f>AF10*C10</f>
        <v>0</v>
      </c>
      <c r="AH10" s="24"/>
      <c r="AI10" s="25"/>
      <c r="AJ10" s="26">
        <f>AI10*C10</f>
        <v>0</v>
      </c>
      <c r="AK10" s="24"/>
      <c r="AL10" s="25"/>
      <c r="AM10" s="26">
        <f>AL10*C10</f>
        <v>0</v>
      </c>
      <c r="AN10" s="24"/>
      <c r="AO10" s="25"/>
      <c r="AP10" s="26">
        <f>AO10*C10</f>
        <v>0</v>
      </c>
      <c r="AQ10" s="24"/>
      <c r="AR10" s="25"/>
      <c r="AS10" s="26">
        <f>AR10*C10</f>
        <v>0</v>
      </c>
      <c r="AT10" s="24"/>
      <c r="AU10" s="25"/>
      <c r="AV10" s="26">
        <f>AU10*C10</f>
        <v>0</v>
      </c>
      <c r="AW10" s="24"/>
      <c r="AX10" s="25"/>
      <c r="AY10" s="26"/>
      <c r="AZ10" s="24"/>
      <c r="BA10" s="25"/>
      <c r="BB10" s="26"/>
      <c r="BC10" s="24"/>
      <c r="BD10" s="25"/>
      <c r="BE10" s="26">
        <f>BD10*C10</f>
        <v>0</v>
      </c>
      <c r="BF10" s="24"/>
      <c r="BG10" s="25"/>
      <c r="BH10" s="26">
        <f>BG10*C10</f>
        <v>0</v>
      </c>
      <c r="BI10" s="24"/>
      <c r="BJ10" s="25">
        <v>2</v>
      </c>
      <c r="BK10" s="26">
        <f>BJ10*C10</f>
        <v>182</v>
      </c>
      <c r="BL10" s="24"/>
      <c r="BM10" s="25">
        <v>1</v>
      </c>
      <c r="BN10" s="26">
        <f>BM10*C10</f>
        <v>91</v>
      </c>
      <c r="BO10" s="24"/>
      <c r="BP10" s="25">
        <v>2</v>
      </c>
      <c r="BQ10" s="26">
        <f>BP10*C10</f>
        <v>182</v>
      </c>
      <c r="BR10" s="24"/>
      <c r="BS10" s="25"/>
      <c r="BT10" s="26">
        <f>BS10*C10</f>
        <v>0</v>
      </c>
      <c r="BU10" s="24"/>
      <c r="BV10" s="1"/>
      <c r="BW10" s="4">
        <f>BV10*C10</f>
        <v>0</v>
      </c>
    </row>
    <row r="11" ht="28.95" customHeight="1" spans="1:79" x14ac:dyDescent="0.25">
      <c r="A11" s="30" t="s">
        <v>42</v>
      </c>
      <c r="B11" s="10"/>
      <c r="C11" s="32">
        <v>91</v>
      </c>
      <c r="D11" s="24"/>
      <c r="E11" s="25">
        <v>1</v>
      </c>
      <c r="F11" s="26">
        <f>E11*C11</f>
        <v>91</v>
      </c>
      <c r="G11" s="24"/>
      <c r="H11" s="25">
        <v>3</v>
      </c>
      <c r="I11" s="26">
        <f>H11*C11</f>
        <v>273</v>
      </c>
      <c r="J11" s="24"/>
      <c r="K11" s="25"/>
      <c r="L11" s="26">
        <f>K11*C11</f>
        <v>0</v>
      </c>
      <c r="M11" s="24"/>
      <c r="N11" s="25">
        <v>2</v>
      </c>
      <c r="O11" s="26">
        <f>N11*C11</f>
        <v>182</v>
      </c>
      <c r="P11" s="24"/>
      <c r="Q11" s="25"/>
      <c r="R11" s="26">
        <f>Q11*C11</f>
        <v>0</v>
      </c>
      <c r="S11" s="24"/>
      <c r="T11" s="25">
        <v>1</v>
      </c>
      <c r="U11" s="26">
        <f>T11*C11</f>
        <v>91</v>
      </c>
      <c r="V11" s="24"/>
      <c r="W11" s="25">
        <v>1</v>
      </c>
      <c r="X11" s="26">
        <f>W11*C11</f>
        <v>91</v>
      </c>
      <c r="Y11" s="24"/>
      <c r="Z11" s="25">
        <v>1</v>
      </c>
      <c r="AA11" s="26">
        <f>Z11*C11</f>
        <v>91</v>
      </c>
      <c r="AB11" s="24"/>
      <c r="AC11" s="25">
        <v>1</v>
      </c>
      <c r="AD11" s="26">
        <f>AC11*C11</f>
        <v>91</v>
      </c>
      <c r="AE11" s="24"/>
      <c r="AF11" s="25"/>
      <c r="AG11" s="26">
        <f>AF11*C11</f>
        <v>0</v>
      </c>
      <c r="AH11" s="24"/>
      <c r="AI11" s="25"/>
      <c r="AJ11" s="26">
        <f>AI11*C11</f>
        <v>0</v>
      </c>
      <c r="AK11" s="24"/>
      <c r="AL11" s="25"/>
      <c r="AM11" s="26">
        <f>AL11*C11</f>
        <v>0</v>
      </c>
      <c r="AN11" s="24"/>
      <c r="AO11" s="25"/>
      <c r="AP11" s="26">
        <f>AO11*C11</f>
        <v>0</v>
      </c>
      <c r="AQ11" s="24"/>
      <c r="AR11" s="25"/>
      <c r="AS11" s="26">
        <f>AR11*C11</f>
        <v>0</v>
      </c>
      <c r="AT11" s="24"/>
      <c r="AU11" s="25"/>
      <c r="AV11" s="26">
        <f>AU11*C11</f>
        <v>0</v>
      </c>
      <c r="AW11" s="24"/>
      <c r="AX11" s="25"/>
      <c r="AY11" s="26"/>
      <c r="AZ11" s="24"/>
      <c r="BA11" s="25"/>
      <c r="BB11" s="26"/>
      <c r="BC11" s="24"/>
      <c r="BD11" s="25"/>
      <c r="BE11" s="26">
        <f>BD11*C11</f>
        <v>0</v>
      </c>
      <c r="BF11" s="24"/>
      <c r="BG11" s="25"/>
      <c r="BH11" s="26">
        <f>BG11*C11</f>
        <v>0</v>
      </c>
      <c r="BI11" s="24"/>
      <c r="BJ11" s="25"/>
      <c r="BK11" s="26">
        <f>BJ11*C11</f>
        <v>0</v>
      </c>
      <c r="BL11" s="24"/>
      <c r="BM11" s="25"/>
      <c r="BN11" s="26">
        <f>BM11*C11</f>
        <v>0</v>
      </c>
      <c r="BO11" s="24"/>
      <c r="BP11" s="25"/>
      <c r="BQ11" s="26">
        <f>BP11*C11</f>
        <v>0</v>
      </c>
      <c r="BR11" s="24"/>
      <c r="BS11" s="25"/>
      <c r="BT11" s="26">
        <f>BS11*C11</f>
        <v>0</v>
      </c>
      <c r="BU11" s="24"/>
      <c r="BV11" s="1"/>
      <c r="BW11" s="35">
        <f>BV11*C11</f>
        <v>0</v>
      </c>
      <c r="BX11" s="35"/>
      <c r="BY11" s="35"/>
      <c r="BZ11" s="36"/>
      <c r="CA11" s="36"/>
    </row>
    <row r="12" ht="28.95" customHeight="1" spans="1:79" x14ac:dyDescent="0.25">
      <c r="A12" s="30" t="s">
        <v>44</v>
      </c>
      <c r="B12" s="10"/>
      <c r="C12" s="32">
        <v>1</v>
      </c>
      <c r="D12" s="24"/>
      <c r="E12" s="25">
        <v>2</v>
      </c>
      <c r="F12" s="26">
        <f>E12*C12</f>
        <v>2</v>
      </c>
      <c r="G12" s="24"/>
      <c r="H12" s="25">
        <v>2</v>
      </c>
      <c r="I12" s="26">
        <f>H12*C12</f>
        <v>2</v>
      </c>
      <c r="J12" s="24"/>
      <c r="K12" s="25">
        <v>2</v>
      </c>
      <c r="L12" s="26">
        <f>K12*C12</f>
        <v>2</v>
      </c>
      <c r="M12" s="24"/>
      <c r="N12" s="25"/>
      <c r="O12" s="26">
        <f>N12*C12</f>
        <v>0</v>
      </c>
      <c r="P12" s="24"/>
      <c r="Q12" s="25"/>
      <c r="R12" s="26">
        <f>Q12*C12</f>
        <v>0</v>
      </c>
      <c r="S12" s="24"/>
      <c r="T12" s="25">
        <v>1</v>
      </c>
      <c r="U12" s="26">
        <f>T12*C12</f>
        <v>1</v>
      </c>
      <c r="V12" s="24"/>
      <c r="W12" s="25">
        <v>1</v>
      </c>
      <c r="X12" s="26">
        <f>W12*C12</f>
        <v>1</v>
      </c>
      <c r="Y12" s="24"/>
      <c r="Z12" s="25">
        <v>1</v>
      </c>
      <c r="AA12" s="26">
        <f>Z12*C12</f>
        <v>1</v>
      </c>
      <c r="AB12" s="24"/>
      <c r="AC12" s="25">
        <v>1</v>
      </c>
      <c r="AD12" s="26">
        <f>AC12*C12</f>
        <v>1</v>
      </c>
      <c r="AE12" s="24"/>
      <c r="AF12" s="25">
        <v>1</v>
      </c>
      <c r="AG12" s="26">
        <f>AF12*C12</f>
        <v>1</v>
      </c>
      <c r="AH12" s="24"/>
      <c r="AI12" s="25"/>
      <c r="AJ12" s="26">
        <f>AI12*C12</f>
        <v>0</v>
      </c>
      <c r="AK12" s="24"/>
      <c r="AL12" s="25"/>
      <c r="AM12" s="26">
        <f>AL12*C12</f>
        <v>0</v>
      </c>
      <c r="AN12" s="24"/>
      <c r="AO12" s="25"/>
      <c r="AP12" s="26">
        <f>AO12*C12</f>
        <v>0</v>
      </c>
      <c r="AQ12" s="24"/>
      <c r="AR12" s="25"/>
      <c r="AS12" s="26">
        <f>AR12*C12</f>
        <v>0</v>
      </c>
      <c r="AT12" s="24"/>
      <c r="AU12" s="25"/>
      <c r="AV12" s="26">
        <f>AU12*C12</f>
        <v>0</v>
      </c>
      <c r="AW12" s="24"/>
      <c r="AX12" s="25"/>
      <c r="AY12" s="26"/>
      <c r="AZ12" s="24"/>
      <c r="BA12" s="25"/>
      <c r="BB12" s="26"/>
      <c r="BC12" s="24"/>
      <c r="BD12" s="25"/>
      <c r="BE12" s="26">
        <f>BD12*C12</f>
        <v>0</v>
      </c>
      <c r="BF12" s="24"/>
      <c r="BG12" s="25"/>
      <c r="BH12" s="26">
        <f>BG12*C12</f>
        <v>0</v>
      </c>
      <c r="BI12" s="24"/>
      <c r="BJ12" s="25"/>
      <c r="BK12" s="26">
        <f>BJ12*C12</f>
        <v>0</v>
      </c>
      <c r="BL12" s="24"/>
      <c r="BM12" s="25"/>
      <c r="BN12" s="26">
        <f>BM12*C12</f>
        <v>0</v>
      </c>
      <c r="BO12" s="24"/>
      <c r="BP12" s="25"/>
      <c r="BQ12" s="26">
        <f>BP12*C12</f>
        <v>0</v>
      </c>
      <c r="BR12" s="24"/>
      <c r="BS12" s="25"/>
      <c r="BT12" s="26">
        <f>BS12*C12</f>
        <v>0</v>
      </c>
      <c r="BU12" s="24"/>
      <c r="BV12" s="1"/>
      <c r="BW12" s="27">
        <f>-SUM(BZ12:CB12)</f>
        <v>-73468.41</v>
      </c>
      <c r="BX12" s="1"/>
      <c r="BY12" s="1" t="s">
        <v>61</v>
      </c>
      <c r="BZ12" s="37">
        <v>73468.41</v>
      </c>
      <c r="CA12" s="37">
        <v>0</v>
      </c>
    </row>
    <row r="13" ht="28.95" customHeight="1" spans="1:79" x14ac:dyDescent="0.25">
      <c r="A13" s="30" t="s">
        <v>46</v>
      </c>
      <c r="B13" s="10"/>
      <c r="C13" s="32">
        <v>10</v>
      </c>
      <c r="D13" s="24"/>
      <c r="E13" s="25">
        <v>2</v>
      </c>
      <c r="F13" s="26">
        <f>E13*C13</f>
        <v>20</v>
      </c>
      <c r="G13" s="24"/>
      <c r="H13" s="25">
        <v>4</v>
      </c>
      <c r="I13" s="26">
        <f>H13*C13</f>
        <v>40</v>
      </c>
      <c r="J13" s="24"/>
      <c r="K13" s="25">
        <v>2</v>
      </c>
      <c r="L13" s="26">
        <f>K13*C13</f>
        <v>20</v>
      </c>
      <c r="M13" s="24"/>
      <c r="N13" s="25">
        <v>3</v>
      </c>
      <c r="O13" s="26">
        <f>N13*C13</f>
        <v>30</v>
      </c>
      <c r="P13" s="24"/>
      <c r="Q13" s="25">
        <v>2</v>
      </c>
      <c r="R13" s="26">
        <f>Q13*C13</f>
        <v>20</v>
      </c>
      <c r="S13" s="24"/>
      <c r="T13" s="25">
        <v>2</v>
      </c>
      <c r="U13" s="26">
        <f>T13*C13</f>
        <v>20</v>
      </c>
      <c r="V13" s="24"/>
      <c r="W13" s="25">
        <v>2</v>
      </c>
      <c r="X13" s="26">
        <f>W13*C13</f>
        <v>20</v>
      </c>
      <c r="Y13" s="24"/>
      <c r="Z13" s="25">
        <v>6</v>
      </c>
      <c r="AA13" s="26">
        <f>Z13*C13</f>
        <v>60</v>
      </c>
      <c r="AB13" s="24"/>
      <c r="AC13" s="25">
        <v>2</v>
      </c>
      <c r="AD13" s="26">
        <f>AC13*C13</f>
        <v>20</v>
      </c>
      <c r="AE13" s="24"/>
      <c r="AF13" s="25">
        <v>2</v>
      </c>
      <c r="AG13" s="26">
        <f>AF13*C13</f>
        <v>20</v>
      </c>
      <c r="AH13" s="24"/>
      <c r="AI13" s="25">
        <v>3</v>
      </c>
      <c r="AJ13" s="26">
        <f>AI13*C13</f>
        <v>30</v>
      </c>
      <c r="AK13" s="24"/>
      <c r="AL13" s="25"/>
      <c r="AM13" s="26">
        <f>AL13*C13</f>
        <v>0</v>
      </c>
      <c r="AN13" s="24"/>
      <c r="AO13" s="25"/>
      <c r="AP13" s="26">
        <f>AO13*C13</f>
        <v>0</v>
      </c>
      <c r="AQ13" s="24"/>
      <c r="AR13" s="25"/>
      <c r="AS13" s="26">
        <f>AR13*C13</f>
        <v>0</v>
      </c>
      <c r="AT13" s="24"/>
      <c r="AU13" s="25"/>
      <c r="AV13" s="26">
        <f>AU13*C13</f>
        <v>0</v>
      </c>
      <c r="AW13" s="24"/>
      <c r="AX13" s="25"/>
      <c r="AY13" s="26"/>
      <c r="AZ13" s="24"/>
      <c r="BA13" s="25"/>
      <c r="BB13" s="26"/>
      <c r="BC13" s="24"/>
      <c r="BD13" s="25"/>
      <c r="BE13" s="26">
        <f>BD13*C13</f>
        <v>0</v>
      </c>
      <c r="BF13" s="24"/>
      <c r="BG13" s="25"/>
      <c r="BH13" s="26">
        <f>BG13*C13</f>
        <v>0</v>
      </c>
      <c r="BI13" s="24"/>
      <c r="BJ13" s="25"/>
      <c r="BK13" s="26">
        <f>BJ13*C13</f>
        <v>0</v>
      </c>
      <c r="BL13" s="24"/>
      <c r="BM13" s="25"/>
      <c r="BN13" s="26">
        <f>BM13*C13</f>
        <v>0</v>
      </c>
      <c r="BO13" s="24"/>
      <c r="BP13" s="25"/>
      <c r="BQ13" s="26">
        <f>BP13*C13</f>
        <v>0</v>
      </c>
      <c r="BR13" s="24"/>
      <c r="BS13" s="25"/>
      <c r="BT13" s="26">
        <f>BS13*C13</f>
        <v>0</v>
      </c>
      <c r="BU13" s="24"/>
      <c r="BV13" s="1"/>
      <c r="BW13" s="27"/>
      <c r="BX13" s="1"/>
      <c r="BY13" s="1"/>
      <c r="BZ13" s="37"/>
      <c r="CA13" s="37"/>
    </row>
    <row r="14" ht="28.95" customHeight="1" spans="1:79" x14ac:dyDescent="0.25">
      <c r="A14" s="30"/>
      <c r="B14" s="10"/>
      <c r="C14" s="32"/>
      <c r="D14" s="24"/>
      <c r="E14" s="25"/>
      <c r="F14" s="26">
        <f t="shared" si="0"/>
        <v>0</v>
      </c>
      <c r="G14" s="24"/>
      <c r="H14" s="25"/>
      <c r="I14" s="26">
        <f t="shared" si="1"/>
        <v>0</v>
      </c>
      <c r="J14" s="24"/>
      <c r="K14" s="25"/>
      <c r="L14" s="26">
        <f t="shared" si="2"/>
        <v>0</v>
      </c>
      <c r="M14" s="24"/>
      <c r="N14" s="25"/>
      <c r="O14" s="26">
        <f t="shared" si="3"/>
        <v>0</v>
      </c>
      <c r="P14" s="24"/>
      <c r="Q14" s="25"/>
      <c r="R14" s="26">
        <f t="shared" si="4"/>
        <v>0</v>
      </c>
      <c r="S14" s="24"/>
      <c r="T14" s="25"/>
      <c r="U14" s="26">
        <f t="shared" si="5"/>
        <v>0</v>
      </c>
      <c r="V14" s="24"/>
      <c r="W14" s="25"/>
      <c r="X14" s="26">
        <f t="shared" si="6"/>
        <v>0</v>
      </c>
      <c r="Y14" s="24"/>
      <c r="Z14" s="25"/>
      <c r="AA14" s="26">
        <f t="shared" si="7"/>
        <v>0</v>
      </c>
      <c r="AB14" s="24"/>
      <c r="AC14" s="25"/>
      <c r="AD14" s="26">
        <f t="shared" si="8"/>
        <v>0</v>
      </c>
      <c r="AE14" s="24"/>
      <c r="AF14" s="25"/>
      <c r="AG14" s="26">
        <f t="shared" si="9"/>
        <v>0</v>
      </c>
      <c r="AH14" s="24"/>
      <c r="AI14" s="25"/>
      <c r="AJ14" s="26">
        <f t="shared" si="10"/>
        <v>0</v>
      </c>
      <c r="AK14" s="24"/>
      <c r="AL14" s="25"/>
      <c r="AM14" s="26"/>
      <c r="AN14" s="24"/>
      <c r="AO14" s="25"/>
      <c r="AP14" s="26"/>
      <c r="AQ14" s="24"/>
      <c r="AR14" s="25"/>
      <c r="AS14" s="26"/>
      <c r="AT14" s="24"/>
      <c r="AU14" s="25"/>
      <c r="AV14" s="26"/>
      <c r="AW14" s="24"/>
      <c r="AX14" s="25"/>
      <c r="AY14" s="26"/>
      <c r="AZ14" s="24"/>
      <c r="BA14" s="25"/>
      <c r="BB14" s="26"/>
      <c r="BC14" s="24"/>
      <c r="BD14" s="25"/>
      <c r="BE14" s="26">
        <f t="shared" si="11"/>
        <v>0</v>
      </c>
      <c r="BF14" s="24"/>
      <c r="BG14" s="25"/>
      <c r="BH14" s="26">
        <f t="shared" si="12"/>
        <v>0</v>
      </c>
      <c r="BI14" s="24"/>
      <c r="BJ14" s="25"/>
      <c r="BK14" s="26">
        <f t="shared" si="13"/>
        <v>0</v>
      </c>
      <c r="BL14" s="24"/>
      <c r="BM14" s="25"/>
      <c r="BN14" s="26">
        <f t="shared" si="14"/>
        <v>0</v>
      </c>
      <c r="BO14" s="24"/>
      <c r="BP14" s="25"/>
      <c r="BQ14" s="26">
        <f t="shared" si="15"/>
        <v>0</v>
      </c>
      <c r="BR14" s="24"/>
      <c r="BS14" s="25"/>
      <c r="BT14" s="26">
        <f t="shared" si="16"/>
        <v>0</v>
      </c>
      <c r="BU14" s="24"/>
      <c r="BW14" s="27"/>
      <c r="BX14" s="1"/>
      <c r="BY14" s="1"/>
      <c r="BZ14" s="37"/>
      <c r="CA14" s="37"/>
    </row>
    <row r="15" ht="28.95" customHeight="1" spans="1:79" x14ac:dyDescent="0.25">
      <c r="A15" s="30" t="s">
        <v>49</v>
      </c>
      <c r="B15" s="10"/>
      <c r="C15" s="32"/>
      <c r="D15" s="24"/>
      <c r="E15" s="25"/>
      <c r="F15" s="26"/>
      <c r="G15" s="24"/>
      <c r="H15" s="25"/>
      <c r="I15" s="26"/>
      <c r="J15" s="24"/>
      <c r="K15" s="25"/>
      <c r="L15" s="26"/>
      <c r="M15" s="24"/>
      <c r="N15" s="25"/>
      <c r="O15" s="26"/>
      <c r="P15" s="24"/>
      <c r="Q15" s="25"/>
      <c r="R15" s="26"/>
      <c r="S15" s="24"/>
      <c r="T15" s="25"/>
      <c r="U15" s="26"/>
      <c r="V15" s="24"/>
      <c r="W15" s="25"/>
      <c r="X15" s="26"/>
      <c r="Y15" s="24"/>
      <c r="Z15" s="25"/>
      <c r="AA15" s="26"/>
      <c r="AB15" s="24"/>
      <c r="AC15" s="25"/>
      <c r="AD15" s="26"/>
      <c r="AE15" s="24"/>
      <c r="AF15" s="25"/>
      <c r="AG15" s="26"/>
      <c r="AH15" s="24"/>
      <c r="AI15" s="25"/>
      <c r="AJ15" s="26"/>
      <c r="AK15" s="24"/>
      <c r="AL15" s="25"/>
      <c r="AM15" s="26"/>
      <c r="AN15" s="24"/>
      <c r="AO15" s="25"/>
      <c r="AP15" s="26"/>
      <c r="AQ15" s="24"/>
      <c r="AR15" s="25"/>
      <c r="AS15" s="26"/>
      <c r="AT15" s="24"/>
      <c r="AU15" s="25"/>
      <c r="AV15" s="26"/>
      <c r="AW15" s="24"/>
      <c r="AX15" s="25"/>
      <c r="AY15" s="26"/>
      <c r="AZ15" s="24"/>
      <c r="BA15" s="25"/>
      <c r="BB15" s="26"/>
      <c r="BC15" s="24"/>
      <c r="BD15" s="25"/>
      <c r="BE15" s="26"/>
      <c r="BF15" s="24"/>
      <c r="BG15" s="25"/>
      <c r="BH15" s="26"/>
      <c r="BI15" s="24"/>
      <c r="BJ15" s="25"/>
      <c r="BK15" s="26"/>
      <c r="BL15" s="24"/>
      <c r="BM15" s="25"/>
      <c r="BN15" s="26"/>
      <c r="BO15" s="24"/>
      <c r="BP15" s="25"/>
      <c r="BQ15" s="26"/>
      <c r="BR15" s="24"/>
      <c r="BS15" s="25"/>
      <c r="BT15" s="26"/>
      <c r="BU15" s="24"/>
      <c r="BV15" s="1"/>
      <c r="BW15" s="27"/>
      <c r="BX15" s="1"/>
      <c r="BY15" s="1"/>
      <c r="BZ15" s="37"/>
      <c r="CA15" s="37"/>
    </row>
    <row r="16" ht="28.95" customHeight="1" spans="1:80" s="14" customFormat="1" x14ac:dyDescent="0.25">
      <c r="A16" s="30" t="s">
        <v>51</v>
      </c>
      <c r="B16" s="10"/>
      <c r="C16" s="32">
        <v>90</v>
      </c>
      <c r="D16" s="10"/>
      <c r="E16" s="38"/>
      <c r="F16" s="39">
        <f>E16*C16</f>
        <v>0</v>
      </c>
      <c r="G16" s="10"/>
      <c r="H16" s="38"/>
      <c r="I16" s="39">
        <f>H16*C16</f>
        <v>0</v>
      </c>
      <c r="J16" s="10"/>
      <c r="K16" s="38"/>
      <c r="L16" s="39">
        <f>K16*C16</f>
        <v>0</v>
      </c>
      <c r="M16" s="10"/>
      <c r="N16" s="38"/>
      <c r="O16" s="39">
        <f>N16*C16</f>
        <v>0</v>
      </c>
      <c r="P16" s="10"/>
      <c r="Q16" s="38"/>
      <c r="R16" s="39">
        <f>Q16*C16</f>
        <v>0</v>
      </c>
      <c r="S16" s="10"/>
      <c r="T16" s="38"/>
      <c r="U16" s="39">
        <f>T16*C16</f>
        <v>0</v>
      </c>
      <c r="V16" s="10"/>
      <c r="W16" s="38"/>
      <c r="X16" s="39">
        <f>W16*C16</f>
        <v>0</v>
      </c>
      <c r="Y16" s="10"/>
      <c r="Z16" s="38"/>
      <c r="AA16" s="39">
        <f>Z16*C16</f>
        <v>0</v>
      </c>
      <c r="AB16" s="10"/>
      <c r="AC16" s="38"/>
      <c r="AD16" s="39">
        <f>AC16*C16</f>
        <v>0</v>
      </c>
      <c r="AE16" s="10"/>
      <c r="AF16" s="38"/>
      <c r="AG16" s="39">
        <f>AF16*C16</f>
        <v>0</v>
      </c>
      <c r="AH16" s="10"/>
      <c r="AI16" s="38"/>
      <c r="AJ16" s="39">
        <f>AI16*C16</f>
        <v>0</v>
      </c>
      <c r="AK16" s="10"/>
      <c r="AL16" s="38"/>
      <c r="AM16" s="26">
        <f>AL16*C16</f>
        <v>0</v>
      </c>
      <c r="AN16" s="10"/>
      <c r="AO16" s="38"/>
      <c r="AP16" s="26">
        <f>AO16*C16</f>
        <v>0</v>
      </c>
      <c r="AQ16" s="10"/>
      <c r="AR16" s="38"/>
      <c r="AS16" s="26">
        <f>AR16*C16</f>
        <v>0</v>
      </c>
      <c r="AT16" s="10"/>
      <c r="AU16" s="38"/>
      <c r="AV16" s="26">
        <f>AU16*C16</f>
        <v>0</v>
      </c>
      <c r="AW16" s="10"/>
      <c r="AX16" s="38"/>
      <c r="AY16" s="39">
        <f>AX16*C16</f>
        <v>0</v>
      </c>
      <c r="AZ16" s="10"/>
      <c r="BA16" s="38"/>
      <c r="BB16" s="39">
        <f>BA16*C16</f>
        <v>0</v>
      </c>
      <c r="BC16" s="10"/>
      <c r="BD16" s="38"/>
      <c r="BE16" s="26">
        <f>BD16*C16</f>
        <v>0</v>
      </c>
      <c r="BF16" s="10"/>
      <c r="BG16" s="38"/>
      <c r="BH16" s="26">
        <f>BG16*C16</f>
        <v>0</v>
      </c>
      <c r="BI16" s="10"/>
      <c r="BJ16" s="38"/>
      <c r="BK16" s="26">
        <f>BJ16*C16</f>
        <v>0</v>
      </c>
      <c r="BL16" s="10"/>
      <c r="BM16" s="38"/>
      <c r="BN16" s="26">
        <f>BM16*C16</f>
        <v>0</v>
      </c>
      <c r="BO16" s="10"/>
      <c r="BP16" s="38"/>
      <c r="BQ16" s="26">
        <f>BP16*C16</f>
        <v>0</v>
      </c>
      <c r="BR16" s="10"/>
      <c r="BS16" s="38"/>
      <c r="BT16" s="26">
        <f>BS16*C16</f>
        <v>0</v>
      </c>
      <c r="BU16" s="10"/>
      <c r="BV16" s="20"/>
      <c r="BW16" s="27"/>
      <c r="BX16" s="20"/>
      <c r="BY16" s="1"/>
      <c r="BZ16" s="37"/>
      <c r="CA16" s="37"/>
      <c r="CB16" s="1"/>
    </row>
    <row r="17" ht="28.95" customHeight="1" spans="1:80" s="14" customFormat="1" x14ac:dyDescent="0.25">
      <c r="A17" s="40" t="s">
        <v>53</v>
      </c>
      <c r="B17" s="10"/>
      <c r="C17" s="23">
        <v>108.92078947368421</v>
      </c>
      <c r="D17" s="10"/>
      <c r="E17" s="38"/>
      <c r="F17" s="39">
        <f>E17*C17</f>
        <v>0</v>
      </c>
      <c r="G17" s="10"/>
      <c r="H17" s="38"/>
      <c r="I17" s="39">
        <f>H17*C17</f>
        <v>0</v>
      </c>
      <c r="J17" s="10"/>
      <c r="K17" s="38"/>
      <c r="L17" s="39">
        <f>K17*C17</f>
        <v>0</v>
      </c>
      <c r="M17" s="10"/>
      <c r="N17" s="38"/>
      <c r="O17" s="39">
        <f>N17*C17</f>
        <v>0</v>
      </c>
      <c r="P17" s="10"/>
      <c r="Q17" s="38"/>
      <c r="R17" s="39">
        <f>Q17*C17</f>
        <v>0</v>
      </c>
      <c r="S17" s="10"/>
      <c r="T17" s="38"/>
      <c r="U17" s="39">
        <f>T17*C17</f>
        <v>0</v>
      </c>
      <c r="V17" s="10"/>
      <c r="W17" s="38"/>
      <c r="X17" s="39">
        <f>W17*C17</f>
        <v>0</v>
      </c>
      <c r="Y17" s="10"/>
      <c r="Z17" s="38"/>
      <c r="AA17" s="39">
        <f>Z17*C17</f>
        <v>0</v>
      </c>
      <c r="AB17" s="10"/>
      <c r="AC17" s="38"/>
      <c r="AD17" s="39">
        <f>AC17*C17</f>
        <v>0</v>
      </c>
      <c r="AE17" s="10"/>
      <c r="AF17" s="38"/>
      <c r="AG17" s="39">
        <f>AF17*C17</f>
        <v>0</v>
      </c>
      <c r="AH17" s="10"/>
      <c r="AI17" s="38"/>
      <c r="AJ17" s="39">
        <f>AI17*C17</f>
        <v>0</v>
      </c>
      <c r="AK17" s="10"/>
      <c r="AL17" s="38"/>
      <c r="AM17" s="26">
        <f>AL17*C17</f>
        <v>0</v>
      </c>
      <c r="AN17" s="10"/>
      <c r="AO17" s="38"/>
      <c r="AP17" s="26">
        <f>AO17*C17</f>
        <v>0</v>
      </c>
      <c r="AQ17" s="10"/>
      <c r="AR17" s="38"/>
      <c r="AS17" s="26">
        <f>AR17*C17</f>
        <v>0</v>
      </c>
      <c r="AT17" s="10"/>
      <c r="AU17" s="38"/>
      <c r="AV17" s="26">
        <f>AU17*C17</f>
        <v>0</v>
      </c>
      <c r="AW17" s="10"/>
      <c r="AX17" s="38"/>
      <c r="AY17" s="39">
        <f>AX17*C17</f>
        <v>0</v>
      </c>
      <c r="AZ17" s="10"/>
      <c r="BA17" s="38"/>
      <c r="BB17" s="39">
        <f>BA17*C17</f>
        <v>0</v>
      </c>
      <c r="BC17" s="10"/>
      <c r="BD17" s="38"/>
      <c r="BE17" s="39">
        <f>BD17*C17</f>
        <v>0</v>
      </c>
      <c r="BF17" s="10"/>
      <c r="BG17" s="38"/>
      <c r="BH17" s="39">
        <f>BG17*C17</f>
        <v>0</v>
      </c>
      <c r="BI17" s="10"/>
      <c r="BJ17" s="38">
        <v>12</v>
      </c>
      <c r="BK17" s="39">
        <f>BJ17*C17</f>
        <v>1307.05</v>
      </c>
      <c r="BL17" s="10"/>
      <c r="BM17" s="38">
        <v>25</v>
      </c>
      <c r="BN17" s="39">
        <f>BM17*C17</f>
        <v>2723.02</v>
      </c>
      <c r="BO17" s="10"/>
      <c r="BP17" s="38"/>
      <c r="BQ17" s="39">
        <f>BP17*C17</f>
        <v>0</v>
      </c>
      <c r="BR17" s="10"/>
      <c r="BS17" s="38"/>
      <c r="BT17" s="39">
        <f>BS17*C17</f>
        <v>0</v>
      </c>
      <c r="BU17" s="10"/>
      <c r="BV17" s="20"/>
      <c r="BW17" s="41">
        <f>SUM(BW12:BW16)</f>
        <v>-73468.41</v>
      </c>
      <c r="BX17" s="20"/>
      <c r="BY17" s="42" t="s">
        <v>40</v>
      </c>
      <c r="BZ17" s="20"/>
      <c r="CA17" s="20"/>
      <c r="CB17" s="1"/>
    </row>
    <row r="18" ht="28.95" customHeight="1" spans="1:80" s="14" customFormat="1" x14ac:dyDescent="0.25">
      <c r="A18" s="43"/>
      <c r="B18" s="10"/>
      <c r="C18" s="44"/>
      <c r="D18" s="10"/>
      <c r="E18" s="45"/>
      <c r="F18" s="46"/>
      <c r="G18" s="10"/>
      <c r="H18" s="45"/>
      <c r="I18" s="46"/>
      <c r="J18" s="10"/>
      <c r="K18" s="45"/>
      <c r="L18" s="46"/>
      <c r="M18" s="10"/>
      <c r="N18" s="45"/>
      <c r="O18" s="46"/>
      <c r="P18" s="10"/>
      <c r="Q18" s="45"/>
      <c r="R18" s="46"/>
      <c r="S18" s="10"/>
      <c r="T18" s="45"/>
      <c r="U18" s="46"/>
      <c r="V18" s="10"/>
      <c r="W18" s="45"/>
      <c r="X18" s="46"/>
      <c r="Y18" s="10"/>
      <c r="Z18" s="45"/>
      <c r="AA18" s="46"/>
      <c r="AB18" s="10"/>
      <c r="AC18" s="45"/>
      <c r="AD18" s="46"/>
      <c r="AE18" s="10"/>
      <c r="AF18" s="45"/>
      <c r="AG18" s="46"/>
      <c r="AH18" s="10"/>
      <c r="AI18" s="45"/>
      <c r="AJ18" s="46"/>
      <c r="AK18" s="10"/>
      <c r="AL18" s="45"/>
      <c r="AM18" s="47"/>
      <c r="AN18" s="10"/>
      <c r="AO18" s="45"/>
      <c r="AP18" s="47"/>
      <c r="AQ18" s="10"/>
      <c r="AR18" s="45"/>
      <c r="AS18" s="47"/>
      <c r="AT18" s="10"/>
      <c r="AU18" s="45"/>
      <c r="AV18" s="47"/>
      <c r="AW18" s="10"/>
      <c r="AX18" s="45"/>
      <c r="AY18" s="46"/>
      <c r="AZ18" s="10"/>
      <c r="BA18" s="45"/>
      <c r="BB18" s="46"/>
      <c r="BC18" s="10"/>
      <c r="BD18" s="45"/>
      <c r="BE18" s="46"/>
      <c r="BF18" s="10"/>
      <c r="BG18" s="45"/>
      <c r="BH18" s="46"/>
      <c r="BI18" s="10"/>
      <c r="BJ18" s="45"/>
      <c r="BK18" s="46"/>
      <c r="BL18" s="10"/>
      <c r="BM18" s="45"/>
      <c r="BN18" s="46"/>
      <c r="BO18" s="10"/>
      <c r="BP18" s="45"/>
      <c r="BQ18" s="46"/>
      <c r="BR18" s="10"/>
      <c r="BS18" s="45"/>
      <c r="BT18" s="46"/>
      <c r="BU18" s="10"/>
      <c r="BV18" s="20"/>
      <c r="BW18" s="48">
        <f>BW9+BW17</f>
        <v>495760.59</v>
      </c>
      <c r="BX18" s="20"/>
      <c r="BY18" s="35" t="s">
        <v>62</v>
      </c>
      <c r="BZ18" s="20"/>
      <c r="CA18" s="20"/>
      <c r="CB18" s="1"/>
    </row>
    <row r="19" ht="28.95" customHeight="1" spans="1:79" x14ac:dyDescent="0.25">
      <c r="A19" s="49"/>
      <c r="B19" s="24"/>
      <c r="C19" s="50"/>
      <c r="D19" s="24"/>
      <c r="E19" s="49">
        <f>SUM(E3:E17)</f>
        <v>0</v>
      </c>
      <c r="F19" s="49"/>
      <c r="G19" s="52"/>
      <c r="H19" s="49">
        <f>SUM(H3:H17)</f>
        <v>0</v>
      </c>
      <c r="I19" s="49"/>
      <c r="J19" s="52"/>
      <c r="K19" s="49">
        <f>SUM(K3:K17)</f>
        <v>0</v>
      </c>
      <c r="L19" s="49"/>
      <c r="M19" s="52"/>
      <c r="N19" s="49">
        <f>SUM(N3:N17)</f>
        <v>0</v>
      </c>
      <c r="O19" s="49"/>
      <c r="P19" s="52"/>
      <c r="Q19" s="49">
        <f>SUM(Q3:Q17)</f>
        <v>0</v>
      </c>
      <c r="R19" s="49"/>
      <c r="S19" s="52"/>
      <c r="T19" s="49">
        <f>SUM(T3:T17)</f>
        <v>0</v>
      </c>
      <c r="U19" s="49"/>
      <c r="V19" s="52"/>
      <c r="W19" s="49">
        <f>SUM(W3:W17)</f>
        <v>0</v>
      </c>
      <c r="X19" s="49"/>
      <c r="Y19" s="52"/>
      <c r="Z19" s="49">
        <f>SUM(Z3:Z17)</f>
        <v>0</v>
      </c>
      <c r="AA19" s="49"/>
      <c r="AB19" s="52"/>
      <c r="AC19" s="49">
        <f>SUM(AC3:AC17)</f>
        <v>0</v>
      </c>
      <c r="AD19" s="49"/>
      <c r="AE19" s="52"/>
      <c r="AF19" s="49">
        <f>SUM(AF3:AF17)</f>
        <v>0</v>
      </c>
      <c r="AG19" s="49"/>
      <c r="AH19" s="52"/>
      <c r="AI19" s="49">
        <f>SUM(AI3:AI17)</f>
        <v>0</v>
      </c>
      <c r="AJ19" s="49"/>
      <c r="AK19" s="52"/>
      <c r="AL19" s="49">
        <f>SUM(AL3:AL17)</f>
        <v>0</v>
      </c>
      <c r="AM19" s="49"/>
      <c r="AN19" s="52"/>
      <c r="AO19" s="49">
        <f>SUM(AO3:AO17)</f>
        <v>0</v>
      </c>
      <c r="AP19" s="49"/>
      <c r="AQ19" s="52"/>
      <c r="AR19" s="49">
        <f>SUM(AR3:AR17)</f>
        <v>0</v>
      </c>
      <c r="AS19" s="49"/>
      <c r="AT19" s="52"/>
      <c r="AU19" s="49">
        <f>SUM(AU3:AU17)</f>
        <v>0</v>
      </c>
      <c r="AV19" s="49"/>
      <c r="AW19" s="52"/>
      <c r="AX19" s="49">
        <f>SUM(AX3:AX17)</f>
        <v>0</v>
      </c>
      <c r="AY19" s="49"/>
      <c r="AZ19" s="52"/>
      <c r="BA19" s="49">
        <f>SUM(BA3:BA17)</f>
        <v>0</v>
      </c>
      <c r="BB19" s="49"/>
      <c r="BC19" s="52"/>
      <c r="BD19" s="49">
        <f>SUM(BD3:BD17)</f>
        <v>0</v>
      </c>
      <c r="BE19" s="49"/>
      <c r="BF19" s="52"/>
      <c r="BG19" s="49">
        <f>SUM(BG3:BG17)</f>
        <v>0</v>
      </c>
      <c r="BH19" s="49"/>
      <c r="BI19" s="52"/>
      <c r="BJ19" s="49">
        <f>SUM(BJ3:BJ17)</f>
        <v>0</v>
      </c>
      <c r="BK19" s="49"/>
      <c r="BL19" s="52"/>
      <c r="BM19" s="49">
        <f>SUM(BM3:BM17)</f>
        <v>0</v>
      </c>
      <c r="BN19" s="49"/>
      <c r="BO19" s="52"/>
      <c r="BP19" s="49">
        <f>SUM(BP3:BP17)</f>
        <v>0</v>
      </c>
      <c r="BQ19" s="49"/>
      <c r="BR19" s="52"/>
      <c r="BS19" s="49">
        <f>SUM(BS3:BS17)</f>
        <v>0</v>
      </c>
      <c r="BT19" s="49"/>
      <c r="BU19" s="24"/>
      <c r="BW19" s="53"/>
      <c r="BX19" s="1"/>
      <c r="BY19" s="1"/>
      <c r="CA19" s="20"/>
    </row>
    <row r="20" ht="28.95" customHeight="1" spans="1:80" s="54" customFormat="1" x14ac:dyDescent="0.25">
      <c r="A20" s="20" t="s">
        <v>55</v>
      </c>
      <c r="B20" s="20"/>
      <c r="C20" s="20" t="s">
        <v>55</v>
      </c>
      <c r="D20" s="24"/>
      <c r="E20" s="55">
        <v>4523.29</v>
      </c>
      <c r="F20" s="55"/>
      <c r="G20" s="24"/>
      <c r="H20" s="55">
        <v>8284.61</v>
      </c>
      <c r="I20" s="55"/>
      <c r="J20" s="24"/>
      <c r="K20" s="55">
        <v>6849.17</v>
      </c>
      <c r="L20" s="55"/>
      <c r="M20" s="24"/>
      <c r="N20" s="55">
        <v>7359.63</v>
      </c>
      <c r="O20" s="55"/>
      <c r="P20" s="24"/>
      <c r="Q20" s="55">
        <v>3579.77</v>
      </c>
      <c r="R20" s="55"/>
      <c r="S20" s="24"/>
      <c r="T20" s="55">
        <v>4589.35</v>
      </c>
      <c r="U20" s="55"/>
      <c r="V20" s="24"/>
      <c r="W20" s="55">
        <v>4025.74</v>
      </c>
      <c r="X20" s="55"/>
      <c r="Y20" s="24"/>
      <c r="Z20" s="55">
        <v>6633.85</v>
      </c>
      <c r="AA20" s="55"/>
      <c r="AB20" s="24"/>
      <c r="AC20" s="55">
        <v>4921.24</v>
      </c>
      <c r="AD20" s="55"/>
      <c r="AE20" s="24"/>
      <c r="AF20" s="55">
        <v>2698.85</v>
      </c>
      <c r="AG20" s="55"/>
      <c r="AH20" s="24"/>
      <c r="AI20" s="55">
        <v>4596.29</v>
      </c>
      <c r="AJ20" s="55"/>
      <c r="AK20" s="24"/>
      <c r="AL20" s="55">
        <v>0</v>
      </c>
      <c r="AM20" s="55"/>
      <c r="AN20" s="24"/>
      <c r="AO20" s="55">
        <v>0</v>
      </c>
      <c r="AP20" s="55"/>
      <c r="AQ20" s="24"/>
      <c r="AR20" s="55">
        <v>0</v>
      </c>
      <c r="AS20" s="55"/>
      <c r="AT20" s="24"/>
      <c r="AU20" s="55">
        <v>0</v>
      </c>
      <c r="AV20" s="55"/>
      <c r="AW20" s="24"/>
      <c r="AX20" s="55">
        <f>SUM(AY3:AY17)</f>
        <v>0</v>
      </c>
      <c r="AY20" s="55"/>
      <c r="AZ20" s="24"/>
      <c r="BA20" s="55">
        <f>SUM(BB3:BB17)</f>
        <v>0</v>
      </c>
      <c r="BB20" s="55"/>
      <c r="BC20" s="24"/>
      <c r="BD20" s="55">
        <v>1944.09</v>
      </c>
      <c r="BE20" s="55"/>
      <c r="BF20" s="24"/>
      <c r="BG20" s="55">
        <v>985.42</v>
      </c>
      <c r="BH20" s="55"/>
      <c r="BI20" s="24"/>
      <c r="BJ20" s="55">
        <v>3643.94</v>
      </c>
      <c r="BK20" s="55"/>
      <c r="BL20" s="24"/>
      <c r="BM20" s="55">
        <v>3184.2</v>
      </c>
      <c r="BN20" s="55"/>
      <c r="BO20" s="24"/>
      <c r="BP20" s="55">
        <v>1635.12</v>
      </c>
      <c r="BQ20" s="55"/>
      <c r="BR20" s="24"/>
      <c r="BS20" s="55">
        <v>0</v>
      </c>
      <c r="BT20" s="55"/>
      <c r="BU20" s="24"/>
      <c r="BV20" s="1">
        <v>0</v>
      </c>
      <c r="BW20" s="57">
        <f>SUM(E20:BT20)</f>
        <v>69454.56</v>
      </c>
      <c r="BX20" s="1"/>
      <c r="BY20" s="58" t="str">
        <f>A20</f>
        <v>MEAT</v>
      </c>
      <c r="BZ20" s="1"/>
      <c r="CA20" s="20"/>
      <c r="CB20" s="1"/>
    </row>
    <row r="21" ht="28.95" customHeight="1" spans="1:80" s="54" customFormat="1" x14ac:dyDescent="0.25">
      <c r="A21" s="20" t="s">
        <v>56</v>
      </c>
      <c r="B21" s="20"/>
      <c r="C21" s="20" t="s">
        <v>56</v>
      </c>
      <c r="D21" s="33"/>
      <c r="E21" s="59">
        <v>570</v>
      </c>
      <c r="F21" s="59"/>
      <c r="G21" s="33"/>
      <c r="H21" s="59">
        <v>1065</v>
      </c>
      <c r="I21" s="59"/>
      <c r="J21" s="33"/>
      <c r="K21" s="59">
        <v>840</v>
      </c>
      <c r="L21" s="59"/>
      <c r="M21" s="33"/>
      <c r="N21" s="59">
        <v>960</v>
      </c>
      <c r="O21" s="59"/>
      <c r="P21" s="33"/>
      <c r="Q21" s="59">
        <v>502.5</v>
      </c>
      <c r="R21" s="59"/>
      <c r="S21" s="33"/>
      <c r="T21" s="59">
        <v>585</v>
      </c>
      <c r="U21" s="59"/>
      <c r="V21" s="33"/>
      <c r="W21" s="59">
        <v>510</v>
      </c>
      <c r="X21" s="59"/>
      <c r="Y21" s="33"/>
      <c r="Z21" s="59">
        <v>757.5</v>
      </c>
      <c r="AA21" s="59"/>
      <c r="AB21" s="33"/>
      <c r="AC21" s="59">
        <v>682.5</v>
      </c>
      <c r="AD21" s="59"/>
      <c r="AE21" s="33"/>
      <c r="AF21" s="59">
        <v>390</v>
      </c>
      <c r="AG21" s="59"/>
      <c r="AH21" s="33"/>
      <c r="AI21" s="59">
        <v>585</v>
      </c>
      <c r="AJ21" s="59"/>
      <c r="AK21" s="33"/>
      <c r="AL21" s="59">
        <v>0</v>
      </c>
      <c r="AM21" s="59"/>
      <c r="AN21" s="33"/>
      <c r="AO21" s="59">
        <v>0</v>
      </c>
      <c r="AP21" s="59"/>
      <c r="AQ21" s="33"/>
      <c r="AR21" s="59">
        <v>0</v>
      </c>
      <c r="AS21" s="59"/>
      <c r="AT21" s="33"/>
      <c r="AU21" s="59">
        <v>0</v>
      </c>
      <c r="AV21" s="59"/>
      <c r="AW21" s="33"/>
      <c r="AX21" s="60">
        <f>SUM(AX3:AX13)*10</f>
        <v>0</v>
      </c>
      <c r="AY21" s="60"/>
      <c r="AZ21" s="33"/>
      <c r="BA21" s="60">
        <f>SUM(BA3:BA17)*10</f>
        <v>0</v>
      </c>
      <c r="BB21" s="60"/>
      <c r="BC21" s="33"/>
      <c r="BD21" s="60">
        <v>255</v>
      </c>
      <c r="BE21" s="60"/>
      <c r="BF21" s="33"/>
      <c r="BG21" s="60">
        <v>120</v>
      </c>
      <c r="BH21" s="60"/>
      <c r="BI21" s="33"/>
      <c r="BJ21" s="60">
        <v>480</v>
      </c>
      <c r="BK21" s="60"/>
      <c r="BL21" s="33"/>
      <c r="BM21" s="60">
        <v>495</v>
      </c>
      <c r="BN21" s="60"/>
      <c r="BO21" s="33"/>
      <c r="BP21" s="60">
        <v>195</v>
      </c>
      <c r="BQ21" s="60"/>
      <c r="BR21" s="33"/>
      <c r="BS21" s="60">
        <v>0</v>
      </c>
      <c r="BT21" s="60"/>
      <c r="BU21" s="33"/>
      <c r="BV21" s="1">
        <v>0</v>
      </c>
      <c r="BW21" s="61">
        <f>SUM(E21:BT21)</f>
        <v>8992.5</v>
      </c>
      <c r="BX21" s="1"/>
      <c r="BY21" s="62" t="str">
        <f>A21</f>
        <v>MARKUP</v>
      </c>
      <c r="BZ21" s="1"/>
      <c r="CA21" s="20"/>
      <c r="CB21" s="1"/>
    </row>
    <row r="22" ht="28.95" customHeight="1" spans="1:80" s="54" customFormat="1" x14ac:dyDescent="0.25">
      <c r="A22" s="20" t="s">
        <v>32</v>
      </c>
      <c r="B22" s="20"/>
      <c r="C22" s="20" t="s">
        <v>32</v>
      </c>
      <c r="D22" s="33"/>
      <c r="E22" s="63">
        <v>679.42</v>
      </c>
      <c r="F22" s="63"/>
      <c r="G22" s="33"/>
      <c r="H22" s="63">
        <v>1745.85</v>
      </c>
      <c r="I22" s="63"/>
      <c r="J22" s="33"/>
      <c r="K22" s="63">
        <v>1206.61</v>
      </c>
      <c r="L22" s="63"/>
      <c r="M22" s="33"/>
      <c r="N22" s="63">
        <v>1374.35</v>
      </c>
      <c r="O22" s="63"/>
      <c r="P22" s="33"/>
      <c r="Q22" s="63">
        <v>593.76</v>
      </c>
      <c r="R22" s="63"/>
      <c r="S22" s="33"/>
      <c r="T22" s="63">
        <v>819.33</v>
      </c>
      <c r="U22" s="63"/>
      <c r="V22" s="33"/>
      <c r="W22" s="63">
        <v>934.03</v>
      </c>
      <c r="X22" s="63"/>
      <c r="Y22" s="33"/>
      <c r="Z22" s="63">
        <v>1173.02</v>
      </c>
      <c r="AA22" s="63"/>
      <c r="AB22" s="33"/>
      <c r="AC22" s="63">
        <v>1163.92</v>
      </c>
      <c r="AD22" s="63"/>
      <c r="AE22" s="33"/>
      <c r="AF22" s="63">
        <v>540.55</v>
      </c>
      <c r="AG22" s="63"/>
      <c r="AH22" s="33"/>
      <c r="AI22" s="63">
        <v>960.96</v>
      </c>
      <c r="AJ22" s="63"/>
      <c r="AK22" s="33"/>
      <c r="AL22" s="63">
        <v>2275.95</v>
      </c>
      <c r="AM22" s="63"/>
      <c r="AN22" s="33"/>
      <c r="AO22" s="63">
        <v>0</v>
      </c>
      <c r="AP22" s="63"/>
      <c r="AQ22" s="33"/>
      <c r="AR22" s="63">
        <v>0</v>
      </c>
      <c r="AS22" s="63"/>
      <c r="AT22" s="33"/>
      <c r="AU22" s="63">
        <v>0</v>
      </c>
      <c r="AV22" s="63"/>
      <c r="AW22" s="33"/>
      <c r="AX22" s="63"/>
      <c r="AY22" s="63"/>
      <c r="AZ22" s="33"/>
      <c r="BA22" s="63"/>
      <c r="BB22" s="63"/>
      <c r="BC22" s="33"/>
      <c r="BD22" s="63">
        <v>0</v>
      </c>
      <c r="BE22" s="63"/>
      <c r="BF22" s="33"/>
      <c r="BG22" s="63">
        <v>0</v>
      </c>
      <c r="BH22" s="63"/>
      <c r="BI22" s="33"/>
      <c r="BJ22" s="63">
        <v>708.79</v>
      </c>
      <c r="BK22" s="63"/>
      <c r="BL22" s="33"/>
      <c r="BM22" s="63">
        <v>255.34</v>
      </c>
      <c r="BN22" s="63"/>
      <c r="BO22" s="33"/>
      <c r="BP22" s="63">
        <v>0</v>
      </c>
      <c r="BQ22" s="63"/>
      <c r="BR22" s="33"/>
      <c r="BS22" s="63">
        <v>0</v>
      </c>
      <c r="BT22" s="63"/>
      <c r="BU22" s="24"/>
      <c r="BV22" s="1">
        <v>0</v>
      </c>
      <c r="BW22" s="57">
        <f>SUM(E22:BT22)</f>
        <v>14431.88</v>
      </c>
      <c r="BX22" s="1"/>
      <c r="BY22" s="62" t="str">
        <f>A22</f>
        <v>PAPERWARE</v>
      </c>
      <c r="BZ22" s="1"/>
      <c r="CA22" s="20"/>
      <c r="CB22" s="20"/>
    </row>
    <row r="23" ht="28.95" customHeight="1" spans="1:80" s="64" customFormat="1" x14ac:dyDescent="0.25">
      <c r="A23" s="10" t="s">
        <v>57</v>
      </c>
      <c r="B23" s="10"/>
      <c r="C23" s="10" t="s">
        <v>57</v>
      </c>
      <c r="D23" s="33"/>
      <c r="E23" s="65">
        <v>5772.71</v>
      </c>
      <c r="F23" s="65"/>
      <c r="G23" s="10"/>
      <c r="H23" s="65">
        <v>11095.46</v>
      </c>
      <c r="I23" s="65"/>
      <c r="J23" s="10"/>
      <c r="K23" s="65">
        <v>8895.78</v>
      </c>
      <c r="L23" s="65"/>
      <c r="M23" s="10"/>
      <c r="N23" s="65">
        <v>9693.98</v>
      </c>
      <c r="O23" s="65"/>
      <c r="P23" s="10"/>
      <c r="Q23" s="65">
        <v>4676.03</v>
      </c>
      <c r="R23" s="65"/>
      <c r="S23" s="10"/>
      <c r="T23" s="65">
        <v>5993.68</v>
      </c>
      <c r="U23" s="65"/>
      <c r="V23" s="10"/>
      <c r="W23" s="65">
        <v>5469.77</v>
      </c>
      <c r="X23" s="65"/>
      <c r="Y23" s="10"/>
      <c r="Z23" s="65">
        <v>8564.37</v>
      </c>
      <c r="AA23" s="65"/>
      <c r="AB23" s="10"/>
      <c r="AC23" s="65">
        <v>6767.66</v>
      </c>
      <c r="AD23" s="65"/>
      <c r="AE23" s="10"/>
      <c r="AF23" s="65">
        <v>3629.4</v>
      </c>
      <c r="AG23" s="65"/>
      <c r="AH23" s="10"/>
      <c r="AI23" s="65">
        <v>6142.25</v>
      </c>
      <c r="AJ23" s="65"/>
      <c r="AK23" s="10"/>
      <c r="AL23" s="65">
        <v>2275.95</v>
      </c>
      <c r="AM23" s="65"/>
      <c r="AN23" s="10"/>
      <c r="AO23" s="65">
        <v>0</v>
      </c>
      <c r="AP23" s="65"/>
      <c r="AQ23" s="10"/>
      <c r="AR23" s="65">
        <v>0</v>
      </c>
      <c r="AS23" s="65"/>
      <c r="AT23" s="10"/>
      <c r="AU23" s="65">
        <v>0</v>
      </c>
      <c r="AV23" s="65"/>
      <c r="AW23" s="10"/>
      <c r="AX23" s="65">
        <f>SUM(AX20:AX22)</f>
        <v>0</v>
      </c>
      <c r="AY23" s="65"/>
      <c r="AZ23" s="10"/>
      <c r="BA23" s="65">
        <f>SUM(BA20:BA22)</f>
        <v>0</v>
      </c>
      <c r="BB23" s="65"/>
      <c r="BC23" s="10"/>
      <c r="BD23" s="65">
        <v>2199.09</v>
      </c>
      <c r="BE23" s="65"/>
      <c r="BF23" s="10"/>
      <c r="BG23" s="65">
        <v>1105.42</v>
      </c>
      <c r="BH23" s="65"/>
      <c r="BI23" s="10"/>
      <c r="BJ23" s="65">
        <v>4832.73</v>
      </c>
      <c r="BK23" s="65"/>
      <c r="BL23" s="10"/>
      <c r="BM23" s="65">
        <v>3934.54</v>
      </c>
      <c r="BN23" s="65"/>
      <c r="BO23" s="10"/>
      <c r="BP23" s="65">
        <v>1830.12</v>
      </c>
      <c r="BQ23" s="65"/>
      <c r="BR23" s="10"/>
      <c r="BS23" s="65">
        <v>0</v>
      </c>
      <c r="BT23" s="65"/>
      <c r="BU23" s="10"/>
      <c r="BV23" s="20">
        <v>0</v>
      </c>
      <c r="BW23" s="61">
        <f>SUM(E23:BT23)</f>
        <v>92878.94</v>
      </c>
      <c r="BX23" s="10"/>
      <c r="BY23" s="62" t="str">
        <f>A23</f>
        <v>EXTENDED AMOUNT</v>
      </c>
      <c r="BZ23" s="10"/>
      <c r="CA23" s="20"/>
      <c r="CB23" s="20"/>
    </row>
    <row r="24" ht="16.2" customHeight="1" spans="4:80" x14ac:dyDescent="0.25">
      <c r="D24" s="66"/>
      <c r="CA24" s="67"/>
      <c r="CB24" s="67"/>
    </row>
    <row r="25" spans="4:80" x14ac:dyDescent="0.25">
      <c r="D25" s="66"/>
      <c r="CA25" s="67"/>
      <c r="CB25" s="67"/>
    </row>
    <row r="26" spans="1:81" s="68" customFormat="1" x14ac:dyDescent="0.25">
      <c r="A26" s="1"/>
      <c r="B26" s="2"/>
      <c r="C26" s="3"/>
      <c r="D26" s="66"/>
      <c r="E26" s="3"/>
      <c r="F26" s="6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1"/>
      <c r="BW26" s="4"/>
      <c r="BX26" s="4"/>
      <c r="BY26" s="4"/>
      <c r="BZ26" s="1"/>
      <c r="CA26" s="67"/>
      <c r="CB26" s="67"/>
      <c r="CC26" s="5"/>
    </row>
    <row r="27" spans="4:4" x14ac:dyDescent="0.25">
      <c r="D27" s="66"/>
    </row>
    <row r="28" spans="4:4" x14ac:dyDescent="0.25">
      <c r="D28" s="66"/>
    </row>
    <row r="29" spans="4:4" x14ac:dyDescent="0.25">
      <c r="D29" s="66"/>
    </row>
    <row r="30" spans="4:4" x14ac:dyDescent="0.25">
      <c r="D30" s="66"/>
    </row>
  </sheetData>
  <mergeCells count="145">
    <mergeCell ref="E1:F1"/>
    <mergeCell ref="T1:U1"/>
    <mergeCell ref="AX1:AY1"/>
    <mergeCell ref="BP1:BQ1"/>
    <mergeCell ref="BS1:BT1"/>
    <mergeCell ref="E2:F2"/>
    <mergeCell ref="H2:I2"/>
    <mergeCell ref="K2:L2"/>
    <mergeCell ref="N2:O2"/>
    <mergeCell ref="Q2:R2"/>
    <mergeCell ref="T2:U2"/>
    <mergeCell ref="W2:X2"/>
    <mergeCell ref="Z2:AA2"/>
    <mergeCell ref="AC2:AD2"/>
    <mergeCell ref="AF2:AG2"/>
    <mergeCell ref="AI2:AJ2"/>
    <mergeCell ref="AL2:AM2"/>
    <mergeCell ref="AO2:AP2"/>
    <mergeCell ref="AR2:AS2"/>
    <mergeCell ref="AU2:AV2"/>
    <mergeCell ref="AX2:AY2"/>
    <mergeCell ref="BA2:BB2"/>
    <mergeCell ref="BD2:BE2"/>
    <mergeCell ref="BG2:BH2"/>
    <mergeCell ref="BJ2:BK2"/>
    <mergeCell ref="BM2:BN2"/>
    <mergeCell ref="BP2:BQ2"/>
    <mergeCell ref="BS2:BT2"/>
    <mergeCell ref="BW2:BY2"/>
    <mergeCell ref="BW11:BY11"/>
    <mergeCell ref="E19:F19"/>
    <mergeCell ref="H19:I19"/>
    <mergeCell ref="K19:L19"/>
    <mergeCell ref="N19:O19"/>
    <mergeCell ref="Q19:R19"/>
    <mergeCell ref="T19:U19"/>
    <mergeCell ref="W19:X19"/>
    <mergeCell ref="Z19:AA19"/>
    <mergeCell ref="AC19:AD19"/>
    <mergeCell ref="AF19:AG19"/>
    <mergeCell ref="AI19:AJ19"/>
    <mergeCell ref="AL19:AM19"/>
    <mergeCell ref="AO19:AP19"/>
    <mergeCell ref="AR19:AS19"/>
    <mergeCell ref="AU19:AV19"/>
    <mergeCell ref="AX19:AY19"/>
    <mergeCell ref="BA19:BB19"/>
    <mergeCell ref="BD19:BE19"/>
    <mergeCell ref="BG19:BH19"/>
    <mergeCell ref="BJ19:BK19"/>
    <mergeCell ref="BM19:BN19"/>
    <mergeCell ref="BP19:BQ19"/>
    <mergeCell ref="BS19:BT19"/>
    <mergeCell ref="E20:F20"/>
    <mergeCell ref="H20:I20"/>
    <mergeCell ref="K20:L20"/>
    <mergeCell ref="N20:O20"/>
    <mergeCell ref="Q20:R20"/>
    <mergeCell ref="T20:U20"/>
    <mergeCell ref="W20:X20"/>
    <mergeCell ref="Z20:AA20"/>
    <mergeCell ref="AC20:AD20"/>
    <mergeCell ref="AF20:AG20"/>
    <mergeCell ref="AI20:AJ20"/>
    <mergeCell ref="AL20:AM20"/>
    <mergeCell ref="AO20:AP20"/>
    <mergeCell ref="AR20:AS20"/>
    <mergeCell ref="AU20:AV20"/>
    <mergeCell ref="AX20:AY20"/>
    <mergeCell ref="BA20:BB20"/>
    <mergeCell ref="BD20:BE20"/>
    <mergeCell ref="BG20:BH20"/>
    <mergeCell ref="BJ20:BK20"/>
    <mergeCell ref="BM20:BN20"/>
    <mergeCell ref="BP20:BQ20"/>
    <mergeCell ref="BS20:BT20"/>
    <mergeCell ref="E21:F21"/>
    <mergeCell ref="H21:I21"/>
    <mergeCell ref="K21:L21"/>
    <mergeCell ref="N21:O21"/>
    <mergeCell ref="Q21:R21"/>
    <mergeCell ref="T21:U21"/>
    <mergeCell ref="W21:X21"/>
    <mergeCell ref="Z21:AA21"/>
    <mergeCell ref="AC21:AD21"/>
    <mergeCell ref="AF21:AG21"/>
    <mergeCell ref="AI21:AJ21"/>
    <mergeCell ref="AL21:AM21"/>
    <mergeCell ref="AO21:AP21"/>
    <mergeCell ref="AR21:AS21"/>
    <mergeCell ref="AU21:AV21"/>
    <mergeCell ref="AX21:AY21"/>
    <mergeCell ref="BA21:BB21"/>
    <mergeCell ref="BD21:BE21"/>
    <mergeCell ref="BG21:BH21"/>
    <mergeCell ref="BJ21:BK21"/>
    <mergeCell ref="BM21:BN21"/>
    <mergeCell ref="BP21:BQ21"/>
    <mergeCell ref="BS21:BT21"/>
    <mergeCell ref="E22:F22"/>
    <mergeCell ref="H22:I22"/>
    <mergeCell ref="K22:L22"/>
    <mergeCell ref="N22:O22"/>
    <mergeCell ref="Q22:R22"/>
    <mergeCell ref="T22:U22"/>
    <mergeCell ref="W22:X22"/>
    <mergeCell ref="Z22:AA22"/>
    <mergeCell ref="AC22:AD22"/>
    <mergeCell ref="AF22:AG22"/>
    <mergeCell ref="AI22:AJ22"/>
    <mergeCell ref="AL22:AM22"/>
    <mergeCell ref="AO22:AP22"/>
    <mergeCell ref="AR22:AS22"/>
    <mergeCell ref="AU22:AV22"/>
    <mergeCell ref="AX22:AY22"/>
    <mergeCell ref="BA22:BB22"/>
    <mergeCell ref="BD22:BE22"/>
    <mergeCell ref="BG22:BH22"/>
    <mergeCell ref="BJ22:BK22"/>
    <mergeCell ref="BM22:BN22"/>
    <mergeCell ref="BP22:BQ22"/>
    <mergeCell ref="BS22:BT22"/>
    <mergeCell ref="E23:F23"/>
    <mergeCell ref="H23:I23"/>
    <mergeCell ref="K23:L23"/>
    <mergeCell ref="N23:O23"/>
    <mergeCell ref="Q23:R23"/>
    <mergeCell ref="T23:U23"/>
    <mergeCell ref="W23:X23"/>
    <mergeCell ref="Z23:AA23"/>
    <mergeCell ref="AC23:AD23"/>
    <mergeCell ref="AF23:AG23"/>
    <mergeCell ref="AI23:AJ23"/>
    <mergeCell ref="AL23:AM23"/>
    <mergeCell ref="AO23:AP23"/>
    <mergeCell ref="AR23:AS23"/>
    <mergeCell ref="AU23:AV23"/>
    <mergeCell ref="AX23:AY23"/>
    <mergeCell ref="BA23:BB23"/>
    <mergeCell ref="BD23:BE23"/>
    <mergeCell ref="BG23:BH23"/>
    <mergeCell ref="BJ23:BK23"/>
    <mergeCell ref="BM23:BN23"/>
    <mergeCell ref="BP23:BQ23"/>
    <mergeCell ref="BS23:BT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0"/>
  <sheetViews>
    <sheetView workbookViewId="0" zoomScale="67" zoomScaleNormal="67">
      <pane xSplit="1" topLeftCell="BG1" activePane="topRight" state="frozen"/>
      <selection pane="topRight" activeCell="BW5" sqref="BW5"/>
    </sheetView>
  </sheetViews>
  <sheetFormatPr defaultRowHeight="15.6" outlineLevelRow="0" outlineLevelCol="0" x14ac:dyDescent="0.3" defaultColWidth="9.109375" customHeight="1"/>
  <cols>
    <col min="1" max="1" width="26.6640625" style="1" customWidth="1"/>
    <col min="2" max="2" width="4.77734375" style="2" customWidth="1"/>
    <col min="3" max="3" width="15.33203125" style="3" customWidth="1"/>
    <col min="4" max="5" width="4.77734375" style="3" customWidth="1"/>
    <col min="6" max="6" width="11.77734375" style="3" customWidth="1"/>
    <col min="7" max="8" width="4.77734375" style="3" customWidth="1"/>
    <col min="9" max="9" width="11.77734375" style="3" customWidth="1"/>
    <col min="10" max="11" width="4.77734375" style="3" customWidth="1"/>
    <col min="12" max="12" width="11.77734375" style="3" customWidth="1"/>
    <col min="13" max="14" width="4.77734375" style="3" customWidth="1"/>
    <col min="15" max="15" width="11.77734375" style="3" customWidth="1"/>
    <col min="16" max="17" width="4.77734375" style="3" customWidth="1"/>
    <col min="18" max="18" width="11.77734375" style="3" customWidth="1"/>
    <col min="19" max="20" width="4.77734375" style="3" customWidth="1"/>
    <col min="21" max="21" width="11.77734375" style="3" customWidth="1"/>
    <col min="22" max="23" width="4.77734375" style="3" customWidth="1"/>
    <col min="24" max="24" width="11.77734375" style="3" customWidth="1"/>
    <col min="25" max="26" width="4.77734375" style="3" customWidth="1"/>
    <col min="27" max="27" width="11.77734375" style="3" customWidth="1"/>
    <col min="28" max="29" width="4.77734375" style="3" customWidth="1"/>
    <col min="30" max="30" width="11.77734375" style="3" customWidth="1"/>
    <col min="31" max="32" width="4.77734375" style="3" customWidth="1"/>
    <col min="33" max="33" width="11.77734375" style="3" customWidth="1"/>
    <col min="34" max="35" width="4.77734375" style="3" customWidth="1"/>
    <col min="36" max="36" width="11.77734375" style="3" customWidth="1"/>
    <col min="37" max="37" width="4.77734375" style="3" customWidth="1"/>
    <col min="38" max="38" width="4.77734375" style="3" hidden="1" customWidth="1"/>
    <col min="39" max="39" width="11.77734375" style="3" hidden="1" customWidth="1"/>
    <col min="40" max="41" width="4.77734375" style="3" hidden="1" customWidth="1"/>
    <col min="42" max="42" width="11.77734375" style="3" hidden="1" customWidth="1"/>
    <col min="43" max="44" width="4.77734375" style="3" hidden="1" customWidth="1"/>
    <col min="45" max="45" width="11.77734375" style="3" hidden="1" customWidth="1"/>
    <col min="46" max="47" width="4.77734375" style="3" hidden="1" customWidth="1"/>
    <col min="48" max="48" width="11.77734375" style="3" hidden="1" customWidth="1"/>
    <col min="49" max="50" width="4.77734375" style="3" hidden="1" customWidth="1"/>
    <col min="51" max="51" width="11.77734375" style="3" hidden="1" customWidth="1"/>
    <col min="52" max="53" width="4.77734375" style="3" hidden="1" customWidth="1"/>
    <col min="54" max="54" width="11.77734375" style="3" hidden="1" customWidth="1"/>
    <col min="55" max="55" width="4.77734375" style="3" hidden="1" customWidth="1"/>
    <col min="56" max="56" width="4.77734375" style="3" customWidth="1"/>
    <col min="57" max="57" width="11.77734375" style="3" customWidth="1"/>
    <col min="58" max="59" width="4.77734375" style="3" customWidth="1"/>
    <col min="60" max="60" width="11.77734375" style="3" customWidth="1"/>
    <col min="61" max="62" width="4.77734375" style="3" customWidth="1"/>
    <col min="63" max="63" width="11.77734375" style="3" customWidth="1"/>
    <col min="64" max="65" width="4.77734375" style="3" customWidth="1"/>
    <col min="66" max="66" width="11.77734375" style="3" customWidth="1"/>
    <col min="67" max="68" width="4.77734375" style="3" customWidth="1"/>
    <col min="69" max="69" width="11.77734375" style="3" customWidth="1"/>
    <col min="70" max="71" width="4.77734375" style="3" customWidth="1"/>
    <col min="72" max="72" width="11.77734375" style="3" customWidth="1"/>
    <col min="73" max="73" width="9.109375" style="3" customWidth="1"/>
    <col min="74" max="74" width="9.109375" style="1" customWidth="1"/>
    <col min="75" max="75" width="14.5546875" style="4" customWidth="1"/>
    <col min="76" max="76" width="9.109375" style="4" customWidth="1"/>
    <col min="77" max="77" width="20.88671875" style="4" customWidth="1"/>
    <col min="78" max="80" width="13.77734375" style="1" customWidth="1"/>
    <col min="81" max="16384" width="9.109375" style="5" customWidth="1"/>
  </cols>
  <sheetData>
    <row r="1" ht="39.6" customHeight="1" spans="1:80" s="6" customFormat="1" x14ac:dyDescent="0.25">
      <c r="A1" s="7" t="s">
        <v>0</v>
      </c>
      <c r="B1" s="8"/>
      <c r="C1" s="9">
        <v>46202</v>
      </c>
      <c r="D1" s="10"/>
      <c r="E1" s="9">
        <f>C1+6</f>
        <v>46208</v>
      </c>
      <c r="F1" s="11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  <c r="S1" s="12"/>
      <c r="T1" s="13"/>
      <c r="U1" s="13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3"/>
      <c r="AY1" s="13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3"/>
      <c r="BQ1" s="13"/>
      <c r="BR1" s="12"/>
      <c r="BS1" s="13"/>
      <c r="BT1" s="13"/>
      <c r="BU1" s="4"/>
      <c r="BV1" s="4"/>
      <c r="BW1" s="4"/>
      <c r="BX1" s="4"/>
      <c r="BY1" s="4"/>
      <c r="BZ1" s="4"/>
      <c r="CA1" s="4"/>
      <c r="CB1" s="4"/>
    </row>
    <row r="2" ht="28.8" customHeight="1" spans="1:80" s="14" customFormat="1" x14ac:dyDescent="0.25">
      <c r="A2" s="15" t="s">
        <v>1</v>
      </c>
      <c r="B2" s="10"/>
      <c r="C2" s="16" t="s">
        <v>2</v>
      </c>
      <c r="D2" s="10"/>
      <c r="E2" s="17" t="s">
        <v>3</v>
      </c>
      <c r="F2" s="18"/>
      <c r="G2" s="10"/>
      <c r="H2" s="17" t="s">
        <v>4</v>
      </c>
      <c r="I2" s="18"/>
      <c r="J2" s="10"/>
      <c r="K2" s="19" t="s">
        <v>5</v>
      </c>
      <c r="L2" s="18"/>
      <c r="M2" s="10"/>
      <c r="N2" s="17" t="s">
        <v>6</v>
      </c>
      <c r="O2" s="18"/>
      <c r="P2" s="10"/>
      <c r="Q2" s="17" t="s">
        <v>7</v>
      </c>
      <c r="R2" s="18"/>
      <c r="S2" s="10"/>
      <c r="T2" s="17" t="s">
        <v>8</v>
      </c>
      <c r="U2" s="18"/>
      <c r="V2" s="10"/>
      <c r="W2" s="17" t="s">
        <v>9</v>
      </c>
      <c r="X2" s="18"/>
      <c r="Y2" s="10"/>
      <c r="Z2" s="17" t="s">
        <v>10</v>
      </c>
      <c r="AA2" s="18"/>
      <c r="AB2" s="10"/>
      <c r="AC2" s="17" t="s">
        <v>11</v>
      </c>
      <c r="AD2" s="18"/>
      <c r="AE2" s="10"/>
      <c r="AF2" s="17" t="s">
        <v>12</v>
      </c>
      <c r="AG2" s="18"/>
      <c r="AH2" s="10"/>
      <c r="AI2" s="17" t="s">
        <v>13</v>
      </c>
      <c r="AJ2" s="18"/>
      <c r="AK2" s="10"/>
      <c r="AL2" s="17" t="s">
        <v>14</v>
      </c>
      <c r="AM2" s="18"/>
      <c r="AN2" s="10"/>
      <c r="AO2" s="17" t="s">
        <v>15</v>
      </c>
      <c r="AP2" s="18"/>
      <c r="AQ2" s="10"/>
      <c r="AR2" s="17" t="s">
        <v>16</v>
      </c>
      <c r="AS2" s="18"/>
      <c r="AT2" s="10"/>
      <c r="AU2" s="17" t="s">
        <v>17</v>
      </c>
      <c r="AV2" s="18"/>
      <c r="AW2" s="10"/>
      <c r="AX2" s="17" t="s">
        <v>18</v>
      </c>
      <c r="AY2" s="18"/>
      <c r="AZ2" s="10"/>
      <c r="BA2" s="17" t="s">
        <v>19</v>
      </c>
      <c r="BB2" s="18"/>
      <c r="BC2" s="10"/>
      <c r="BD2" s="17" t="s">
        <v>20</v>
      </c>
      <c r="BE2" s="18"/>
      <c r="BF2" s="10"/>
      <c r="BG2" s="17" t="s">
        <v>21</v>
      </c>
      <c r="BH2" s="18"/>
      <c r="BI2" s="10"/>
      <c r="BJ2" s="17" t="s">
        <v>22</v>
      </c>
      <c r="BK2" s="18"/>
      <c r="BL2" s="10"/>
      <c r="BM2" s="17" t="s">
        <v>23</v>
      </c>
      <c r="BN2" s="18"/>
      <c r="BO2" s="10"/>
      <c r="BP2" s="17" t="s">
        <v>24</v>
      </c>
      <c r="BQ2" s="18"/>
      <c r="BR2" s="10"/>
      <c r="BS2" s="17" t="s">
        <v>25</v>
      </c>
      <c r="BT2" s="18"/>
      <c r="BU2" s="20"/>
      <c r="BV2" s="20"/>
      <c r="BW2" s="21" t="s">
        <v>26</v>
      </c>
      <c r="BX2" s="21"/>
      <c r="BY2" s="21"/>
      <c r="BZ2" s="20"/>
      <c r="CA2" s="20"/>
      <c r="CB2" s="20"/>
    </row>
    <row r="3" ht="28.95" customHeight="1" spans="1:77" x14ac:dyDescent="0.25">
      <c r="A3" s="22" t="s">
        <v>27</v>
      </c>
      <c r="B3" s="10"/>
      <c r="C3" s="23">
        <v>218.28</v>
      </c>
      <c r="D3" s="24"/>
      <c r="E3" s="25">
        <v>15</v>
      </c>
      <c r="F3" s="26">
        <f t="shared" ref="F3:F14" si="0">E3*C3</f>
        <v>3274.2</v>
      </c>
      <c r="G3" s="24"/>
      <c r="H3" s="25">
        <v>36</v>
      </c>
      <c r="I3" s="26">
        <f t="shared" ref="I3:I14" si="1">H3*C3</f>
        <v>7858.08</v>
      </c>
      <c r="J3" s="24"/>
      <c r="K3" s="25">
        <v>19</v>
      </c>
      <c r="L3" s="26">
        <f t="shared" ref="L3:L14" si="2">K3*C3</f>
        <v>4147.32</v>
      </c>
      <c r="M3" s="24"/>
      <c r="N3" s="25">
        <v>26</v>
      </c>
      <c r="O3" s="26">
        <f t="shared" ref="O3:O14" si="3">N3*C3</f>
        <v>5675.28</v>
      </c>
      <c r="P3" s="24"/>
      <c r="Q3" s="25">
        <v>14</v>
      </c>
      <c r="R3" s="26">
        <f t="shared" ref="R3:R14" si="4">Q3*C3</f>
        <v>3055.92</v>
      </c>
      <c r="S3" s="24"/>
      <c r="T3" s="25">
        <v>15</v>
      </c>
      <c r="U3" s="26">
        <f t="shared" ref="U3:U14" si="5">T3*C3</f>
        <v>3274.2</v>
      </c>
      <c r="V3" s="24"/>
      <c r="W3" s="25">
        <v>15</v>
      </c>
      <c r="X3" s="26">
        <f t="shared" ref="X3:X14" si="6">W3*C3</f>
        <v>3274.2</v>
      </c>
      <c r="Y3" s="24"/>
      <c r="Z3" s="25">
        <v>30</v>
      </c>
      <c r="AA3" s="26">
        <f t="shared" ref="AA3:AA14" si="7">Z3*C3</f>
        <v>6548.4</v>
      </c>
      <c r="AB3" s="24"/>
      <c r="AC3" s="25">
        <v>17</v>
      </c>
      <c r="AD3" s="26">
        <f t="shared" ref="AD3:AD14" si="8">AC3*C3</f>
        <v>3710.76</v>
      </c>
      <c r="AE3" s="24"/>
      <c r="AF3" s="25">
        <v>9</v>
      </c>
      <c r="AG3" s="26">
        <f t="shared" ref="AG3:AG14" si="9">AF3*C3</f>
        <v>1964.52</v>
      </c>
      <c r="AH3" s="24"/>
      <c r="AI3" s="25">
        <v>18</v>
      </c>
      <c r="AJ3" s="26">
        <f t="shared" ref="AJ3:AJ14" si="10">AI3*C3</f>
        <v>3929.04</v>
      </c>
      <c r="AK3" s="24"/>
      <c r="AL3" s="25"/>
      <c r="AM3" s="26"/>
      <c r="AN3" s="24"/>
      <c r="AO3" s="25"/>
      <c r="AP3" s="26"/>
      <c r="AQ3" s="24"/>
      <c r="AR3" s="25"/>
      <c r="AS3" s="26"/>
      <c r="AT3" s="24"/>
      <c r="AU3" s="25"/>
      <c r="AV3" s="26"/>
      <c r="AW3" s="24"/>
      <c r="AX3" s="25"/>
      <c r="AY3" s="26"/>
      <c r="AZ3" s="24"/>
      <c r="BA3" s="25"/>
      <c r="BB3" s="26"/>
      <c r="BC3" s="24"/>
      <c r="BD3" s="25">
        <v>6</v>
      </c>
      <c r="BE3" s="26">
        <f t="shared" ref="BE3:BE14" si="11">BD3*C3</f>
        <v>1309.68</v>
      </c>
      <c r="BF3" s="24"/>
      <c r="BG3" s="25">
        <v>10</v>
      </c>
      <c r="BH3" s="26">
        <f t="shared" ref="BH3:BH14" si="12">BG3*C3</f>
        <v>2182.8</v>
      </c>
      <c r="BI3" s="24"/>
      <c r="BJ3" s="25"/>
      <c r="BK3" s="26">
        <f t="shared" ref="BK3:BK14" si="13">BJ3*C3</f>
        <v>0</v>
      </c>
      <c r="BL3" s="24"/>
      <c r="BM3" s="25"/>
      <c r="BN3" s="26">
        <f t="shared" ref="BN3:BN14" si="14">BM3*C3</f>
        <v>0</v>
      </c>
      <c r="BO3" s="24"/>
      <c r="BP3" s="25"/>
      <c r="BQ3" s="26">
        <f t="shared" ref="BQ3:BQ14" si="15">BP3*C3</f>
        <v>0</v>
      </c>
      <c r="BR3" s="24"/>
      <c r="BS3" s="25"/>
      <c r="BT3" s="26">
        <f t="shared" ref="BT3:BT14" si="16">BS3*C3</f>
        <v>0</v>
      </c>
      <c r="BU3" s="24"/>
      <c r="BW3" s="27">
        <v>98497.43817380186</v>
      </c>
      <c r="BX3" s="1"/>
      <c r="BY3" s="1" t="s">
        <v>28</v>
      </c>
    </row>
    <row r="4" ht="28.95" customHeight="1" spans="1:77" x14ac:dyDescent="0.25">
      <c r="A4" s="28" t="s">
        <v>29</v>
      </c>
      <c r="B4" s="10"/>
      <c r="C4" s="23">
        <v>36.1</v>
      </c>
      <c r="D4" s="24"/>
      <c r="E4" s="25">
        <v>9</v>
      </c>
      <c r="F4" s="26">
        <f t="shared" si="0"/>
        <v>324.90000000000003</v>
      </c>
      <c r="G4" s="24"/>
      <c r="H4" s="25">
        <v>19</v>
      </c>
      <c r="I4" s="26">
        <f t="shared" si="1"/>
        <v>685.9</v>
      </c>
      <c r="J4" s="24"/>
      <c r="K4" s="25">
        <v>11</v>
      </c>
      <c r="L4" s="26">
        <f t="shared" si="2"/>
        <v>397.1</v>
      </c>
      <c r="M4" s="24"/>
      <c r="N4" s="25">
        <v>12</v>
      </c>
      <c r="O4" s="26">
        <f t="shared" si="3"/>
        <v>433.20000000000005</v>
      </c>
      <c r="P4" s="24"/>
      <c r="Q4" s="25">
        <v>4</v>
      </c>
      <c r="R4" s="26">
        <f t="shared" si="4"/>
        <v>144.4</v>
      </c>
      <c r="S4" s="24"/>
      <c r="T4" s="25">
        <v>8</v>
      </c>
      <c r="U4" s="26">
        <f t="shared" si="5"/>
        <v>288.8</v>
      </c>
      <c r="V4" s="24"/>
      <c r="W4" s="25">
        <v>6</v>
      </c>
      <c r="X4" s="26">
        <f t="shared" si="6"/>
        <v>216.60000000000002</v>
      </c>
      <c r="Y4" s="24"/>
      <c r="Z4" s="25">
        <v>11</v>
      </c>
      <c r="AA4" s="26">
        <f t="shared" si="7"/>
        <v>397.1</v>
      </c>
      <c r="AB4" s="24"/>
      <c r="AC4" s="25">
        <v>13</v>
      </c>
      <c r="AD4" s="26">
        <f t="shared" si="8"/>
        <v>469.3</v>
      </c>
      <c r="AE4" s="24"/>
      <c r="AF4" s="25">
        <v>7</v>
      </c>
      <c r="AG4" s="26">
        <f t="shared" si="9"/>
        <v>252.70000000000002</v>
      </c>
      <c r="AH4" s="24"/>
      <c r="AI4" s="25">
        <v>8</v>
      </c>
      <c r="AJ4" s="26">
        <f t="shared" si="10"/>
        <v>288.8</v>
      </c>
      <c r="AK4" s="24"/>
      <c r="AL4" s="25"/>
      <c r="AM4" s="26"/>
      <c r="AN4" s="24"/>
      <c r="AO4" s="25"/>
      <c r="AP4" s="26"/>
      <c r="AQ4" s="24"/>
      <c r="AR4" s="25"/>
      <c r="AS4" s="26"/>
      <c r="AT4" s="24"/>
      <c r="AU4" s="25"/>
      <c r="AV4" s="26"/>
      <c r="AW4" s="24"/>
      <c r="AX4" s="25"/>
      <c r="AY4" s="26"/>
      <c r="AZ4" s="24"/>
      <c r="BA4" s="25"/>
      <c r="BB4" s="26"/>
      <c r="BC4" s="24"/>
      <c r="BD4" s="25">
        <v>1</v>
      </c>
      <c r="BE4" s="26">
        <f t="shared" si="11"/>
        <v>36.1</v>
      </c>
      <c r="BF4" s="24"/>
      <c r="BG4" s="25"/>
      <c r="BH4" s="26">
        <f t="shared" si="12"/>
        <v>0</v>
      </c>
      <c r="BI4" s="24"/>
      <c r="BJ4" s="25"/>
      <c r="BK4" s="26">
        <f t="shared" si="13"/>
        <v>0</v>
      </c>
      <c r="BL4" s="24"/>
      <c r="BM4" s="25"/>
      <c r="BN4" s="26">
        <f t="shared" si="14"/>
        <v>0</v>
      </c>
      <c r="BO4" s="24"/>
      <c r="BP4" s="25"/>
      <c r="BQ4" s="26">
        <f t="shared" si="15"/>
        <v>0</v>
      </c>
      <c r="BR4" s="24"/>
      <c r="BS4" s="25"/>
      <c r="BT4" s="26">
        <f t="shared" si="16"/>
        <v>0</v>
      </c>
      <c r="BU4" s="24"/>
      <c r="BW4" s="27">
        <v>12633.68</v>
      </c>
      <c r="BX4" s="1"/>
      <c r="BY4" s="1" t="s">
        <v>30</v>
      </c>
    </row>
    <row r="5" ht="28.8" customHeight="1" spans="1:77" x14ac:dyDescent="0.25">
      <c r="A5" s="29" t="s">
        <v>31</v>
      </c>
      <c r="B5" s="10"/>
      <c r="C5" s="23">
        <v>54.37</v>
      </c>
      <c r="D5" s="24"/>
      <c r="E5" s="25">
        <v>5</v>
      </c>
      <c r="F5" s="26">
        <f t="shared" si="0"/>
        <v>271.84999999999997</v>
      </c>
      <c r="G5" s="24"/>
      <c r="H5" s="25">
        <v>14</v>
      </c>
      <c r="I5" s="26">
        <f t="shared" si="1"/>
        <v>761.18</v>
      </c>
      <c r="J5" s="24"/>
      <c r="K5" s="25">
        <v>12</v>
      </c>
      <c r="L5" s="26">
        <f t="shared" si="2"/>
        <v>652.4399999999999</v>
      </c>
      <c r="M5" s="24"/>
      <c r="N5" s="25">
        <v>15</v>
      </c>
      <c r="O5" s="26">
        <f t="shared" si="3"/>
        <v>815.55</v>
      </c>
      <c r="P5" s="24"/>
      <c r="Q5" s="25">
        <v>5</v>
      </c>
      <c r="R5" s="26">
        <f t="shared" si="4"/>
        <v>271.84999999999997</v>
      </c>
      <c r="S5" s="24"/>
      <c r="T5" s="25">
        <v>9</v>
      </c>
      <c r="U5" s="26">
        <f t="shared" si="5"/>
        <v>489.33</v>
      </c>
      <c r="V5" s="24"/>
      <c r="W5" s="25">
        <v>8</v>
      </c>
      <c r="X5" s="26">
        <f t="shared" si="6"/>
        <v>434.96</v>
      </c>
      <c r="Y5" s="24"/>
      <c r="Z5" s="25">
        <v>8</v>
      </c>
      <c r="AA5" s="26">
        <f t="shared" si="7"/>
        <v>434.96</v>
      </c>
      <c r="AB5" s="24"/>
      <c r="AC5" s="25">
        <v>9</v>
      </c>
      <c r="AD5" s="26">
        <f t="shared" si="8"/>
        <v>489.33</v>
      </c>
      <c r="AE5" s="24"/>
      <c r="AF5" s="25">
        <v>8</v>
      </c>
      <c r="AG5" s="26">
        <f t="shared" si="9"/>
        <v>434.96</v>
      </c>
      <c r="AH5" s="24"/>
      <c r="AI5" s="25">
        <v>11</v>
      </c>
      <c r="AJ5" s="26">
        <f t="shared" si="10"/>
        <v>598.0699999999999</v>
      </c>
      <c r="AK5" s="24"/>
      <c r="AL5" s="25"/>
      <c r="AM5" s="26"/>
      <c r="AN5" s="24"/>
      <c r="AO5" s="25"/>
      <c r="AP5" s="26"/>
      <c r="AQ5" s="24"/>
      <c r="AR5" s="25"/>
      <c r="AS5" s="26"/>
      <c r="AT5" s="24"/>
      <c r="AU5" s="25"/>
      <c r="AV5" s="26"/>
      <c r="AW5" s="24"/>
      <c r="AX5" s="25"/>
      <c r="AY5" s="26"/>
      <c r="AZ5" s="24"/>
      <c r="BA5" s="25"/>
      <c r="BB5" s="26"/>
      <c r="BC5" s="24"/>
      <c r="BD5" s="25">
        <v>3</v>
      </c>
      <c r="BE5" s="26">
        <f t="shared" si="11"/>
        <v>163.10999999999999</v>
      </c>
      <c r="BF5" s="24"/>
      <c r="BG5" s="25">
        <v>3</v>
      </c>
      <c r="BH5" s="26">
        <f t="shared" si="12"/>
        <v>163.10999999999999</v>
      </c>
      <c r="BI5" s="24"/>
      <c r="BJ5" s="25">
        <v>12</v>
      </c>
      <c r="BK5" s="26">
        <f t="shared" si="13"/>
        <v>652.4399999999999</v>
      </c>
      <c r="BL5" s="24"/>
      <c r="BM5" s="25">
        <v>8</v>
      </c>
      <c r="BN5" s="26">
        <f t="shared" si="14"/>
        <v>434.96</v>
      </c>
      <c r="BO5" s="24"/>
      <c r="BP5" s="25">
        <v>7</v>
      </c>
      <c r="BQ5" s="26">
        <f t="shared" si="15"/>
        <v>380.59</v>
      </c>
      <c r="BR5" s="24"/>
      <c r="BS5" s="25"/>
      <c r="BT5" s="26">
        <f t="shared" si="16"/>
        <v>0</v>
      </c>
      <c r="BU5" s="24"/>
      <c r="BW5" s="27">
        <v>254984.26500000004</v>
      </c>
      <c r="BX5" s="1"/>
      <c r="BY5" s="1" t="s">
        <v>32</v>
      </c>
    </row>
    <row r="6" ht="28.95" customHeight="1" spans="1:77" x14ac:dyDescent="0.25">
      <c r="A6" s="29" t="s">
        <v>33</v>
      </c>
      <c r="B6" s="10"/>
      <c r="C6" s="23">
        <v>215.48</v>
      </c>
      <c r="D6" s="24"/>
      <c r="E6" s="25">
        <v>2</v>
      </c>
      <c r="F6" s="26">
        <f t="shared" si="0"/>
        <v>430.96</v>
      </c>
      <c r="G6" s="24"/>
      <c r="H6" s="25">
        <v>4</v>
      </c>
      <c r="I6" s="26">
        <f t="shared" si="1"/>
        <v>861.92</v>
      </c>
      <c r="J6" s="24"/>
      <c r="K6" s="25">
        <v>3</v>
      </c>
      <c r="L6" s="26">
        <f t="shared" si="2"/>
        <v>646.4399999999999</v>
      </c>
      <c r="M6" s="24"/>
      <c r="N6" s="25">
        <v>3</v>
      </c>
      <c r="O6" s="26">
        <f t="shared" si="3"/>
        <v>646.4399999999999</v>
      </c>
      <c r="P6" s="24"/>
      <c r="Q6" s="25">
        <v>1</v>
      </c>
      <c r="R6" s="26">
        <f t="shared" si="4"/>
        <v>215.48</v>
      </c>
      <c r="S6" s="24"/>
      <c r="T6" s="25">
        <v>2</v>
      </c>
      <c r="U6" s="26">
        <f t="shared" si="5"/>
        <v>430.96</v>
      </c>
      <c r="V6" s="24"/>
      <c r="W6" s="25">
        <v>2</v>
      </c>
      <c r="X6" s="26">
        <f t="shared" si="6"/>
        <v>430.96</v>
      </c>
      <c r="Y6" s="24"/>
      <c r="Z6" s="25">
        <v>4</v>
      </c>
      <c r="AA6" s="26">
        <f t="shared" si="7"/>
        <v>861.92</v>
      </c>
      <c r="AB6" s="24"/>
      <c r="AC6" s="25">
        <v>2</v>
      </c>
      <c r="AD6" s="26">
        <f t="shared" si="8"/>
        <v>430.96</v>
      </c>
      <c r="AE6" s="24"/>
      <c r="AF6" s="25">
        <v>1</v>
      </c>
      <c r="AG6" s="26">
        <f t="shared" si="9"/>
        <v>215.48</v>
      </c>
      <c r="AH6" s="24"/>
      <c r="AI6" s="25">
        <v>2</v>
      </c>
      <c r="AJ6" s="26">
        <f t="shared" si="10"/>
        <v>430.96</v>
      </c>
      <c r="AK6" s="24"/>
      <c r="AL6" s="25"/>
      <c r="AM6" s="26"/>
      <c r="AN6" s="24"/>
      <c r="AO6" s="25"/>
      <c r="AP6" s="26"/>
      <c r="AQ6" s="24"/>
      <c r="AR6" s="25"/>
      <c r="AS6" s="26"/>
      <c r="AT6" s="24"/>
      <c r="AU6" s="25"/>
      <c r="AV6" s="26"/>
      <c r="AW6" s="24"/>
      <c r="AX6" s="25"/>
      <c r="AY6" s="26"/>
      <c r="AZ6" s="24"/>
      <c r="BA6" s="25"/>
      <c r="BB6" s="26"/>
      <c r="BC6" s="24"/>
      <c r="BD6" s="25"/>
      <c r="BE6" s="26">
        <f t="shared" si="11"/>
        <v>0</v>
      </c>
      <c r="BF6" s="24"/>
      <c r="BG6" s="25">
        <v>1</v>
      </c>
      <c r="BH6" s="26">
        <f t="shared" si="12"/>
        <v>215.48</v>
      </c>
      <c r="BI6" s="24"/>
      <c r="BJ6" s="25">
        <v>4</v>
      </c>
      <c r="BK6" s="26">
        <f t="shared" si="13"/>
        <v>861.92</v>
      </c>
      <c r="BL6" s="24"/>
      <c r="BM6" s="25"/>
      <c r="BN6" s="26">
        <f t="shared" si="14"/>
        <v>0</v>
      </c>
      <c r="BO6" s="24"/>
      <c r="BP6" s="25">
        <v>4</v>
      </c>
      <c r="BQ6" s="26">
        <f t="shared" si="15"/>
        <v>861.92</v>
      </c>
      <c r="BR6" s="24"/>
      <c r="BS6" s="25"/>
      <c r="BT6" s="26">
        <f t="shared" si="16"/>
        <v>0</v>
      </c>
      <c r="BU6" s="24"/>
      <c r="BW6" s="27">
        <v>106319.88000000002</v>
      </c>
      <c r="BX6" s="1"/>
      <c r="BY6" s="1" t="s">
        <v>59</v>
      </c>
    </row>
    <row r="7" ht="28.95" customHeight="1" spans="1:77" x14ac:dyDescent="0.25">
      <c r="A7" s="29" t="s">
        <v>35</v>
      </c>
      <c r="B7" s="10"/>
      <c r="C7" s="23">
        <v>215.48</v>
      </c>
      <c r="D7" s="24"/>
      <c r="E7" s="25"/>
      <c r="F7" s="26">
        <f t="shared" si="0"/>
        <v>0</v>
      </c>
      <c r="G7" s="24"/>
      <c r="H7" s="25">
        <v>2</v>
      </c>
      <c r="I7" s="26">
        <f t="shared" si="1"/>
        <v>430.96</v>
      </c>
      <c r="J7" s="24"/>
      <c r="K7" s="25">
        <v>2</v>
      </c>
      <c r="L7" s="26">
        <f t="shared" si="2"/>
        <v>430.96</v>
      </c>
      <c r="M7" s="24"/>
      <c r="N7" s="25">
        <v>2</v>
      </c>
      <c r="O7" s="26">
        <f t="shared" si="3"/>
        <v>430.96</v>
      </c>
      <c r="P7" s="24"/>
      <c r="Q7" s="25">
        <v>0.5</v>
      </c>
      <c r="R7" s="26">
        <f t="shared" si="4"/>
        <v>107.74</v>
      </c>
      <c r="S7" s="24"/>
      <c r="T7" s="25"/>
      <c r="U7" s="26">
        <f t="shared" si="5"/>
        <v>0</v>
      </c>
      <c r="V7" s="24"/>
      <c r="W7" s="25">
        <v>0.5</v>
      </c>
      <c r="X7" s="26">
        <f t="shared" si="6"/>
        <v>107.74</v>
      </c>
      <c r="Y7" s="24"/>
      <c r="Z7" s="25">
        <v>1</v>
      </c>
      <c r="AA7" s="26">
        <f t="shared" si="7"/>
        <v>215.48</v>
      </c>
      <c r="AB7" s="24"/>
      <c r="AC7" s="25">
        <v>1</v>
      </c>
      <c r="AD7" s="26">
        <f t="shared" si="8"/>
        <v>215.48</v>
      </c>
      <c r="AE7" s="24"/>
      <c r="AF7" s="25"/>
      <c r="AG7" s="26">
        <f t="shared" si="9"/>
        <v>0</v>
      </c>
      <c r="AH7" s="24"/>
      <c r="AI7" s="25"/>
      <c r="AJ7" s="26">
        <f t="shared" si="10"/>
        <v>0</v>
      </c>
      <c r="AK7" s="24"/>
      <c r="AL7" s="25"/>
      <c r="AM7" s="26"/>
      <c r="AN7" s="24"/>
      <c r="AO7" s="25"/>
      <c r="AP7" s="26"/>
      <c r="AQ7" s="24"/>
      <c r="AR7" s="25"/>
      <c r="AS7" s="26"/>
      <c r="AT7" s="24"/>
      <c r="AU7" s="25"/>
      <c r="AV7" s="26"/>
      <c r="AW7" s="24"/>
      <c r="AX7" s="25"/>
      <c r="AY7" s="26"/>
      <c r="AZ7" s="24"/>
      <c r="BA7" s="25"/>
      <c r="BB7" s="26"/>
      <c r="BC7" s="24"/>
      <c r="BD7" s="25"/>
      <c r="BE7" s="26">
        <f t="shared" si="11"/>
        <v>0</v>
      </c>
      <c r="BF7" s="24"/>
      <c r="BG7" s="25"/>
      <c r="BH7" s="26">
        <f t="shared" si="12"/>
        <v>0</v>
      </c>
      <c r="BI7" s="24"/>
      <c r="BJ7" s="25"/>
      <c r="BK7" s="26">
        <f t="shared" si="13"/>
        <v>0</v>
      </c>
      <c r="BL7" s="24"/>
      <c r="BM7" s="25"/>
      <c r="BN7" s="26">
        <f t="shared" si="14"/>
        <v>0</v>
      </c>
      <c r="BO7" s="24"/>
      <c r="BP7" s="25"/>
      <c r="BQ7" s="26">
        <f t="shared" si="15"/>
        <v>0</v>
      </c>
      <c r="BR7" s="24"/>
      <c r="BS7" s="25"/>
      <c r="BT7" s="26">
        <f t="shared" si="16"/>
        <v>0</v>
      </c>
      <c r="BU7" s="24"/>
      <c r="BW7" s="27">
        <v>99877.375</v>
      </c>
      <c r="BX7" s="1"/>
      <c r="BY7" s="1" t="s">
        <v>34</v>
      </c>
    </row>
    <row r="8" ht="28.95" customHeight="1" spans="1:77" x14ac:dyDescent="0.25">
      <c r="A8" s="28" t="s">
        <v>37</v>
      </c>
      <c r="B8" s="10"/>
      <c r="C8" s="23">
        <v>142.25</v>
      </c>
      <c r="D8" s="24"/>
      <c r="E8" s="25"/>
      <c r="F8" s="26">
        <f t="shared" si="0"/>
        <v>0</v>
      </c>
      <c r="G8" s="24"/>
      <c r="H8" s="25"/>
      <c r="I8" s="26">
        <f t="shared" si="1"/>
        <v>0</v>
      </c>
      <c r="J8" s="24"/>
      <c r="K8" s="25">
        <v>1</v>
      </c>
      <c r="L8" s="26">
        <f t="shared" si="2"/>
        <v>142.25</v>
      </c>
      <c r="M8" s="24"/>
      <c r="N8" s="25"/>
      <c r="O8" s="26">
        <f t="shared" si="3"/>
        <v>0</v>
      </c>
      <c r="P8" s="24"/>
      <c r="Q8" s="25"/>
      <c r="R8" s="26">
        <f t="shared" si="4"/>
        <v>0</v>
      </c>
      <c r="S8" s="24"/>
      <c r="T8" s="25">
        <v>1</v>
      </c>
      <c r="U8" s="26">
        <f t="shared" si="5"/>
        <v>142.25</v>
      </c>
      <c r="V8" s="24"/>
      <c r="W8" s="25"/>
      <c r="X8" s="26">
        <f t="shared" si="6"/>
        <v>0</v>
      </c>
      <c r="Y8" s="24"/>
      <c r="Z8" s="25"/>
      <c r="AA8" s="26">
        <f t="shared" si="7"/>
        <v>0</v>
      </c>
      <c r="AB8" s="24"/>
      <c r="AC8" s="25"/>
      <c r="AD8" s="26">
        <f t="shared" si="8"/>
        <v>0</v>
      </c>
      <c r="AE8" s="24"/>
      <c r="AF8" s="25"/>
      <c r="AG8" s="26">
        <f t="shared" si="9"/>
        <v>0</v>
      </c>
      <c r="AH8" s="24"/>
      <c r="AI8" s="25"/>
      <c r="AJ8" s="26">
        <f t="shared" si="10"/>
        <v>0</v>
      </c>
      <c r="AK8" s="24"/>
      <c r="AL8" s="25"/>
      <c r="AM8" s="26"/>
      <c r="AN8" s="24"/>
      <c r="AO8" s="25"/>
      <c r="AP8" s="26"/>
      <c r="AQ8" s="24"/>
      <c r="AR8" s="25"/>
      <c r="AS8" s="26"/>
      <c r="AT8" s="24"/>
      <c r="AU8" s="25"/>
      <c r="AV8" s="26"/>
      <c r="AW8" s="24"/>
      <c r="AX8" s="25"/>
      <c r="AY8" s="26"/>
      <c r="AZ8" s="24"/>
      <c r="BA8" s="25"/>
      <c r="BB8" s="26"/>
      <c r="BC8" s="24"/>
      <c r="BD8" s="25"/>
      <c r="BE8" s="26">
        <f t="shared" si="11"/>
        <v>0</v>
      </c>
      <c r="BF8" s="24"/>
      <c r="BG8" s="25"/>
      <c r="BH8" s="26">
        <f t="shared" si="12"/>
        <v>0</v>
      </c>
      <c r="BI8" s="24"/>
      <c r="BJ8" s="25">
        <v>1</v>
      </c>
      <c r="BK8" s="26">
        <f t="shared" si="13"/>
        <v>142.25</v>
      </c>
      <c r="BL8" s="24"/>
      <c r="BM8" s="25"/>
      <c r="BN8" s="26">
        <f t="shared" si="14"/>
        <v>0</v>
      </c>
      <c r="BO8" s="24"/>
      <c r="BP8" s="25"/>
      <c r="BQ8" s="26">
        <f t="shared" si="15"/>
        <v>0</v>
      </c>
      <c r="BR8" s="24"/>
      <c r="BS8" s="25"/>
      <c r="BT8" s="26">
        <f t="shared" si="16"/>
        <v>0</v>
      </c>
      <c r="BU8" s="24"/>
      <c r="BW8" s="27">
        <f>BW23</f>
        <v>92922.24</v>
      </c>
      <c r="BX8" s="1"/>
      <c r="BY8" s="1" t="s">
        <v>36</v>
      </c>
    </row>
    <row r="9" ht="28.95" customHeight="1" spans="1:77" x14ac:dyDescent="0.25">
      <c r="A9" s="30" t="s">
        <v>39</v>
      </c>
      <c r="B9" s="31"/>
      <c r="C9" s="32">
        <v>91</v>
      </c>
      <c r="D9" s="33"/>
      <c r="E9" s="25"/>
      <c r="F9" s="26">
        <f t="shared" si="0"/>
        <v>0</v>
      </c>
      <c r="G9" s="24"/>
      <c r="H9" s="25"/>
      <c r="I9" s="26">
        <f t="shared" si="1"/>
        <v>0</v>
      </c>
      <c r="J9" s="24"/>
      <c r="K9" s="25"/>
      <c r="L9" s="26">
        <f t="shared" si="2"/>
        <v>0</v>
      </c>
      <c r="M9" s="24"/>
      <c r="N9" s="25"/>
      <c r="O9" s="26">
        <f t="shared" si="3"/>
        <v>0</v>
      </c>
      <c r="P9" s="24"/>
      <c r="Q9" s="25"/>
      <c r="R9" s="26">
        <f t="shared" si="4"/>
        <v>0</v>
      </c>
      <c r="S9" s="24"/>
      <c r="T9" s="25"/>
      <c r="U9" s="26">
        <f t="shared" si="5"/>
        <v>0</v>
      </c>
      <c r="V9" s="24"/>
      <c r="W9" s="25"/>
      <c r="X9" s="26">
        <f t="shared" si="6"/>
        <v>0</v>
      </c>
      <c r="Y9" s="24"/>
      <c r="Z9" s="25">
        <v>1</v>
      </c>
      <c r="AA9" s="26">
        <f t="shared" si="7"/>
        <v>91</v>
      </c>
      <c r="AB9" s="24"/>
      <c r="AC9" s="25"/>
      <c r="AD9" s="26">
        <f t="shared" si="8"/>
        <v>0</v>
      </c>
      <c r="AE9" s="24"/>
      <c r="AF9" s="25"/>
      <c r="AG9" s="26">
        <f t="shared" si="9"/>
        <v>0</v>
      </c>
      <c r="AH9" s="24"/>
      <c r="AI9" s="25">
        <v>1</v>
      </c>
      <c r="AJ9" s="26">
        <f t="shared" si="10"/>
        <v>91</v>
      </c>
      <c r="AK9" s="24"/>
      <c r="AL9" s="25"/>
      <c r="AM9" s="26"/>
      <c r="AN9" s="24"/>
      <c r="AO9" s="25"/>
      <c r="AP9" s="26"/>
      <c r="AQ9" s="24"/>
      <c r="AR9" s="25"/>
      <c r="AS9" s="26"/>
      <c r="AT9" s="24"/>
      <c r="AU9" s="25"/>
      <c r="AV9" s="26"/>
      <c r="AW9" s="24"/>
      <c r="AX9" s="25"/>
      <c r="AY9" s="26"/>
      <c r="AZ9" s="24"/>
      <c r="BA9" s="25"/>
      <c r="BB9" s="26"/>
      <c r="BC9" s="24"/>
      <c r="BD9" s="25"/>
      <c r="BE9" s="26">
        <f t="shared" si="11"/>
        <v>0</v>
      </c>
      <c r="BF9" s="24"/>
      <c r="BG9" s="25"/>
      <c r="BH9" s="26">
        <f t="shared" si="12"/>
        <v>0</v>
      </c>
      <c r="BI9" s="24"/>
      <c r="BJ9" s="25"/>
      <c r="BK9" s="26">
        <f t="shared" si="13"/>
        <v>0</v>
      </c>
      <c r="BL9" s="24"/>
      <c r="BM9" s="25"/>
      <c r="BN9" s="26">
        <f t="shared" si="14"/>
        <v>0</v>
      </c>
      <c r="BO9" s="24"/>
      <c r="BP9" s="25"/>
      <c r="BQ9" s="26">
        <f t="shared" si="15"/>
        <v>0</v>
      </c>
      <c r="BR9" s="24"/>
      <c r="BS9" s="25"/>
      <c r="BT9" s="26">
        <f t="shared" si="16"/>
        <v>0</v>
      </c>
      <c r="BU9" s="24"/>
      <c r="BW9" s="34">
        <f>SUM(BW3:BW8)</f>
        <v>665234.8781738019</v>
      </c>
      <c r="BX9" s="20"/>
      <c r="BY9" s="35" t="s">
        <v>40</v>
      </c>
    </row>
    <row r="10" ht="28.95" customHeight="1" spans="1:73" x14ac:dyDescent="0.25">
      <c r="A10" s="30" t="s">
        <v>41</v>
      </c>
      <c r="B10" s="10"/>
      <c r="C10" s="32">
        <v>91</v>
      </c>
      <c r="D10" s="24"/>
      <c r="E10" s="25">
        <v>1</v>
      </c>
      <c r="F10" s="26">
        <f t="shared" si="0"/>
        <v>91</v>
      </c>
      <c r="G10" s="24"/>
      <c r="H10" s="25">
        <v>1</v>
      </c>
      <c r="I10" s="26">
        <f t="shared" si="1"/>
        <v>91</v>
      </c>
      <c r="J10" s="24"/>
      <c r="K10" s="25"/>
      <c r="L10" s="26">
        <f t="shared" si="2"/>
        <v>0</v>
      </c>
      <c r="M10" s="24"/>
      <c r="N10" s="25"/>
      <c r="O10" s="26">
        <f t="shared" si="3"/>
        <v>0</v>
      </c>
      <c r="P10" s="24"/>
      <c r="Q10" s="25"/>
      <c r="R10" s="26">
        <f t="shared" si="4"/>
        <v>0</v>
      </c>
      <c r="S10" s="24"/>
      <c r="T10" s="25"/>
      <c r="U10" s="26">
        <f t="shared" si="5"/>
        <v>0</v>
      </c>
      <c r="V10" s="24"/>
      <c r="W10" s="25"/>
      <c r="X10" s="26">
        <f t="shared" si="6"/>
        <v>0</v>
      </c>
      <c r="Y10" s="24"/>
      <c r="Z10" s="25">
        <v>1</v>
      </c>
      <c r="AA10" s="26">
        <f t="shared" si="7"/>
        <v>91</v>
      </c>
      <c r="AB10" s="24"/>
      <c r="AC10" s="25"/>
      <c r="AD10" s="26">
        <f t="shared" si="8"/>
        <v>0</v>
      </c>
      <c r="AE10" s="24"/>
      <c r="AF10" s="25"/>
      <c r="AG10" s="26">
        <f t="shared" si="9"/>
        <v>0</v>
      </c>
      <c r="AH10" s="24"/>
      <c r="AI10" s="25"/>
      <c r="AJ10" s="26">
        <f t="shared" si="10"/>
        <v>0</v>
      </c>
      <c r="AK10" s="24"/>
      <c r="AL10" s="25"/>
      <c r="AM10" s="26"/>
      <c r="AN10" s="24"/>
      <c r="AO10" s="25"/>
      <c r="AP10" s="26"/>
      <c r="AQ10" s="24"/>
      <c r="AR10" s="25"/>
      <c r="AS10" s="26"/>
      <c r="AT10" s="24"/>
      <c r="AU10" s="25"/>
      <c r="AV10" s="26"/>
      <c r="AW10" s="24"/>
      <c r="AX10" s="25"/>
      <c r="AY10" s="26"/>
      <c r="AZ10" s="24"/>
      <c r="BA10" s="25"/>
      <c r="BB10" s="26"/>
      <c r="BC10" s="24"/>
      <c r="BD10" s="25"/>
      <c r="BE10" s="26">
        <f t="shared" si="11"/>
        <v>0</v>
      </c>
      <c r="BF10" s="24"/>
      <c r="BG10" s="25">
        <v>1</v>
      </c>
      <c r="BH10" s="26">
        <f t="shared" si="12"/>
        <v>91</v>
      </c>
      <c r="BI10" s="24"/>
      <c r="BJ10" s="25">
        <v>1</v>
      </c>
      <c r="BK10" s="26">
        <f t="shared" si="13"/>
        <v>91</v>
      </c>
      <c r="BL10" s="24"/>
      <c r="BM10" s="25">
        <v>2</v>
      </c>
      <c r="BN10" s="26">
        <f t="shared" si="14"/>
        <v>182</v>
      </c>
      <c r="BO10" s="24"/>
      <c r="BP10" s="25">
        <v>1</v>
      </c>
      <c r="BQ10" s="26">
        <f t="shared" si="15"/>
        <v>91</v>
      </c>
      <c r="BR10" s="24"/>
      <c r="BS10" s="25"/>
      <c r="BT10" s="26">
        <f t="shared" si="16"/>
        <v>0</v>
      </c>
      <c r="BU10" s="24"/>
    </row>
    <row r="11" ht="28.95" customHeight="1" spans="1:79" x14ac:dyDescent="0.25">
      <c r="A11" s="30" t="s">
        <v>42</v>
      </c>
      <c r="B11" s="10"/>
      <c r="C11" s="32">
        <v>91</v>
      </c>
      <c r="D11" s="24"/>
      <c r="E11" s="25">
        <v>1</v>
      </c>
      <c r="F11" s="26">
        <f t="shared" si="0"/>
        <v>91</v>
      </c>
      <c r="G11" s="24"/>
      <c r="H11" s="25"/>
      <c r="I11" s="26">
        <f t="shared" si="1"/>
        <v>0</v>
      </c>
      <c r="J11" s="24"/>
      <c r="K11" s="25"/>
      <c r="L11" s="26">
        <f t="shared" si="2"/>
        <v>0</v>
      </c>
      <c r="M11" s="24"/>
      <c r="N11" s="25">
        <v>1</v>
      </c>
      <c r="O11" s="26">
        <f t="shared" si="3"/>
        <v>91</v>
      </c>
      <c r="P11" s="24"/>
      <c r="Q11" s="25"/>
      <c r="R11" s="26">
        <f t="shared" si="4"/>
        <v>0</v>
      </c>
      <c r="S11" s="24"/>
      <c r="T11" s="25">
        <v>1</v>
      </c>
      <c r="U11" s="26">
        <f t="shared" si="5"/>
        <v>91</v>
      </c>
      <c r="V11" s="24"/>
      <c r="W11" s="25">
        <v>1</v>
      </c>
      <c r="X11" s="26">
        <f t="shared" si="6"/>
        <v>91</v>
      </c>
      <c r="Y11" s="24"/>
      <c r="Z11" s="25">
        <v>2</v>
      </c>
      <c r="AA11" s="26">
        <f t="shared" si="7"/>
        <v>182</v>
      </c>
      <c r="AB11" s="24"/>
      <c r="AC11" s="25">
        <v>1</v>
      </c>
      <c r="AD11" s="26">
        <f t="shared" si="8"/>
        <v>91</v>
      </c>
      <c r="AE11" s="24"/>
      <c r="AF11" s="25">
        <v>1</v>
      </c>
      <c r="AG11" s="26">
        <f t="shared" si="9"/>
        <v>91</v>
      </c>
      <c r="AH11" s="24"/>
      <c r="AI11" s="25"/>
      <c r="AJ11" s="26">
        <f t="shared" si="10"/>
        <v>0</v>
      </c>
      <c r="AK11" s="24"/>
      <c r="AL11" s="25"/>
      <c r="AM11" s="26"/>
      <c r="AN11" s="24"/>
      <c r="AO11" s="25"/>
      <c r="AP11" s="26"/>
      <c r="AQ11" s="24"/>
      <c r="AR11" s="25"/>
      <c r="AS11" s="26"/>
      <c r="AT11" s="24"/>
      <c r="AU11" s="25"/>
      <c r="AV11" s="26"/>
      <c r="AW11" s="24"/>
      <c r="AX11" s="25"/>
      <c r="AY11" s="26"/>
      <c r="AZ11" s="24"/>
      <c r="BA11" s="25"/>
      <c r="BB11" s="26"/>
      <c r="BC11" s="24"/>
      <c r="BD11" s="25"/>
      <c r="BE11" s="26">
        <f t="shared" si="11"/>
        <v>0</v>
      </c>
      <c r="BF11" s="24"/>
      <c r="BG11" s="25"/>
      <c r="BH11" s="26">
        <f t="shared" si="12"/>
        <v>0</v>
      </c>
      <c r="BI11" s="24"/>
      <c r="BJ11" s="25"/>
      <c r="BK11" s="26">
        <f t="shared" si="13"/>
        <v>0</v>
      </c>
      <c r="BL11" s="24"/>
      <c r="BM11" s="25"/>
      <c r="BN11" s="26">
        <f t="shared" si="14"/>
        <v>0</v>
      </c>
      <c r="BO11" s="24"/>
      <c r="BP11" s="25"/>
      <c r="BQ11" s="26">
        <f t="shared" si="15"/>
        <v>0</v>
      </c>
      <c r="BR11" s="24"/>
      <c r="BS11" s="25"/>
      <c r="BT11" s="26">
        <f t="shared" si="16"/>
        <v>0</v>
      </c>
      <c r="BU11" s="24"/>
      <c r="BW11" s="35" t="s">
        <v>43</v>
      </c>
      <c r="BX11" s="35"/>
      <c r="BY11" s="35"/>
      <c r="BZ11" s="36"/>
      <c r="CA11" s="36"/>
    </row>
    <row r="12" ht="28.95" customHeight="1" spans="1:79" x14ac:dyDescent="0.25">
      <c r="A12" s="30" t="s">
        <v>44</v>
      </c>
      <c r="B12" s="10"/>
      <c r="C12" s="32">
        <v>1</v>
      </c>
      <c r="D12" s="24"/>
      <c r="E12" s="25">
        <v>2</v>
      </c>
      <c r="F12" s="26">
        <f t="shared" si="0"/>
        <v>2</v>
      </c>
      <c r="G12" s="24"/>
      <c r="H12" s="25">
        <v>2</v>
      </c>
      <c r="I12" s="26">
        <f t="shared" si="1"/>
        <v>2</v>
      </c>
      <c r="J12" s="24"/>
      <c r="K12" s="25">
        <v>1</v>
      </c>
      <c r="L12" s="26">
        <f t="shared" si="2"/>
        <v>1</v>
      </c>
      <c r="M12" s="24"/>
      <c r="N12" s="25"/>
      <c r="O12" s="26">
        <f t="shared" si="3"/>
        <v>0</v>
      </c>
      <c r="P12" s="24"/>
      <c r="Q12" s="25"/>
      <c r="R12" s="26">
        <f t="shared" si="4"/>
        <v>0</v>
      </c>
      <c r="S12" s="24"/>
      <c r="T12" s="25">
        <v>1</v>
      </c>
      <c r="U12" s="26">
        <f t="shared" si="5"/>
        <v>1</v>
      </c>
      <c r="V12" s="24"/>
      <c r="W12" s="25">
        <v>2</v>
      </c>
      <c r="X12" s="26">
        <f t="shared" si="6"/>
        <v>2</v>
      </c>
      <c r="Y12" s="24"/>
      <c r="Z12" s="25">
        <v>1</v>
      </c>
      <c r="AA12" s="26">
        <f t="shared" si="7"/>
        <v>1</v>
      </c>
      <c r="AB12" s="24"/>
      <c r="AC12" s="25">
        <v>1</v>
      </c>
      <c r="AD12" s="26">
        <f t="shared" si="8"/>
        <v>1</v>
      </c>
      <c r="AE12" s="24"/>
      <c r="AF12" s="25">
        <v>1</v>
      </c>
      <c r="AG12" s="26">
        <f t="shared" si="9"/>
        <v>1</v>
      </c>
      <c r="AH12" s="24"/>
      <c r="AI12" s="25">
        <v>1</v>
      </c>
      <c r="AJ12" s="26">
        <f t="shared" si="10"/>
        <v>1</v>
      </c>
      <c r="AK12" s="24"/>
      <c r="AL12" s="25"/>
      <c r="AM12" s="26"/>
      <c r="AN12" s="24"/>
      <c r="AO12" s="25"/>
      <c r="AP12" s="26"/>
      <c r="AQ12" s="24"/>
      <c r="AR12" s="25"/>
      <c r="AS12" s="26"/>
      <c r="AT12" s="24"/>
      <c r="AU12" s="25"/>
      <c r="AV12" s="26"/>
      <c r="AW12" s="24"/>
      <c r="AX12" s="25"/>
      <c r="AY12" s="26"/>
      <c r="AZ12" s="24"/>
      <c r="BA12" s="25"/>
      <c r="BB12" s="26"/>
      <c r="BC12" s="24"/>
      <c r="BD12" s="25"/>
      <c r="BE12" s="26">
        <f t="shared" si="11"/>
        <v>0</v>
      </c>
      <c r="BF12" s="24"/>
      <c r="BG12" s="25"/>
      <c r="BH12" s="26">
        <f t="shared" si="12"/>
        <v>0</v>
      </c>
      <c r="BI12" s="24"/>
      <c r="BJ12" s="25"/>
      <c r="BK12" s="26">
        <f t="shared" si="13"/>
        <v>0</v>
      </c>
      <c r="BL12" s="24"/>
      <c r="BM12" s="25"/>
      <c r="BN12" s="26">
        <f t="shared" si="14"/>
        <v>0</v>
      </c>
      <c r="BO12" s="24"/>
      <c r="BP12" s="25"/>
      <c r="BQ12" s="26">
        <f t="shared" si="15"/>
        <v>0</v>
      </c>
      <c r="BR12" s="24"/>
      <c r="BS12" s="25"/>
      <c r="BT12" s="26">
        <f t="shared" si="16"/>
        <v>0</v>
      </c>
      <c r="BU12" s="24"/>
      <c r="BW12" s="27">
        <f>-SUM(BZ12:CB12)</f>
        <v>-52360.810000000005</v>
      </c>
      <c r="BX12" s="1"/>
      <c r="BY12" s="1" t="s">
        <v>45</v>
      </c>
      <c r="BZ12" s="37">
        <v>50395.76</v>
      </c>
      <c r="CA12" s="37">
        <v>1965.05</v>
      </c>
    </row>
    <row r="13" ht="28.95" customHeight="1" spans="1:79" x14ac:dyDescent="0.25">
      <c r="A13" s="30" t="s">
        <v>46</v>
      </c>
      <c r="B13" s="10"/>
      <c r="C13" s="32">
        <v>10</v>
      </c>
      <c r="D13" s="24"/>
      <c r="E13" s="25">
        <v>2</v>
      </c>
      <c r="F13" s="26">
        <f t="shared" si="0"/>
        <v>20</v>
      </c>
      <c r="G13" s="24"/>
      <c r="H13" s="25">
        <v>2</v>
      </c>
      <c r="I13" s="26">
        <f t="shared" si="1"/>
        <v>20</v>
      </c>
      <c r="J13" s="24"/>
      <c r="K13" s="25">
        <v>4</v>
      </c>
      <c r="L13" s="26">
        <f t="shared" si="2"/>
        <v>40</v>
      </c>
      <c r="M13" s="24"/>
      <c r="N13" s="25"/>
      <c r="O13" s="26">
        <f t="shared" si="3"/>
        <v>0</v>
      </c>
      <c r="P13" s="24"/>
      <c r="Q13" s="25"/>
      <c r="R13" s="26">
        <f t="shared" si="4"/>
        <v>0</v>
      </c>
      <c r="S13" s="24"/>
      <c r="T13" s="25">
        <v>2</v>
      </c>
      <c r="U13" s="26">
        <f t="shared" si="5"/>
        <v>20</v>
      </c>
      <c r="V13" s="24"/>
      <c r="W13" s="25">
        <v>2</v>
      </c>
      <c r="X13" s="26">
        <f t="shared" si="6"/>
        <v>20</v>
      </c>
      <c r="Y13" s="24"/>
      <c r="Z13" s="25">
        <v>4</v>
      </c>
      <c r="AA13" s="26">
        <f t="shared" si="7"/>
        <v>40</v>
      </c>
      <c r="AB13" s="24"/>
      <c r="AC13" s="25">
        <v>4</v>
      </c>
      <c r="AD13" s="26">
        <f t="shared" si="8"/>
        <v>40</v>
      </c>
      <c r="AE13" s="24"/>
      <c r="AF13" s="25">
        <v>2</v>
      </c>
      <c r="AG13" s="26">
        <f t="shared" si="9"/>
        <v>20</v>
      </c>
      <c r="AH13" s="24"/>
      <c r="AI13" s="25">
        <v>2</v>
      </c>
      <c r="AJ13" s="26">
        <f t="shared" si="10"/>
        <v>20</v>
      </c>
      <c r="AK13" s="24"/>
      <c r="AL13" s="25"/>
      <c r="AM13" s="26"/>
      <c r="AN13" s="24"/>
      <c r="AO13" s="25"/>
      <c r="AP13" s="26"/>
      <c r="AQ13" s="24"/>
      <c r="AR13" s="25"/>
      <c r="AS13" s="26"/>
      <c r="AT13" s="24"/>
      <c r="AU13" s="25"/>
      <c r="AV13" s="26"/>
      <c r="AW13" s="24"/>
      <c r="AX13" s="25"/>
      <c r="AY13" s="26"/>
      <c r="AZ13" s="24"/>
      <c r="BA13" s="25"/>
      <c r="BB13" s="26"/>
      <c r="BC13" s="24"/>
      <c r="BD13" s="25"/>
      <c r="BE13" s="26">
        <f t="shared" si="11"/>
        <v>0</v>
      </c>
      <c r="BF13" s="24"/>
      <c r="BG13" s="25"/>
      <c r="BH13" s="26">
        <f t="shared" si="12"/>
        <v>0</v>
      </c>
      <c r="BI13" s="24"/>
      <c r="BJ13" s="25"/>
      <c r="BK13" s="26">
        <f t="shared" si="13"/>
        <v>0</v>
      </c>
      <c r="BL13" s="24"/>
      <c r="BM13" s="25"/>
      <c r="BN13" s="26">
        <f t="shared" si="14"/>
        <v>0</v>
      </c>
      <c r="BO13" s="24"/>
      <c r="BP13" s="25"/>
      <c r="BQ13" s="26">
        <f t="shared" si="15"/>
        <v>0</v>
      </c>
      <c r="BR13" s="24"/>
      <c r="BS13" s="25"/>
      <c r="BT13" s="26">
        <f t="shared" si="16"/>
        <v>0</v>
      </c>
      <c r="BU13" s="24"/>
      <c r="BW13" s="27">
        <f>-SUM(BZ13:CB13)</f>
        <v>-17789.09</v>
      </c>
      <c r="BX13" s="1"/>
      <c r="BY13" s="1" t="s">
        <v>47</v>
      </c>
      <c r="BZ13" s="37">
        <v>17789.09</v>
      </c>
      <c r="CA13" s="37">
        <v>0</v>
      </c>
    </row>
    <row r="14" ht="28.95" customHeight="1" spans="1:79" x14ac:dyDescent="0.25">
      <c r="A14" s="30"/>
      <c r="B14" s="10"/>
      <c r="C14" s="32"/>
      <c r="D14" s="24"/>
      <c r="E14" s="25"/>
      <c r="F14" s="26">
        <f t="shared" si="0"/>
        <v>0</v>
      </c>
      <c r="G14" s="24"/>
      <c r="H14" s="25"/>
      <c r="I14" s="26">
        <f t="shared" si="1"/>
        <v>0</v>
      </c>
      <c r="J14" s="24"/>
      <c r="K14" s="25"/>
      <c r="L14" s="26">
        <f t="shared" si="2"/>
        <v>0</v>
      </c>
      <c r="M14" s="24"/>
      <c r="N14" s="25"/>
      <c r="O14" s="26">
        <f t="shared" si="3"/>
        <v>0</v>
      </c>
      <c r="P14" s="24"/>
      <c r="Q14" s="25"/>
      <c r="R14" s="26">
        <f t="shared" si="4"/>
        <v>0</v>
      </c>
      <c r="S14" s="24"/>
      <c r="T14" s="25"/>
      <c r="U14" s="26">
        <f t="shared" si="5"/>
        <v>0</v>
      </c>
      <c r="V14" s="24"/>
      <c r="W14" s="25"/>
      <c r="X14" s="26">
        <f t="shared" si="6"/>
        <v>0</v>
      </c>
      <c r="Y14" s="24"/>
      <c r="Z14" s="25"/>
      <c r="AA14" s="26">
        <f t="shared" si="7"/>
        <v>0</v>
      </c>
      <c r="AB14" s="24"/>
      <c r="AC14" s="25"/>
      <c r="AD14" s="26">
        <f t="shared" si="8"/>
        <v>0</v>
      </c>
      <c r="AE14" s="24"/>
      <c r="AF14" s="25"/>
      <c r="AG14" s="26">
        <f t="shared" si="9"/>
        <v>0</v>
      </c>
      <c r="AH14" s="24"/>
      <c r="AI14" s="25"/>
      <c r="AJ14" s="26">
        <f t="shared" si="10"/>
        <v>0</v>
      </c>
      <c r="AK14" s="24"/>
      <c r="AL14" s="25"/>
      <c r="AM14" s="26"/>
      <c r="AN14" s="24"/>
      <c r="AO14" s="25"/>
      <c r="AP14" s="26"/>
      <c r="AQ14" s="24"/>
      <c r="AR14" s="25"/>
      <c r="AS14" s="26"/>
      <c r="AT14" s="24"/>
      <c r="AU14" s="25"/>
      <c r="AV14" s="26"/>
      <c r="AW14" s="24"/>
      <c r="AX14" s="25"/>
      <c r="AY14" s="26"/>
      <c r="AZ14" s="24"/>
      <c r="BA14" s="25"/>
      <c r="BB14" s="26"/>
      <c r="BC14" s="24"/>
      <c r="BD14" s="25"/>
      <c r="BE14" s="26">
        <f t="shared" si="11"/>
        <v>0</v>
      </c>
      <c r="BF14" s="24"/>
      <c r="BG14" s="25"/>
      <c r="BH14" s="26">
        <f t="shared" si="12"/>
        <v>0</v>
      </c>
      <c r="BI14" s="24"/>
      <c r="BJ14" s="25"/>
      <c r="BK14" s="26">
        <f t="shared" si="13"/>
        <v>0</v>
      </c>
      <c r="BL14" s="24"/>
      <c r="BM14" s="25"/>
      <c r="BN14" s="26">
        <f t="shared" si="14"/>
        <v>0</v>
      </c>
      <c r="BO14" s="24"/>
      <c r="BP14" s="25"/>
      <c r="BQ14" s="26">
        <f t="shared" si="15"/>
        <v>0</v>
      </c>
      <c r="BR14" s="24"/>
      <c r="BS14" s="25"/>
      <c r="BT14" s="26">
        <f t="shared" si="16"/>
        <v>0</v>
      </c>
      <c r="BU14" s="24"/>
      <c r="BW14" s="27">
        <f>-SUM(BZ14:CB14)</f>
        <v>0</v>
      </c>
      <c r="BX14" s="1"/>
      <c r="BY14" s="1" t="s">
        <v>48</v>
      </c>
      <c r="BZ14" s="37">
        <v>0</v>
      </c>
      <c r="CA14" s="37">
        <v>0</v>
      </c>
    </row>
    <row r="15" ht="28.95" customHeight="1" spans="1:79" x14ac:dyDescent="0.25">
      <c r="A15" s="30"/>
      <c r="B15" s="10"/>
      <c r="C15" s="32"/>
      <c r="D15" s="24"/>
      <c r="E15" s="25"/>
      <c r="F15" s="26"/>
      <c r="G15" s="24"/>
      <c r="H15" s="25"/>
      <c r="I15" s="26"/>
      <c r="J15" s="24"/>
      <c r="K15" s="25"/>
      <c r="L15" s="26"/>
      <c r="M15" s="24"/>
      <c r="N15" s="25"/>
      <c r="O15" s="26"/>
      <c r="P15" s="24"/>
      <c r="Q15" s="25"/>
      <c r="R15" s="26"/>
      <c r="S15" s="24"/>
      <c r="T15" s="25"/>
      <c r="U15" s="26"/>
      <c r="V15" s="24"/>
      <c r="W15" s="25"/>
      <c r="X15" s="26"/>
      <c r="Y15" s="24"/>
      <c r="Z15" s="25"/>
      <c r="AA15" s="26"/>
      <c r="AB15" s="24"/>
      <c r="AC15" s="25"/>
      <c r="AD15" s="26"/>
      <c r="AE15" s="24"/>
      <c r="AF15" s="25"/>
      <c r="AG15" s="26"/>
      <c r="AH15" s="24"/>
      <c r="AI15" s="25"/>
      <c r="AJ15" s="26"/>
      <c r="AK15" s="24"/>
      <c r="AL15" s="25"/>
      <c r="AM15" s="26">
        <f>AL15*C15</f>
        <v>0</v>
      </c>
      <c r="AN15" s="24"/>
      <c r="AO15" s="25"/>
      <c r="AP15" s="26">
        <f>AO15*C15</f>
        <v>0</v>
      </c>
      <c r="AQ15" s="24"/>
      <c r="AR15" s="25"/>
      <c r="AS15" s="26">
        <f>AR15*C15</f>
        <v>0</v>
      </c>
      <c r="AT15" s="24"/>
      <c r="AU15" s="25"/>
      <c r="AV15" s="26">
        <f>AU15*C15</f>
        <v>0</v>
      </c>
      <c r="AW15" s="24"/>
      <c r="AX15" s="25"/>
      <c r="AY15" s="26"/>
      <c r="AZ15" s="24"/>
      <c r="BA15" s="25"/>
      <c r="BB15" s="26"/>
      <c r="BC15" s="24"/>
      <c r="BD15" s="25"/>
      <c r="BE15" s="26"/>
      <c r="BF15" s="24"/>
      <c r="BG15" s="25"/>
      <c r="BH15" s="26"/>
      <c r="BI15" s="24"/>
      <c r="BJ15" s="25"/>
      <c r="BK15" s="26"/>
      <c r="BL15" s="24"/>
      <c r="BM15" s="25"/>
      <c r="BN15" s="26"/>
      <c r="BO15" s="24"/>
      <c r="BP15" s="25"/>
      <c r="BQ15" s="26"/>
      <c r="BR15" s="24"/>
      <c r="BS15" s="25"/>
      <c r="BT15" s="26"/>
      <c r="BU15" s="24"/>
      <c r="BW15" s="27">
        <f>-SUM(BZ15:CB15)</f>
        <v>-16530.79</v>
      </c>
      <c r="BX15" s="1"/>
      <c r="BY15" s="1" t="s">
        <v>50</v>
      </c>
      <c r="BZ15" s="37">
        <v>14910.79</v>
      </c>
      <c r="CA15" s="37">
        <v>1620</v>
      </c>
    </row>
    <row r="16" ht="28.95" customHeight="1" spans="1:80" s="14" customFormat="1" x14ac:dyDescent="0.25">
      <c r="A16" s="30"/>
      <c r="B16" s="10"/>
      <c r="C16" s="32"/>
      <c r="D16" s="10"/>
      <c r="E16" s="38"/>
      <c r="F16" s="39">
        <f>E16*C16</f>
        <v>0</v>
      </c>
      <c r="G16" s="10"/>
      <c r="H16" s="38"/>
      <c r="I16" s="39">
        <f>H16*C16</f>
        <v>0</v>
      </c>
      <c r="J16" s="10"/>
      <c r="K16" s="38"/>
      <c r="L16" s="39">
        <f>K16*C16</f>
        <v>0</v>
      </c>
      <c r="M16" s="10"/>
      <c r="N16" s="38"/>
      <c r="O16" s="39">
        <f>N16*C16</f>
        <v>0</v>
      </c>
      <c r="P16" s="10"/>
      <c r="Q16" s="38"/>
      <c r="R16" s="39">
        <f>Q16*C16</f>
        <v>0</v>
      </c>
      <c r="S16" s="10"/>
      <c r="T16" s="38"/>
      <c r="U16" s="39">
        <f>T16*C16</f>
        <v>0</v>
      </c>
      <c r="V16" s="10"/>
      <c r="W16" s="38"/>
      <c r="X16" s="39">
        <f>W16*C16</f>
        <v>0</v>
      </c>
      <c r="Y16" s="10"/>
      <c r="Z16" s="38"/>
      <c r="AA16" s="39">
        <f>Z16*C16</f>
        <v>0</v>
      </c>
      <c r="AB16" s="10"/>
      <c r="AC16" s="38"/>
      <c r="AD16" s="39">
        <f>AC16*C16</f>
        <v>0</v>
      </c>
      <c r="AE16" s="10"/>
      <c r="AF16" s="38"/>
      <c r="AG16" s="39">
        <f>AF16*C16</f>
        <v>0</v>
      </c>
      <c r="AH16" s="10"/>
      <c r="AI16" s="38"/>
      <c r="AJ16" s="39">
        <f>AI16*C16</f>
        <v>0</v>
      </c>
      <c r="AK16" s="10"/>
      <c r="AL16" s="38"/>
      <c r="AM16" s="26">
        <f>AL16*C16</f>
        <v>0</v>
      </c>
      <c r="AN16" s="10"/>
      <c r="AO16" s="38"/>
      <c r="AP16" s="26">
        <f>AO16*C16</f>
        <v>0</v>
      </c>
      <c r="AQ16" s="10"/>
      <c r="AR16" s="38"/>
      <c r="AS16" s="26">
        <f>AR16*C16</f>
        <v>0</v>
      </c>
      <c r="AT16" s="10"/>
      <c r="AU16" s="38"/>
      <c r="AV16" s="26">
        <f>AU16*C16</f>
        <v>0</v>
      </c>
      <c r="AW16" s="10"/>
      <c r="AX16" s="38"/>
      <c r="AY16" s="39">
        <f>AX16*C16</f>
        <v>0</v>
      </c>
      <c r="AZ16" s="10"/>
      <c r="BA16" s="38"/>
      <c r="BB16" s="39">
        <f>BA16*C16</f>
        <v>0</v>
      </c>
      <c r="BC16" s="10"/>
      <c r="BD16" s="38"/>
      <c r="BE16" s="26">
        <f>BD16*C16</f>
        <v>0</v>
      </c>
      <c r="BF16" s="10"/>
      <c r="BG16" s="38"/>
      <c r="BH16" s="26">
        <f>BG16*C16</f>
        <v>0</v>
      </c>
      <c r="BI16" s="10"/>
      <c r="BJ16" s="38"/>
      <c r="BK16" s="26">
        <f>BJ16*C16</f>
        <v>0</v>
      </c>
      <c r="BL16" s="10"/>
      <c r="BM16" s="38"/>
      <c r="BN16" s="26">
        <f>BM16*C16</f>
        <v>0</v>
      </c>
      <c r="BO16" s="10"/>
      <c r="BP16" s="38"/>
      <c r="BQ16" s="26">
        <f>BP16*C16</f>
        <v>0</v>
      </c>
      <c r="BR16" s="10"/>
      <c r="BS16" s="38"/>
      <c r="BT16" s="26">
        <f>BS16*C16</f>
        <v>0</v>
      </c>
      <c r="BU16" s="10"/>
      <c r="BV16" s="20"/>
      <c r="BW16" s="27">
        <f>-SUM(BZ16:CB16)</f>
        <v>0</v>
      </c>
      <c r="BX16" s="20"/>
      <c r="BY16" s="1" t="s">
        <v>52</v>
      </c>
      <c r="BZ16" s="37">
        <v>0</v>
      </c>
      <c r="CA16" s="37">
        <v>0</v>
      </c>
      <c r="CB16" s="1"/>
    </row>
    <row r="17" ht="28.95" customHeight="1" spans="1:80" s="14" customFormat="1" x14ac:dyDescent="0.25">
      <c r="A17" s="40" t="s">
        <v>53</v>
      </c>
      <c r="B17" s="10"/>
      <c r="C17" s="23">
        <v>112.24</v>
      </c>
      <c r="D17" s="10"/>
      <c r="E17" s="38"/>
      <c r="F17" s="39">
        <f>E17*C17</f>
        <v>0</v>
      </c>
      <c r="G17" s="10"/>
      <c r="H17" s="38"/>
      <c r="I17" s="39">
        <f>H17*C17</f>
        <v>0</v>
      </c>
      <c r="J17" s="10"/>
      <c r="K17" s="38"/>
      <c r="L17" s="39">
        <f>K17*C17</f>
        <v>0</v>
      </c>
      <c r="M17" s="10"/>
      <c r="N17" s="38"/>
      <c r="O17" s="39">
        <f>N17*C17</f>
        <v>0</v>
      </c>
      <c r="P17" s="10"/>
      <c r="Q17" s="38"/>
      <c r="R17" s="39">
        <f>Q17*C17</f>
        <v>0</v>
      </c>
      <c r="S17" s="10"/>
      <c r="T17" s="38"/>
      <c r="U17" s="39">
        <f>T17*C17</f>
        <v>0</v>
      </c>
      <c r="V17" s="10"/>
      <c r="W17" s="38"/>
      <c r="X17" s="39">
        <f>W17*C17</f>
        <v>0</v>
      </c>
      <c r="Y17" s="10"/>
      <c r="Z17" s="38"/>
      <c r="AA17" s="39">
        <f>Z17*C17</f>
        <v>0</v>
      </c>
      <c r="AB17" s="10"/>
      <c r="AC17" s="38"/>
      <c r="AD17" s="39">
        <f>AC17*C17</f>
        <v>0</v>
      </c>
      <c r="AE17" s="10"/>
      <c r="AF17" s="38"/>
      <c r="AG17" s="39">
        <f>AF17*C17</f>
        <v>0</v>
      </c>
      <c r="AH17" s="10"/>
      <c r="AI17" s="38"/>
      <c r="AJ17" s="39">
        <f>AI17*C17</f>
        <v>0</v>
      </c>
      <c r="AK17" s="10"/>
      <c r="AL17" s="38"/>
      <c r="AM17" s="26">
        <f>AL17*C17</f>
        <v>0</v>
      </c>
      <c r="AN17" s="10"/>
      <c r="AO17" s="38"/>
      <c r="AP17" s="26">
        <f>AO17*C17</f>
        <v>0</v>
      </c>
      <c r="AQ17" s="10"/>
      <c r="AR17" s="38"/>
      <c r="AS17" s="26">
        <f>AR17*C17</f>
        <v>0</v>
      </c>
      <c r="AT17" s="10"/>
      <c r="AU17" s="38"/>
      <c r="AV17" s="26">
        <f>AU17*C17</f>
        <v>0</v>
      </c>
      <c r="AW17" s="10"/>
      <c r="AX17" s="38"/>
      <c r="AY17" s="39">
        <f>AX17*C17</f>
        <v>0</v>
      </c>
      <c r="AZ17" s="10"/>
      <c r="BA17" s="38"/>
      <c r="BB17" s="39">
        <f>BA17*C17</f>
        <v>0</v>
      </c>
      <c r="BC17" s="10"/>
      <c r="BD17" s="38"/>
      <c r="BE17" s="39">
        <f>BD17*C17</f>
        <v>0</v>
      </c>
      <c r="BF17" s="10"/>
      <c r="BG17" s="38"/>
      <c r="BH17" s="39">
        <f>BG17*C17</f>
        <v>0</v>
      </c>
      <c r="BI17" s="10"/>
      <c r="BJ17" s="38">
        <v>12</v>
      </c>
      <c r="BK17" s="39">
        <f>BJ17*C17</f>
        <v>1346.8799999999999</v>
      </c>
      <c r="BL17" s="10"/>
      <c r="BM17" s="38">
        <v>21</v>
      </c>
      <c r="BN17" s="39">
        <f>BM17*C17</f>
        <v>2357.04</v>
      </c>
      <c r="BO17" s="10"/>
      <c r="BP17" s="38"/>
      <c r="BQ17" s="39">
        <f>BP17*C17</f>
        <v>0</v>
      </c>
      <c r="BR17" s="10"/>
      <c r="BS17" s="38"/>
      <c r="BT17" s="39">
        <f>BS17*C17</f>
        <v>0</v>
      </c>
      <c r="BU17" s="10"/>
      <c r="BV17" s="20"/>
      <c r="BW17" s="41">
        <f>SUM(BW11:BW16)</f>
        <v>-86680.69</v>
      </c>
      <c r="BX17" s="20"/>
      <c r="BY17" s="42" t="s">
        <v>40</v>
      </c>
      <c r="BZ17" s="20"/>
      <c r="CA17" s="20"/>
      <c r="CB17" s="1"/>
    </row>
    <row r="18" ht="28.95" customHeight="1" spans="1:80" s="14" customFormat="1" x14ac:dyDescent="0.25">
      <c r="A18" s="43"/>
      <c r="B18" s="10"/>
      <c r="C18" s="44"/>
      <c r="D18" s="10"/>
      <c r="E18" s="45"/>
      <c r="F18" s="46"/>
      <c r="G18" s="10"/>
      <c r="H18" s="45"/>
      <c r="I18" s="46"/>
      <c r="J18" s="10"/>
      <c r="K18" s="45"/>
      <c r="L18" s="46"/>
      <c r="M18" s="10"/>
      <c r="N18" s="45"/>
      <c r="O18" s="46"/>
      <c r="P18" s="10"/>
      <c r="Q18" s="45"/>
      <c r="R18" s="46"/>
      <c r="S18" s="10"/>
      <c r="T18" s="45"/>
      <c r="U18" s="46"/>
      <c r="V18" s="10"/>
      <c r="W18" s="45"/>
      <c r="X18" s="46"/>
      <c r="Y18" s="10"/>
      <c r="Z18" s="45"/>
      <c r="AA18" s="46"/>
      <c r="AB18" s="10"/>
      <c r="AC18" s="45"/>
      <c r="AD18" s="46"/>
      <c r="AE18" s="10"/>
      <c r="AF18" s="45"/>
      <c r="AG18" s="46"/>
      <c r="AH18" s="10"/>
      <c r="AI18" s="45"/>
      <c r="AJ18" s="46"/>
      <c r="AK18" s="10"/>
      <c r="AL18" s="45"/>
      <c r="AM18" s="47"/>
      <c r="AN18" s="10"/>
      <c r="AO18" s="45"/>
      <c r="AP18" s="47"/>
      <c r="AQ18" s="10"/>
      <c r="AR18" s="45"/>
      <c r="AS18" s="47"/>
      <c r="AT18" s="10"/>
      <c r="AU18" s="45"/>
      <c r="AV18" s="47"/>
      <c r="AW18" s="10"/>
      <c r="AX18" s="45"/>
      <c r="AY18" s="46"/>
      <c r="AZ18" s="10"/>
      <c r="BA18" s="45"/>
      <c r="BB18" s="46"/>
      <c r="BC18" s="10"/>
      <c r="BD18" s="45"/>
      <c r="BE18" s="46"/>
      <c r="BF18" s="10"/>
      <c r="BG18" s="45"/>
      <c r="BH18" s="46"/>
      <c r="BI18" s="10"/>
      <c r="BJ18" s="45"/>
      <c r="BK18" s="46"/>
      <c r="BL18" s="10"/>
      <c r="BM18" s="45"/>
      <c r="BN18" s="46"/>
      <c r="BO18" s="10"/>
      <c r="BP18" s="45"/>
      <c r="BQ18" s="46"/>
      <c r="BR18" s="10"/>
      <c r="BS18" s="45"/>
      <c r="BT18" s="46"/>
      <c r="BU18" s="10"/>
      <c r="BV18" s="20"/>
      <c r="BW18" s="48">
        <f>BW9+BW17</f>
        <v>578554.1881738019</v>
      </c>
      <c r="BX18" s="20"/>
      <c r="BY18" s="35" t="s">
        <v>54</v>
      </c>
      <c r="BZ18" s="20"/>
      <c r="CA18" s="20"/>
      <c r="CB18" s="1"/>
    </row>
    <row r="19" ht="28.95" customHeight="1" spans="1:79" x14ac:dyDescent="0.25">
      <c r="A19" s="49"/>
      <c r="B19" s="24"/>
      <c r="C19" s="50"/>
      <c r="D19" s="24"/>
      <c r="E19" s="49">
        <f>SUM(E3:E17)</f>
        <v>37</v>
      </c>
      <c r="F19" s="51"/>
      <c r="G19" s="52"/>
      <c r="H19" s="49">
        <f>SUM(H3:H17)</f>
        <v>80</v>
      </c>
      <c r="I19" s="51"/>
      <c r="J19" s="52"/>
      <c r="K19" s="49">
        <f>SUM(K3:K17)</f>
        <v>53</v>
      </c>
      <c r="L19" s="51"/>
      <c r="M19" s="52"/>
      <c r="N19" s="49">
        <f>SUM(N3:N17)</f>
        <v>59</v>
      </c>
      <c r="O19" s="51"/>
      <c r="P19" s="52"/>
      <c r="Q19" s="49">
        <f>SUM(Q3:Q17)</f>
        <v>24.5</v>
      </c>
      <c r="R19" s="51"/>
      <c r="S19" s="52"/>
      <c r="T19" s="49">
        <f>SUM(T3:T17)</f>
        <v>39</v>
      </c>
      <c r="U19" s="51"/>
      <c r="V19" s="52"/>
      <c r="W19" s="49">
        <f>SUM(W3:W17)</f>
        <v>36.5</v>
      </c>
      <c r="X19" s="51"/>
      <c r="Y19" s="52"/>
      <c r="Z19" s="49">
        <f>SUM(Z3:Z17)</f>
        <v>63</v>
      </c>
      <c r="AA19" s="51"/>
      <c r="AB19" s="52"/>
      <c r="AC19" s="49">
        <f>SUM(AC3:AC17)</f>
        <v>48</v>
      </c>
      <c r="AD19" s="51"/>
      <c r="AE19" s="52"/>
      <c r="AF19" s="49">
        <f>SUM(AF3:AF17)</f>
        <v>29</v>
      </c>
      <c r="AG19" s="51"/>
      <c r="AH19" s="52"/>
      <c r="AI19" s="49">
        <f>SUM(AI3:AI17)</f>
        <v>43</v>
      </c>
      <c r="AJ19" s="51"/>
      <c r="AK19" s="52"/>
      <c r="AL19" s="49">
        <f>SUM(AL3:AL17)</f>
        <v>0</v>
      </c>
      <c r="AM19" s="51"/>
      <c r="AN19" s="52"/>
      <c r="AO19" s="49">
        <f>SUM(AO3:AO17)</f>
        <v>0</v>
      </c>
      <c r="AP19" s="51"/>
      <c r="AQ19" s="52"/>
      <c r="AR19" s="49">
        <f>SUM(AR3:AR17)</f>
        <v>0</v>
      </c>
      <c r="AS19" s="51"/>
      <c r="AT19" s="52"/>
      <c r="AU19" s="49">
        <f>SUM(AU3:AU17)</f>
        <v>0</v>
      </c>
      <c r="AV19" s="51"/>
      <c r="AW19" s="52"/>
      <c r="AX19" s="49">
        <f>SUM(AX3:AX17)</f>
        <v>0</v>
      </c>
      <c r="AY19" s="51"/>
      <c r="AZ19" s="52"/>
      <c r="BA19" s="49">
        <f>SUM(BA3:BA17)</f>
        <v>0</v>
      </c>
      <c r="BB19" s="51"/>
      <c r="BC19" s="52"/>
      <c r="BD19" s="49">
        <f>SUM(BD3:BD17)</f>
        <v>10</v>
      </c>
      <c r="BE19" s="51"/>
      <c r="BF19" s="52"/>
      <c r="BG19" s="49">
        <f>SUM(BG3:BG17)</f>
        <v>15</v>
      </c>
      <c r="BH19" s="51"/>
      <c r="BI19" s="52"/>
      <c r="BJ19" s="49">
        <f>SUM(BJ3:BJ17)</f>
        <v>30</v>
      </c>
      <c r="BK19" s="51"/>
      <c r="BL19" s="52"/>
      <c r="BM19" s="49">
        <f>SUM(BM3:BM17)</f>
        <v>31</v>
      </c>
      <c r="BN19" s="51"/>
      <c r="BO19" s="52"/>
      <c r="BP19" s="49">
        <f>SUM(BP3:BP17)</f>
        <v>12</v>
      </c>
      <c r="BQ19" s="51"/>
      <c r="BR19" s="52"/>
      <c r="BS19" s="49">
        <f>SUM(BS3:BS17)</f>
        <v>0</v>
      </c>
      <c r="BT19" s="51"/>
      <c r="BU19" s="24"/>
      <c r="BW19" s="53"/>
      <c r="BX19" s="1"/>
      <c r="BY19" s="1"/>
      <c r="CA19" s="20"/>
    </row>
    <row r="20" ht="28.95" customHeight="1" spans="1:80" s="54" customFormat="1" x14ac:dyDescent="0.25">
      <c r="A20" s="20" t="s">
        <v>55</v>
      </c>
      <c r="B20" s="20"/>
      <c r="C20" s="20" t="s">
        <v>55</v>
      </c>
      <c r="D20" s="24"/>
      <c r="E20" s="55">
        <f>SUM(F3:F17)</f>
        <v>4505.91</v>
      </c>
      <c r="F20" s="56"/>
      <c r="G20" s="24"/>
      <c r="H20" s="55">
        <f>SUM(I3:I17)</f>
        <v>10711.039999999999</v>
      </c>
      <c r="I20" s="56"/>
      <c r="J20" s="24"/>
      <c r="K20" s="55">
        <f>SUM(L3:L17)</f>
        <v>6457.509999999999</v>
      </c>
      <c r="L20" s="56"/>
      <c r="M20" s="24"/>
      <c r="N20" s="55">
        <f>SUM(O3:O17)</f>
        <v>8092.429999999999</v>
      </c>
      <c r="O20" s="56"/>
      <c r="P20" s="24"/>
      <c r="Q20" s="55">
        <f>SUM(R3:R17)</f>
        <v>3795.39</v>
      </c>
      <c r="R20" s="56"/>
      <c r="S20" s="24"/>
      <c r="T20" s="55">
        <f>SUM(U3:U17)</f>
        <v>4737.54</v>
      </c>
      <c r="U20" s="56"/>
      <c r="V20" s="24"/>
      <c r="W20" s="55">
        <f>SUM(X3:X17)</f>
        <v>4577.459999999999</v>
      </c>
      <c r="X20" s="56"/>
      <c r="Y20" s="24"/>
      <c r="Z20" s="55">
        <f>SUM(AA3:AA17)</f>
        <v>8862.859999999999</v>
      </c>
      <c r="AA20" s="56"/>
      <c r="AB20" s="24"/>
      <c r="AC20" s="55">
        <f>SUM(AD3:AD17)</f>
        <v>5447.83</v>
      </c>
      <c r="AD20" s="56"/>
      <c r="AE20" s="24"/>
      <c r="AF20" s="55">
        <f>SUM(AG3:AG17)</f>
        <v>2979.66</v>
      </c>
      <c r="AG20" s="56"/>
      <c r="AH20" s="24"/>
      <c r="AI20" s="55">
        <f>SUM(AJ3:AJ17)</f>
        <v>5358.87</v>
      </c>
      <c r="AJ20" s="56"/>
      <c r="AK20" s="24"/>
      <c r="AL20" s="55">
        <f>SUM(AM3:AM17)</f>
        <v>0</v>
      </c>
      <c r="AM20" s="56"/>
      <c r="AN20" s="24"/>
      <c r="AO20" s="55">
        <f>SUM(AP3:AP17)</f>
        <v>0</v>
      </c>
      <c r="AP20" s="56"/>
      <c r="AQ20" s="24"/>
      <c r="AR20" s="55">
        <f>SUM(AS3:AS17)</f>
        <v>0</v>
      </c>
      <c r="AS20" s="56"/>
      <c r="AT20" s="24"/>
      <c r="AU20" s="55">
        <f>SUM(AV3:AV17)</f>
        <v>0</v>
      </c>
      <c r="AV20" s="56"/>
      <c r="AW20" s="24"/>
      <c r="AX20" s="55">
        <f>SUM(AY3:AY17)</f>
        <v>0</v>
      </c>
      <c r="AY20" s="56"/>
      <c r="AZ20" s="24"/>
      <c r="BA20" s="55">
        <f>SUM(BB3:BB17)</f>
        <v>0</v>
      </c>
      <c r="BB20" s="56"/>
      <c r="BC20" s="24"/>
      <c r="BD20" s="55">
        <f>SUM(BE3:BE17)</f>
        <v>1508.8899999999999</v>
      </c>
      <c r="BE20" s="56"/>
      <c r="BF20" s="24"/>
      <c r="BG20" s="55">
        <f>SUM(BH3:BH17)</f>
        <v>2652.3900000000003</v>
      </c>
      <c r="BH20" s="56"/>
      <c r="BI20" s="24"/>
      <c r="BJ20" s="55">
        <f>SUM(BK3:BK17)</f>
        <v>3094.49</v>
      </c>
      <c r="BK20" s="56"/>
      <c r="BL20" s="24"/>
      <c r="BM20" s="55">
        <f>SUM(BN3:BN17)</f>
        <v>2974</v>
      </c>
      <c r="BN20" s="56"/>
      <c r="BO20" s="24"/>
      <c r="BP20" s="55">
        <f>SUM(BQ3:BQ17)</f>
        <v>1333.51</v>
      </c>
      <c r="BQ20" s="56"/>
      <c r="BR20" s="24"/>
      <c r="BS20" s="55">
        <f>SUM(BT3:BT17)</f>
        <v>0</v>
      </c>
      <c r="BT20" s="56"/>
      <c r="BU20" s="24"/>
      <c r="BV20" s="1"/>
      <c r="BW20" s="57">
        <f>SUM(E20:BT20)</f>
        <v>77089.78000000001</v>
      </c>
      <c r="BX20" s="1"/>
      <c r="BY20" s="58" t="str">
        <f>A20</f>
        <v>MEAT</v>
      </c>
      <c r="BZ20" s="1"/>
      <c r="CA20" s="20"/>
      <c r="CB20" s="1"/>
    </row>
    <row r="21" ht="28.95" customHeight="1" spans="1:80" s="54" customFormat="1" x14ac:dyDescent="0.25">
      <c r="A21" s="20" t="s">
        <v>56</v>
      </c>
      <c r="B21" s="20"/>
      <c r="C21" s="20" t="s">
        <v>56</v>
      </c>
      <c r="D21" s="33"/>
      <c r="E21" s="59">
        <f>SUM(E3:E13)*10</f>
        <v>370</v>
      </c>
      <c r="F21" s="59"/>
      <c r="G21" s="33"/>
      <c r="H21" s="59">
        <f>SUM(H3:H13)*10</f>
        <v>800</v>
      </c>
      <c r="I21" s="59"/>
      <c r="J21" s="33"/>
      <c r="K21" s="59">
        <f>SUM(K3:K13)*10</f>
        <v>530</v>
      </c>
      <c r="L21" s="59"/>
      <c r="M21" s="33"/>
      <c r="N21" s="59">
        <f>SUM(N3:N13)*10</f>
        <v>590</v>
      </c>
      <c r="O21" s="59"/>
      <c r="P21" s="33"/>
      <c r="Q21" s="59">
        <f>SUM(Q3:Q13)*10</f>
        <v>245</v>
      </c>
      <c r="R21" s="59"/>
      <c r="S21" s="33"/>
      <c r="T21" s="59">
        <f>SUM(T3:T13)*10</f>
        <v>390</v>
      </c>
      <c r="U21" s="59"/>
      <c r="V21" s="33"/>
      <c r="W21" s="59">
        <f>SUM(W3:W13)*10</f>
        <v>365</v>
      </c>
      <c r="X21" s="59"/>
      <c r="Y21" s="33"/>
      <c r="Z21" s="59">
        <f>SUM(Z3:Z13)*10</f>
        <v>630</v>
      </c>
      <c r="AA21" s="59"/>
      <c r="AB21" s="33"/>
      <c r="AC21" s="59">
        <f>SUM(AC3:AC13)*10</f>
        <v>480</v>
      </c>
      <c r="AD21" s="59"/>
      <c r="AE21" s="33"/>
      <c r="AF21" s="59">
        <f>SUM(AF3:AF13)*10</f>
        <v>290</v>
      </c>
      <c r="AG21" s="59"/>
      <c r="AH21" s="33"/>
      <c r="AI21" s="59">
        <f>SUM(AI3:AI13)*10</f>
        <v>430</v>
      </c>
      <c r="AJ21" s="59"/>
      <c r="AK21" s="33"/>
      <c r="AL21" s="59">
        <f>SUM(AL3:AL13)*10</f>
        <v>0</v>
      </c>
      <c r="AM21" s="59"/>
      <c r="AN21" s="33"/>
      <c r="AO21" s="59">
        <f>SUM(AO3:AO13)*10</f>
        <v>0</v>
      </c>
      <c r="AP21" s="59"/>
      <c r="AQ21" s="33"/>
      <c r="AR21" s="59">
        <f>SUM(AR3:AR13)*10</f>
        <v>0</v>
      </c>
      <c r="AS21" s="59"/>
      <c r="AT21" s="33"/>
      <c r="AU21" s="59">
        <f>SUM(AU3:AU13)*10</f>
        <v>0</v>
      </c>
      <c r="AV21" s="59"/>
      <c r="AW21" s="33"/>
      <c r="AX21" s="60">
        <f>SUM(AX3:AX13)*10</f>
        <v>0</v>
      </c>
      <c r="AY21" s="60"/>
      <c r="AZ21" s="33"/>
      <c r="BA21" s="60">
        <f>SUM(BA3:BA17)*10</f>
        <v>0</v>
      </c>
      <c r="BB21" s="60"/>
      <c r="BC21" s="33"/>
      <c r="BD21" s="60">
        <f>SUM(BD3:BD17)*10</f>
        <v>100</v>
      </c>
      <c r="BE21" s="60"/>
      <c r="BF21" s="33"/>
      <c r="BG21" s="60">
        <f>SUM(BG3:BG17)*10</f>
        <v>150</v>
      </c>
      <c r="BH21" s="60"/>
      <c r="BI21" s="33"/>
      <c r="BJ21" s="60">
        <f>SUM(BJ3:BJ17)*10</f>
        <v>300</v>
      </c>
      <c r="BK21" s="60"/>
      <c r="BL21" s="33"/>
      <c r="BM21" s="60">
        <f>SUM(BM3:BM17)*10</f>
        <v>310</v>
      </c>
      <c r="BN21" s="60"/>
      <c r="BO21" s="33"/>
      <c r="BP21" s="60">
        <f>SUM(BP3:BP17)*10</f>
        <v>120</v>
      </c>
      <c r="BQ21" s="60"/>
      <c r="BR21" s="33"/>
      <c r="BS21" s="60">
        <f>SUM(BS3:BS17)*10</f>
        <v>0</v>
      </c>
      <c r="BT21" s="60"/>
      <c r="BU21" s="33"/>
      <c r="BV21" s="1"/>
      <c r="BW21" s="61">
        <f>SUM(E21:BT21)</f>
        <v>6100</v>
      </c>
      <c r="BX21" s="1"/>
      <c r="BY21" s="62" t="str">
        <f>A21</f>
        <v>MARKUP</v>
      </c>
      <c r="BZ21" s="1"/>
      <c r="CA21" s="20"/>
      <c r="CB21" s="1"/>
    </row>
    <row r="22" ht="28.95" customHeight="1" spans="1:80" s="54" customFormat="1" x14ac:dyDescent="0.25">
      <c r="A22" s="20" t="s">
        <v>32</v>
      </c>
      <c r="B22" s="20"/>
      <c r="C22" s="20" t="s">
        <v>32</v>
      </c>
      <c r="D22" s="33"/>
      <c r="E22" s="63">
        <v>557.64</v>
      </c>
      <c r="F22" s="63"/>
      <c r="G22" s="33"/>
      <c r="H22" s="63">
        <v>1493.29</v>
      </c>
      <c r="I22" s="63"/>
      <c r="J22" s="33"/>
      <c r="K22" s="63">
        <v>840.54</v>
      </c>
      <c r="L22" s="63"/>
      <c r="M22" s="33"/>
      <c r="N22" s="63">
        <v>763.39</v>
      </c>
      <c r="O22" s="63"/>
      <c r="P22" s="33"/>
      <c r="Q22" s="63">
        <v>748.14</v>
      </c>
      <c r="R22" s="63"/>
      <c r="S22" s="33"/>
      <c r="T22" s="63">
        <v>730.34</v>
      </c>
      <c r="U22" s="63"/>
      <c r="V22" s="33"/>
      <c r="W22" s="63">
        <v>634.39</v>
      </c>
      <c r="X22" s="63"/>
      <c r="Y22" s="33"/>
      <c r="Z22" s="63">
        <v>1020.28</v>
      </c>
      <c r="AA22" s="63"/>
      <c r="AB22" s="33"/>
      <c r="AC22" s="63">
        <v>721.45</v>
      </c>
      <c r="AD22" s="63"/>
      <c r="AE22" s="33"/>
      <c r="AF22" s="63">
        <v>226.8</v>
      </c>
      <c r="AG22" s="63"/>
      <c r="AH22" s="33"/>
      <c r="AI22" s="63">
        <v>713.74</v>
      </c>
      <c r="AJ22" s="63"/>
      <c r="AK22" s="33"/>
      <c r="AL22" s="63"/>
      <c r="AM22" s="63"/>
      <c r="AN22" s="33"/>
      <c r="AO22" s="63"/>
      <c r="AP22" s="63"/>
      <c r="AQ22" s="33"/>
      <c r="AR22" s="63"/>
      <c r="AS22" s="63"/>
      <c r="AT22" s="33"/>
      <c r="AU22" s="63"/>
      <c r="AV22" s="63"/>
      <c r="AW22" s="33"/>
      <c r="AX22" s="63"/>
      <c r="AY22" s="63"/>
      <c r="AZ22" s="33"/>
      <c r="BA22" s="63"/>
      <c r="BB22" s="63"/>
      <c r="BC22" s="33"/>
      <c r="BD22" s="63"/>
      <c r="BE22" s="63"/>
      <c r="BF22" s="33"/>
      <c r="BG22" s="63"/>
      <c r="BH22" s="63"/>
      <c r="BI22" s="33"/>
      <c r="BJ22" s="63">
        <v>691.38</v>
      </c>
      <c r="BK22" s="63"/>
      <c r="BL22" s="33"/>
      <c r="BM22" s="63">
        <v>139.52</v>
      </c>
      <c r="BN22" s="63"/>
      <c r="BO22" s="33"/>
      <c r="BP22" s="63">
        <v>80.4</v>
      </c>
      <c r="BQ22" s="63"/>
      <c r="BR22" s="33"/>
      <c r="BS22" s="63">
        <v>371.16</v>
      </c>
      <c r="BT22" s="63"/>
      <c r="BU22" s="24"/>
      <c r="BV22" s="1"/>
      <c r="BW22" s="57">
        <f>SUM(E22:BT22)</f>
        <v>9732.46</v>
      </c>
      <c r="BX22" s="1"/>
      <c r="BY22" s="62" t="str">
        <f>A22</f>
        <v>PAPERWARE</v>
      </c>
      <c r="BZ22" s="1"/>
      <c r="CA22" s="20"/>
      <c r="CB22" s="20"/>
    </row>
    <row r="23" ht="28.95" customHeight="1" spans="1:80" s="64" customFormat="1" x14ac:dyDescent="0.25">
      <c r="A23" s="10" t="s">
        <v>57</v>
      </c>
      <c r="B23" s="10"/>
      <c r="C23" s="10" t="s">
        <v>57</v>
      </c>
      <c r="D23" s="33"/>
      <c r="E23" s="65">
        <f>SUM(E20:E22)</f>
        <v>5433.55</v>
      </c>
      <c r="F23" s="65"/>
      <c r="G23" s="10"/>
      <c r="H23" s="65">
        <f>SUM(H20:H22)</f>
        <v>13004.329999999998</v>
      </c>
      <c r="I23" s="65"/>
      <c r="J23" s="10"/>
      <c r="K23" s="65">
        <f>SUM(K20:K22)</f>
        <v>7828.049999999999</v>
      </c>
      <c r="L23" s="65"/>
      <c r="M23" s="10"/>
      <c r="N23" s="65">
        <f>SUM(N20:N22)</f>
        <v>9445.82</v>
      </c>
      <c r="O23" s="65"/>
      <c r="P23" s="10"/>
      <c r="Q23" s="65">
        <f>SUM(Q20:Q22)</f>
        <v>4788.53</v>
      </c>
      <c r="R23" s="65"/>
      <c r="S23" s="10"/>
      <c r="T23" s="65">
        <f>SUM(T20:T22)</f>
        <v>5857.88</v>
      </c>
      <c r="U23" s="65"/>
      <c r="V23" s="10"/>
      <c r="W23" s="65">
        <f>SUM(W20:W22)</f>
        <v>5576.849999999999</v>
      </c>
      <c r="X23" s="65"/>
      <c r="Y23" s="10"/>
      <c r="Z23" s="65">
        <f>SUM(Z20:Z22)</f>
        <v>10513.14</v>
      </c>
      <c r="AA23" s="65"/>
      <c r="AB23" s="10"/>
      <c r="AC23" s="65">
        <f>SUM(AC20:AC22)</f>
        <v>6649.28</v>
      </c>
      <c r="AD23" s="65"/>
      <c r="AE23" s="10"/>
      <c r="AF23" s="65">
        <f>SUM(AF20:AF22)</f>
        <v>3496.46</v>
      </c>
      <c r="AG23" s="65"/>
      <c r="AH23" s="10"/>
      <c r="AI23" s="65">
        <f>SUM(AI20:AI22)</f>
        <v>6502.61</v>
      </c>
      <c r="AJ23" s="65"/>
      <c r="AK23" s="10"/>
      <c r="AL23" s="65">
        <f>SUM(AL20:AL22)</f>
        <v>0</v>
      </c>
      <c r="AM23" s="65"/>
      <c r="AN23" s="10"/>
      <c r="AO23" s="65">
        <f>SUM(AO20:AO22)</f>
        <v>0</v>
      </c>
      <c r="AP23" s="65"/>
      <c r="AQ23" s="10"/>
      <c r="AR23" s="65">
        <f>SUM(AR20:AR22)</f>
        <v>0</v>
      </c>
      <c r="AS23" s="65"/>
      <c r="AT23" s="10"/>
      <c r="AU23" s="65">
        <f>SUM(AU20:AU22)</f>
        <v>0</v>
      </c>
      <c r="AV23" s="65"/>
      <c r="AW23" s="10"/>
      <c r="AX23" s="65">
        <f>SUM(AX20:AX22)</f>
        <v>0</v>
      </c>
      <c r="AY23" s="65"/>
      <c r="AZ23" s="10"/>
      <c r="BA23" s="65">
        <f>SUM(BA20:BA22)</f>
        <v>0</v>
      </c>
      <c r="BB23" s="65"/>
      <c r="BC23" s="10"/>
      <c r="BD23" s="65">
        <f>SUM(BD20:BD22)</f>
        <v>1608.8899999999999</v>
      </c>
      <c r="BE23" s="65"/>
      <c r="BF23" s="10"/>
      <c r="BG23" s="65">
        <f>SUM(BG20:BG22)</f>
        <v>2802.3900000000003</v>
      </c>
      <c r="BH23" s="65"/>
      <c r="BI23" s="10"/>
      <c r="BJ23" s="65">
        <f>SUM(BJ20:BJ22)</f>
        <v>4085.87</v>
      </c>
      <c r="BK23" s="65"/>
      <c r="BL23" s="10"/>
      <c r="BM23" s="65">
        <f>SUM(BM20:BM22)</f>
        <v>3423.52</v>
      </c>
      <c r="BN23" s="65"/>
      <c r="BO23" s="10"/>
      <c r="BP23" s="65">
        <f>SUM(BP20:BP22)</f>
        <v>1533.91</v>
      </c>
      <c r="BQ23" s="65"/>
      <c r="BR23" s="10"/>
      <c r="BS23" s="65">
        <f>SUM(BS20:BS22)</f>
        <v>371.16</v>
      </c>
      <c r="BT23" s="65"/>
      <c r="BU23" s="10"/>
      <c r="BV23" s="20"/>
      <c r="BW23" s="61">
        <f>SUM(E23:BT23)</f>
        <v>92922.24</v>
      </c>
      <c r="BX23" s="10"/>
      <c r="BY23" s="62" t="str">
        <f>A23</f>
        <v>EXTENDED AMOUNT</v>
      </c>
      <c r="BZ23" s="10"/>
      <c r="CA23" s="20"/>
      <c r="CB23" s="20"/>
    </row>
    <row r="24" ht="16.2" customHeight="1" spans="4:80" x14ac:dyDescent="0.25">
      <c r="D24" s="66"/>
      <c r="CA24" s="67"/>
      <c r="CB24" s="67"/>
    </row>
    <row r="25" spans="4:80" x14ac:dyDescent="0.25">
      <c r="D25" s="66"/>
      <c r="CA25" s="67"/>
      <c r="CB25" s="67"/>
    </row>
    <row r="26" spans="1:81" s="68" customFormat="1" x14ac:dyDescent="0.25">
      <c r="A26" s="1"/>
      <c r="B26" s="2"/>
      <c r="C26" s="3"/>
      <c r="D26" s="66"/>
      <c r="E26" s="3"/>
      <c r="F26" s="6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1"/>
      <c r="BW26" s="4"/>
      <c r="BX26" s="4"/>
      <c r="BY26" s="4"/>
      <c r="BZ26" s="1"/>
      <c r="CA26" s="67"/>
      <c r="CB26" s="67"/>
      <c r="CC26" s="5"/>
    </row>
    <row r="27" spans="4:4" x14ac:dyDescent="0.25">
      <c r="D27" s="66"/>
    </row>
    <row r="28" spans="4:4" x14ac:dyDescent="0.25">
      <c r="D28" s="66"/>
    </row>
    <row r="29" spans="4:4" x14ac:dyDescent="0.25">
      <c r="D29" s="66"/>
    </row>
    <row r="30" spans="4:4" x14ac:dyDescent="0.25">
      <c r="D30" s="66"/>
    </row>
  </sheetData>
  <mergeCells count="145">
    <mergeCell ref="E1:F1"/>
    <mergeCell ref="T1:U1"/>
    <mergeCell ref="AX1:AY1"/>
    <mergeCell ref="BP1:BQ1"/>
    <mergeCell ref="BS1:BT1"/>
    <mergeCell ref="E2:F2"/>
    <mergeCell ref="H2:I2"/>
    <mergeCell ref="K2:L2"/>
    <mergeCell ref="N2:O2"/>
    <mergeCell ref="Q2:R2"/>
    <mergeCell ref="T2:U2"/>
    <mergeCell ref="W2:X2"/>
    <mergeCell ref="Z2:AA2"/>
    <mergeCell ref="AC2:AD2"/>
    <mergeCell ref="AF2:AG2"/>
    <mergeCell ref="AI2:AJ2"/>
    <mergeCell ref="AL2:AM2"/>
    <mergeCell ref="AO2:AP2"/>
    <mergeCell ref="AR2:AS2"/>
    <mergeCell ref="AU2:AV2"/>
    <mergeCell ref="AX2:AY2"/>
    <mergeCell ref="BA2:BB2"/>
    <mergeCell ref="BD2:BE2"/>
    <mergeCell ref="BG2:BH2"/>
    <mergeCell ref="BJ2:BK2"/>
    <mergeCell ref="BM2:BN2"/>
    <mergeCell ref="BP2:BQ2"/>
    <mergeCell ref="BS2:BT2"/>
    <mergeCell ref="BW2:BY2"/>
    <mergeCell ref="BW11:BY11"/>
    <mergeCell ref="E19:F19"/>
    <mergeCell ref="H19:I19"/>
    <mergeCell ref="K19:L19"/>
    <mergeCell ref="N19:O19"/>
    <mergeCell ref="Q19:R19"/>
    <mergeCell ref="T19:U19"/>
    <mergeCell ref="W19:X19"/>
    <mergeCell ref="Z19:AA19"/>
    <mergeCell ref="AC19:AD19"/>
    <mergeCell ref="AF19:AG19"/>
    <mergeCell ref="AI19:AJ19"/>
    <mergeCell ref="AL19:AM19"/>
    <mergeCell ref="AO19:AP19"/>
    <mergeCell ref="AR19:AS19"/>
    <mergeCell ref="AU19:AV19"/>
    <mergeCell ref="AX19:AY19"/>
    <mergeCell ref="BA19:BB19"/>
    <mergeCell ref="BD19:BE19"/>
    <mergeCell ref="BG19:BH19"/>
    <mergeCell ref="BJ19:BK19"/>
    <mergeCell ref="BM19:BN19"/>
    <mergeCell ref="BP19:BQ19"/>
    <mergeCell ref="BS19:BT19"/>
    <mergeCell ref="E20:F20"/>
    <mergeCell ref="H20:I20"/>
    <mergeCell ref="K20:L20"/>
    <mergeCell ref="N20:O20"/>
    <mergeCell ref="Q20:R20"/>
    <mergeCell ref="T20:U20"/>
    <mergeCell ref="W20:X20"/>
    <mergeCell ref="Z20:AA20"/>
    <mergeCell ref="AC20:AD20"/>
    <mergeCell ref="AF20:AG20"/>
    <mergeCell ref="AI20:AJ20"/>
    <mergeCell ref="AL20:AM20"/>
    <mergeCell ref="AO20:AP20"/>
    <mergeCell ref="AR20:AS20"/>
    <mergeCell ref="AU20:AV20"/>
    <mergeCell ref="AX20:AY20"/>
    <mergeCell ref="BA20:BB20"/>
    <mergeCell ref="BD20:BE20"/>
    <mergeCell ref="BG20:BH20"/>
    <mergeCell ref="BJ20:BK20"/>
    <mergeCell ref="BM20:BN20"/>
    <mergeCell ref="BP20:BQ20"/>
    <mergeCell ref="BS20:BT20"/>
    <mergeCell ref="E21:F21"/>
    <mergeCell ref="H21:I21"/>
    <mergeCell ref="K21:L21"/>
    <mergeCell ref="N21:O21"/>
    <mergeCell ref="Q21:R21"/>
    <mergeCell ref="T21:U21"/>
    <mergeCell ref="W21:X21"/>
    <mergeCell ref="Z21:AA21"/>
    <mergeCell ref="AC21:AD21"/>
    <mergeCell ref="AF21:AG21"/>
    <mergeCell ref="AI21:AJ21"/>
    <mergeCell ref="AL21:AM21"/>
    <mergeCell ref="AO21:AP21"/>
    <mergeCell ref="AR21:AS21"/>
    <mergeCell ref="AU21:AV21"/>
    <mergeCell ref="AX21:AY21"/>
    <mergeCell ref="BA21:BB21"/>
    <mergeCell ref="BD21:BE21"/>
    <mergeCell ref="BG21:BH21"/>
    <mergeCell ref="BJ21:BK21"/>
    <mergeCell ref="BM21:BN21"/>
    <mergeCell ref="BP21:BQ21"/>
    <mergeCell ref="BS21:BT21"/>
    <mergeCell ref="E22:F22"/>
    <mergeCell ref="H22:I22"/>
    <mergeCell ref="K22:L22"/>
    <mergeCell ref="N22:O22"/>
    <mergeCell ref="Q22:R22"/>
    <mergeCell ref="T22:U22"/>
    <mergeCell ref="W22:X22"/>
    <mergeCell ref="Z22:AA22"/>
    <mergeCell ref="AC22:AD22"/>
    <mergeCell ref="AF22:AG22"/>
    <mergeCell ref="AI22:AJ22"/>
    <mergeCell ref="AL22:AM22"/>
    <mergeCell ref="AO22:AP22"/>
    <mergeCell ref="AR22:AS22"/>
    <mergeCell ref="AU22:AV22"/>
    <mergeCell ref="AX22:AY22"/>
    <mergeCell ref="BA22:BB22"/>
    <mergeCell ref="BD22:BE22"/>
    <mergeCell ref="BG22:BH22"/>
    <mergeCell ref="BJ22:BK22"/>
    <mergeCell ref="BM22:BN22"/>
    <mergeCell ref="BP22:BQ22"/>
    <mergeCell ref="BS22:BT22"/>
    <mergeCell ref="E23:F23"/>
    <mergeCell ref="H23:I23"/>
    <mergeCell ref="K23:L23"/>
    <mergeCell ref="N23:O23"/>
    <mergeCell ref="Q23:R23"/>
    <mergeCell ref="T23:U23"/>
    <mergeCell ref="W23:X23"/>
    <mergeCell ref="Z23:AA23"/>
    <mergeCell ref="AC23:AD23"/>
    <mergeCell ref="AF23:AG23"/>
    <mergeCell ref="AI23:AJ23"/>
    <mergeCell ref="AL23:AM23"/>
    <mergeCell ref="AO23:AP23"/>
    <mergeCell ref="AR23:AS23"/>
    <mergeCell ref="AU23:AV23"/>
    <mergeCell ref="AX23:AY23"/>
    <mergeCell ref="BA23:BB23"/>
    <mergeCell ref="BD23:BE23"/>
    <mergeCell ref="BG23:BH23"/>
    <mergeCell ref="BJ23:BK23"/>
    <mergeCell ref="BM23:BN23"/>
    <mergeCell ref="BP23:BQ23"/>
    <mergeCell ref="BS23:BT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0"/>
  <sheetViews>
    <sheetView workbookViewId="0" zoomScale="67" zoomScaleNormal="67">
      <pane xSplit="1" topLeftCell="BS1" activePane="topRight" state="frozen"/>
      <selection pane="topRight" activeCell="CE14" sqref="CE14"/>
    </sheetView>
  </sheetViews>
  <sheetFormatPr defaultRowHeight="15.6" outlineLevelRow="0" outlineLevelCol="0" x14ac:dyDescent="0.3" defaultColWidth="9.109375" customHeight="1"/>
  <cols>
    <col min="1" max="1" width="26.6640625" style="1" customWidth="1"/>
    <col min="2" max="2" width="4.77734375" style="2" customWidth="1"/>
    <col min="3" max="3" width="15.33203125" style="3" customWidth="1"/>
    <col min="4" max="5" width="4.77734375" style="3" customWidth="1"/>
    <col min="6" max="6" width="11.77734375" style="3" customWidth="1"/>
    <col min="7" max="8" width="4.77734375" style="3" customWidth="1"/>
    <col min="9" max="9" width="11.77734375" style="3" customWidth="1"/>
    <col min="10" max="11" width="4.77734375" style="3" customWidth="1"/>
    <col min="12" max="12" width="11.77734375" style="3" customWidth="1"/>
    <col min="13" max="14" width="4.77734375" style="3" customWidth="1"/>
    <col min="15" max="15" width="11.77734375" style="3" customWidth="1"/>
    <col min="16" max="17" width="4.77734375" style="3" customWidth="1"/>
    <col min="18" max="18" width="11.77734375" style="3" customWidth="1"/>
    <col min="19" max="20" width="4.77734375" style="3" customWidth="1"/>
    <col min="21" max="21" width="11.77734375" style="3" customWidth="1"/>
    <col min="22" max="23" width="4.77734375" style="3" customWidth="1"/>
    <col min="24" max="24" width="11.77734375" style="3" customWidth="1"/>
    <col min="25" max="26" width="4.77734375" style="3" customWidth="1"/>
    <col min="27" max="27" width="11.77734375" style="3" customWidth="1"/>
    <col min="28" max="29" width="4.77734375" style="3" customWidth="1"/>
    <col min="30" max="30" width="11.77734375" style="3" customWidth="1"/>
    <col min="31" max="32" width="4.77734375" style="3" customWidth="1"/>
    <col min="33" max="33" width="11.77734375" style="3" customWidth="1"/>
    <col min="34" max="35" width="4.77734375" style="3" customWidth="1"/>
    <col min="36" max="36" width="11.77734375" style="3" customWidth="1"/>
    <col min="37" max="37" width="4.77734375" style="3" customWidth="1"/>
    <col min="38" max="38" width="4.77734375" style="3" hidden="1" customWidth="1"/>
    <col min="39" max="39" width="11.77734375" style="3" hidden="1" customWidth="1"/>
    <col min="40" max="41" width="4.77734375" style="3" hidden="1" customWidth="1"/>
    <col min="42" max="42" width="11.77734375" style="3" hidden="1" customWidth="1"/>
    <col min="43" max="44" width="4.77734375" style="3" hidden="1" customWidth="1"/>
    <col min="45" max="45" width="11.77734375" style="3" hidden="1" customWidth="1"/>
    <col min="46" max="47" width="4.77734375" style="3" hidden="1" customWidth="1"/>
    <col min="48" max="48" width="11.77734375" style="3" hidden="1" customWidth="1"/>
    <col min="49" max="50" width="4.77734375" style="3" hidden="1" customWidth="1"/>
    <col min="51" max="51" width="11.77734375" style="3" hidden="1" customWidth="1"/>
    <col min="52" max="53" width="4.77734375" style="3" hidden="1" customWidth="1"/>
    <col min="54" max="54" width="11.77734375" style="3" hidden="1" customWidth="1"/>
    <col min="55" max="55" width="4.77734375" style="3" hidden="1" customWidth="1"/>
    <col min="56" max="56" width="4.77734375" style="3" customWidth="1"/>
    <col min="57" max="57" width="11.77734375" style="3" customWidth="1"/>
    <col min="58" max="59" width="4.77734375" style="3" customWidth="1"/>
    <col min="60" max="60" width="11.77734375" style="3" customWidth="1"/>
    <col min="61" max="62" width="4.77734375" style="3" customWidth="1"/>
    <col min="63" max="63" width="11.77734375" style="3" customWidth="1"/>
    <col min="64" max="65" width="4.77734375" style="3" customWidth="1"/>
    <col min="66" max="66" width="11.77734375" style="3" customWidth="1"/>
    <col min="67" max="68" width="4.77734375" style="3" customWidth="1"/>
    <col min="69" max="69" width="11.77734375" style="3" customWidth="1"/>
    <col min="70" max="71" width="4.77734375" style="3" customWidth="1"/>
    <col min="72" max="72" width="11.77734375" style="3" customWidth="1"/>
    <col min="73" max="73" width="9.109375" style="3" customWidth="1"/>
    <col min="74" max="74" width="9.109375" style="1" customWidth="1"/>
    <col min="75" max="75" width="14.5546875" style="4" customWidth="1"/>
    <col min="76" max="76" width="9.109375" style="4" customWidth="1"/>
    <col min="77" max="77" width="20.88671875" style="4" customWidth="1"/>
    <col min="78" max="80" width="13.77734375" style="1" customWidth="1"/>
    <col min="81" max="82" width="9.109375" style="5" customWidth="1"/>
    <col min="83" max="83" width="12.6640625" style="70" customWidth="1"/>
    <col min="84" max="16384" width="9.109375" style="5" customWidth="1"/>
  </cols>
  <sheetData>
    <row r="1" ht="39.6" customHeight="1" spans="1:83" s="6" customFormat="1" x14ac:dyDescent="0.25">
      <c r="A1" s="7" t="s">
        <v>0</v>
      </c>
      <c r="B1" s="8"/>
      <c r="C1" s="9">
        <v>46209</v>
      </c>
      <c r="D1" s="10"/>
      <c r="E1" s="9">
        <f>C1+6</f>
        <v>46215</v>
      </c>
      <c r="F1" s="11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  <c r="S1" s="12"/>
      <c r="T1" s="13"/>
      <c r="U1" s="13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3"/>
      <c r="AY1" s="13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3"/>
      <c r="BQ1" s="13"/>
      <c r="BR1" s="12"/>
      <c r="BS1" s="13"/>
      <c r="BT1" s="13"/>
      <c r="BU1" s="4"/>
      <c r="BV1" s="4"/>
      <c r="BW1" s="4"/>
      <c r="BX1" s="4"/>
      <c r="BY1" s="4"/>
      <c r="BZ1" s="4"/>
      <c r="CA1" s="4"/>
      <c r="CB1" s="4"/>
      <c r="CE1" s="71"/>
    </row>
    <row r="2" ht="28.8" customHeight="1" spans="1:83" s="14" customFormat="1" x14ac:dyDescent="0.25">
      <c r="A2" s="15" t="s">
        <v>1</v>
      </c>
      <c r="B2" s="10"/>
      <c r="C2" s="16" t="s">
        <v>2</v>
      </c>
      <c r="D2" s="10"/>
      <c r="E2" s="17" t="s">
        <v>3</v>
      </c>
      <c r="F2" s="18"/>
      <c r="G2" s="10"/>
      <c r="H2" s="17" t="s">
        <v>4</v>
      </c>
      <c r="I2" s="18"/>
      <c r="J2" s="10"/>
      <c r="K2" s="19" t="s">
        <v>5</v>
      </c>
      <c r="L2" s="18"/>
      <c r="M2" s="10"/>
      <c r="N2" s="17" t="s">
        <v>6</v>
      </c>
      <c r="O2" s="18"/>
      <c r="P2" s="10"/>
      <c r="Q2" s="17" t="s">
        <v>7</v>
      </c>
      <c r="R2" s="18"/>
      <c r="S2" s="10"/>
      <c r="T2" s="17" t="s">
        <v>8</v>
      </c>
      <c r="U2" s="18"/>
      <c r="V2" s="10"/>
      <c r="W2" s="17" t="s">
        <v>9</v>
      </c>
      <c r="X2" s="18"/>
      <c r="Y2" s="10"/>
      <c r="Z2" s="17" t="s">
        <v>10</v>
      </c>
      <c r="AA2" s="18"/>
      <c r="AB2" s="10"/>
      <c r="AC2" s="17" t="s">
        <v>11</v>
      </c>
      <c r="AD2" s="18"/>
      <c r="AE2" s="10"/>
      <c r="AF2" s="17" t="s">
        <v>12</v>
      </c>
      <c r="AG2" s="18"/>
      <c r="AH2" s="10"/>
      <c r="AI2" s="17" t="s">
        <v>13</v>
      </c>
      <c r="AJ2" s="18"/>
      <c r="AK2" s="10"/>
      <c r="AL2" s="17" t="s">
        <v>14</v>
      </c>
      <c r="AM2" s="18"/>
      <c r="AN2" s="10"/>
      <c r="AO2" s="17" t="s">
        <v>15</v>
      </c>
      <c r="AP2" s="18"/>
      <c r="AQ2" s="10"/>
      <c r="AR2" s="17" t="s">
        <v>16</v>
      </c>
      <c r="AS2" s="18"/>
      <c r="AT2" s="10"/>
      <c r="AU2" s="17" t="s">
        <v>17</v>
      </c>
      <c r="AV2" s="18"/>
      <c r="AW2" s="10"/>
      <c r="AX2" s="17" t="s">
        <v>18</v>
      </c>
      <c r="AY2" s="18"/>
      <c r="AZ2" s="10"/>
      <c r="BA2" s="17" t="s">
        <v>19</v>
      </c>
      <c r="BB2" s="18"/>
      <c r="BC2" s="10"/>
      <c r="BD2" s="17" t="s">
        <v>20</v>
      </c>
      <c r="BE2" s="18"/>
      <c r="BF2" s="10"/>
      <c r="BG2" s="17" t="s">
        <v>21</v>
      </c>
      <c r="BH2" s="18"/>
      <c r="BI2" s="10"/>
      <c r="BJ2" s="17" t="s">
        <v>22</v>
      </c>
      <c r="BK2" s="18"/>
      <c r="BL2" s="10"/>
      <c r="BM2" s="17" t="s">
        <v>23</v>
      </c>
      <c r="BN2" s="18"/>
      <c r="BO2" s="10"/>
      <c r="BP2" s="17" t="s">
        <v>24</v>
      </c>
      <c r="BQ2" s="18"/>
      <c r="BR2" s="10"/>
      <c r="BS2" s="17" t="s">
        <v>25</v>
      </c>
      <c r="BT2" s="18"/>
      <c r="BU2" s="20"/>
      <c r="BV2" s="20"/>
      <c r="BW2" s="21" t="s">
        <v>26</v>
      </c>
      <c r="BX2" s="21"/>
      <c r="BY2" s="21"/>
      <c r="BZ2" s="20"/>
      <c r="CA2" s="20"/>
      <c r="CB2" s="20"/>
      <c r="CE2" s="72"/>
    </row>
    <row r="3" ht="28.95" customHeight="1" spans="1:77" x14ac:dyDescent="0.25">
      <c r="A3" s="22" t="s">
        <v>27</v>
      </c>
      <c r="B3" s="10"/>
      <c r="C3" s="23">
        <v>205.84</v>
      </c>
      <c r="D3" s="24"/>
      <c r="E3" s="25">
        <v>13</v>
      </c>
      <c r="F3" s="26">
        <f t="shared" ref="F3:F14" si="0">E3*C3</f>
        <v>2675.92</v>
      </c>
      <c r="G3" s="24"/>
      <c r="H3" s="25">
        <v>39</v>
      </c>
      <c r="I3" s="26">
        <f t="shared" ref="I3:I14" si="1">H3*C3</f>
        <v>8027.76</v>
      </c>
      <c r="J3" s="24"/>
      <c r="K3" s="25">
        <v>23</v>
      </c>
      <c r="L3" s="26">
        <f t="shared" ref="L3:L14" si="2">K3*C3</f>
        <v>4734.32</v>
      </c>
      <c r="M3" s="24"/>
      <c r="N3" s="25">
        <v>20</v>
      </c>
      <c r="O3" s="26">
        <f t="shared" ref="O3:O14" si="3">N3*C3</f>
        <v>4116.8</v>
      </c>
      <c r="P3" s="24"/>
      <c r="Q3" s="25">
        <v>18</v>
      </c>
      <c r="R3" s="26">
        <f t="shared" ref="R3:R14" si="4">Q3*C3</f>
        <v>3705.12</v>
      </c>
      <c r="S3" s="24"/>
      <c r="T3" s="25">
        <v>17</v>
      </c>
      <c r="U3" s="26">
        <f t="shared" ref="U3:U14" si="5">T3*C3</f>
        <v>3499.28</v>
      </c>
      <c r="V3" s="24"/>
      <c r="W3" s="25">
        <v>21</v>
      </c>
      <c r="X3" s="26">
        <f t="shared" ref="X3:X14" si="6">W3*C3</f>
        <v>4322.64</v>
      </c>
      <c r="Y3" s="24"/>
      <c r="Z3" s="25">
        <v>18</v>
      </c>
      <c r="AA3" s="26">
        <f t="shared" ref="AA3:AA14" si="7">Z3*C3</f>
        <v>3705.12</v>
      </c>
      <c r="AB3" s="24"/>
      <c r="AC3" s="25">
        <v>16</v>
      </c>
      <c r="AD3" s="26">
        <f t="shared" ref="AD3:AD14" si="8">AC3*C3</f>
        <v>3293.44</v>
      </c>
      <c r="AE3" s="24"/>
      <c r="AF3" s="25">
        <v>10</v>
      </c>
      <c r="AG3" s="26">
        <f t="shared" ref="AG3:AG14" si="9">AF3*C3</f>
        <v>2058.4</v>
      </c>
      <c r="AH3" s="24"/>
      <c r="AI3" s="25">
        <v>16</v>
      </c>
      <c r="AJ3" s="26">
        <f t="shared" ref="AJ3:AJ14" si="10">AI3*C3</f>
        <v>3293.44</v>
      </c>
      <c r="AK3" s="24"/>
      <c r="AL3" s="25"/>
      <c r="AM3" s="26"/>
      <c r="AN3" s="24"/>
      <c r="AO3" s="25"/>
      <c r="AP3" s="26"/>
      <c r="AQ3" s="24"/>
      <c r="AR3" s="25"/>
      <c r="AS3" s="26"/>
      <c r="AT3" s="24"/>
      <c r="AU3" s="25"/>
      <c r="AV3" s="26"/>
      <c r="AW3" s="24"/>
      <c r="AX3" s="25"/>
      <c r="AY3" s="26"/>
      <c r="AZ3" s="24"/>
      <c r="BA3" s="25"/>
      <c r="BB3" s="26"/>
      <c r="BC3" s="24"/>
      <c r="BD3" s="25">
        <v>10</v>
      </c>
      <c r="BE3" s="26">
        <f t="shared" ref="BE3:BE14" si="11">BD3*C3</f>
        <v>2058.4</v>
      </c>
      <c r="BF3" s="24"/>
      <c r="BG3" s="25">
        <v>2</v>
      </c>
      <c r="BH3" s="26">
        <f t="shared" ref="BH3:BH14" si="12">BG3*C3</f>
        <v>411.68</v>
      </c>
      <c r="BI3" s="24"/>
      <c r="BJ3" s="25"/>
      <c r="BK3" s="26">
        <f t="shared" ref="BK3:BK14" si="13">BJ3*C3</f>
        <v>0</v>
      </c>
      <c r="BL3" s="24"/>
      <c r="BM3" s="25"/>
      <c r="BN3" s="26">
        <f t="shared" ref="BN3:BN14" si="14">BM3*C3</f>
        <v>0</v>
      </c>
      <c r="BO3" s="24"/>
      <c r="BP3" s="25"/>
      <c r="BQ3" s="26">
        <f t="shared" ref="BQ3:BQ14" si="15">BP3*C3</f>
        <v>0</v>
      </c>
      <c r="BR3" s="24"/>
      <c r="BS3" s="25"/>
      <c r="BT3" s="26">
        <f t="shared" ref="BT3:BT14" si="16">BS3*C3</f>
        <v>0</v>
      </c>
      <c r="BU3" s="24"/>
      <c r="BW3" s="27">
        <v>48004.39071532847</v>
      </c>
      <c r="BX3" s="1"/>
      <c r="BY3" s="1" t="s">
        <v>28</v>
      </c>
    </row>
    <row r="4" ht="28.95" customHeight="1" spans="1:77" x14ac:dyDescent="0.25">
      <c r="A4" s="28" t="s">
        <v>29</v>
      </c>
      <c r="B4" s="10"/>
      <c r="C4" s="23">
        <v>37.21</v>
      </c>
      <c r="D4" s="24"/>
      <c r="E4" s="25">
        <v>10</v>
      </c>
      <c r="F4" s="26">
        <f t="shared" si="0"/>
        <v>372.1</v>
      </c>
      <c r="G4" s="24"/>
      <c r="H4" s="25">
        <v>19</v>
      </c>
      <c r="I4" s="26">
        <f t="shared" si="1"/>
        <v>706.99</v>
      </c>
      <c r="J4" s="24"/>
      <c r="K4" s="25">
        <v>15</v>
      </c>
      <c r="L4" s="26">
        <f t="shared" si="2"/>
        <v>558.15</v>
      </c>
      <c r="M4" s="24"/>
      <c r="N4" s="25">
        <v>14</v>
      </c>
      <c r="O4" s="26">
        <f t="shared" si="3"/>
        <v>520.94</v>
      </c>
      <c r="P4" s="24"/>
      <c r="Q4" s="25">
        <v>6</v>
      </c>
      <c r="R4" s="26">
        <f t="shared" si="4"/>
        <v>223.26</v>
      </c>
      <c r="S4" s="24"/>
      <c r="T4" s="25">
        <v>5</v>
      </c>
      <c r="U4" s="26">
        <f t="shared" si="5"/>
        <v>186.05</v>
      </c>
      <c r="V4" s="24"/>
      <c r="W4" s="25">
        <v>10</v>
      </c>
      <c r="X4" s="26">
        <f t="shared" si="6"/>
        <v>372.1</v>
      </c>
      <c r="Y4" s="24"/>
      <c r="Z4" s="25">
        <v>8</v>
      </c>
      <c r="AA4" s="26">
        <f t="shared" si="7"/>
        <v>297.68</v>
      </c>
      <c r="AB4" s="24"/>
      <c r="AC4" s="25">
        <v>11</v>
      </c>
      <c r="AD4" s="26">
        <f t="shared" si="8"/>
        <v>409.31</v>
      </c>
      <c r="AE4" s="24"/>
      <c r="AF4" s="25">
        <v>6</v>
      </c>
      <c r="AG4" s="26">
        <f t="shared" si="9"/>
        <v>223.26</v>
      </c>
      <c r="AH4" s="24"/>
      <c r="AI4" s="25">
        <v>10</v>
      </c>
      <c r="AJ4" s="26">
        <f t="shared" si="10"/>
        <v>372.1</v>
      </c>
      <c r="AK4" s="24"/>
      <c r="AL4" s="25"/>
      <c r="AM4" s="26"/>
      <c r="AN4" s="24"/>
      <c r="AO4" s="25"/>
      <c r="AP4" s="26"/>
      <c r="AQ4" s="24"/>
      <c r="AR4" s="25"/>
      <c r="AS4" s="26"/>
      <c r="AT4" s="24"/>
      <c r="AU4" s="25"/>
      <c r="AV4" s="26"/>
      <c r="AW4" s="24"/>
      <c r="AX4" s="25"/>
      <c r="AY4" s="26"/>
      <c r="AZ4" s="24"/>
      <c r="BA4" s="25"/>
      <c r="BB4" s="26"/>
      <c r="BC4" s="24"/>
      <c r="BD4" s="25"/>
      <c r="BE4" s="26">
        <f t="shared" si="11"/>
        <v>0</v>
      </c>
      <c r="BF4" s="24"/>
      <c r="BG4" s="25">
        <v>1</v>
      </c>
      <c r="BH4" s="26">
        <f t="shared" si="12"/>
        <v>37.21</v>
      </c>
      <c r="BI4" s="24"/>
      <c r="BJ4" s="25"/>
      <c r="BK4" s="26">
        <f t="shared" si="13"/>
        <v>0</v>
      </c>
      <c r="BL4" s="24"/>
      <c r="BM4" s="25"/>
      <c r="BN4" s="26">
        <f t="shared" si="14"/>
        <v>0</v>
      </c>
      <c r="BO4" s="24"/>
      <c r="BP4" s="25"/>
      <c r="BQ4" s="26">
        <f t="shared" si="15"/>
        <v>0</v>
      </c>
      <c r="BR4" s="24"/>
      <c r="BS4" s="25"/>
      <c r="BT4" s="26">
        <f t="shared" si="16"/>
        <v>0</v>
      </c>
      <c r="BU4" s="24"/>
      <c r="BW4" s="27"/>
      <c r="BX4" s="1"/>
      <c r="BY4" s="1" t="s">
        <v>30</v>
      </c>
    </row>
    <row r="5" ht="28.8" customHeight="1" spans="1:77" x14ac:dyDescent="0.25">
      <c r="A5" s="29" t="s">
        <v>31</v>
      </c>
      <c r="B5" s="10"/>
      <c r="C5" s="23">
        <v>59.42</v>
      </c>
      <c r="D5" s="24"/>
      <c r="E5" s="25">
        <v>7</v>
      </c>
      <c r="F5" s="26">
        <f t="shared" si="0"/>
        <v>415.94</v>
      </c>
      <c r="G5" s="24"/>
      <c r="H5" s="25">
        <v>18</v>
      </c>
      <c r="I5" s="26">
        <f t="shared" si="1"/>
        <v>1069.56</v>
      </c>
      <c r="J5" s="24"/>
      <c r="K5" s="25">
        <v>14</v>
      </c>
      <c r="L5" s="26">
        <f t="shared" si="2"/>
        <v>831.88</v>
      </c>
      <c r="M5" s="24"/>
      <c r="N5" s="25">
        <v>12</v>
      </c>
      <c r="O5" s="26">
        <f t="shared" si="3"/>
        <v>713.04</v>
      </c>
      <c r="P5" s="24"/>
      <c r="Q5" s="25">
        <v>7</v>
      </c>
      <c r="R5" s="26">
        <f t="shared" si="4"/>
        <v>415.94</v>
      </c>
      <c r="S5" s="24"/>
      <c r="T5" s="25">
        <v>8</v>
      </c>
      <c r="U5" s="26">
        <f t="shared" si="5"/>
        <v>475.36</v>
      </c>
      <c r="V5" s="24"/>
      <c r="W5" s="25">
        <v>10</v>
      </c>
      <c r="X5" s="26">
        <f t="shared" si="6"/>
        <v>594.2</v>
      </c>
      <c r="Y5" s="24"/>
      <c r="Z5" s="25">
        <v>9</v>
      </c>
      <c r="AA5" s="26">
        <f t="shared" si="7"/>
        <v>534.78</v>
      </c>
      <c r="AB5" s="24"/>
      <c r="AC5" s="25">
        <v>9</v>
      </c>
      <c r="AD5" s="26">
        <f t="shared" si="8"/>
        <v>534.78</v>
      </c>
      <c r="AE5" s="24"/>
      <c r="AF5" s="25">
        <v>7</v>
      </c>
      <c r="AG5" s="26">
        <f t="shared" si="9"/>
        <v>415.94</v>
      </c>
      <c r="AH5" s="24"/>
      <c r="AI5" s="25">
        <v>9</v>
      </c>
      <c r="AJ5" s="26">
        <f t="shared" si="10"/>
        <v>534.78</v>
      </c>
      <c r="AK5" s="24"/>
      <c r="AL5" s="25"/>
      <c r="AM5" s="26"/>
      <c r="AN5" s="24"/>
      <c r="AO5" s="25"/>
      <c r="AP5" s="26"/>
      <c r="AQ5" s="24"/>
      <c r="AR5" s="25"/>
      <c r="AS5" s="26"/>
      <c r="AT5" s="24"/>
      <c r="AU5" s="25"/>
      <c r="AV5" s="26"/>
      <c r="AW5" s="24"/>
      <c r="AX5" s="25"/>
      <c r="AY5" s="26"/>
      <c r="AZ5" s="24"/>
      <c r="BA5" s="25"/>
      <c r="BB5" s="26"/>
      <c r="BC5" s="24"/>
      <c r="BD5" s="25">
        <v>3</v>
      </c>
      <c r="BE5" s="26">
        <f t="shared" si="11"/>
        <v>178.26</v>
      </c>
      <c r="BF5" s="24"/>
      <c r="BG5" s="25"/>
      <c r="BH5" s="26">
        <f t="shared" si="12"/>
        <v>0</v>
      </c>
      <c r="BI5" s="24"/>
      <c r="BJ5" s="25">
        <v>14</v>
      </c>
      <c r="BK5" s="26">
        <f t="shared" si="13"/>
        <v>831.88</v>
      </c>
      <c r="BL5" s="24"/>
      <c r="BM5" s="25">
        <v>8</v>
      </c>
      <c r="BN5" s="26">
        <f t="shared" si="14"/>
        <v>475.36</v>
      </c>
      <c r="BO5" s="24"/>
      <c r="BP5" s="25">
        <v>7</v>
      </c>
      <c r="BQ5" s="26">
        <f t="shared" si="15"/>
        <v>415.94</v>
      </c>
      <c r="BR5" s="24"/>
      <c r="BS5" s="25"/>
      <c r="BT5" s="26">
        <f t="shared" si="16"/>
        <v>0</v>
      </c>
      <c r="BU5" s="24"/>
      <c r="BW5" s="27">
        <v>264694.885</v>
      </c>
      <c r="BX5" s="1"/>
      <c r="BY5" s="1" t="s">
        <v>32</v>
      </c>
    </row>
    <row r="6" ht="28.95" customHeight="1" spans="1:83" x14ac:dyDescent="0.25">
      <c r="A6" s="29" t="s">
        <v>33</v>
      </c>
      <c r="B6" s="10"/>
      <c r="C6" s="23">
        <v>197.58</v>
      </c>
      <c r="D6" s="24"/>
      <c r="E6" s="25">
        <v>3</v>
      </c>
      <c r="F6" s="26">
        <f t="shared" si="0"/>
        <v>592.74</v>
      </c>
      <c r="G6" s="24"/>
      <c r="H6" s="25">
        <v>5</v>
      </c>
      <c r="I6" s="26">
        <f t="shared" si="1"/>
        <v>987.9000000000001</v>
      </c>
      <c r="J6" s="24"/>
      <c r="K6" s="25">
        <v>3</v>
      </c>
      <c r="L6" s="26">
        <f t="shared" si="2"/>
        <v>592.74</v>
      </c>
      <c r="M6" s="24"/>
      <c r="N6" s="25">
        <v>2</v>
      </c>
      <c r="O6" s="26">
        <f t="shared" si="3"/>
        <v>395.16</v>
      </c>
      <c r="P6" s="24"/>
      <c r="Q6" s="25">
        <v>2</v>
      </c>
      <c r="R6" s="26">
        <f t="shared" si="4"/>
        <v>395.16</v>
      </c>
      <c r="S6" s="24"/>
      <c r="T6" s="25">
        <v>2</v>
      </c>
      <c r="U6" s="26">
        <f t="shared" si="5"/>
        <v>395.16</v>
      </c>
      <c r="V6" s="24"/>
      <c r="W6" s="25">
        <v>2</v>
      </c>
      <c r="X6" s="26">
        <f t="shared" si="6"/>
        <v>395.16</v>
      </c>
      <c r="Y6" s="24"/>
      <c r="Z6" s="25">
        <v>2</v>
      </c>
      <c r="AA6" s="26">
        <f t="shared" si="7"/>
        <v>395.16</v>
      </c>
      <c r="AB6" s="24"/>
      <c r="AC6" s="25">
        <v>2</v>
      </c>
      <c r="AD6" s="26">
        <f t="shared" si="8"/>
        <v>395.16</v>
      </c>
      <c r="AE6" s="24"/>
      <c r="AF6" s="25">
        <v>1</v>
      </c>
      <c r="AG6" s="26">
        <f t="shared" si="9"/>
        <v>197.58</v>
      </c>
      <c r="AH6" s="24"/>
      <c r="AI6" s="25">
        <v>1</v>
      </c>
      <c r="AJ6" s="26">
        <f t="shared" si="10"/>
        <v>197.58</v>
      </c>
      <c r="AK6" s="24"/>
      <c r="AL6" s="25"/>
      <c r="AM6" s="26"/>
      <c r="AN6" s="24"/>
      <c r="AO6" s="25"/>
      <c r="AP6" s="26"/>
      <c r="AQ6" s="24"/>
      <c r="AR6" s="25"/>
      <c r="AS6" s="26"/>
      <c r="AT6" s="24"/>
      <c r="AU6" s="25"/>
      <c r="AV6" s="26"/>
      <c r="AW6" s="24"/>
      <c r="AX6" s="25"/>
      <c r="AY6" s="26"/>
      <c r="AZ6" s="24"/>
      <c r="BA6" s="25"/>
      <c r="BB6" s="26"/>
      <c r="BC6" s="24"/>
      <c r="BD6" s="25">
        <v>2</v>
      </c>
      <c r="BE6" s="26">
        <f t="shared" si="11"/>
        <v>395.16</v>
      </c>
      <c r="BF6" s="24"/>
      <c r="BG6" s="25"/>
      <c r="BH6" s="26">
        <f t="shared" si="12"/>
        <v>0</v>
      </c>
      <c r="BI6" s="24"/>
      <c r="BJ6" s="25">
        <v>4</v>
      </c>
      <c r="BK6" s="26">
        <f t="shared" si="13"/>
        <v>790.32</v>
      </c>
      <c r="BL6" s="24"/>
      <c r="BM6" s="25"/>
      <c r="BN6" s="26">
        <f t="shared" si="14"/>
        <v>0</v>
      </c>
      <c r="BO6" s="24"/>
      <c r="BP6" s="25">
        <v>2</v>
      </c>
      <c r="BQ6" s="26">
        <f t="shared" si="15"/>
        <v>395.16</v>
      </c>
      <c r="BR6" s="24"/>
      <c r="BS6" s="25"/>
      <c r="BT6" s="26">
        <f t="shared" si="16"/>
        <v>0</v>
      </c>
      <c r="BU6" s="24"/>
      <c r="BW6" s="27">
        <v>99877.375</v>
      </c>
      <c r="BX6" s="1"/>
      <c r="BY6" s="1" t="s">
        <v>34</v>
      </c>
      <c r="CE6" s="70">
        <v>2605.85</v>
      </c>
    </row>
    <row r="7" ht="28.95" customHeight="1" spans="1:83" x14ac:dyDescent="0.25">
      <c r="A7" s="29" t="s">
        <v>35</v>
      </c>
      <c r="B7" s="10"/>
      <c r="C7" s="23">
        <v>197.58</v>
      </c>
      <c r="D7" s="24"/>
      <c r="E7" s="25">
        <v>2</v>
      </c>
      <c r="F7" s="26">
        <f t="shared" si="0"/>
        <v>395.16</v>
      </c>
      <c r="G7" s="24"/>
      <c r="H7" s="25">
        <v>2</v>
      </c>
      <c r="I7" s="26">
        <f t="shared" si="1"/>
        <v>395.16</v>
      </c>
      <c r="J7" s="24"/>
      <c r="K7" s="25">
        <v>2</v>
      </c>
      <c r="L7" s="26">
        <f t="shared" si="2"/>
        <v>395.16</v>
      </c>
      <c r="M7" s="24"/>
      <c r="N7" s="25">
        <v>2</v>
      </c>
      <c r="O7" s="26">
        <f t="shared" si="3"/>
        <v>395.16</v>
      </c>
      <c r="P7" s="24"/>
      <c r="Q7" s="25">
        <v>0.5</v>
      </c>
      <c r="R7" s="26">
        <f t="shared" si="4"/>
        <v>98.79</v>
      </c>
      <c r="S7" s="24"/>
      <c r="T7" s="25"/>
      <c r="U7" s="26">
        <f t="shared" si="5"/>
        <v>0</v>
      </c>
      <c r="V7" s="24"/>
      <c r="W7" s="25">
        <v>1</v>
      </c>
      <c r="X7" s="26">
        <f t="shared" si="6"/>
        <v>197.58</v>
      </c>
      <c r="Y7" s="24"/>
      <c r="Z7" s="25">
        <v>1.5</v>
      </c>
      <c r="AA7" s="26">
        <f t="shared" si="7"/>
        <v>296.37</v>
      </c>
      <c r="AB7" s="24"/>
      <c r="AC7" s="25">
        <v>1</v>
      </c>
      <c r="AD7" s="26">
        <f t="shared" si="8"/>
        <v>197.58</v>
      </c>
      <c r="AE7" s="24"/>
      <c r="AF7" s="25">
        <v>1</v>
      </c>
      <c r="AG7" s="26">
        <f t="shared" si="9"/>
        <v>197.58</v>
      </c>
      <c r="AH7" s="24"/>
      <c r="AI7" s="25"/>
      <c r="AJ7" s="26">
        <f t="shared" si="10"/>
        <v>0</v>
      </c>
      <c r="AK7" s="24"/>
      <c r="AL7" s="25"/>
      <c r="AM7" s="26"/>
      <c r="AN7" s="24"/>
      <c r="AO7" s="25"/>
      <c r="AP7" s="26"/>
      <c r="AQ7" s="24"/>
      <c r="AR7" s="25"/>
      <c r="AS7" s="26"/>
      <c r="AT7" s="24"/>
      <c r="AU7" s="25"/>
      <c r="AV7" s="26"/>
      <c r="AW7" s="24"/>
      <c r="AX7" s="25"/>
      <c r="AY7" s="26"/>
      <c r="AZ7" s="24"/>
      <c r="BA7" s="25"/>
      <c r="BB7" s="26"/>
      <c r="BC7" s="24"/>
      <c r="BD7" s="25"/>
      <c r="BE7" s="26">
        <f t="shared" si="11"/>
        <v>0</v>
      </c>
      <c r="BF7" s="24"/>
      <c r="BG7" s="25"/>
      <c r="BH7" s="26">
        <f t="shared" si="12"/>
        <v>0</v>
      </c>
      <c r="BI7" s="24"/>
      <c r="BJ7" s="25"/>
      <c r="BK7" s="26">
        <f t="shared" si="13"/>
        <v>0</v>
      </c>
      <c r="BL7" s="24"/>
      <c r="BM7" s="25"/>
      <c r="BN7" s="26">
        <f t="shared" si="14"/>
        <v>0</v>
      </c>
      <c r="BO7" s="24"/>
      <c r="BP7" s="25"/>
      <c r="BQ7" s="26">
        <f t="shared" si="15"/>
        <v>0</v>
      </c>
      <c r="BR7" s="24"/>
      <c r="BS7" s="25"/>
      <c r="BT7" s="26">
        <f t="shared" si="16"/>
        <v>0</v>
      </c>
      <c r="BU7" s="24"/>
      <c r="BW7" s="27">
        <v>92922.24</v>
      </c>
      <c r="BX7" s="1"/>
      <c r="BY7" s="1" t="s">
        <v>36</v>
      </c>
      <c r="CE7" s="70">
        <v>1536.11</v>
      </c>
    </row>
    <row r="8" ht="28.95" customHeight="1" spans="1:83" x14ac:dyDescent="0.25">
      <c r="A8" s="28" t="s">
        <v>37</v>
      </c>
      <c r="B8" s="10"/>
      <c r="C8" s="23">
        <v>142.25</v>
      </c>
      <c r="D8" s="24"/>
      <c r="E8" s="25">
        <v>1</v>
      </c>
      <c r="F8" s="26">
        <f t="shared" si="0"/>
        <v>142.25</v>
      </c>
      <c r="G8" s="24"/>
      <c r="H8" s="25">
        <v>2</v>
      </c>
      <c r="I8" s="26">
        <f t="shared" si="1"/>
        <v>284.5</v>
      </c>
      <c r="J8" s="24"/>
      <c r="K8" s="25">
        <v>1</v>
      </c>
      <c r="L8" s="26">
        <f t="shared" si="2"/>
        <v>142.25</v>
      </c>
      <c r="M8" s="24"/>
      <c r="N8" s="25">
        <v>1</v>
      </c>
      <c r="O8" s="26">
        <f t="shared" si="3"/>
        <v>142.25</v>
      </c>
      <c r="P8" s="24"/>
      <c r="Q8" s="25">
        <v>1</v>
      </c>
      <c r="R8" s="26">
        <f t="shared" si="4"/>
        <v>142.25</v>
      </c>
      <c r="S8" s="24"/>
      <c r="T8" s="25">
        <v>1</v>
      </c>
      <c r="U8" s="26">
        <f t="shared" si="5"/>
        <v>142.25</v>
      </c>
      <c r="V8" s="24"/>
      <c r="W8" s="25">
        <v>1</v>
      </c>
      <c r="X8" s="26">
        <f t="shared" si="6"/>
        <v>142.25</v>
      </c>
      <c r="Y8" s="24"/>
      <c r="Z8" s="25">
        <v>1</v>
      </c>
      <c r="AA8" s="26">
        <f t="shared" si="7"/>
        <v>142.25</v>
      </c>
      <c r="AB8" s="24"/>
      <c r="AC8" s="25">
        <v>1</v>
      </c>
      <c r="AD8" s="26">
        <f t="shared" si="8"/>
        <v>142.25</v>
      </c>
      <c r="AE8" s="24"/>
      <c r="AF8" s="25"/>
      <c r="AG8" s="26">
        <f t="shared" si="9"/>
        <v>0</v>
      </c>
      <c r="AH8" s="24"/>
      <c r="AI8" s="25">
        <v>1</v>
      </c>
      <c r="AJ8" s="26">
        <f t="shared" si="10"/>
        <v>142.25</v>
      </c>
      <c r="AK8" s="24"/>
      <c r="AL8" s="25"/>
      <c r="AM8" s="26"/>
      <c r="AN8" s="24"/>
      <c r="AO8" s="25"/>
      <c r="AP8" s="26"/>
      <c r="AQ8" s="24"/>
      <c r="AR8" s="25"/>
      <c r="AS8" s="26"/>
      <c r="AT8" s="24"/>
      <c r="AU8" s="25"/>
      <c r="AV8" s="26"/>
      <c r="AW8" s="24"/>
      <c r="AX8" s="25"/>
      <c r="AY8" s="26"/>
      <c r="AZ8" s="24"/>
      <c r="BA8" s="25"/>
      <c r="BB8" s="26"/>
      <c r="BC8" s="24"/>
      <c r="BD8" s="25"/>
      <c r="BE8" s="26">
        <f t="shared" si="11"/>
        <v>0</v>
      </c>
      <c r="BF8" s="24"/>
      <c r="BG8" s="25"/>
      <c r="BH8" s="26">
        <f t="shared" si="12"/>
        <v>0</v>
      </c>
      <c r="BI8" s="24"/>
      <c r="BJ8" s="25">
        <v>1</v>
      </c>
      <c r="BK8" s="26">
        <f t="shared" si="13"/>
        <v>142.25</v>
      </c>
      <c r="BL8" s="24"/>
      <c r="BM8" s="25"/>
      <c r="BN8" s="26">
        <f t="shared" si="14"/>
        <v>0</v>
      </c>
      <c r="BO8" s="24"/>
      <c r="BP8" s="25">
        <v>1</v>
      </c>
      <c r="BQ8" s="26">
        <f t="shared" si="15"/>
        <v>142.25</v>
      </c>
      <c r="BR8" s="24"/>
      <c r="BS8" s="25"/>
      <c r="BT8" s="26">
        <f t="shared" si="16"/>
        <v>0</v>
      </c>
      <c r="BU8" s="24"/>
      <c r="BW8" s="27">
        <f>BW23</f>
        <v>92123.68999999999</v>
      </c>
      <c r="BX8" s="1"/>
      <c r="BY8" s="1" t="s">
        <v>38</v>
      </c>
      <c r="CE8" s="70">
        <v>2188.13</v>
      </c>
    </row>
    <row r="9" ht="28.95" customHeight="1" spans="1:83" x14ac:dyDescent="0.25">
      <c r="A9" s="30" t="s">
        <v>39</v>
      </c>
      <c r="B9" s="31"/>
      <c r="C9" s="32">
        <v>91</v>
      </c>
      <c r="D9" s="33"/>
      <c r="E9" s="25"/>
      <c r="F9" s="26">
        <f t="shared" si="0"/>
        <v>0</v>
      </c>
      <c r="G9" s="24"/>
      <c r="H9" s="25">
        <v>1</v>
      </c>
      <c r="I9" s="26">
        <f t="shared" si="1"/>
        <v>91</v>
      </c>
      <c r="J9" s="24"/>
      <c r="K9" s="25"/>
      <c r="L9" s="26">
        <f t="shared" si="2"/>
        <v>0</v>
      </c>
      <c r="M9" s="24"/>
      <c r="N9" s="25"/>
      <c r="O9" s="26">
        <f t="shared" si="3"/>
        <v>0</v>
      </c>
      <c r="P9" s="24"/>
      <c r="Q9" s="25">
        <v>1</v>
      </c>
      <c r="R9" s="26">
        <f t="shared" si="4"/>
        <v>91</v>
      </c>
      <c r="S9" s="24"/>
      <c r="T9" s="25"/>
      <c r="U9" s="26">
        <f t="shared" si="5"/>
        <v>0</v>
      </c>
      <c r="V9" s="24"/>
      <c r="W9" s="25">
        <v>1</v>
      </c>
      <c r="X9" s="26">
        <f t="shared" si="6"/>
        <v>91</v>
      </c>
      <c r="Y9" s="24"/>
      <c r="Z9" s="25"/>
      <c r="AA9" s="26">
        <f t="shared" si="7"/>
        <v>0</v>
      </c>
      <c r="AB9" s="24"/>
      <c r="AC9" s="25"/>
      <c r="AD9" s="26">
        <f t="shared" si="8"/>
        <v>0</v>
      </c>
      <c r="AE9" s="24"/>
      <c r="AF9" s="25">
        <v>1</v>
      </c>
      <c r="AG9" s="26">
        <f t="shared" si="9"/>
        <v>91</v>
      </c>
      <c r="AH9" s="24"/>
      <c r="AI9" s="25">
        <v>1</v>
      </c>
      <c r="AJ9" s="26">
        <f t="shared" si="10"/>
        <v>91</v>
      </c>
      <c r="AK9" s="24"/>
      <c r="AL9" s="25"/>
      <c r="AM9" s="26"/>
      <c r="AN9" s="24"/>
      <c r="AO9" s="25"/>
      <c r="AP9" s="26"/>
      <c r="AQ9" s="24"/>
      <c r="AR9" s="25"/>
      <c r="AS9" s="26"/>
      <c r="AT9" s="24"/>
      <c r="AU9" s="25"/>
      <c r="AV9" s="26"/>
      <c r="AW9" s="24"/>
      <c r="AX9" s="25"/>
      <c r="AY9" s="26"/>
      <c r="AZ9" s="24"/>
      <c r="BA9" s="25"/>
      <c r="BB9" s="26"/>
      <c r="BC9" s="24"/>
      <c r="BD9" s="25"/>
      <c r="BE9" s="26">
        <f t="shared" si="11"/>
        <v>0</v>
      </c>
      <c r="BF9" s="24"/>
      <c r="BG9" s="25"/>
      <c r="BH9" s="26">
        <f t="shared" si="12"/>
        <v>0</v>
      </c>
      <c r="BI9" s="24"/>
      <c r="BJ9" s="25"/>
      <c r="BK9" s="26">
        <f t="shared" si="13"/>
        <v>0</v>
      </c>
      <c r="BL9" s="24"/>
      <c r="BM9" s="25"/>
      <c r="BN9" s="26">
        <f t="shared" si="14"/>
        <v>0</v>
      </c>
      <c r="BO9" s="24"/>
      <c r="BP9" s="25"/>
      <c r="BQ9" s="26">
        <f t="shared" si="15"/>
        <v>0</v>
      </c>
      <c r="BR9" s="24"/>
      <c r="BS9" s="25"/>
      <c r="BT9" s="26">
        <f t="shared" si="16"/>
        <v>0</v>
      </c>
      <c r="BU9" s="24"/>
      <c r="BW9" s="34">
        <f>SUM(BW3:BW8)</f>
        <v>597622.5807153285</v>
      </c>
      <c r="BX9" s="20"/>
      <c r="BY9" s="35" t="s">
        <v>40</v>
      </c>
      <c r="CE9" s="70">
        <v>5531.62</v>
      </c>
    </row>
    <row r="10" ht="28.95" customHeight="1" spans="1:83" x14ac:dyDescent="0.25">
      <c r="A10" s="30" t="s">
        <v>41</v>
      </c>
      <c r="B10" s="10"/>
      <c r="C10" s="32">
        <v>91</v>
      </c>
      <c r="D10" s="24"/>
      <c r="E10" s="25"/>
      <c r="F10" s="26">
        <f t="shared" si="0"/>
        <v>0</v>
      </c>
      <c r="G10" s="24"/>
      <c r="H10" s="25"/>
      <c r="I10" s="26">
        <f t="shared" si="1"/>
        <v>0</v>
      </c>
      <c r="J10" s="24"/>
      <c r="K10" s="25">
        <v>1</v>
      </c>
      <c r="L10" s="26">
        <f t="shared" si="2"/>
        <v>91</v>
      </c>
      <c r="M10" s="24"/>
      <c r="N10" s="25"/>
      <c r="O10" s="26">
        <f t="shared" si="3"/>
        <v>0</v>
      </c>
      <c r="P10" s="24"/>
      <c r="Q10" s="25">
        <v>1</v>
      </c>
      <c r="R10" s="26">
        <f t="shared" si="4"/>
        <v>91</v>
      </c>
      <c r="S10" s="24"/>
      <c r="T10" s="25"/>
      <c r="U10" s="26">
        <f t="shared" si="5"/>
        <v>0</v>
      </c>
      <c r="V10" s="24"/>
      <c r="W10" s="25"/>
      <c r="X10" s="26">
        <f t="shared" si="6"/>
        <v>0</v>
      </c>
      <c r="Y10" s="24"/>
      <c r="Z10" s="25"/>
      <c r="AA10" s="26">
        <f t="shared" si="7"/>
        <v>0</v>
      </c>
      <c r="AB10" s="24"/>
      <c r="AC10" s="25"/>
      <c r="AD10" s="26">
        <f t="shared" si="8"/>
        <v>0</v>
      </c>
      <c r="AE10" s="24"/>
      <c r="AF10" s="25"/>
      <c r="AG10" s="26">
        <f t="shared" si="9"/>
        <v>0</v>
      </c>
      <c r="AH10" s="24"/>
      <c r="AI10" s="25"/>
      <c r="AJ10" s="26">
        <f t="shared" si="10"/>
        <v>0</v>
      </c>
      <c r="AK10" s="24"/>
      <c r="AL10" s="25"/>
      <c r="AM10" s="26"/>
      <c r="AN10" s="24"/>
      <c r="AO10" s="25"/>
      <c r="AP10" s="26"/>
      <c r="AQ10" s="24"/>
      <c r="AR10" s="25"/>
      <c r="AS10" s="26"/>
      <c r="AT10" s="24"/>
      <c r="AU10" s="25"/>
      <c r="AV10" s="26"/>
      <c r="AW10" s="24"/>
      <c r="AX10" s="25"/>
      <c r="AY10" s="26"/>
      <c r="AZ10" s="24"/>
      <c r="BA10" s="25"/>
      <c r="BB10" s="26"/>
      <c r="BC10" s="24"/>
      <c r="BD10" s="25"/>
      <c r="BE10" s="26">
        <f t="shared" si="11"/>
        <v>0</v>
      </c>
      <c r="BF10" s="24"/>
      <c r="BG10" s="25"/>
      <c r="BH10" s="26">
        <f t="shared" si="12"/>
        <v>0</v>
      </c>
      <c r="BI10" s="24"/>
      <c r="BJ10" s="25">
        <v>2</v>
      </c>
      <c r="BK10" s="26">
        <f t="shared" si="13"/>
        <v>182</v>
      </c>
      <c r="BL10" s="24"/>
      <c r="BM10" s="25">
        <v>1</v>
      </c>
      <c r="BN10" s="26">
        <f t="shared" si="14"/>
        <v>91</v>
      </c>
      <c r="BO10" s="24"/>
      <c r="BP10" s="25">
        <v>1</v>
      </c>
      <c r="BQ10" s="26">
        <f t="shared" si="15"/>
        <v>91</v>
      </c>
      <c r="BR10" s="24"/>
      <c r="BS10" s="25"/>
      <c r="BT10" s="26">
        <f t="shared" si="16"/>
        <v>0</v>
      </c>
      <c r="BU10" s="24"/>
      <c r="CE10" s="70">
        <v>3317.09</v>
      </c>
    </row>
    <row r="11" ht="28.95" customHeight="1" spans="1:83" x14ac:dyDescent="0.25">
      <c r="A11" s="30" t="s">
        <v>42</v>
      </c>
      <c r="B11" s="10"/>
      <c r="C11" s="32">
        <v>91</v>
      </c>
      <c r="D11" s="24"/>
      <c r="E11" s="25">
        <v>1</v>
      </c>
      <c r="F11" s="26">
        <f t="shared" si="0"/>
        <v>91</v>
      </c>
      <c r="G11" s="24"/>
      <c r="H11" s="25">
        <v>2</v>
      </c>
      <c r="I11" s="26">
        <f t="shared" si="1"/>
        <v>182</v>
      </c>
      <c r="J11" s="24"/>
      <c r="K11" s="25">
        <v>2</v>
      </c>
      <c r="L11" s="26">
        <f t="shared" si="2"/>
        <v>182</v>
      </c>
      <c r="M11" s="24"/>
      <c r="N11" s="25">
        <v>1</v>
      </c>
      <c r="O11" s="26">
        <f t="shared" si="3"/>
        <v>91</v>
      </c>
      <c r="P11" s="24"/>
      <c r="Q11" s="25">
        <v>2</v>
      </c>
      <c r="R11" s="26">
        <f t="shared" si="4"/>
        <v>182</v>
      </c>
      <c r="S11" s="24"/>
      <c r="T11" s="25">
        <v>1</v>
      </c>
      <c r="U11" s="26">
        <f t="shared" si="5"/>
        <v>91</v>
      </c>
      <c r="V11" s="24"/>
      <c r="W11" s="25">
        <v>2</v>
      </c>
      <c r="X11" s="26">
        <f t="shared" si="6"/>
        <v>182</v>
      </c>
      <c r="Y11" s="24"/>
      <c r="Z11" s="25">
        <v>1</v>
      </c>
      <c r="AA11" s="26">
        <f t="shared" si="7"/>
        <v>91</v>
      </c>
      <c r="AB11" s="24"/>
      <c r="AC11" s="25">
        <v>1</v>
      </c>
      <c r="AD11" s="26">
        <f t="shared" si="8"/>
        <v>91</v>
      </c>
      <c r="AE11" s="24"/>
      <c r="AF11" s="25"/>
      <c r="AG11" s="26">
        <f t="shared" si="9"/>
        <v>0</v>
      </c>
      <c r="AH11" s="24"/>
      <c r="AI11" s="25">
        <v>1</v>
      </c>
      <c r="AJ11" s="26">
        <f t="shared" si="10"/>
        <v>91</v>
      </c>
      <c r="AK11" s="24"/>
      <c r="AL11" s="25"/>
      <c r="AM11" s="26"/>
      <c r="AN11" s="24"/>
      <c r="AO11" s="25"/>
      <c r="AP11" s="26"/>
      <c r="AQ11" s="24"/>
      <c r="AR11" s="25"/>
      <c r="AS11" s="26"/>
      <c r="AT11" s="24"/>
      <c r="AU11" s="25"/>
      <c r="AV11" s="26"/>
      <c r="AW11" s="24"/>
      <c r="AX11" s="25"/>
      <c r="AY11" s="26"/>
      <c r="AZ11" s="24"/>
      <c r="BA11" s="25"/>
      <c r="BB11" s="26"/>
      <c r="BC11" s="24"/>
      <c r="BD11" s="25"/>
      <c r="BE11" s="26">
        <f t="shared" si="11"/>
        <v>0</v>
      </c>
      <c r="BF11" s="24"/>
      <c r="BG11" s="25"/>
      <c r="BH11" s="26">
        <f t="shared" si="12"/>
        <v>0</v>
      </c>
      <c r="BI11" s="24"/>
      <c r="BJ11" s="25"/>
      <c r="BK11" s="26">
        <f t="shared" si="13"/>
        <v>0</v>
      </c>
      <c r="BL11" s="24"/>
      <c r="BM11" s="25"/>
      <c r="BN11" s="26">
        <f t="shared" si="14"/>
        <v>0</v>
      </c>
      <c r="BO11" s="24"/>
      <c r="BP11" s="25"/>
      <c r="BQ11" s="26">
        <f t="shared" si="15"/>
        <v>0</v>
      </c>
      <c r="BR11" s="24"/>
      <c r="BS11" s="25"/>
      <c r="BT11" s="26">
        <f t="shared" si="16"/>
        <v>0</v>
      </c>
      <c r="BU11" s="24"/>
      <c r="BW11" s="35" t="s">
        <v>43</v>
      </c>
      <c r="BX11" s="35"/>
      <c r="BY11" s="35"/>
      <c r="BZ11" s="36"/>
      <c r="CA11" s="36"/>
      <c r="CE11" s="70">
        <v>419.77</v>
      </c>
    </row>
    <row r="12" ht="28.95" customHeight="1" spans="1:83" x14ac:dyDescent="0.25">
      <c r="A12" s="30" t="s">
        <v>44</v>
      </c>
      <c r="B12" s="10"/>
      <c r="C12" s="32">
        <v>1</v>
      </c>
      <c r="D12" s="24"/>
      <c r="E12" s="25"/>
      <c r="F12" s="26">
        <f t="shared" si="0"/>
        <v>0</v>
      </c>
      <c r="G12" s="24"/>
      <c r="H12" s="25">
        <v>2</v>
      </c>
      <c r="I12" s="26">
        <f t="shared" si="1"/>
        <v>2</v>
      </c>
      <c r="J12" s="24"/>
      <c r="K12" s="25">
        <v>2</v>
      </c>
      <c r="L12" s="26">
        <f t="shared" si="2"/>
        <v>2</v>
      </c>
      <c r="M12" s="24"/>
      <c r="N12" s="25"/>
      <c r="O12" s="26">
        <f t="shared" si="3"/>
        <v>0</v>
      </c>
      <c r="P12" s="24"/>
      <c r="Q12" s="25">
        <v>1</v>
      </c>
      <c r="R12" s="26">
        <f t="shared" si="4"/>
        <v>1</v>
      </c>
      <c r="S12" s="24"/>
      <c r="T12" s="25">
        <v>1</v>
      </c>
      <c r="U12" s="26">
        <f t="shared" si="5"/>
        <v>1</v>
      </c>
      <c r="V12" s="24"/>
      <c r="W12" s="25"/>
      <c r="X12" s="26">
        <f t="shared" si="6"/>
        <v>0</v>
      </c>
      <c r="Y12" s="24"/>
      <c r="Z12" s="25">
        <v>2</v>
      </c>
      <c r="AA12" s="26">
        <f t="shared" si="7"/>
        <v>2</v>
      </c>
      <c r="AB12" s="24"/>
      <c r="AC12" s="25">
        <v>1</v>
      </c>
      <c r="AD12" s="26">
        <f t="shared" si="8"/>
        <v>1</v>
      </c>
      <c r="AE12" s="24"/>
      <c r="AF12" s="25">
        <v>1</v>
      </c>
      <c r="AG12" s="26">
        <f t="shared" si="9"/>
        <v>1</v>
      </c>
      <c r="AH12" s="24"/>
      <c r="AI12" s="25">
        <v>3</v>
      </c>
      <c r="AJ12" s="26">
        <f t="shared" si="10"/>
        <v>3</v>
      </c>
      <c r="AK12" s="24"/>
      <c r="AL12" s="25"/>
      <c r="AM12" s="26"/>
      <c r="AN12" s="24"/>
      <c r="AO12" s="25"/>
      <c r="AP12" s="26"/>
      <c r="AQ12" s="24"/>
      <c r="AR12" s="25"/>
      <c r="AS12" s="26"/>
      <c r="AT12" s="24"/>
      <c r="AU12" s="25"/>
      <c r="AV12" s="26"/>
      <c r="AW12" s="24"/>
      <c r="AX12" s="25"/>
      <c r="AY12" s="26"/>
      <c r="AZ12" s="24"/>
      <c r="BA12" s="25"/>
      <c r="BB12" s="26"/>
      <c r="BC12" s="24"/>
      <c r="BD12" s="25"/>
      <c r="BE12" s="26">
        <f t="shared" si="11"/>
        <v>0</v>
      </c>
      <c r="BF12" s="24"/>
      <c r="BG12" s="25"/>
      <c r="BH12" s="26">
        <f t="shared" si="12"/>
        <v>0</v>
      </c>
      <c r="BI12" s="24"/>
      <c r="BJ12" s="25"/>
      <c r="BK12" s="26">
        <f t="shared" si="13"/>
        <v>0</v>
      </c>
      <c r="BL12" s="24"/>
      <c r="BM12" s="25"/>
      <c r="BN12" s="26">
        <f t="shared" si="14"/>
        <v>0</v>
      </c>
      <c r="BO12" s="24"/>
      <c r="BP12" s="25"/>
      <c r="BQ12" s="26">
        <f t="shared" si="15"/>
        <v>0</v>
      </c>
      <c r="BR12" s="24"/>
      <c r="BS12" s="25"/>
      <c r="BT12" s="26">
        <f t="shared" si="16"/>
        <v>0</v>
      </c>
      <c r="BU12" s="24"/>
      <c r="BW12" s="27">
        <f>-SUM(BZ12:CB12)</f>
        <v>0</v>
      </c>
      <c r="BX12" s="1"/>
      <c r="BY12" s="1" t="s">
        <v>45</v>
      </c>
      <c r="BZ12" s="37">
        <v>0</v>
      </c>
      <c r="CA12" s="37">
        <v>0</v>
      </c>
      <c r="CE12" s="70">
        <v>2321.76</v>
      </c>
    </row>
    <row r="13" ht="28.95" customHeight="1" spans="1:79" x14ac:dyDescent="0.25">
      <c r="A13" s="30" t="s">
        <v>46</v>
      </c>
      <c r="B13" s="10"/>
      <c r="C13" s="32">
        <v>10</v>
      </c>
      <c r="D13" s="24"/>
      <c r="E13" s="25">
        <v>2</v>
      </c>
      <c r="F13" s="26">
        <f t="shared" si="0"/>
        <v>20</v>
      </c>
      <c r="G13" s="24"/>
      <c r="H13" s="25">
        <v>6</v>
      </c>
      <c r="I13" s="26">
        <f t="shared" si="1"/>
        <v>60</v>
      </c>
      <c r="J13" s="24"/>
      <c r="K13" s="25">
        <v>2</v>
      </c>
      <c r="L13" s="26">
        <f t="shared" si="2"/>
        <v>20</v>
      </c>
      <c r="M13" s="24"/>
      <c r="N13" s="25">
        <v>3</v>
      </c>
      <c r="O13" s="26">
        <f t="shared" si="3"/>
        <v>30</v>
      </c>
      <c r="P13" s="24"/>
      <c r="Q13" s="25">
        <v>4</v>
      </c>
      <c r="R13" s="26">
        <f t="shared" si="4"/>
        <v>40</v>
      </c>
      <c r="S13" s="24"/>
      <c r="T13" s="25">
        <v>4</v>
      </c>
      <c r="U13" s="26">
        <f t="shared" si="5"/>
        <v>40</v>
      </c>
      <c r="V13" s="24"/>
      <c r="W13" s="25">
        <v>2</v>
      </c>
      <c r="X13" s="26">
        <f t="shared" si="6"/>
        <v>20</v>
      </c>
      <c r="Y13" s="24"/>
      <c r="Z13" s="25">
        <v>2</v>
      </c>
      <c r="AA13" s="26">
        <f t="shared" si="7"/>
        <v>20</v>
      </c>
      <c r="AB13" s="24"/>
      <c r="AC13" s="25">
        <v>2</v>
      </c>
      <c r="AD13" s="26">
        <f t="shared" si="8"/>
        <v>20</v>
      </c>
      <c r="AE13" s="24"/>
      <c r="AF13" s="25">
        <v>2</v>
      </c>
      <c r="AG13" s="26">
        <f t="shared" si="9"/>
        <v>20</v>
      </c>
      <c r="AH13" s="24"/>
      <c r="AI13" s="25">
        <v>2</v>
      </c>
      <c r="AJ13" s="26">
        <f t="shared" si="10"/>
        <v>20</v>
      </c>
      <c r="AK13" s="24"/>
      <c r="AL13" s="25"/>
      <c r="AM13" s="26"/>
      <c r="AN13" s="24"/>
      <c r="AO13" s="25"/>
      <c r="AP13" s="26"/>
      <c r="AQ13" s="24"/>
      <c r="AR13" s="25"/>
      <c r="AS13" s="26"/>
      <c r="AT13" s="24"/>
      <c r="AU13" s="25"/>
      <c r="AV13" s="26"/>
      <c r="AW13" s="24"/>
      <c r="AX13" s="25"/>
      <c r="AY13" s="26"/>
      <c r="AZ13" s="24"/>
      <c r="BA13" s="25"/>
      <c r="BB13" s="26"/>
      <c r="BC13" s="24"/>
      <c r="BD13" s="25"/>
      <c r="BE13" s="26">
        <f t="shared" si="11"/>
        <v>0</v>
      </c>
      <c r="BF13" s="24"/>
      <c r="BG13" s="25"/>
      <c r="BH13" s="26">
        <f t="shared" si="12"/>
        <v>0</v>
      </c>
      <c r="BI13" s="24"/>
      <c r="BJ13" s="25"/>
      <c r="BK13" s="26">
        <f t="shared" si="13"/>
        <v>0</v>
      </c>
      <c r="BL13" s="24"/>
      <c r="BM13" s="25"/>
      <c r="BN13" s="26">
        <f t="shared" si="14"/>
        <v>0</v>
      </c>
      <c r="BO13" s="24"/>
      <c r="BP13" s="25"/>
      <c r="BQ13" s="26">
        <f t="shared" si="15"/>
        <v>0</v>
      </c>
      <c r="BR13" s="24"/>
      <c r="BS13" s="25"/>
      <c r="BT13" s="26">
        <f t="shared" si="16"/>
        <v>0</v>
      </c>
      <c r="BU13" s="24"/>
      <c r="BW13" s="27">
        <f>-SUM(BZ13:CB13)</f>
        <v>-20099.35</v>
      </c>
      <c r="BX13" s="1"/>
      <c r="BY13" s="1" t="s">
        <v>47</v>
      </c>
      <c r="BZ13" s="37">
        <v>20099.35</v>
      </c>
      <c r="CA13" s="37">
        <v>0</v>
      </c>
    </row>
    <row r="14" ht="28.95" customHeight="1" spans="1:83" x14ac:dyDescent="0.25">
      <c r="A14" s="30"/>
      <c r="B14" s="10"/>
      <c r="C14" s="32"/>
      <c r="D14" s="24"/>
      <c r="E14" s="25"/>
      <c r="F14" s="26">
        <f t="shared" si="0"/>
        <v>0</v>
      </c>
      <c r="G14" s="24"/>
      <c r="H14" s="25"/>
      <c r="I14" s="26">
        <f t="shared" si="1"/>
        <v>0</v>
      </c>
      <c r="J14" s="24"/>
      <c r="K14" s="25"/>
      <c r="L14" s="26">
        <f t="shared" si="2"/>
        <v>0</v>
      </c>
      <c r="M14" s="24"/>
      <c r="N14" s="25"/>
      <c r="O14" s="26">
        <f t="shared" si="3"/>
        <v>0</v>
      </c>
      <c r="P14" s="24"/>
      <c r="Q14" s="25"/>
      <c r="R14" s="26">
        <f t="shared" si="4"/>
        <v>0</v>
      </c>
      <c r="S14" s="24"/>
      <c r="T14" s="25"/>
      <c r="U14" s="26">
        <f t="shared" si="5"/>
        <v>0</v>
      </c>
      <c r="V14" s="24"/>
      <c r="W14" s="25"/>
      <c r="X14" s="26">
        <f t="shared" si="6"/>
        <v>0</v>
      </c>
      <c r="Y14" s="24"/>
      <c r="Z14" s="25"/>
      <c r="AA14" s="26">
        <f t="shared" si="7"/>
        <v>0</v>
      </c>
      <c r="AB14" s="24"/>
      <c r="AC14" s="25"/>
      <c r="AD14" s="26">
        <f t="shared" si="8"/>
        <v>0</v>
      </c>
      <c r="AE14" s="24"/>
      <c r="AF14" s="25"/>
      <c r="AG14" s="26">
        <f t="shared" si="9"/>
        <v>0</v>
      </c>
      <c r="AH14" s="24"/>
      <c r="AI14" s="25"/>
      <c r="AJ14" s="26">
        <f t="shared" si="10"/>
        <v>0</v>
      </c>
      <c r="AK14" s="24"/>
      <c r="AL14" s="25"/>
      <c r="AM14" s="26"/>
      <c r="AN14" s="24"/>
      <c r="AO14" s="25"/>
      <c r="AP14" s="26"/>
      <c r="AQ14" s="24"/>
      <c r="AR14" s="25"/>
      <c r="AS14" s="26"/>
      <c r="AT14" s="24"/>
      <c r="AU14" s="25"/>
      <c r="AV14" s="26"/>
      <c r="AW14" s="24"/>
      <c r="AX14" s="25"/>
      <c r="AY14" s="26"/>
      <c r="AZ14" s="24"/>
      <c r="BA14" s="25"/>
      <c r="BB14" s="26"/>
      <c r="BC14" s="24"/>
      <c r="BD14" s="25"/>
      <c r="BE14" s="26">
        <f t="shared" si="11"/>
        <v>0</v>
      </c>
      <c r="BF14" s="24"/>
      <c r="BG14" s="25"/>
      <c r="BH14" s="26">
        <f t="shared" si="12"/>
        <v>0</v>
      </c>
      <c r="BI14" s="24"/>
      <c r="BJ14" s="25"/>
      <c r="BK14" s="26">
        <f t="shared" si="13"/>
        <v>0</v>
      </c>
      <c r="BL14" s="24"/>
      <c r="BM14" s="25"/>
      <c r="BN14" s="26">
        <f t="shared" si="14"/>
        <v>0</v>
      </c>
      <c r="BO14" s="24"/>
      <c r="BP14" s="25"/>
      <c r="BQ14" s="26">
        <f t="shared" si="15"/>
        <v>0</v>
      </c>
      <c r="BR14" s="24"/>
      <c r="BS14" s="25"/>
      <c r="BT14" s="26">
        <f t="shared" si="16"/>
        <v>0</v>
      </c>
      <c r="BU14" s="24"/>
      <c r="BW14" s="27">
        <f>-SUM(BZ14:CB14)</f>
        <v>-3813.33</v>
      </c>
      <c r="BX14" s="1"/>
      <c r="BY14" s="1" t="s">
        <v>52</v>
      </c>
      <c r="BZ14" s="37">
        <v>3813.33</v>
      </c>
      <c r="CA14" s="37">
        <v>0</v>
      </c>
      <c r="CE14" s="70">
        <f>SUM(CE6:CE13)</f>
        <v>17920.33</v>
      </c>
    </row>
    <row r="15" ht="28.95" customHeight="1" spans="1:79" x14ac:dyDescent="0.25">
      <c r="A15" s="30"/>
      <c r="B15" s="10"/>
      <c r="C15" s="32"/>
      <c r="D15" s="24"/>
      <c r="E15" s="25"/>
      <c r="F15" s="26"/>
      <c r="G15" s="24"/>
      <c r="H15" s="25"/>
      <c r="I15" s="26"/>
      <c r="J15" s="24"/>
      <c r="K15" s="25"/>
      <c r="L15" s="26"/>
      <c r="M15" s="24"/>
      <c r="N15" s="25"/>
      <c r="O15" s="26"/>
      <c r="P15" s="24"/>
      <c r="Q15" s="25"/>
      <c r="R15" s="26"/>
      <c r="S15" s="24"/>
      <c r="T15" s="25"/>
      <c r="U15" s="26"/>
      <c r="V15" s="24"/>
      <c r="W15" s="25"/>
      <c r="X15" s="26"/>
      <c r="Y15" s="24"/>
      <c r="Z15" s="25"/>
      <c r="AA15" s="26"/>
      <c r="AB15" s="24"/>
      <c r="AC15" s="25"/>
      <c r="AD15" s="26"/>
      <c r="AE15" s="24"/>
      <c r="AF15" s="25"/>
      <c r="AG15" s="26"/>
      <c r="AH15" s="24"/>
      <c r="AI15" s="25"/>
      <c r="AJ15" s="26"/>
      <c r="AK15" s="24"/>
      <c r="AL15" s="25"/>
      <c r="AM15" s="26">
        <f>AL15*C15</f>
        <v>0</v>
      </c>
      <c r="AN15" s="24"/>
      <c r="AO15" s="25"/>
      <c r="AP15" s="26">
        <f>AO15*C15</f>
        <v>0</v>
      </c>
      <c r="AQ15" s="24"/>
      <c r="AR15" s="25"/>
      <c r="AS15" s="26">
        <f>AR15*C15</f>
        <v>0</v>
      </c>
      <c r="AT15" s="24"/>
      <c r="AU15" s="25"/>
      <c r="AV15" s="26">
        <f>AU15*C15</f>
        <v>0</v>
      </c>
      <c r="AW15" s="24"/>
      <c r="AX15" s="25"/>
      <c r="AY15" s="26"/>
      <c r="AZ15" s="24"/>
      <c r="BA15" s="25"/>
      <c r="BB15" s="26"/>
      <c r="BC15" s="24"/>
      <c r="BD15" s="25"/>
      <c r="BE15" s="26"/>
      <c r="BF15" s="24"/>
      <c r="BG15" s="25"/>
      <c r="BH15" s="26"/>
      <c r="BI15" s="24"/>
      <c r="BJ15" s="25"/>
      <c r="BK15" s="26"/>
      <c r="BL15" s="24"/>
      <c r="BM15" s="25"/>
      <c r="BN15" s="26"/>
      <c r="BO15" s="24"/>
      <c r="BP15" s="25"/>
      <c r="BQ15" s="26"/>
      <c r="BR15" s="24"/>
      <c r="BS15" s="25"/>
      <c r="BT15" s="26"/>
      <c r="BU15" s="24"/>
      <c r="BW15" s="27">
        <f>-SUM(BZ15:CB15)</f>
        <v>-1096</v>
      </c>
      <c r="BX15" s="1"/>
      <c r="BY15" s="1" t="s">
        <v>50</v>
      </c>
      <c r="BZ15" s="37">
        <v>1096</v>
      </c>
      <c r="CA15" s="37">
        <v>0</v>
      </c>
    </row>
    <row r="16" ht="28.95" customHeight="1" spans="1:83" s="14" customFormat="1" x14ac:dyDescent="0.25">
      <c r="A16" s="30" t="s">
        <v>51</v>
      </c>
      <c r="B16" s="10"/>
      <c r="C16" s="32">
        <v>90</v>
      </c>
      <c r="D16" s="10"/>
      <c r="E16" s="38"/>
      <c r="F16" s="39">
        <f>E16*C16</f>
        <v>0</v>
      </c>
      <c r="G16" s="10"/>
      <c r="H16" s="38"/>
      <c r="I16" s="39">
        <f>H16*C16</f>
        <v>0</v>
      </c>
      <c r="J16" s="10"/>
      <c r="K16" s="38"/>
      <c r="L16" s="39">
        <f>K16*C16</f>
        <v>0</v>
      </c>
      <c r="M16" s="10"/>
      <c r="N16" s="38"/>
      <c r="O16" s="39">
        <f>N16*C16</f>
        <v>0</v>
      </c>
      <c r="P16" s="10"/>
      <c r="Q16" s="38"/>
      <c r="R16" s="39">
        <f>Q16*C16</f>
        <v>0</v>
      </c>
      <c r="S16" s="10"/>
      <c r="T16" s="38"/>
      <c r="U16" s="39">
        <f>T16*C16</f>
        <v>0</v>
      </c>
      <c r="V16" s="10"/>
      <c r="W16" s="38"/>
      <c r="X16" s="39">
        <f>W16*C16</f>
        <v>0</v>
      </c>
      <c r="Y16" s="10"/>
      <c r="Z16" s="38"/>
      <c r="AA16" s="39">
        <f>Z16*C16</f>
        <v>0</v>
      </c>
      <c r="AB16" s="10"/>
      <c r="AC16" s="38"/>
      <c r="AD16" s="39">
        <f>AC16*C16</f>
        <v>0</v>
      </c>
      <c r="AE16" s="10"/>
      <c r="AF16" s="38"/>
      <c r="AG16" s="39">
        <f>AF16*C16</f>
        <v>0</v>
      </c>
      <c r="AH16" s="10"/>
      <c r="AI16" s="38"/>
      <c r="AJ16" s="39">
        <f>AI16*C16</f>
        <v>0</v>
      </c>
      <c r="AK16" s="10"/>
      <c r="AL16" s="38"/>
      <c r="AM16" s="26">
        <f>AL16*C16</f>
        <v>0</v>
      </c>
      <c r="AN16" s="10"/>
      <c r="AO16" s="38"/>
      <c r="AP16" s="26">
        <f>AO16*C16</f>
        <v>0</v>
      </c>
      <c r="AQ16" s="10"/>
      <c r="AR16" s="38"/>
      <c r="AS16" s="26">
        <f>AR16*C16</f>
        <v>0</v>
      </c>
      <c r="AT16" s="10"/>
      <c r="AU16" s="38"/>
      <c r="AV16" s="26">
        <f>AU16*C16</f>
        <v>0</v>
      </c>
      <c r="AW16" s="10"/>
      <c r="AX16" s="38"/>
      <c r="AY16" s="39">
        <f>AX16*C16</f>
        <v>0</v>
      </c>
      <c r="AZ16" s="10"/>
      <c r="BA16" s="38"/>
      <c r="BB16" s="39">
        <f>BA16*C16</f>
        <v>0</v>
      </c>
      <c r="BC16" s="10"/>
      <c r="BD16" s="38"/>
      <c r="BE16" s="26">
        <f>BD16*C16</f>
        <v>0</v>
      </c>
      <c r="BF16" s="10"/>
      <c r="BG16" s="38"/>
      <c r="BH16" s="26">
        <f>BG16*C16</f>
        <v>0</v>
      </c>
      <c r="BI16" s="10"/>
      <c r="BJ16" s="38">
        <v>8</v>
      </c>
      <c r="BK16" s="26">
        <f>BJ16*C16</f>
        <v>720</v>
      </c>
      <c r="BL16" s="10"/>
      <c r="BM16" s="38">
        <v>16</v>
      </c>
      <c r="BN16" s="26">
        <f>BM16*C16</f>
        <v>1440</v>
      </c>
      <c r="BO16" s="10"/>
      <c r="BP16" s="38"/>
      <c r="BQ16" s="26">
        <f>BP16*C16</f>
        <v>0</v>
      </c>
      <c r="BR16" s="10"/>
      <c r="BS16" s="38"/>
      <c r="BT16" s="26">
        <f>BS16*C16</f>
        <v>0</v>
      </c>
      <c r="BU16" s="10"/>
      <c r="BV16" s="20"/>
      <c r="BW16" s="27">
        <f>-SUM(BZ16:CB16)</f>
        <v>-11639.7</v>
      </c>
      <c r="BX16" s="20"/>
      <c r="BY16" s="1" t="s">
        <v>58</v>
      </c>
      <c r="BZ16" s="37">
        <v>11639.7</v>
      </c>
      <c r="CA16" s="37">
        <v>0</v>
      </c>
      <c r="CB16" s="1"/>
      <c r="CE16" s="72"/>
    </row>
    <row r="17" ht="28.95" customHeight="1" spans="1:83" s="14" customFormat="1" x14ac:dyDescent="0.25">
      <c r="A17" s="40" t="s">
        <v>53</v>
      </c>
      <c r="B17" s="10"/>
      <c r="C17" s="23">
        <v>129.7</v>
      </c>
      <c r="D17" s="10"/>
      <c r="E17" s="38"/>
      <c r="F17" s="39">
        <f>E17*C17</f>
        <v>0</v>
      </c>
      <c r="G17" s="10"/>
      <c r="H17" s="38"/>
      <c r="I17" s="39">
        <f>H17*C17</f>
        <v>0</v>
      </c>
      <c r="J17" s="10"/>
      <c r="K17" s="38"/>
      <c r="L17" s="39">
        <f>K17*C17</f>
        <v>0</v>
      </c>
      <c r="M17" s="10"/>
      <c r="N17" s="38"/>
      <c r="O17" s="39">
        <f>N17*C17</f>
        <v>0</v>
      </c>
      <c r="P17" s="10"/>
      <c r="Q17" s="38"/>
      <c r="R17" s="39">
        <f>Q17*C17</f>
        <v>0</v>
      </c>
      <c r="S17" s="10"/>
      <c r="T17" s="38"/>
      <c r="U17" s="39">
        <f>T17*C17</f>
        <v>0</v>
      </c>
      <c r="V17" s="10"/>
      <c r="W17" s="38"/>
      <c r="X17" s="39">
        <f>W17*C17</f>
        <v>0</v>
      </c>
      <c r="Y17" s="10"/>
      <c r="Z17" s="38"/>
      <c r="AA17" s="39">
        <f>Z17*C17</f>
        <v>0</v>
      </c>
      <c r="AB17" s="10"/>
      <c r="AC17" s="38"/>
      <c r="AD17" s="39">
        <f>AC17*C17</f>
        <v>0</v>
      </c>
      <c r="AE17" s="10"/>
      <c r="AF17" s="38"/>
      <c r="AG17" s="39">
        <f>AF17*C17</f>
        <v>0</v>
      </c>
      <c r="AH17" s="10"/>
      <c r="AI17" s="38"/>
      <c r="AJ17" s="39">
        <f>AI17*C17</f>
        <v>0</v>
      </c>
      <c r="AK17" s="10"/>
      <c r="AL17" s="38"/>
      <c r="AM17" s="26">
        <f>AL17*C17</f>
        <v>0</v>
      </c>
      <c r="AN17" s="10"/>
      <c r="AO17" s="38"/>
      <c r="AP17" s="26">
        <f>AO17*C17</f>
        <v>0</v>
      </c>
      <c r="AQ17" s="10"/>
      <c r="AR17" s="38"/>
      <c r="AS17" s="26">
        <f>AR17*C17</f>
        <v>0</v>
      </c>
      <c r="AT17" s="10"/>
      <c r="AU17" s="38"/>
      <c r="AV17" s="26">
        <f>AU17*C17</f>
        <v>0</v>
      </c>
      <c r="AW17" s="10"/>
      <c r="AX17" s="38"/>
      <c r="AY17" s="39">
        <f>AX17*C17</f>
        <v>0</v>
      </c>
      <c r="AZ17" s="10"/>
      <c r="BA17" s="38"/>
      <c r="BB17" s="39">
        <f>BA17*C17</f>
        <v>0</v>
      </c>
      <c r="BC17" s="10"/>
      <c r="BD17" s="38"/>
      <c r="BE17" s="39">
        <f>BD17*C17</f>
        <v>0</v>
      </c>
      <c r="BF17" s="10"/>
      <c r="BG17" s="38"/>
      <c r="BH17" s="39">
        <f>BG17*C17</f>
        <v>0</v>
      </c>
      <c r="BI17" s="10"/>
      <c r="BJ17" s="38">
        <v>6</v>
      </c>
      <c r="BK17" s="39">
        <f>BJ17*C17</f>
        <v>778.1999999999999</v>
      </c>
      <c r="BL17" s="10"/>
      <c r="BM17" s="38">
        <v>9</v>
      </c>
      <c r="BN17" s="39">
        <f>BM17*C17</f>
        <v>1167.3</v>
      </c>
      <c r="BO17" s="10"/>
      <c r="BP17" s="38"/>
      <c r="BQ17" s="39">
        <f>BP17*C17</f>
        <v>0</v>
      </c>
      <c r="BR17" s="10"/>
      <c r="BS17" s="38"/>
      <c r="BT17" s="39">
        <f>BS17*C17</f>
        <v>0</v>
      </c>
      <c r="BU17" s="10"/>
      <c r="BV17" s="20"/>
      <c r="BW17" s="41">
        <f>SUM(BW11:BW16)</f>
        <v>-36648.380000000005</v>
      </c>
      <c r="BX17" s="20"/>
      <c r="BY17" s="42" t="s">
        <v>40</v>
      </c>
      <c r="BZ17" s="20"/>
      <c r="CA17" s="20"/>
      <c r="CB17" s="1"/>
      <c r="CE17" s="72"/>
    </row>
    <row r="18" ht="28.95" customHeight="1" spans="1:83" s="14" customFormat="1" x14ac:dyDescent="0.25">
      <c r="A18" s="43"/>
      <c r="B18" s="10"/>
      <c r="C18" s="44"/>
      <c r="D18" s="10"/>
      <c r="E18" s="45"/>
      <c r="F18" s="46"/>
      <c r="G18" s="10"/>
      <c r="H18" s="45"/>
      <c r="I18" s="46"/>
      <c r="J18" s="10"/>
      <c r="K18" s="45"/>
      <c r="L18" s="46"/>
      <c r="M18" s="10"/>
      <c r="N18" s="45"/>
      <c r="O18" s="46"/>
      <c r="P18" s="10"/>
      <c r="Q18" s="45"/>
      <c r="R18" s="46"/>
      <c r="S18" s="10"/>
      <c r="T18" s="45"/>
      <c r="U18" s="46"/>
      <c r="V18" s="10"/>
      <c r="W18" s="45"/>
      <c r="X18" s="46"/>
      <c r="Y18" s="10"/>
      <c r="Z18" s="45"/>
      <c r="AA18" s="46"/>
      <c r="AB18" s="10"/>
      <c r="AC18" s="45"/>
      <c r="AD18" s="46"/>
      <c r="AE18" s="10"/>
      <c r="AF18" s="45"/>
      <c r="AG18" s="46"/>
      <c r="AH18" s="10"/>
      <c r="AI18" s="45"/>
      <c r="AJ18" s="46"/>
      <c r="AK18" s="10"/>
      <c r="AL18" s="45"/>
      <c r="AM18" s="47"/>
      <c r="AN18" s="10"/>
      <c r="AO18" s="45"/>
      <c r="AP18" s="47"/>
      <c r="AQ18" s="10"/>
      <c r="AR18" s="45"/>
      <c r="AS18" s="47"/>
      <c r="AT18" s="10"/>
      <c r="AU18" s="45"/>
      <c r="AV18" s="47"/>
      <c r="AW18" s="10"/>
      <c r="AX18" s="45"/>
      <c r="AY18" s="46"/>
      <c r="AZ18" s="10"/>
      <c r="BA18" s="45"/>
      <c r="BB18" s="46"/>
      <c r="BC18" s="10"/>
      <c r="BD18" s="45"/>
      <c r="BE18" s="46"/>
      <c r="BF18" s="10"/>
      <c r="BG18" s="45"/>
      <c r="BH18" s="46"/>
      <c r="BI18" s="10"/>
      <c r="BJ18" s="45"/>
      <c r="BK18" s="46"/>
      <c r="BL18" s="10"/>
      <c r="BM18" s="45"/>
      <c r="BN18" s="46"/>
      <c r="BO18" s="10"/>
      <c r="BP18" s="45"/>
      <c r="BQ18" s="46"/>
      <c r="BR18" s="10"/>
      <c r="BS18" s="45"/>
      <c r="BT18" s="46"/>
      <c r="BU18" s="10"/>
      <c r="BV18" s="20"/>
      <c r="BW18" s="48">
        <f>BW9+BW17</f>
        <v>560974.2007153285</v>
      </c>
      <c r="BX18" s="20"/>
      <c r="BY18" s="35" t="s">
        <v>54</v>
      </c>
      <c r="BZ18" s="20"/>
      <c r="CA18" s="20"/>
      <c r="CB18" s="1"/>
      <c r="CE18" s="72"/>
    </row>
    <row r="19" ht="28.95" customHeight="1" spans="1:79" x14ac:dyDescent="0.25">
      <c r="A19" s="49"/>
      <c r="B19" s="24"/>
      <c r="C19" s="50"/>
      <c r="D19" s="24"/>
      <c r="E19" s="49">
        <f>SUM(E3:E17)</f>
        <v>39</v>
      </c>
      <c r="F19" s="51"/>
      <c r="G19" s="52"/>
      <c r="H19" s="49">
        <f>SUM(H3:H17)</f>
        <v>96</v>
      </c>
      <c r="I19" s="51"/>
      <c r="J19" s="52"/>
      <c r="K19" s="49">
        <f>SUM(K3:K17)</f>
        <v>65</v>
      </c>
      <c r="L19" s="51"/>
      <c r="M19" s="52"/>
      <c r="N19" s="49">
        <f>SUM(N3:N17)</f>
        <v>55</v>
      </c>
      <c r="O19" s="51"/>
      <c r="P19" s="52"/>
      <c r="Q19" s="49">
        <f>SUM(Q3:Q17)</f>
        <v>43.5</v>
      </c>
      <c r="R19" s="51"/>
      <c r="S19" s="52"/>
      <c r="T19" s="49">
        <f>SUM(T3:T17)</f>
        <v>39</v>
      </c>
      <c r="U19" s="51"/>
      <c r="V19" s="52"/>
      <c r="W19" s="49">
        <f>SUM(W3:W17)</f>
        <v>50</v>
      </c>
      <c r="X19" s="51"/>
      <c r="Y19" s="52"/>
      <c r="Z19" s="49">
        <f>SUM(Z3:Z17)</f>
        <v>44.5</v>
      </c>
      <c r="AA19" s="51"/>
      <c r="AB19" s="52"/>
      <c r="AC19" s="49">
        <f>SUM(AC3:AC17)</f>
        <v>44</v>
      </c>
      <c r="AD19" s="51"/>
      <c r="AE19" s="52"/>
      <c r="AF19" s="49">
        <f>SUM(AF3:AF17)</f>
        <v>29</v>
      </c>
      <c r="AG19" s="51"/>
      <c r="AH19" s="52"/>
      <c r="AI19" s="49">
        <f>SUM(AI3:AI17)</f>
        <v>44</v>
      </c>
      <c r="AJ19" s="51"/>
      <c r="AK19" s="52"/>
      <c r="AL19" s="49">
        <f>SUM(AL3:AL17)</f>
        <v>0</v>
      </c>
      <c r="AM19" s="51"/>
      <c r="AN19" s="52"/>
      <c r="AO19" s="49">
        <f>SUM(AO3:AO17)</f>
        <v>0</v>
      </c>
      <c r="AP19" s="51"/>
      <c r="AQ19" s="52"/>
      <c r="AR19" s="49">
        <f>SUM(AR3:AR17)</f>
        <v>0</v>
      </c>
      <c r="AS19" s="51"/>
      <c r="AT19" s="52"/>
      <c r="AU19" s="49">
        <f>SUM(AU3:AU17)</f>
        <v>0</v>
      </c>
      <c r="AV19" s="51"/>
      <c r="AW19" s="52"/>
      <c r="AX19" s="49">
        <f>SUM(AX3:AX17)</f>
        <v>0</v>
      </c>
      <c r="AY19" s="51"/>
      <c r="AZ19" s="52"/>
      <c r="BA19" s="49">
        <f>SUM(BA3:BA17)</f>
        <v>0</v>
      </c>
      <c r="BB19" s="51"/>
      <c r="BC19" s="52"/>
      <c r="BD19" s="49">
        <f>SUM(BD3:BD17)</f>
        <v>15</v>
      </c>
      <c r="BE19" s="51"/>
      <c r="BF19" s="52"/>
      <c r="BG19" s="49">
        <f>SUM(BG3:BG17)</f>
        <v>3</v>
      </c>
      <c r="BH19" s="51"/>
      <c r="BI19" s="52"/>
      <c r="BJ19" s="49">
        <f>SUM(BJ3:BJ17)</f>
        <v>35</v>
      </c>
      <c r="BK19" s="51"/>
      <c r="BL19" s="52"/>
      <c r="BM19" s="49">
        <f>SUM(BM3:BM17)</f>
        <v>34</v>
      </c>
      <c r="BN19" s="51"/>
      <c r="BO19" s="52"/>
      <c r="BP19" s="49">
        <f>SUM(BP3:BP17)</f>
        <v>11</v>
      </c>
      <c r="BQ19" s="51"/>
      <c r="BR19" s="52"/>
      <c r="BS19" s="49">
        <f>SUM(BS3:BS17)</f>
        <v>0</v>
      </c>
      <c r="BT19" s="51"/>
      <c r="BU19" s="24"/>
      <c r="BW19" s="53"/>
      <c r="BX19" s="1"/>
      <c r="BY19" s="1"/>
      <c r="CA19" s="20"/>
    </row>
    <row r="20" ht="28.95" customHeight="1" spans="1:83" s="54" customFormat="1" x14ac:dyDescent="0.25">
      <c r="A20" s="20" t="s">
        <v>55</v>
      </c>
      <c r="B20" s="20"/>
      <c r="C20" s="20" t="s">
        <v>55</v>
      </c>
      <c r="D20" s="24"/>
      <c r="E20" s="55">
        <f>SUM(F3:F17)</f>
        <v>4705.11</v>
      </c>
      <c r="F20" s="56"/>
      <c r="G20" s="24"/>
      <c r="H20" s="55">
        <f>SUM(I3:I17)</f>
        <v>11806.869999999999</v>
      </c>
      <c r="I20" s="56"/>
      <c r="J20" s="24"/>
      <c r="K20" s="55">
        <f>SUM(L3:L17)</f>
        <v>7549.499999999999</v>
      </c>
      <c r="L20" s="56"/>
      <c r="M20" s="24"/>
      <c r="N20" s="55">
        <f>SUM(O3:O17)</f>
        <v>6404.349999999999</v>
      </c>
      <c r="O20" s="56"/>
      <c r="P20" s="24"/>
      <c r="Q20" s="55">
        <f>SUM(R3:R17)</f>
        <v>5385.5199999999995</v>
      </c>
      <c r="R20" s="56"/>
      <c r="S20" s="24"/>
      <c r="T20" s="55">
        <f>SUM(U3:U17)</f>
        <v>4830.1</v>
      </c>
      <c r="U20" s="56"/>
      <c r="V20" s="24"/>
      <c r="W20" s="55">
        <f>SUM(X3:X17)</f>
        <v>6316.93</v>
      </c>
      <c r="X20" s="56"/>
      <c r="Y20" s="24"/>
      <c r="Z20" s="55">
        <f>SUM(AA3:AA17)</f>
        <v>5484.36</v>
      </c>
      <c r="AA20" s="56"/>
      <c r="AB20" s="24"/>
      <c r="AC20" s="55">
        <f>SUM(AD3:AD17)</f>
        <v>5084.5199999999995</v>
      </c>
      <c r="AD20" s="56"/>
      <c r="AE20" s="24"/>
      <c r="AF20" s="55">
        <f>SUM(AG3:AG17)</f>
        <v>3204.7599999999998</v>
      </c>
      <c r="AG20" s="56"/>
      <c r="AH20" s="24"/>
      <c r="AI20" s="55">
        <f>SUM(AJ3:AJ17)</f>
        <v>4745.15</v>
      </c>
      <c r="AJ20" s="56"/>
      <c r="AK20" s="24"/>
      <c r="AL20" s="55">
        <f>SUM(AM3:AM17)</f>
        <v>0</v>
      </c>
      <c r="AM20" s="56"/>
      <c r="AN20" s="24"/>
      <c r="AO20" s="55">
        <f>SUM(AP3:AP17)</f>
        <v>0</v>
      </c>
      <c r="AP20" s="56"/>
      <c r="AQ20" s="24"/>
      <c r="AR20" s="55">
        <f>SUM(AS3:AS17)</f>
        <v>0</v>
      </c>
      <c r="AS20" s="56"/>
      <c r="AT20" s="24"/>
      <c r="AU20" s="55">
        <f>SUM(AV3:AV17)</f>
        <v>0</v>
      </c>
      <c r="AV20" s="56"/>
      <c r="AW20" s="24"/>
      <c r="AX20" s="55">
        <f>SUM(AY3:AY17)</f>
        <v>0</v>
      </c>
      <c r="AY20" s="56"/>
      <c r="AZ20" s="24"/>
      <c r="BA20" s="55">
        <f>SUM(BB3:BB17)</f>
        <v>0</v>
      </c>
      <c r="BB20" s="56"/>
      <c r="BC20" s="24"/>
      <c r="BD20" s="55">
        <f>SUM(BE3:BE17)</f>
        <v>2631.8199999999997</v>
      </c>
      <c r="BE20" s="56"/>
      <c r="BF20" s="24"/>
      <c r="BG20" s="55">
        <f>SUM(BH3:BH17)</f>
        <v>448.89</v>
      </c>
      <c r="BH20" s="56"/>
      <c r="BI20" s="24"/>
      <c r="BJ20" s="55">
        <f>SUM(BK3:BK17)</f>
        <v>3444.6499999999996</v>
      </c>
      <c r="BK20" s="56"/>
      <c r="BL20" s="24"/>
      <c r="BM20" s="55">
        <f>SUM(BN3:BN17)</f>
        <v>3173.66</v>
      </c>
      <c r="BN20" s="56"/>
      <c r="BO20" s="24"/>
      <c r="BP20" s="55">
        <f>SUM(BQ3:BQ17)</f>
        <v>1044.35</v>
      </c>
      <c r="BQ20" s="56"/>
      <c r="BR20" s="24"/>
      <c r="BS20" s="55">
        <f>SUM(BT3:BT17)</f>
        <v>0</v>
      </c>
      <c r="BT20" s="56"/>
      <c r="BU20" s="24"/>
      <c r="BV20" s="1"/>
      <c r="BW20" s="57">
        <f>SUM(E20:BT20)</f>
        <v>76260.54</v>
      </c>
      <c r="BX20" s="1"/>
      <c r="BY20" s="58" t="str">
        <f>A20</f>
        <v>MEAT</v>
      </c>
      <c r="BZ20" s="1"/>
      <c r="CA20" s="20"/>
      <c r="CB20" s="1"/>
      <c r="CE20" s="73"/>
    </row>
    <row r="21" ht="28.95" customHeight="1" spans="1:83" s="54" customFormat="1" x14ac:dyDescent="0.25">
      <c r="A21" s="20" t="s">
        <v>56</v>
      </c>
      <c r="B21" s="20"/>
      <c r="C21" s="20" t="s">
        <v>56</v>
      </c>
      <c r="D21" s="33"/>
      <c r="E21" s="59">
        <f>SUM(E3:E13)*10</f>
        <v>390</v>
      </c>
      <c r="F21" s="59"/>
      <c r="G21" s="33"/>
      <c r="H21" s="59">
        <f>SUM(H3:H13)*10</f>
        <v>960</v>
      </c>
      <c r="I21" s="59"/>
      <c r="J21" s="33"/>
      <c r="K21" s="59">
        <f>SUM(K3:K13)*10</f>
        <v>650</v>
      </c>
      <c r="L21" s="59"/>
      <c r="M21" s="33"/>
      <c r="N21" s="59">
        <f>SUM(N3:N13)*10</f>
        <v>550</v>
      </c>
      <c r="O21" s="59"/>
      <c r="P21" s="33"/>
      <c r="Q21" s="59">
        <f>SUM(Q3:Q13)*10</f>
        <v>435</v>
      </c>
      <c r="R21" s="59"/>
      <c r="S21" s="33"/>
      <c r="T21" s="59">
        <f>SUM(T3:T13)*10</f>
        <v>390</v>
      </c>
      <c r="U21" s="59"/>
      <c r="V21" s="33"/>
      <c r="W21" s="59">
        <f>SUM(W3:W13)*10</f>
        <v>500</v>
      </c>
      <c r="X21" s="59"/>
      <c r="Y21" s="33"/>
      <c r="Z21" s="59">
        <f>SUM(Z3:Z13)*10</f>
        <v>445</v>
      </c>
      <c r="AA21" s="59"/>
      <c r="AB21" s="33"/>
      <c r="AC21" s="59">
        <f>SUM(AC3:AC13)*10</f>
        <v>440</v>
      </c>
      <c r="AD21" s="59"/>
      <c r="AE21" s="33"/>
      <c r="AF21" s="59">
        <f>SUM(AF3:AF13)*10</f>
        <v>290</v>
      </c>
      <c r="AG21" s="59"/>
      <c r="AH21" s="33"/>
      <c r="AI21" s="59">
        <f>SUM(AI3:AI13)*10</f>
        <v>440</v>
      </c>
      <c r="AJ21" s="59"/>
      <c r="AK21" s="33"/>
      <c r="AL21" s="59">
        <f>SUM(AL3:AL13)*10</f>
        <v>0</v>
      </c>
      <c r="AM21" s="59"/>
      <c r="AN21" s="33"/>
      <c r="AO21" s="59">
        <f>SUM(AO3:AO13)*10</f>
        <v>0</v>
      </c>
      <c r="AP21" s="59"/>
      <c r="AQ21" s="33"/>
      <c r="AR21" s="59">
        <f>SUM(AR3:AR13)*10</f>
        <v>0</v>
      </c>
      <c r="AS21" s="59"/>
      <c r="AT21" s="33"/>
      <c r="AU21" s="59">
        <f>SUM(AU3:AU13)*10</f>
        <v>0</v>
      </c>
      <c r="AV21" s="59"/>
      <c r="AW21" s="33"/>
      <c r="AX21" s="60">
        <f>SUM(AX3:AX13)*10</f>
        <v>0</v>
      </c>
      <c r="AY21" s="60"/>
      <c r="AZ21" s="33"/>
      <c r="BA21" s="60">
        <f>SUM(BA3:BA17)*10</f>
        <v>0</v>
      </c>
      <c r="BB21" s="60"/>
      <c r="BC21" s="33"/>
      <c r="BD21" s="60">
        <f>SUM(BD3:BD17)*10</f>
        <v>150</v>
      </c>
      <c r="BE21" s="60"/>
      <c r="BF21" s="33"/>
      <c r="BG21" s="60">
        <f>SUM(BG3:BG17)*10</f>
        <v>30</v>
      </c>
      <c r="BH21" s="60"/>
      <c r="BI21" s="33"/>
      <c r="BJ21" s="60">
        <f>SUM(BJ3:BJ17)*10</f>
        <v>350</v>
      </c>
      <c r="BK21" s="60"/>
      <c r="BL21" s="33"/>
      <c r="BM21" s="60">
        <f>SUM(BM3:BM17)*10</f>
        <v>340</v>
      </c>
      <c r="BN21" s="60"/>
      <c r="BO21" s="33"/>
      <c r="BP21" s="60">
        <f>SUM(BP3:BP17)*10</f>
        <v>110</v>
      </c>
      <c r="BQ21" s="60"/>
      <c r="BR21" s="33"/>
      <c r="BS21" s="60">
        <f>SUM(BS3:BS17)*10</f>
        <v>0</v>
      </c>
      <c r="BT21" s="60"/>
      <c r="BU21" s="33"/>
      <c r="BV21" s="1"/>
      <c r="BW21" s="61">
        <f>SUM(E21:BT21)</f>
        <v>6470</v>
      </c>
      <c r="BX21" s="1"/>
      <c r="BY21" s="62" t="str">
        <f>A21</f>
        <v>MARKUP</v>
      </c>
      <c r="BZ21" s="1"/>
      <c r="CA21" s="20"/>
      <c r="CB21" s="1"/>
      <c r="CE21" s="73"/>
    </row>
    <row r="22" ht="28.95" customHeight="1" spans="1:83" s="54" customFormat="1" x14ac:dyDescent="0.25">
      <c r="A22" s="20" t="s">
        <v>32</v>
      </c>
      <c r="B22" s="20"/>
      <c r="C22" s="20" t="s">
        <v>32</v>
      </c>
      <c r="D22" s="33"/>
      <c r="E22" s="63">
        <v>478.66</v>
      </c>
      <c r="F22" s="63"/>
      <c r="G22" s="33"/>
      <c r="H22" s="63">
        <v>1434.97</v>
      </c>
      <c r="I22" s="63"/>
      <c r="J22" s="33"/>
      <c r="K22" s="63">
        <v>816.4</v>
      </c>
      <c r="L22" s="63"/>
      <c r="M22" s="33"/>
      <c r="N22" s="63">
        <v>945.85</v>
      </c>
      <c r="O22" s="63"/>
      <c r="P22" s="33"/>
      <c r="Q22" s="63">
        <v>524.09</v>
      </c>
      <c r="R22" s="63"/>
      <c r="S22" s="33"/>
      <c r="T22" s="63">
        <v>620.83</v>
      </c>
      <c r="U22" s="63"/>
      <c r="V22" s="33"/>
      <c r="W22" s="63">
        <v>646.62</v>
      </c>
      <c r="X22" s="63"/>
      <c r="Y22" s="33"/>
      <c r="Z22" s="63">
        <v>684.45</v>
      </c>
      <c r="AA22" s="63"/>
      <c r="AB22" s="33"/>
      <c r="AC22" s="63">
        <v>544.69</v>
      </c>
      <c r="AD22" s="63"/>
      <c r="AE22" s="33"/>
      <c r="AF22" s="63">
        <v>541.78</v>
      </c>
      <c r="AG22" s="63"/>
      <c r="AH22" s="33"/>
      <c r="AI22" s="63">
        <v>574.3</v>
      </c>
      <c r="AJ22" s="63"/>
      <c r="AK22" s="33"/>
      <c r="AL22" s="63"/>
      <c r="AM22" s="63"/>
      <c r="AN22" s="33"/>
      <c r="AO22" s="63"/>
      <c r="AP22" s="63"/>
      <c r="AQ22" s="33"/>
      <c r="AR22" s="63"/>
      <c r="AS22" s="63"/>
      <c r="AT22" s="33"/>
      <c r="AU22" s="63"/>
      <c r="AV22" s="63"/>
      <c r="AW22" s="33"/>
      <c r="AX22" s="63"/>
      <c r="AY22" s="63"/>
      <c r="AZ22" s="33"/>
      <c r="BA22" s="63"/>
      <c r="BB22" s="63"/>
      <c r="BC22" s="33"/>
      <c r="BD22" s="63"/>
      <c r="BE22" s="63"/>
      <c r="BF22" s="33"/>
      <c r="BG22" s="63"/>
      <c r="BH22" s="63"/>
      <c r="BI22" s="33"/>
      <c r="BJ22" s="63">
        <v>621.23</v>
      </c>
      <c r="BK22" s="63"/>
      <c r="BL22" s="33"/>
      <c r="BM22" s="63">
        <v>395.92</v>
      </c>
      <c r="BN22" s="63"/>
      <c r="BO22" s="33"/>
      <c r="BP22" s="63"/>
      <c r="BQ22" s="63"/>
      <c r="BR22" s="33"/>
      <c r="BS22" s="63">
        <v>563.36</v>
      </c>
      <c r="BT22" s="63"/>
      <c r="BU22" s="24"/>
      <c r="BV22" s="1"/>
      <c r="BW22" s="57">
        <f>SUM(E22:BT22)</f>
        <v>9393.15</v>
      </c>
      <c r="BX22" s="1"/>
      <c r="BY22" s="62" t="str">
        <f>A22</f>
        <v>PAPERWARE</v>
      </c>
      <c r="BZ22" s="1"/>
      <c r="CA22" s="20"/>
      <c r="CB22" s="20"/>
      <c r="CE22" s="73"/>
    </row>
    <row r="23" ht="28.95" customHeight="1" spans="1:83" s="64" customFormat="1" x14ac:dyDescent="0.25">
      <c r="A23" s="10" t="s">
        <v>57</v>
      </c>
      <c r="B23" s="10"/>
      <c r="C23" s="10" t="s">
        <v>57</v>
      </c>
      <c r="D23" s="33"/>
      <c r="E23" s="65">
        <f>SUM(E20:E22)</f>
        <v>5573.7699999999995</v>
      </c>
      <c r="F23" s="65"/>
      <c r="G23" s="10"/>
      <c r="H23" s="65">
        <f>SUM(H20:H22)</f>
        <v>14201.839999999998</v>
      </c>
      <c r="I23" s="65"/>
      <c r="J23" s="10"/>
      <c r="K23" s="65">
        <f>SUM(K20:K22)</f>
        <v>9015.9</v>
      </c>
      <c r="L23" s="65"/>
      <c r="M23" s="10"/>
      <c r="N23" s="65">
        <f>SUM(N20:N22)</f>
        <v>7900.2</v>
      </c>
      <c r="O23" s="65"/>
      <c r="P23" s="10"/>
      <c r="Q23" s="65">
        <f>SUM(Q20:Q22)</f>
        <v>6344.61</v>
      </c>
      <c r="R23" s="65"/>
      <c r="S23" s="10"/>
      <c r="T23" s="65">
        <f>SUM(T20:T22)</f>
        <v>5840.93</v>
      </c>
      <c r="U23" s="65"/>
      <c r="V23" s="10"/>
      <c r="W23" s="65">
        <f>SUM(W20:W22)</f>
        <v>7463.55</v>
      </c>
      <c r="X23" s="65"/>
      <c r="Y23" s="10"/>
      <c r="Z23" s="65">
        <f>SUM(Z20:Z22)</f>
        <v>6613.8099999999995</v>
      </c>
      <c r="AA23" s="65"/>
      <c r="AB23" s="10"/>
      <c r="AC23" s="65">
        <f>SUM(AC20:AC22)</f>
        <v>6069.209999999999</v>
      </c>
      <c r="AD23" s="65"/>
      <c r="AE23" s="10"/>
      <c r="AF23" s="65">
        <f>SUM(AF20:AF22)</f>
        <v>4036.54</v>
      </c>
      <c r="AG23" s="65"/>
      <c r="AH23" s="10"/>
      <c r="AI23" s="65">
        <f>SUM(AI20:AI22)</f>
        <v>5759.45</v>
      </c>
      <c r="AJ23" s="65"/>
      <c r="AK23" s="10"/>
      <c r="AL23" s="65">
        <f>SUM(AL20:AL22)</f>
        <v>0</v>
      </c>
      <c r="AM23" s="65"/>
      <c r="AN23" s="10"/>
      <c r="AO23" s="65">
        <f>SUM(AO20:AO22)</f>
        <v>0</v>
      </c>
      <c r="AP23" s="65"/>
      <c r="AQ23" s="10"/>
      <c r="AR23" s="65">
        <f>SUM(AR20:AR22)</f>
        <v>0</v>
      </c>
      <c r="AS23" s="65"/>
      <c r="AT23" s="10"/>
      <c r="AU23" s="65">
        <f>SUM(AU20:AU22)</f>
        <v>0</v>
      </c>
      <c r="AV23" s="65"/>
      <c r="AW23" s="10"/>
      <c r="AX23" s="65">
        <f>SUM(AX20:AX22)</f>
        <v>0</v>
      </c>
      <c r="AY23" s="65"/>
      <c r="AZ23" s="10"/>
      <c r="BA23" s="65">
        <f>SUM(BA20:BA22)</f>
        <v>0</v>
      </c>
      <c r="BB23" s="65"/>
      <c r="BC23" s="10"/>
      <c r="BD23" s="65">
        <f>SUM(BD20:BD22)</f>
        <v>2781.8199999999997</v>
      </c>
      <c r="BE23" s="65"/>
      <c r="BF23" s="10"/>
      <c r="BG23" s="65">
        <f>SUM(BG20:BG22)</f>
        <v>478.89</v>
      </c>
      <c r="BH23" s="65"/>
      <c r="BI23" s="10"/>
      <c r="BJ23" s="65">
        <f>SUM(BJ20:BJ22)</f>
        <v>4415.879999999999</v>
      </c>
      <c r="BK23" s="65"/>
      <c r="BL23" s="10"/>
      <c r="BM23" s="65">
        <f>SUM(BM20:BM22)</f>
        <v>3909.58</v>
      </c>
      <c r="BN23" s="65"/>
      <c r="BO23" s="10"/>
      <c r="BP23" s="65">
        <f>SUM(BP20:BP22)</f>
        <v>1154.35</v>
      </c>
      <c r="BQ23" s="65"/>
      <c r="BR23" s="10"/>
      <c r="BS23" s="65">
        <f>SUM(BS20:BS22)</f>
        <v>563.36</v>
      </c>
      <c r="BT23" s="65"/>
      <c r="BU23" s="10"/>
      <c r="BV23" s="20"/>
      <c r="BW23" s="61">
        <f>SUM(E23:BT23)</f>
        <v>92123.68999999999</v>
      </c>
      <c r="BX23" s="10"/>
      <c r="BY23" s="62" t="str">
        <f>A23</f>
        <v>EXTENDED AMOUNT</v>
      </c>
      <c r="BZ23" s="10"/>
      <c r="CA23" s="20"/>
      <c r="CB23" s="20"/>
      <c r="CE23" s="74"/>
    </row>
    <row r="24" ht="16.2" customHeight="1" spans="4:80" x14ac:dyDescent="0.25">
      <c r="D24" s="66"/>
      <c r="CA24" s="67"/>
      <c r="CB24" s="67"/>
    </row>
    <row r="25" spans="4:80" x14ac:dyDescent="0.25">
      <c r="D25" s="66"/>
      <c r="CA25" s="67"/>
      <c r="CB25" s="67"/>
    </row>
    <row r="26" spans="1:83" s="68" customFormat="1" x14ac:dyDescent="0.25">
      <c r="A26" s="1"/>
      <c r="B26" s="2"/>
      <c r="C26" s="3"/>
      <c r="D26" s="66"/>
      <c r="E26" s="3"/>
      <c r="F26" s="6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1"/>
      <c r="BW26" s="4"/>
      <c r="BX26" s="4"/>
      <c r="BY26" s="4"/>
      <c r="BZ26" s="1"/>
      <c r="CA26" s="67"/>
      <c r="CB26" s="67"/>
      <c r="CC26" s="5"/>
      <c r="CE26" s="75"/>
    </row>
    <row r="27" spans="4:4" x14ac:dyDescent="0.25">
      <c r="D27" s="66"/>
    </row>
    <row r="28" spans="4:4" x14ac:dyDescent="0.25">
      <c r="D28" s="66"/>
    </row>
    <row r="29" spans="4:4" x14ac:dyDescent="0.25">
      <c r="D29" s="66"/>
    </row>
    <row r="30" spans="4:4" x14ac:dyDescent="0.25">
      <c r="D30" s="66"/>
    </row>
  </sheetData>
  <mergeCells count="145">
    <mergeCell ref="E1:F1"/>
    <mergeCell ref="T1:U1"/>
    <mergeCell ref="AX1:AY1"/>
    <mergeCell ref="BP1:BQ1"/>
    <mergeCell ref="BS1:BT1"/>
    <mergeCell ref="E2:F2"/>
    <mergeCell ref="H2:I2"/>
    <mergeCell ref="K2:L2"/>
    <mergeCell ref="N2:O2"/>
    <mergeCell ref="Q2:R2"/>
    <mergeCell ref="T2:U2"/>
    <mergeCell ref="W2:X2"/>
    <mergeCell ref="Z2:AA2"/>
    <mergeCell ref="AC2:AD2"/>
    <mergeCell ref="AF2:AG2"/>
    <mergeCell ref="AI2:AJ2"/>
    <mergeCell ref="AL2:AM2"/>
    <mergeCell ref="AO2:AP2"/>
    <mergeCell ref="AR2:AS2"/>
    <mergeCell ref="AU2:AV2"/>
    <mergeCell ref="AX2:AY2"/>
    <mergeCell ref="BA2:BB2"/>
    <mergeCell ref="BD2:BE2"/>
    <mergeCell ref="BG2:BH2"/>
    <mergeCell ref="BJ2:BK2"/>
    <mergeCell ref="BM2:BN2"/>
    <mergeCell ref="BP2:BQ2"/>
    <mergeCell ref="BS2:BT2"/>
    <mergeCell ref="BW2:BY2"/>
    <mergeCell ref="BW11:BY11"/>
    <mergeCell ref="E19:F19"/>
    <mergeCell ref="H19:I19"/>
    <mergeCell ref="K19:L19"/>
    <mergeCell ref="N19:O19"/>
    <mergeCell ref="Q19:R19"/>
    <mergeCell ref="T19:U19"/>
    <mergeCell ref="W19:X19"/>
    <mergeCell ref="Z19:AA19"/>
    <mergeCell ref="AC19:AD19"/>
    <mergeCell ref="AF19:AG19"/>
    <mergeCell ref="AI19:AJ19"/>
    <mergeCell ref="AL19:AM19"/>
    <mergeCell ref="AO19:AP19"/>
    <mergeCell ref="AR19:AS19"/>
    <mergeCell ref="AU19:AV19"/>
    <mergeCell ref="AX19:AY19"/>
    <mergeCell ref="BA19:BB19"/>
    <mergeCell ref="BD19:BE19"/>
    <mergeCell ref="BG19:BH19"/>
    <mergeCell ref="BJ19:BK19"/>
    <mergeCell ref="BM19:BN19"/>
    <mergeCell ref="BP19:BQ19"/>
    <mergeCell ref="BS19:BT19"/>
    <mergeCell ref="E20:F20"/>
    <mergeCell ref="H20:I20"/>
    <mergeCell ref="K20:L20"/>
    <mergeCell ref="N20:O20"/>
    <mergeCell ref="Q20:R20"/>
    <mergeCell ref="T20:U20"/>
    <mergeCell ref="W20:X20"/>
    <mergeCell ref="Z20:AA20"/>
    <mergeCell ref="AC20:AD20"/>
    <mergeCell ref="AF20:AG20"/>
    <mergeCell ref="AI20:AJ20"/>
    <mergeCell ref="AL20:AM20"/>
    <mergeCell ref="AO20:AP20"/>
    <mergeCell ref="AR20:AS20"/>
    <mergeCell ref="AU20:AV20"/>
    <mergeCell ref="AX20:AY20"/>
    <mergeCell ref="BA20:BB20"/>
    <mergeCell ref="BD20:BE20"/>
    <mergeCell ref="BG20:BH20"/>
    <mergeCell ref="BJ20:BK20"/>
    <mergeCell ref="BM20:BN20"/>
    <mergeCell ref="BP20:BQ20"/>
    <mergeCell ref="BS20:BT20"/>
    <mergeCell ref="E21:F21"/>
    <mergeCell ref="H21:I21"/>
    <mergeCell ref="K21:L21"/>
    <mergeCell ref="N21:O21"/>
    <mergeCell ref="Q21:R21"/>
    <mergeCell ref="T21:U21"/>
    <mergeCell ref="W21:X21"/>
    <mergeCell ref="Z21:AA21"/>
    <mergeCell ref="AC21:AD21"/>
    <mergeCell ref="AF21:AG21"/>
    <mergeCell ref="AI21:AJ21"/>
    <mergeCell ref="AL21:AM21"/>
    <mergeCell ref="AO21:AP21"/>
    <mergeCell ref="AR21:AS21"/>
    <mergeCell ref="AU21:AV21"/>
    <mergeCell ref="AX21:AY21"/>
    <mergeCell ref="BA21:BB21"/>
    <mergeCell ref="BD21:BE21"/>
    <mergeCell ref="BG21:BH21"/>
    <mergeCell ref="BJ21:BK21"/>
    <mergeCell ref="BM21:BN21"/>
    <mergeCell ref="BP21:BQ21"/>
    <mergeCell ref="BS21:BT21"/>
    <mergeCell ref="E22:F22"/>
    <mergeCell ref="H22:I22"/>
    <mergeCell ref="K22:L22"/>
    <mergeCell ref="N22:O22"/>
    <mergeCell ref="Q22:R22"/>
    <mergeCell ref="T22:U22"/>
    <mergeCell ref="W22:X22"/>
    <mergeCell ref="Z22:AA22"/>
    <mergeCell ref="AC22:AD22"/>
    <mergeCell ref="AF22:AG22"/>
    <mergeCell ref="AI22:AJ22"/>
    <mergeCell ref="AL22:AM22"/>
    <mergeCell ref="AO22:AP22"/>
    <mergeCell ref="AR22:AS22"/>
    <mergeCell ref="AU22:AV22"/>
    <mergeCell ref="AX22:AY22"/>
    <mergeCell ref="BA22:BB22"/>
    <mergeCell ref="BD22:BE22"/>
    <mergeCell ref="BG22:BH22"/>
    <mergeCell ref="BJ22:BK22"/>
    <mergeCell ref="BM22:BN22"/>
    <mergeCell ref="BP22:BQ22"/>
    <mergeCell ref="BS22:BT22"/>
    <mergeCell ref="E23:F23"/>
    <mergeCell ref="H23:I23"/>
    <mergeCell ref="K23:L23"/>
    <mergeCell ref="N23:O23"/>
    <mergeCell ref="Q23:R23"/>
    <mergeCell ref="T23:U23"/>
    <mergeCell ref="W23:X23"/>
    <mergeCell ref="Z23:AA23"/>
    <mergeCell ref="AC23:AD23"/>
    <mergeCell ref="AF23:AG23"/>
    <mergeCell ref="AI23:AJ23"/>
    <mergeCell ref="AL23:AM23"/>
    <mergeCell ref="AO23:AP23"/>
    <mergeCell ref="AR23:AS23"/>
    <mergeCell ref="AU23:AV23"/>
    <mergeCell ref="AX23:AY23"/>
    <mergeCell ref="BA23:BB23"/>
    <mergeCell ref="BD23:BE23"/>
    <mergeCell ref="BG23:BH23"/>
    <mergeCell ref="BJ23:BK23"/>
    <mergeCell ref="BM23:BN23"/>
    <mergeCell ref="BP23:BQ23"/>
    <mergeCell ref="BS23:BT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30"/>
  <sheetViews>
    <sheetView workbookViewId="0" zoomScale="67" zoomScaleNormal="67">
      <pane xSplit="1" topLeftCell="B1" activePane="topRight" state="frozen"/>
      <selection pane="topRight" activeCell="C15" sqref="C15"/>
    </sheetView>
  </sheetViews>
  <sheetFormatPr defaultRowHeight="15.6" outlineLevelRow="0" outlineLevelCol="0" x14ac:dyDescent="0.3" defaultColWidth="9.109375" customHeight="1"/>
  <cols>
    <col min="1" max="1" width="26.6640625" style="1" customWidth="1"/>
    <col min="2" max="2" width="4.77734375" style="2" customWidth="1"/>
    <col min="3" max="3" width="15.33203125" style="3" customWidth="1"/>
    <col min="4" max="5" width="4.77734375" style="3" customWidth="1"/>
    <col min="6" max="6" width="11.77734375" style="3" customWidth="1"/>
    <col min="7" max="8" width="4.77734375" style="3" customWidth="1"/>
    <col min="9" max="9" width="11.77734375" style="3" customWidth="1"/>
    <col min="10" max="11" width="4.77734375" style="3" customWidth="1"/>
    <col min="12" max="12" width="11.77734375" style="3" customWidth="1"/>
    <col min="13" max="14" width="4.77734375" style="3" customWidth="1"/>
    <col min="15" max="15" width="11.77734375" style="3" customWidth="1"/>
    <col min="16" max="17" width="4.77734375" style="3" customWidth="1"/>
    <col min="18" max="18" width="11.77734375" style="3" customWidth="1"/>
    <col min="19" max="20" width="4.77734375" style="3" customWidth="1"/>
    <col min="21" max="21" width="11.77734375" style="3" customWidth="1"/>
    <col min="22" max="23" width="4.77734375" style="3" customWidth="1"/>
    <col min="24" max="24" width="11.77734375" style="3" customWidth="1"/>
    <col min="25" max="26" width="4.77734375" style="3" customWidth="1"/>
    <col min="27" max="27" width="11.77734375" style="3" customWidth="1"/>
    <col min="28" max="29" width="4.77734375" style="3" customWidth="1"/>
    <col min="30" max="30" width="11.77734375" style="3" customWidth="1"/>
    <col min="31" max="32" width="4.77734375" style="3" customWidth="1"/>
    <col min="33" max="33" width="11.77734375" style="3" customWidth="1"/>
    <col min="34" max="35" width="4.77734375" style="3" customWidth="1"/>
    <col min="36" max="36" width="11.77734375" style="3" customWidth="1"/>
    <col min="37" max="37" width="4.77734375" style="3" customWidth="1"/>
    <col min="38" max="38" width="4.77734375" style="3" hidden="1" customWidth="1"/>
    <col min="39" max="39" width="11.77734375" style="3" hidden="1" customWidth="1"/>
    <col min="40" max="41" width="4.77734375" style="3" hidden="1" customWidth="1"/>
    <col min="42" max="42" width="11.77734375" style="3" hidden="1" customWidth="1"/>
    <col min="43" max="44" width="4.77734375" style="3" hidden="1" customWidth="1"/>
    <col min="45" max="45" width="11.77734375" style="3" hidden="1" customWidth="1"/>
    <col min="46" max="47" width="4.77734375" style="3" hidden="1" customWidth="1"/>
    <col min="48" max="48" width="11.77734375" style="3" hidden="1" customWidth="1"/>
    <col min="49" max="50" width="4.77734375" style="3" hidden="1" customWidth="1"/>
    <col min="51" max="51" width="11.77734375" style="3" hidden="1" customWidth="1"/>
    <col min="52" max="53" width="4.77734375" style="3" hidden="1" customWidth="1"/>
    <col min="54" max="54" width="11.77734375" style="3" hidden="1" customWidth="1"/>
    <col min="55" max="55" width="4.77734375" style="3" hidden="1" customWidth="1"/>
    <col min="56" max="56" width="4.77734375" style="3" customWidth="1"/>
    <col min="57" max="57" width="11.77734375" style="3" customWidth="1"/>
    <col min="58" max="59" width="4.77734375" style="3" customWidth="1"/>
    <col min="60" max="60" width="11.77734375" style="3" customWidth="1"/>
    <col min="61" max="62" width="4.77734375" style="3" customWidth="1"/>
    <col min="63" max="63" width="11.77734375" style="3" customWidth="1"/>
    <col min="64" max="65" width="4.77734375" style="3" customWidth="1"/>
    <col min="66" max="66" width="11.77734375" style="3" customWidth="1"/>
    <col min="67" max="68" width="4.77734375" style="3" customWidth="1"/>
    <col min="69" max="69" width="11.77734375" style="3" customWidth="1"/>
    <col min="70" max="71" width="4.77734375" style="3" customWidth="1"/>
    <col min="72" max="72" width="11.77734375" style="3" customWidth="1"/>
    <col min="73" max="73" width="9.109375" style="3" customWidth="1"/>
    <col min="74" max="74" width="9.109375" style="1" customWidth="1"/>
    <col min="75" max="75" width="14.5546875" style="4" customWidth="1"/>
    <col min="76" max="76" width="9.109375" style="4" customWidth="1"/>
    <col min="77" max="77" width="20.88671875" style="4" customWidth="1"/>
    <col min="78" max="80" width="13.77734375" style="1" customWidth="1"/>
    <col min="81" max="16384" width="9.109375" style="5" customWidth="1"/>
  </cols>
  <sheetData>
    <row r="1" ht="39.6" customHeight="1" spans="1:80" s="6" customFormat="1" x14ac:dyDescent="0.25">
      <c r="A1" s="7" t="s">
        <v>0</v>
      </c>
      <c r="B1" s="8"/>
      <c r="C1" s="9">
        <v>46216</v>
      </c>
      <c r="D1" s="10"/>
      <c r="E1" s="9">
        <f>C1+6</f>
        <v>46222</v>
      </c>
      <c r="F1" s="11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  <c r="S1" s="12"/>
      <c r="T1" s="13"/>
      <c r="U1" s="13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3"/>
      <c r="AY1" s="13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3"/>
      <c r="BQ1" s="13"/>
      <c r="BR1" s="12"/>
      <c r="BS1" s="13"/>
      <c r="BT1" s="13"/>
      <c r="BU1" s="4"/>
      <c r="BV1" s="4"/>
      <c r="BW1" s="4"/>
      <c r="BX1" s="4"/>
      <c r="BY1" s="4"/>
      <c r="BZ1" s="4"/>
      <c r="CA1" s="4"/>
      <c r="CB1" s="4"/>
    </row>
    <row r="2" ht="28.8" customHeight="1" spans="1:80" s="14" customFormat="1" x14ac:dyDescent="0.25">
      <c r="A2" s="15" t="s">
        <v>1</v>
      </c>
      <c r="B2" s="10"/>
      <c r="C2" s="16" t="s">
        <v>2</v>
      </c>
      <c r="D2" s="10"/>
      <c r="E2" s="17" t="s">
        <v>3</v>
      </c>
      <c r="F2" s="18"/>
      <c r="G2" s="10"/>
      <c r="H2" s="17" t="s">
        <v>4</v>
      </c>
      <c r="I2" s="18"/>
      <c r="J2" s="10"/>
      <c r="K2" s="19" t="s">
        <v>5</v>
      </c>
      <c r="L2" s="18"/>
      <c r="M2" s="10"/>
      <c r="N2" s="17" t="s">
        <v>6</v>
      </c>
      <c r="O2" s="18"/>
      <c r="P2" s="10"/>
      <c r="Q2" s="17" t="s">
        <v>7</v>
      </c>
      <c r="R2" s="18"/>
      <c r="S2" s="10"/>
      <c r="T2" s="17" t="s">
        <v>8</v>
      </c>
      <c r="U2" s="18"/>
      <c r="V2" s="10"/>
      <c r="W2" s="17" t="s">
        <v>9</v>
      </c>
      <c r="X2" s="18"/>
      <c r="Y2" s="10"/>
      <c r="Z2" s="17" t="s">
        <v>10</v>
      </c>
      <c r="AA2" s="18"/>
      <c r="AB2" s="10"/>
      <c r="AC2" s="17" t="s">
        <v>11</v>
      </c>
      <c r="AD2" s="18"/>
      <c r="AE2" s="10"/>
      <c r="AF2" s="17" t="s">
        <v>12</v>
      </c>
      <c r="AG2" s="18"/>
      <c r="AH2" s="10"/>
      <c r="AI2" s="17" t="s">
        <v>13</v>
      </c>
      <c r="AJ2" s="18"/>
      <c r="AK2" s="10"/>
      <c r="AL2" s="17" t="s">
        <v>14</v>
      </c>
      <c r="AM2" s="18"/>
      <c r="AN2" s="10"/>
      <c r="AO2" s="17" t="s">
        <v>15</v>
      </c>
      <c r="AP2" s="18"/>
      <c r="AQ2" s="10"/>
      <c r="AR2" s="17" t="s">
        <v>16</v>
      </c>
      <c r="AS2" s="18"/>
      <c r="AT2" s="10"/>
      <c r="AU2" s="17" t="s">
        <v>17</v>
      </c>
      <c r="AV2" s="18"/>
      <c r="AW2" s="10"/>
      <c r="AX2" s="17" t="s">
        <v>18</v>
      </c>
      <c r="AY2" s="18"/>
      <c r="AZ2" s="10"/>
      <c r="BA2" s="17" t="s">
        <v>19</v>
      </c>
      <c r="BB2" s="18"/>
      <c r="BC2" s="10"/>
      <c r="BD2" s="17" t="s">
        <v>20</v>
      </c>
      <c r="BE2" s="18"/>
      <c r="BF2" s="10"/>
      <c r="BG2" s="17" t="s">
        <v>21</v>
      </c>
      <c r="BH2" s="18"/>
      <c r="BI2" s="10"/>
      <c r="BJ2" s="17" t="s">
        <v>22</v>
      </c>
      <c r="BK2" s="18"/>
      <c r="BL2" s="10"/>
      <c r="BM2" s="17" t="s">
        <v>23</v>
      </c>
      <c r="BN2" s="18"/>
      <c r="BO2" s="10"/>
      <c r="BP2" s="17" t="s">
        <v>24</v>
      </c>
      <c r="BQ2" s="18"/>
      <c r="BR2" s="10"/>
      <c r="BS2" s="17" t="s">
        <v>25</v>
      </c>
      <c r="BT2" s="18"/>
      <c r="BU2" s="20"/>
      <c r="BV2" s="20"/>
      <c r="BW2" s="21" t="s">
        <v>26</v>
      </c>
      <c r="BX2" s="21"/>
      <c r="BY2" s="21"/>
      <c r="BZ2" s="20"/>
      <c r="CA2" s="20"/>
      <c r="CB2" s="20"/>
    </row>
    <row r="3" ht="28.95" customHeight="1" spans="1:77" x14ac:dyDescent="0.25">
      <c r="A3" s="22" t="s">
        <v>27</v>
      </c>
      <c r="B3" s="10"/>
      <c r="C3" s="23"/>
      <c r="D3" s="24"/>
      <c r="E3" s="25"/>
      <c r="F3" s="26">
        <f t="shared" ref="F3:F14" si="0">E3*C3</f>
        <v>0</v>
      </c>
      <c r="G3" s="24"/>
      <c r="H3" s="25"/>
      <c r="I3" s="26">
        <f t="shared" ref="I3:I14" si="1">H3*C3</f>
        <v>0</v>
      </c>
      <c r="J3" s="24"/>
      <c r="K3" s="25"/>
      <c r="L3" s="26">
        <f t="shared" ref="L3:L14" si="2">K3*C3</f>
        <v>0</v>
      </c>
      <c r="M3" s="24"/>
      <c r="N3" s="25"/>
      <c r="O3" s="26">
        <f t="shared" ref="O3:O14" si="3">N3*C3</f>
        <v>0</v>
      </c>
      <c r="P3" s="24"/>
      <c r="Q3" s="25"/>
      <c r="R3" s="26">
        <f t="shared" ref="R3:R14" si="4">Q3*C3</f>
        <v>0</v>
      </c>
      <c r="S3" s="24"/>
      <c r="T3" s="25"/>
      <c r="U3" s="26">
        <f t="shared" ref="U3:U14" si="5">T3*C3</f>
        <v>0</v>
      </c>
      <c r="V3" s="24"/>
      <c r="W3" s="25"/>
      <c r="X3" s="26">
        <f t="shared" ref="X3:X14" si="6">W3*C3</f>
        <v>0</v>
      </c>
      <c r="Y3" s="24"/>
      <c r="Z3" s="25"/>
      <c r="AA3" s="26">
        <f t="shared" ref="AA3:AA14" si="7">Z3*C3</f>
        <v>0</v>
      </c>
      <c r="AB3" s="24"/>
      <c r="AC3" s="25"/>
      <c r="AD3" s="26">
        <f t="shared" ref="AD3:AD14" si="8">AC3*C3</f>
        <v>0</v>
      </c>
      <c r="AE3" s="24"/>
      <c r="AF3" s="25"/>
      <c r="AG3" s="26">
        <f t="shared" ref="AG3:AG14" si="9">AF3*C3</f>
        <v>0</v>
      </c>
      <c r="AH3" s="24"/>
      <c r="AI3" s="25"/>
      <c r="AJ3" s="26">
        <f t="shared" ref="AJ3:AJ14" si="10">AI3*C3</f>
        <v>0</v>
      </c>
      <c r="AK3" s="24"/>
      <c r="AL3" s="25"/>
      <c r="AM3" s="26"/>
      <c r="AN3" s="24"/>
      <c r="AO3" s="25"/>
      <c r="AP3" s="26"/>
      <c r="AQ3" s="24"/>
      <c r="AR3" s="25"/>
      <c r="AS3" s="26"/>
      <c r="AT3" s="24"/>
      <c r="AU3" s="25"/>
      <c r="AV3" s="26"/>
      <c r="AW3" s="24"/>
      <c r="AX3" s="25"/>
      <c r="AY3" s="26"/>
      <c r="AZ3" s="24"/>
      <c r="BA3" s="25"/>
      <c r="BB3" s="26"/>
      <c r="BC3" s="24"/>
      <c r="BD3" s="25"/>
      <c r="BE3" s="26">
        <f t="shared" ref="BE3:BE14" si="11">BD3*C3</f>
        <v>0</v>
      </c>
      <c r="BF3" s="24"/>
      <c r="BG3" s="25"/>
      <c r="BH3" s="26">
        <f t="shared" ref="BH3:BH14" si="12">BG3*C3</f>
        <v>0</v>
      </c>
      <c r="BI3" s="24"/>
      <c r="BJ3" s="25"/>
      <c r="BK3" s="26">
        <f t="shared" ref="BK3:BK14" si="13">BJ3*C3</f>
        <v>0</v>
      </c>
      <c r="BL3" s="24"/>
      <c r="BM3" s="25"/>
      <c r="BN3" s="26">
        <f t="shared" ref="BN3:BN14" si="14">BM3*C3</f>
        <v>0</v>
      </c>
      <c r="BO3" s="24"/>
      <c r="BP3" s="25"/>
      <c r="BQ3" s="26">
        <f t="shared" ref="BQ3:BQ14" si="15">BP3*C3</f>
        <v>0</v>
      </c>
      <c r="BR3" s="24"/>
      <c r="BS3" s="25"/>
      <c r="BT3" s="26">
        <f t="shared" ref="BT3:BT14" si="16">BS3*C3</f>
        <v>0</v>
      </c>
      <c r="BU3" s="24"/>
      <c r="BW3" s="27"/>
      <c r="BX3" s="1"/>
      <c r="BY3" s="1" t="s">
        <v>28</v>
      </c>
    </row>
    <row r="4" ht="28.95" customHeight="1" spans="1:77" x14ac:dyDescent="0.25">
      <c r="A4" s="28" t="s">
        <v>29</v>
      </c>
      <c r="B4" s="10"/>
      <c r="C4" s="23"/>
      <c r="D4" s="24"/>
      <c r="E4" s="25"/>
      <c r="F4" s="26">
        <f t="shared" si="0"/>
        <v>0</v>
      </c>
      <c r="G4" s="24"/>
      <c r="H4" s="25"/>
      <c r="I4" s="26">
        <f t="shared" si="1"/>
        <v>0</v>
      </c>
      <c r="J4" s="24"/>
      <c r="K4" s="25"/>
      <c r="L4" s="26">
        <f t="shared" si="2"/>
        <v>0</v>
      </c>
      <c r="M4" s="24"/>
      <c r="N4" s="25"/>
      <c r="O4" s="26">
        <f t="shared" si="3"/>
        <v>0</v>
      </c>
      <c r="P4" s="24"/>
      <c r="Q4" s="25"/>
      <c r="R4" s="26">
        <f t="shared" si="4"/>
        <v>0</v>
      </c>
      <c r="S4" s="24"/>
      <c r="T4" s="25"/>
      <c r="U4" s="26">
        <f t="shared" si="5"/>
        <v>0</v>
      </c>
      <c r="V4" s="24"/>
      <c r="W4" s="25"/>
      <c r="X4" s="26">
        <f t="shared" si="6"/>
        <v>0</v>
      </c>
      <c r="Y4" s="24"/>
      <c r="Z4" s="25"/>
      <c r="AA4" s="26">
        <f t="shared" si="7"/>
        <v>0</v>
      </c>
      <c r="AB4" s="24"/>
      <c r="AC4" s="25"/>
      <c r="AD4" s="26">
        <f t="shared" si="8"/>
        <v>0</v>
      </c>
      <c r="AE4" s="24"/>
      <c r="AF4" s="25"/>
      <c r="AG4" s="26">
        <f t="shared" si="9"/>
        <v>0</v>
      </c>
      <c r="AH4" s="24"/>
      <c r="AI4" s="25"/>
      <c r="AJ4" s="26">
        <f t="shared" si="10"/>
        <v>0</v>
      </c>
      <c r="AK4" s="24"/>
      <c r="AL4" s="25"/>
      <c r="AM4" s="26"/>
      <c r="AN4" s="24"/>
      <c r="AO4" s="25"/>
      <c r="AP4" s="26"/>
      <c r="AQ4" s="24"/>
      <c r="AR4" s="25"/>
      <c r="AS4" s="26"/>
      <c r="AT4" s="24"/>
      <c r="AU4" s="25"/>
      <c r="AV4" s="26"/>
      <c r="AW4" s="24"/>
      <c r="AX4" s="25"/>
      <c r="AY4" s="26"/>
      <c r="AZ4" s="24"/>
      <c r="BA4" s="25"/>
      <c r="BB4" s="26"/>
      <c r="BC4" s="24"/>
      <c r="BD4" s="25"/>
      <c r="BE4" s="26">
        <f t="shared" si="11"/>
        <v>0</v>
      </c>
      <c r="BF4" s="24"/>
      <c r="BG4" s="25"/>
      <c r="BH4" s="26">
        <f t="shared" si="12"/>
        <v>0</v>
      </c>
      <c r="BI4" s="24"/>
      <c r="BJ4" s="25"/>
      <c r="BK4" s="26">
        <f t="shared" si="13"/>
        <v>0</v>
      </c>
      <c r="BL4" s="24"/>
      <c r="BM4" s="25"/>
      <c r="BN4" s="26">
        <f t="shared" si="14"/>
        <v>0</v>
      </c>
      <c r="BO4" s="24"/>
      <c r="BP4" s="25"/>
      <c r="BQ4" s="26">
        <f t="shared" si="15"/>
        <v>0</v>
      </c>
      <c r="BR4" s="24"/>
      <c r="BS4" s="25"/>
      <c r="BT4" s="26">
        <f t="shared" si="16"/>
        <v>0</v>
      </c>
      <c r="BU4" s="24"/>
      <c r="BW4" s="27"/>
      <c r="BX4" s="1"/>
      <c r="BY4" s="1" t="s">
        <v>30</v>
      </c>
    </row>
    <row r="5" ht="28.8" customHeight="1" spans="1:77" x14ac:dyDescent="0.25">
      <c r="A5" s="29" t="s">
        <v>31</v>
      </c>
      <c r="B5" s="10"/>
      <c r="C5" s="23"/>
      <c r="D5" s="24"/>
      <c r="E5" s="25"/>
      <c r="F5" s="26">
        <f t="shared" si="0"/>
        <v>0</v>
      </c>
      <c r="G5" s="24"/>
      <c r="H5" s="25"/>
      <c r="I5" s="26">
        <f t="shared" si="1"/>
        <v>0</v>
      </c>
      <c r="J5" s="24"/>
      <c r="K5" s="25"/>
      <c r="L5" s="26">
        <f t="shared" si="2"/>
        <v>0</v>
      </c>
      <c r="M5" s="24"/>
      <c r="N5" s="25"/>
      <c r="O5" s="26">
        <f t="shared" si="3"/>
        <v>0</v>
      </c>
      <c r="P5" s="24"/>
      <c r="Q5" s="25"/>
      <c r="R5" s="26">
        <f t="shared" si="4"/>
        <v>0</v>
      </c>
      <c r="S5" s="24"/>
      <c r="T5" s="25"/>
      <c r="U5" s="26">
        <f t="shared" si="5"/>
        <v>0</v>
      </c>
      <c r="V5" s="24"/>
      <c r="W5" s="25"/>
      <c r="X5" s="26">
        <f t="shared" si="6"/>
        <v>0</v>
      </c>
      <c r="Y5" s="24"/>
      <c r="Z5" s="25"/>
      <c r="AA5" s="26">
        <f t="shared" si="7"/>
        <v>0</v>
      </c>
      <c r="AB5" s="24"/>
      <c r="AC5" s="25"/>
      <c r="AD5" s="26">
        <f t="shared" si="8"/>
        <v>0</v>
      </c>
      <c r="AE5" s="24"/>
      <c r="AF5" s="25"/>
      <c r="AG5" s="26">
        <f t="shared" si="9"/>
        <v>0</v>
      </c>
      <c r="AH5" s="24"/>
      <c r="AI5" s="25"/>
      <c r="AJ5" s="26">
        <f t="shared" si="10"/>
        <v>0</v>
      </c>
      <c r="AK5" s="24"/>
      <c r="AL5" s="25"/>
      <c r="AM5" s="26"/>
      <c r="AN5" s="24"/>
      <c r="AO5" s="25"/>
      <c r="AP5" s="26"/>
      <c r="AQ5" s="24"/>
      <c r="AR5" s="25"/>
      <c r="AS5" s="26"/>
      <c r="AT5" s="24"/>
      <c r="AU5" s="25"/>
      <c r="AV5" s="26"/>
      <c r="AW5" s="24"/>
      <c r="AX5" s="25"/>
      <c r="AY5" s="26"/>
      <c r="AZ5" s="24"/>
      <c r="BA5" s="25"/>
      <c r="BB5" s="26"/>
      <c r="BC5" s="24"/>
      <c r="BD5" s="25"/>
      <c r="BE5" s="26">
        <f t="shared" si="11"/>
        <v>0</v>
      </c>
      <c r="BF5" s="24"/>
      <c r="BG5" s="25"/>
      <c r="BH5" s="26">
        <f t="shared" si="12"/>
        <v>0</v>
      </c>
      <c r="BI5" s="24"/>
      <c r="BJ5" s="25"/>
      <c r="BK5" s="26">
        <f t="shared" si="13"/>
        <v>0</v>
      </c>
      <c r="BL5" s="24"/>
      <c r="BM5" s="25"/>
      <c r="BN5" s="26">
        <f t="shared" si="14"/>
        <v>0</v>
      </c>
      <c r="BO5" s="24"/>
      <c r="BP5" s="25"/>
      <c r="BQ5" s="26">
        <f t="shared" si="15"/>
        <v>0</v>
      </c>
      <c r="BR5" s="24"/>
      <c r="BS5" s="25"/>
      <c r="BT5" s="26">
        <f t="shared" si="16"/>
        <v>0</v>
      </c>
      <c r="BU5" s="24"/>
      <c r="BW5" s="27"/>
      <c r="BX5" s="1"/>
      <c r="BY5" s="1" t="s">
        <v>32</v>
      </c>
    </row>
    <row r="6" ht="28.95" customHeight="1" spans="1:77" x14ac:dyDescent="0.25">
      <c r="A6" s="29" t="s">
        <v>33</v>
      </c>
      <c r="B6" s="10"/>
      <c r="C6" s="23"/>
      <c r="D6" s="24"/>
      <c r="E6" s="25"/>
      <c r="F6" s="26">
        <f t="shared" si="0"/>
        <v>0</v>
      </c>
      <c r="G6" s="24"/>
      <c r="H6" s="25"/>
      <c r="I6" s="26">
        <f t="shared" si="1"/>
        <v>0</v>
      </c>
      <c r="J6" s="24"/>
      <c r="K6" s="25"/>
      <c r="L6" s="26">
        <f t="shared" si="2"/>
        <v>0</v>
      </c>
      <c r="M6" s="24"/>
      <c r="N6" s="25"/>
      <c r="O6" s="26">
        <f t="shared" si="3"/>
        <v>0</v>
      </c>
      <c r="P6" s="24"/>
      <c r="Q6" s="25"/>
      <c r="R6" s="26">
        <f t="shared" si="4"/>
        <v>0</v>
      </c>
      <c r="S6" s="24"/>
      <c r="T6" s="25"/>
      <c r="U6" s="26">
        <f t="shared" si="5"/>
        <v>0</v>
      </c>
      <c r="V6" s="24"/>
      <c r="W6" s="25"/>
      <c r="X6" s="26">
        <f t="shared" si="6"/>
        <v>0</v>
      </c>
      <c r="Y6" s="24"/>
      <c r="Z6" s="25"/>
      <c r="AA6" s="26">
        <f t="shared" si="7"/>
        <v>0</v>
      </c>
      <c r="AB6" s="24"/>
      <c r="AC6" s="25"/>
      <c r="AD6" s="26">
        <f t="shared" si="8"/>
        <v>0</v>
      </c>
      <c r="AE6" s="24"/>
      <c r="AF6" s="25"/>
      <c r="AG6" s="26">
        <f t="shared" si="9"/>
        <v>0</v>
      </c>
      <c r="AH6" s="24"/>
      <c r="AI6" s="25"/>
      <c r="AJ6" s="26">
        <f t="shared" si="10"/>
        <v>0</v>
      </c>
      <c r="AK6" s="24"/>
      <c r="AL6" s="25"/>
      <c r="AM6" s="26"/>
      <c r="AN6" s="24"/>
      <c r="AO6" s="25"/>
      <c r="AP6" s="26"/>
      <c r="AQ6" s="24"/>
      <c r="AR6" s="25"/>
      <c r="AS6" s="26"/>
      <c r="AT6" s="24"/>
      <c r="AU6" s="25"/>
      <c r="AV6" s="26"/>
      <c r="AW6" s="24"/>
      <c r="AX6" s="25"/>
      <c r="AY6" s="26"/>
      <c r="AZ6" s="24"/>
      <c r="BA6" s="25"/>
      <c r="BB6" s="26"/>
      <c r="BC6" s="24"/>
      <c r="BD6" s="25"/>
      <c r="BE6" s="26">
        <f t="shared" si="11"/>
        <v>0</v>
      </c>
      <c r="BF6" s="24"/>
      <c r="BG6" s="25"/>
      <c r="BH6" s="26">
        <f t="shared" si="12"/>
        <v>0</v>
      </c>
      <c r="BI6" s="24"/>
      <c r="BJ6" s="25"/>
      <c r="BK6" s="26">
        <f t="shared" si="13"/>
        <v>0</v>
      </c>
      <c r="BL6" s="24"/>
      <c r="BM6" s="25"/>
      <c r="BN6" s="26">
        <f t="shared" si="14"/>
        <v>0</v>
      </c>
      <c r="BO6" s="24"/>
      <c r="BP6" s="25"/>
      <c r="BQ6" s="26">
        <f t="shared" si="15"/>
        <v>0</v>
      </c>
      <c r="BR6" s="24"/>
      <c r="BS6" s="25"/>
      <c r="BT6" s="26">
        <f t="shared" si="16"/>
        <v>0</v>
      </c>
      <c r="BU6" s="24"/>
      <c r="BW6" s="27"/>
      <c r="BX6" s="1"/>
      <c r="BY6" s="1" t="s">
        <v>34</v>
      </c>
    </row>
    <row r="7" ht="28.95" customHeight="1" spans="1:77" x14ac:dyDescent="0.25">
      <c r="A7" s="29" t="s">
        <v>35</v>
      </c>
      <c r="B7" s="10"/>
      <c r="C7" s="23"/>
      <c r="D7" s="24"/>
      <c r="E7" s="25"/>
      <c r="F7" s="26">
        <f t="shared" si="0"/>
        <v>0</v>
      </c>
      <c r="G7" s="24"/>
      <c r="H7" s="25"/>
      <c r="I7" s="26">
        <f t="shared" si="1"/>
        <v>0</v>
      </c>
      <c r="J7" s="24"/>
      <c r="K7" s="25"/>
      <c r="L7" s="26">
        <f t="shared" si="2"/>
        <v>0</v>
      </c>
      <c r="M7" s="24"/>
      <c r="N7" s="25"/>
      <c r="O7" s="26">
        <f t="shared" si="3"/>
        <v>0</v>
      </c>
      <c r="P7" s="24"/>
      <c r="Q7" s="25"/>
      <c r="R7" s="26">
        <f t="shared" si="4"/>
        <v>0</v>
      </c>
      <c r="S7" s="24"/>
      <c r="T7" s="25"/>
      <c r="U7" s="26">
        <f t="shared" si="5"/>
        <v>0</v>
      </c>
      <c r="V7" s="24"/>
      <c r="W7" s="25"/>
      <c r="X7" s="26">
        <f t="shared" si="6"/>
        <v>0</v>
      </c>
      <c r="Y7" s="24"/>
      <c r="Z7" s="25"/>
      <c r="AA7" s="26">
        <f t="shared" si="7"/>
        <v>0</v>
      </c>
      <c r="AB7" s="24"/>
      <c r="AC7" s="25"/>
      <c r="AD7" s="26">
        <f t="shared" si="8"/>
        <v>0</v>
      </c>
      <c r="AE7" s="24"/>
      <c r="AF7" s="25"/>
      <c r="AG7" s="26">
        <f t="shared" si="9"/>
        <v>0</v>
      </c>
      <c r="AH7" s="24"/>
      <c r="AI7" s="25"/>
      <c r="AJ7" s="26">
        <f t="shared" si="10"/>
        <v>0</v>
      </c>
      <c r="AK7" s="24"/>
      <c r="AL7" s="25"/>
      <c r="AM7" s="26"/>
      <c r="AN7" s="24"/>
      <c r="AO7" s="25"/>
      <c r="AP7" s="26"/>
      <c r="AQ7" s="24"/>
      <c r="AR7" s="25"/>
      <c r="AS7" s="26"/>
      <c r="AT7" s="24"/>
      <c r="AU7" s="25"/>
      <c r="AV7" s="26"/>
      <c r="AW7" s="24"/>
      <c r="AX7" s="25"/>
      <c r="AY7" s="26"/>
      <c r="AZ7" s="24"/>
      <c r="BA7" s="25"/>
      <c r="BB7" s="26"/>
      <c r="BC7" s="24"/>
      <c r="BD7" s="25"/>
      <c r="BE7" s="26">
        <f t="shared" si="11"/>
        <v>0</v>
      </c>
      <c r="BF7" s="24"/>
      <c r="BG7" s="25"/>
      <c r="BH7" s="26">
        <f t="shared" si="12"/>
        <v>0</v>
      </c>
      <c r="BI7" s="24"/>
      <c r="BJ7" s="25"/>
      <c r="BK7" s="26">
        <f t="shared" si="13"/>
        <v>0</v>
      </c>
      <c r="BL7" s="24"/>
      <c r="BM7" s="25"/>
      <c r="BN7" s="26">
        <f t="shared" si="14"/>
        <v>0</v>
      </c>
      <c r="BO7" s="24"/>
      <c r="BP7" s="25"/>
      <c r="BQ7" s="26">
        <f t="shared" si="15"/>
        <v>0</v>
      </c>
      <c r="BR7" s="24"/>
      <c r="BS7" s="25"/>
      <c r="BT7" s="26">
        <f t="shared" si="16"/>
        <v>0</v>
      </c>
      <c r="BU7" s="24"/>
      <c r="BW7" s="27"/>
      <c r="BX7" s="1"/>
      <c r="BY7" s="1" t="s">
        <v>36</v>
      </c>
    </row>
    <row r="8" ht="28.95" customHeight="1" spans="1:77" x14ac:dyDescent="0.25">
      <c r="A8" s="28" t="s">
        <v>37</v>
      </c>
      <c r="B8" s="10"/>
      <c r="C8" s="23">
        <f t="array" ref="C8">IFERROR(INDEX(
INDIRECT("'[3. Production 2026 2Q.xlsx]Production "&amp;
RIGHT(SUBSTITUTE(MID(CELL("filename",$A$1),
FIND("]",CELL("filename",$A$1))+1,255),")",""),2)&amp;
"'!$AJ$3:$AJ$24"),
MATCH(A8,
INDIRECT("'[3. Production 2026 2Q.xlsx]Production "&amp;
RIGHT(SUBSTITUTE(MID(CELL("filename",$A$1),
FIND("]",CELL("filename",$A$1))+1,255),")",""),2)&amp;
"'!$AO$3:$AO$24"),
0)),0)</f>
        <v>0</v>
      </c>
      <c r="D8" s="24"/>
      <c r="E8" s="25"/>
      <c r="F8" s="26">
        <f t="shared" si="0"/>
        <v>0</v>
      </c>
      <c r="G8" s="24"/>
      <c r="H8" s="25"/>
      <c r="I8" s="26">
        <f t="shared" si="1"/>
        <v>0</v>
      </c>
      <c r="J8" s="24"/>
      <c r="K8" s="25"/>
      <c r="L8" s="26">
        <f t="shared" si="2"/>
        <v>0</v>
      </c>
      <c r="M8" s="24"/>
      <c r="N8" s="25"/>
      <c r="O8" s="26">
        <f t="shared" si="3"/>
        <v>0</v>
      </c>
      <c r="P8" s="24"/>
      <c r="Q8" s="25"/>
      <c r="R8" s="26">
        <f t="shared" si="4"/>
        <v>0</v>
      </c>
      <c r="S8" s="24"/>
      <c r="T8" s="25"/>
      <c r="U8" s="26">
        <f t="shared" si="5"/>
        <v>0</v>
      </c>
      <c r="V8" s="24"/>
      <c r="W8" s="25"/>
      <c r="X8" s="26">
        <f t="shared" si="6"/>
        <v>0</v>
      </c>
      <c r="Y8" s="24"/>
      <c r="Z8" s="25"/>
      <c r="AA8" s="26">
        <f t="shared" si="7"/>
        <v>0</v>
      </c>
      <c r="AB8" s="24"/>
      <c r="AC8" s="25"/>
      <c r="AD8" s="26">
        <f t="shared" si="8"/>
        <v>0</v>
      </c>
      <c r="AE8" s="24"/>
      <c r="AF8" s="25"/>
      <c r="AG8" s="26">
        <f t="shared" si="9"/>
        <v>0</v>
      </c>
      <c r="AH8" s="24"/>
      <c r="AI8" s="25"/>
      <c r="AJ8" s="26">
        <f t="shared" si="10"/>
        <v>0</v>
      </c>
      <c r="AK8" s="24"/>
      <c r="AL8" s="25"/>
      <c r="AM8" s="26"/>
      <c r="AN8" s="24"/>
      <c r="AO8" s="25"/>
      <c r="AP8" s="26"/>
      <c r="AQ8" s="24"/>
      <c r="AR8" s="25"/>
      <c r="AS8" s="26"/>
      <c r="AT8" s="24"/>
      <c r="AU8" s="25"/>
      <c r="AV8" s="26"/>
      <c r="AW8" s="24"/>
      <c r="AX8" s="25"/>
      <c r="AY8" s="26"/>
      <c r="AZ8" s="24"/>
      <c r="BA8" s="25"/>
      <c r="BB8" s="26"/>
      <c r="BC8" s="24"/>
      <c r="BD8" s="25"/>
      <c r="BE8" s="26">
        <f t="shared" si="11"/>
        <v>0</v>
      </c>
      <c r="BF8" s="24"/>
      <c r="BG8" s="25"/>
      <c r="BH8" s="26">
        <f t="shared" si="12"/>
        <v>0</v>
      </c>
      <c r="BI8" s="24"/>
      <c r="BJ8" s="25"/>
      <c r="BK8" s="26">
        <f t="shared" si="13"/>
        <v>0</v>
      </c>
      <c r="BL8" s="24"/>
      <c r="BM8" s="25"/>
      <c r="BN8" s="26">
        <f t="shared" si="14"/>
        <v>0</v>
      </c>
      <c r="BO8" s="24"/>
      <c r="BP8" s="25"/>
      <c r="BQ8" s="26">
        <f t="shared" si="15"/>
        <v>0</v>
      </c>
      <c r="BR8" s="24"/>
      <c r="BS8" s="25"/>
      <c r="BT8" s="26">
        <f t="shared" si="16"/>
        <v>0</v>
      </c>
      <c r="BU8" s="24"/>
      <c r="BW8" s="27">
        <f>BW23</f>
        <v>0</v>
      </c>
      <c r="BX8" s="1"/>
      <c r="BY8" s="1" t="s">
        <v>38</v>
      </c>
    </row>
    <row r="9" ht="28.95" customHeight="1" spans="1:77" x14ac:dyDescent="0.25">
      <c r="A9" s="30" t="s">
        <v>39</v>
      </c>
      <c r="B9" s="31"/>
      <c r="C9" s="32">
        <v>91</v>
      </c>
      <c r="D9" s="33"/>
      <c r="E9" s="25"/>
      <c r="F9" s="26">
        <f t="shared" si="0"/>
        <v>0</v>
      </c>
      <c r="G9" s="24"/>
      <c r="H9" s="25"/>
      <c r="I9" s="26">
        <f t="shared" si="1"/>
        <v>0</v>
      </c>
      <c r="J9" s="24"/>
      <c r="K9" s="25"/>
      <c r="L9" s="26">
        <f t="shared" si="2"/>
        <v>0</v>
      </c>
      <c r="M9" s="24"/>
      <c r="N9" s="25"/>
      <c r="O9" s="26">
        <f t="shared" si="3"/>
        <v>0</v>
      </c>
      <c r="P9" s="24"/>
      <c r="Q9" s="25"/>
      <c r="R9" s="26">
        <f t="shared" si="4"/>
        <v>0</v>
      </c>
      <c r="S9" s="24"/>
      <c r="T9" s="25"/>
      <c r="U9" s="26">
        <f t="shared" si="5"/>
        <v>0</v>
      </c>
      <c r="V9" s="24"/>
      <c r="W9" s="25"/>
      <c r="X9" s="26">
        <f t="shared" si="6"/>
        <v>0</v>
      </c>
      <c r="Y9" s="24"/>
      <c r="Z9" s="25"/>
      <c r="AA9" s="26">
        <f t="shared" si="7"/>
        <v>0</v>
      </c>
      <c r="AB9" s="24"/>
      <c r="AC9" s="25"/>
      <c r="AD9" s="26">
        <f t="shared" si="8"/>
        <v>0</v>
      </c>
      <c r="AE9" s="24"/>
      <c r="AF9" s="25"/>
      <c r="AG9" s="26">
        <f t="shared" si="9"/>
        <v>0</v>
      </c>
      <c r="AH9" s="24"/>
      <c r="AI9" s="25"/>
      <c r="AJ9" s="26">
        <f t="shared" si="10"/>
        <v>0</v>
      </c>
      <c r="AK9" s="24"/>
      <c r="AL9" s="25"/>
      <c r="AM9" s="26"/>
      <c r="AN9" s="24"/>
      <c r="AO9" s="25"/>
      <c r="AP9" s="26"/>
      <c r="AQ9" s="24"/>
      <c r="AR9" s="25"/>
      <c r="AS9" s="26"/>
      <c r="AT9" s="24"/>
      <c r="AU9" s="25"/>
      <c r="AV9" s="26"/>
      <c r="AW9" s="24"/>
      <c r="AX9" s="25"/>
      <c r="AY9" s="26"/>
      <c r="AZ9" s="24"/>
      <c r="BA9" s="25"/>
      <c r="BB9" s="26"/>
      <c r="BC9" s="24"/>
      <c r="BD9" s="25"/>
      <c r="BE9" s="26">
        <f t="shared" si="11"/>
        <v>0</v>
      </c>
      <c r="BF9" s="24"/>
      <c r="BG9" s="25"/>
      <c r="BH9" s="26">
        <f t="shared" si="12"/>
        <v>0</v>
      </c>
      <c r="BI9" s="24"/>
      <c r="BJ9" s="25"/>
      <c r="BK9" s="26">
        <f t="shared" si="13"/>
        <v>0</v>
      </c>
      <c r="BL9" s="24"/>
      <c r="BM9" s="25"/>
      <c r="BN9" s="26">
        <f t="shared" si="14"/>
        <v>0</v>
      </c>
      <c r="BO9" s="24"/>
      <c r="BP9" s="25"/>
      <c r="BQ9" s="26">
        <f t="shared" si="15"/>
        <v>0</v>
      </c>
      <c r="BR9" s="24"/>
      <c r="BS9" s="25"/>
      <c r="BT9" s="26">
        <f t="shared" si="16"/>
        <v>0</v>
      </c>
      <c r="BU9" s="24"/>
      <c r="BW9" s="34">
        <f>SUM(BW3:BW8)</f>
        <v>0</v>
      </c>
      <c r="BX9" s="20"/>
      <c r="BY9" s="35" t="s">
        <v>40</v>
      </c>
    </row>
    <row r="10" ht="28.95" customHeight="1" spans="1:73" x14ac:dyDescent="0.25">
      <c r="A10" s="30" t="s">
        <v>41</v>
      </c>
      <c r="B10" s="10"/>
      <c r="C10" s="32">
        <v>91</v>
      </c>
      <c r="D10" s="24"/>
      <c r="E10" s="25"/>
      <c r="F10" s="26">
        <f t="shared" si="0"/>
        <v>0</v>
      </c>
      <c r="G10" s="24"/>
      <c r="H10" s="25"/>
      <c r="I10" s="26">
        <f t="shared" si="1"/>
        <v>0</v>
      </c>
      <c r="J10" s="24"/>
      <c r="K10" s="25"/>
      <c r="L10" s="26">
        <f t="shared" si="2"/>
        <v>0</v>
      </c>
      <c r="M10" s="24"/>
      <c r="N10" s="25"/>
      <c r="O10" s="26">
        <f t="shared" si="3"/>
        <v>0</v>
      </c>
      <c r="P10" s="24"/>
      <c r="Q10" s="25"/>
      <c r="R10" s="26">
        <f t="shared" si="4"/>
        <v>0</v>
      </c>
      <c r="S10" s="24"/>
      <c r="T10" s="25"/>
      <c r="U10" s="26">
        <f t="shared" si="5"/>
        <v>0</v>
      </c>
      <c r="V10" s="24"/>
      <c r="W10" s="25"/>
      <c r="X10" s="26">
        <f t="shared" si="6"/>
        <v>0</v>
      </c>
      <c r="Y10" s="24"/>
      <c r="Z10" s="25"/>
      <c r="AA10" s="26">
        <f t="shared" si="7"/>
        <v>0</v>
      </c>
      <c r="AB10" s="24"/>
      <c r="AC10" s="25"/>
      <c r="AD10" s="26">
        <f t="shared" si="8"/>
        <v>0</v>
      </c>
      <c r="AE10" s="24"/>
      <c r="AF10" s="25"/>
      <c r="AG10" s="26">
        <f t="shared" si="9"/>
        <v>0</v>
      </c>
      <c r="AH10" s="24"/>
      <c r="AI10" s="25"/>
      <c r="AJ10" s="26">
        <f t="shared" si="10"/>
        <v>0</v>
      </c>
      <c r="AK10" s="24"/>
      <c r="AL10" s="25"/>
      <c r="AM10" s="26"/>
      <c r="AN10" s="24"/>
      <c r="AO10" s="25"/>
      <c r="AP10" s="26"/>
      <c r="AQ10" s="24"/>
      <c r="AR10" s="25"/>
      <c r="AS10" s="26"/>
      <c r="AT10" s="24"/>
      <c r="AU10" s="25"/>
      <c r="AV10" s="26"/>
      <c r="AW10" s="24"/>
      <c r="AX10" s="25"/>
      <c r="AY10" s="26"/>
      <c r="AZ10" s="24"/>
      <c r="BA10" s="25"/>
      <c r="BB10" s="26"/>
      <c r="BC10" s="24"/>
      <c r="BD10" s="25"/>
      <c r="BE10" s="26">
        <f t="shared" si="11"/>
        <v>0</v>
      </c>
      <c r="BF10" s="24"/>
      <c r="BG10" s="25"/>
      <c r="BH10" s="26">
        <f t="shared" si="12"/>
        <v>0</v>
      </c>
      <c r="BI10" s="24"/>
      <c r="BJ10" s="25"/>
      <c r="BK10" s="26">
        <f t="shared" si="13"/>
        <v>0</v>
      </c>
      <c r="BL10" s="24"/>
      <c r="BM10" s="25"/>
      <c r="BN10" s="26">
        <f t="shared" si="14"/>
        <v>0</v>
      </c>
      <c r="BO10" s="24"/>
      <c r="BP10" s="25"/>
      <c r="BQ10" s="26">
        <f t="shared" si="15"/>
        <v>0</v>
      </c>
      <c r="BR10" s="24"/>
      <c r="BS10" s="25"/>
      <c r="BT10" s="26">
        <f t="shared" si="16"/>
        <v>0</v>
      </c>
      <c r="BU10" s="24"/>
    </row>
    <row r="11" ht="28.95" customHeight="1" spans="1:79" x14ac:dyDescent="0.25">
      <c r="A11" s="30" t="s">
        <v>42</v>
      </c>
      <c r="B11" s="10"/>
      <c r="C11" s="32">
        <v>91</v>
      </c>
      <c r="D11" s="24"/>
      <c r="E11" s="25"/>
      <c r="F11" s="26">
        <f t="shared" si="0"/>
        <v>0</v>
      </c>
      <c r="G11" s="24"/>
      <c r="H11" s="25"/>
      <c r="I11" s="26">
        <f t="shared" si="1"/>
        <v>0</v>
      </c>
      <c r="J11" s="24"/>
      <c r="K11" s="25"/>
      <c r="L11" s="26">
        <f t="shared" si="2"/>
        <v>0</v>
      </c>
      <c r="M11" s="24"/>
      <c r="N11" s="25"/>
      <c r="O11" s="26">
        <f t="shared" si="3"/>
        <v>0</v>
      </c>
      <c r="P11" s="24"/>
      <c r="Q11" s="25"/>
      <c r="R11" s="26">
        <f t="shared" si="4"/>
        <v>0</v>
      </c>
      <c r="S11" s="24"/>
      <c r="T11" s="25"/>
      <c r="U11" s="26">
        <f t="shared" si="5"/>
        <v>0</v>
      </c>
      <c r="V11" s="24"/>
      <c r="W11" s="25"/>
      <c r="X11" s="26">
        <f t="shared" si="6"/>
        <v>0</v>
      </c>
      <c r="Y11" s="24"/>
      <c r="Z11" s="25"/>
      <c r="AA11" s="26">
        <f t="shared" si="7"/>
        <v>0</v>
      </c>
      <c r="AB11" s="24"/>
      <c r="AC11" s="25"/>
      <c r="AD11" s="26">
        <f t="shared" si="8"/>
        <v>0</v>
      </c>
      <c r="AE11" s="24"/>
      <c r="AF11" s="25"/>
      <c r="AG11" s="26">
        <f t="shared" si="9"/>
        <v>0</v>
      </c>
      <c r="AH11" s="24"/>
      <c r="AI11" s="25"/>
      <c r="AJ11" s="26">
        <f t="shared" si="10"/>
        <v>0</v>
      </c>
      <c r="AK11" s="24"/>
      <c r="AL11" s="25"/>
      <c r="AM11" s="26"/>
      <c r="AN11" s="24"/>
      <c r="AO11" s="25"/>
      <c r="AP11" s="26"/>
      <c r="AQ11" s="24"/>
      <c r="AR11" s="25"/>
      <c r="AS11" s="26"/>
      <c r="AT11" s="24"/>
      <c r="AU11" s="25"/>
      <c r="AV11" s="26"/>
      <c r="AW11" s="24"/>
      <c r="AX11" s="25"/>
      <c r="AY11" s="26"/>
      <c r="AZ11" s="24"/>
      <c r="BA11" s="25"/>
      <c r="BB11" s="26"/>
      <c r="BC11" s="24"/>
      <c r="BD11" s="25"/>
      <c r="BE11" s="26">
        <f t="shared" si="11"/>
        <v>0</v>
      </c>
      <c r="BF11" s="24"/>
      <c r="BG11" s="25"/>
      <c r="BH11" s="26">
        <f t="shared" si="12"/>
        <v>0</v>
      </c>
      <c r="BI11" s="24"/>
      <c r="BJ11" s="25"/>
      <c r="BK11" s="26">
        <f t="shared" si="13"/>
        <v>0</v>
      </c>
      <c r="BL11" s="24"/>
      <c r="BM11" s="25"/>
      <c r="BN11" s="26">
        <f t="shared" si="14"/>
        <v>0</v>
      </c>
      <c r="BO11" s="24"/>
      <c r="BP11" s="25"/>
      <c r="BQ11" s="26">
        <f t="shared" si="15"/>
        <v>0</v>
      </c>
      <c r="BR11" s="24"/>
      <c r="BS11" s="25"/>
      <c r="BT11" s="26">
        <f t="shared" si="16"/>
        <v>0</v>
      </c>
      <c r="BU11" s="24"/>
      <c r="BW11" s="35" t="s">
        <v>43</v>
      </c>
      <c r="BX11" s="35"/>
      <c r="BY11" s="35"/>
      <c r="BZ11" s="36"/>
      <c r="CA11" s="36"/>
    </row>
    <row r="12" ht="28.95" customHeight="1" spans="1:79" x14ac:dyDescent="0.25">
      <c r="A12" s="30" t="s">
        <v>44</v>
      </c>
      <c r="B12" s="10"/>
      <c r="C12" s="32">
        <v>1</v>
      </c>
      <c r="D12" s="24"/>
      <c r="E12" s="25"/>
      <c r="F12" s="26">
        <f t="shared" si="0"/>
        <v>0</v>
      </c>
      <c r="G12" s="24"/>
      <c r="H12" s="25"/>
      <c r="I12" s="26">
        <f t="shared" si="1"/>
        <v>0</v>
      </c>
      <c r="J12" s="24"/>
      <c r="K12" s="25"/>
      <c r="L12" s="26">
        <f t="shared" si="2"/>
        <v>0</v>
      </c>
      <c r="M12" s="24"/>
      <c r="N12" s="25"/>
      <c r="O12" s="26">
        <f t="shared" si="3"/>
        <v>0</v>
      </c>
      <c r="P12" s="24"/>
      <c r="Q12" s="25"/>
      <c r="R12" s="26">
        <f t="shared" si="4"/>
        <v>0</v>
      </c>
      <c r="S12" s="24"/>
      <c r="T12" s="25"/>
      <c r="U12" s="26">
        <f t="shared" si="5"/>
        <v>0</v>
      </c>
      <c r="V12" s="24"/>
      <c r="W12" s="25"/>
      <c r="X12" s="26">
        <f t="shared" si="6"/>
        <v>0</v>
      </c>
      <c r="Y12" s="24"/>
      <c r="Z12" s="25"/>
      <c r="AA12" s="26">
        <f t="shared" si="7"/>
        <v>0</v>
      </c>
      <c r="AB12" s="24"/>
      <c r="AC12" s="25"/>
      <c r="AD12" s="26">
        <f t="shared" si="8"/>
        <v>0</v>
      </c>
      <c r="AE12" s="24"/>
      <c r="AF12" s="25"/>
      <c r="AG12" s="26">
        <f t="shared" si="9"/>
        <v>0</v>
      </c>
      <c r="AH12" s="24"/>
      <c r="AI12" s="25"/>
      <c r="AJ12" s="26">
        <f t="shared" si="10"/>
        <v>0</v>
      </c>
      <c r="AK12" s="24"/>
      <c r="AL12" s="25"/>
      <c r="AM12" s="26"/>
      <c r="AN12" s="24"/>
      <c r="AO12" s="25"/>
      <c r="AP12" s="26"/>
      <c r="AQ12" s="24"/>
      <c r="AR12" s="25"/>
      <c r="AS12" s="26"/>
      <c r="AT12" s="24"/>
      <c r="AU12" s="25"/>
      <c r="AV12" s="26"/>
      <c r="AW12" s="24"/>
      <c r="AX12" s="25"/>
      <c r="AY12" s="26"/>
      <c r="AZ12" s="24"/>
      <c r="BA12" s="25"/>
      <c r="BB12" s="26"/>
      <c r="BC12" s="24"/>
      <c r="BD12" s="25"/>
      <c r="BE12" s="26">
        <f t="shared" si="11"/>
        <v>0</v>
      </c>
      <c r="BF12" s="24"/>
      <c r="BG12" s="25"/>
      <c r="BH12" s="26">
        <f t="shared" si="12"/>
        <v>0</v>
      </c>
      <c r="BI12" s="24"/>
      <c r="BJ12" s="25"/>
      <c r="BK12" s="26">
        <f t="shared" si="13"/>
        <v>0</v>
      </c>
      <c r="BL12" s="24"/>
      <c r="BM12" s="25"/>
      <c r="BN12" s="26">
        <f t="shared" si="14"/>
        <v>0</v>
      </c>
      <c r="BO12" s="24"/>
      <c r="BP12" s="25"/>
      <c r="BQ12" s="26">
        <f t="shared" si="15"/>
        <v>0</v>
      </c>
      <c r="BR12" s="24"/>
      <c r="BS12" s="25"/>
      <c r="BT12" s="26">
        <f t="shared" si="16"/>
        <v>0</v>
      </c>
      <c r="BU12" s="24"/>
      <c r="BW12" s="27">
        <f>-SUM(BZ12:CB12)</f>
        <v>0</v>
      </c>
      <c r="BX12" s="1"/>
      <c r="BY12" s="1" t="s">
        <v>45</v>
      </c>
      <c r="BZ12" s="37">
        <v>0</v>
      </c>
      <c r="CA12" s="37">
        <v>0</v>
      </c>
    </row>
    <row r="13" ht="28.95" customHeight="1" spans="1:79" x14ac:dyDescent="0.25">
      <c r="A13" s="30" t="s">
        <v>46</v>
      </c>
      <c r="B13" s="10"/>
      <c r="C13" s="32">
        <v>10</v>
      </c>
      <c r="D13" s="24"/>
      <c r="E13" s="25"/>
      <c r="F13" s="26">
        <f t="shared" si="0"/>
        <v>0</v>
      </c>
      <c r="G13" s="24"/>
      <c r="H13" s="25"/>
      <c r="I13" s="26">
        <f t="shared" si="1"/>
        <v>0</v>
      </c>
      <c r="J13" s="24"/>
      <c r="K13" s="25"/>
      <c r="L13" s="26">
        <f t="shared" si="2"/>
        <v>0</v>
      </c>
      <c r="M13" s="24"/>
      <c r="N13" s="25"/>
      <c r="O13" s="26">
        <f t="shared" si="3"/>
        <v>0</v>
      </c>
      <c r="P13" s="24"/>
      <c r="Q13" s="25"/>
      <c r="R13" s="26">
        <f t="shared" si="4"/>
        <v>0</v>
      </c>
      <c r="S13" s="24"/>
      <c r="T13" s="25"/>
      <c r="U13" s="26">
        <f t="shared" si="5"/>
        <v>0</v>
      </c>
      <c r="V13" s="24"/>
      <c r="W13" s="25"/>
      <c r="X13" s="26">
        <f t="shared" si="6"/>
        <v>0</v>
      </c>
      <c r="Y13" s="24"/>
      <c r="Z13" s="25"/>
      <c r="AA13" s="26">
        <f t="shared" si="7"/>
        <v>0</v>
      </c>
      <c r="AB13" s="24"/>
      <c r="AC13" s="25"/>
      <c r="AD13" s="26">
        <f t="shared" si="8"/>
        <v>0</v>
      </c>
      <c r="AE13" s="24"/>
      <c r="AF13" s="25"/>
      <c r="AG13" s="26">
        <f t="shared" si="9"/>
        <v>0</v>
      </c>
      <c r="AH13" s="24"/>
      <c r="AI13" s="25"/>
      <c r="AJ13" s="26">
        <f t="shared" si="10"/>
        <v>0</v>
      </c>
      <c r="AK13" s="24"/>
      <c r="AL13" s="25"/>
      <c r="AM13" s="26"/>
      <c r="AN13" s="24"/>
      <c r="AO13" s="25"/>
      <c r="AP13" s="26"/>
      <c r="AQ13" s="24"/>
      <c r="AR13" s="25"/>
      <c r="AS13" s="26"/>
      <c r="AT13" s="24"/>
      <c r="AU13" s="25"/>
      <c r="AV13" s="26"/>
      <c r="AW13" s="24"/>
      <c r="AX13" s="25"/>
      <c r="AY13" s="26"/>
      <c r="AZ13" s="24"/>
      <c r="BA13" s="25"/>
      <c r="BB13" s="26"/>
      <c r="BC13" s="24"/>
      <c r="BD13" s="25"/>
      <c r="BE13" s="26">
        <f t="shared" si="11"/>
        <v>0</v>
      </c>
      <c r="BF13" s="24"/>
      <c r="BG13" s="25"/>
      <c r="BH13" s="26">
        <f t="shared" si="12"/>
        <v>0</v>
      </c>
      <c r="BI13" s="24"/>
      <c r="BJ13" s="25"/>
      <c r="BK13" s="26">
        <f t="shared" si="13"/>
        <v>0</v>
      </c>
      <c r="BL13" s="24"/>
      <c r="BM13" s="25"/>
      <c r="BN13" s="26">
        <f t="shared" si="14"/>
        <v>0</v>
      </c>
      <c r="BO13" s="24"/>
      <c r="BP13" s="25"/>
      <c r="BQ13" s="26">
        <f t="shared" si="15"/>
        <v>0</v>
      </c>
      <c r="BR13" s="24"/>
      <c r="BS13" s="25"/>
      <c r="BT13" s="26">
        <f t="shared" si="16"/>
        <v>0</v>
      </c>
      <c r="BU13" s="24"/>
      <c r="BW13" s="27">
        <f>-SUM(BZ13:CB13)</f>
        <v>0</v>
      </c>
      <c r="BX13" s="1"/>
      <c r="BY13" s="1" t="s">
        <v>47</v>
      </c>
      <c r="BZ13" s="37">
        <v>0</v>
      </c>
      <c r="CA13" s="37">
        <v>0</v>
      </c>
    </row>
    <row r="14" ht="28.95" customHeight="1" spans="1:79" x14ac:dyDescent="0.25">
      <c r="A14" s="30"/>
      <c r="B14" s="10"/>
      <c r="C14" s="32"/>
      <c r="D14" s="24"/>
      <c r="E14" s="25"/>
      <c r="F14" s="26">
        <f t="shared" si="0"/>
        <v>0</v>
      </c>
      <c r="G14" s="24"/>
      <c r="H14" s="25"/>
      <c r="I14" s="26">
        <f t="shared" si="1"/>
        <v>0</v>
      </c>
      <c r="J14" s="24"/>
      <c r="K14" s="25"/>
      <c r="L14" s="26">
        <f t="shared" si="2"/>
        <v>0</v>
      </c>
      <c r="M14" s="24"/>
      <c r="N14" s="25"/>
      <c r="O14" s="26">
        <f t="shared" si="3"/>
        <v>0</v>
      </c>
      <c r="P14" s="24"/>
      <c r="Q14" s="25"/>
      <c r="R14" s="26">
        <f t="shared" si="4"/>
        <v>0</v>
      </c>
      <c r="S14" s="24"/>
      <c r="T14" s="25"/>
      <c r="U14" s="26">
        <f t="shared" si="5"/>
        <v>0</v>
      </c>
      <c r="V14" s="24"/>
      <c r="W14" s="25"/>
      <c r="X14" s="26">
        <f t="shared" si="6"/>
        <v>0</v>
      </c>
      <c r="Y14" s="24"/>
      <c r="Z14" s="25"/>
      <c r="AA14" s="26">
        <f t="shared" si="7"/>
        <v>0</v>
      </c>
      <c r="AB14" s="24"/>
      <c r="AC14" s="25"/>
      <c r="AD14" s="26">
        <f t="shared" si="8"/>
        <v>0</v>
      </c>
      <c r="AE14" s="24"/>
      <c r="AF14" s="25"/>
      <c r="AG14" s="26">
        <f t="shared" si="9"/>
        <v>0</v>
      </c>
      <c r="AH14" s="24"/>
      <c r="AI14" s="25"/>
      <c r="AJ14" s="26">
        <f t="shared" si="10"/>
        <v>0</v>
      </c>
      <c r="AK14" s="24"/>
      <c r="AL14" s="25"/>
      <c r="AM14" s="26"/>
      <c r="AN14" s="24"/>
      <c r="AO14" s="25"/>
      <c r="AP14" s="26"/>
      <c r="AQ14" s="24"/>
      <c r="AR14" s="25"/>
      <c r="AS14" s="26"/>
      <c r="AT14" s="24"/>
      <c r="AU14" s="25"/>
      <c r="AV14" s="26"/>
      <c r="AW14" s="24"/>
      <c r="AX14" s="25"/>
      <c r="AY14" s="26"/>
      <c r="AZ14" s="24"/>
      <c r="BA14" s="25"/>
      <c r="BB14" s="26"/>
      <c r="BC14" s="24"/>
      <c r="BD14" s="25"/>
      <c r="BE14" s="26">
        <f t="shared" si="11"/>
        <v>0</v>
      </c>
      <c r="BF14" s="24"/>
      <c r="BG14" s="25"/>
      <c r="BH14" s="26">
        <f t="shared" si="12"/>
        <v>0</v>
      </c>
      <c r="BI14" s="24"/>
      <c r="BJ14" s="25"/>
      <c r="BK14" s="26">
        <f t="shared" si="13"/>
        <v>0</v>
      </c>
      <c r="BL14" s="24"/>
      <c r="BM14" s="25"/>
      <c r="BN14" s="26">
        <f t="shared" si="14"/>
        <v>0</v>
      </c>
      <c r="BO14" s="24"/>
      <c r="BP14" s="25"/>
      <c r="BQ14" s="26">
        <f t="shared" si="15"/>
        <v>0</v>
      </c>
      <c r="BR14" s="24"/>
      <c r="BS14" s="25"/>
      <c r="BT14" s="26">
        <f t="shared" si="16"/>
        <v>0</v>
      </c>
      <c r="BU14" s="24"/>
      <c r="BW14" s="27">
        <f>-SUM(BZ14:CB14)</f>
        <v>0</v>
      </c>
      <c r="BX14" s="1"/>
      <c r="BY14" s="1" t="s">
        <v>48</v>
      </c>
      <c r="BZ14" s="37">
        <v>0</v>
      </c>
      <c r="CA14" s="37">
        <v>0</v>
      </c>
    </row>
    <row r="15" ht="28.95" customHeight="1" spans="1:79" x14ac:dyDescent="0.25">
      <c r="A15" s="30" t="s">
        <v>49</v>
      </c>
      <c r="B15" s="10"/>
      <c r="C15" s="32">
        <v>-17920.33</v>
      </c>
      <c r="D15" s="24"/>
      <c r="E15" s="25"/>
      <c r="F15" s="26"/>
      <c r="G15" s="24"/>
      <c r="H15" s="25"/>
      <c r="I15" s="26"/>
      <c r="J15" s="24"/>
      <c r="K15" s="25"/>
      <c r="L15" s="26"/>
      <c r="M15" s="24"/>
      <c r="N15" s="25"/>
      <c r="O15" s="26"/>
      <c r="P15" s="24"/>
      <c r="Q15" s="25"/>
      <c r="R15" s="26"/>
      <c r="S15" s="24"/>
      <c r="T15" s="25"/>
      <c r="U15" s="26"/>
      <c r="V15" s="24"/>
      <c r="W15" s="25"/>
      <c r="X15" s="26"/>
      <c r="Y15" s="24"/>
      <c r="Z15" s="25"/>
      <c r="AA15" s="26"/>
      <c r="AB15" s="24"/>
      <c r="AC15" s="25"/>
      <c r="AD15" s="26"/>
      <c r="AE15" s="24"/>
      <c r="AF15" s="25"/>
      <c r="AG15" s="26"/>
      <c r="AH15" s="24"/>
      <c r="AI15" s="25"/>
      <c r="AJ15" s="26"/>
      <c r="AK15" s="24"/>
      <c r="AL15" s="25"/>
      <c r="AM15" s="26">
        <f>AL15*C15</f>
        <v>0</v>
      </c>
      <c r="AN15" s="24"/>
      <c r="AO15" s="25"/>
      <c r="AP15" s="26">
        <f>AO15*C15</f>
        <v>0</v>
      </c>
      <c r="AQ15" s="24"/>
      <c r="AR15" s="25"/>
      <c r="AS15" s="26">
        <f>AR15*C15</f>
        <v>0</v>
      </c>
      <c r="AT15" s="24"/>
      <c r="AU15" s="25"/>
      <c r="AV15" s="26">
        <f>AU15*C15</f>
        <v>0</v>
      </c>
      <c r="AW15" s="24"/>
      <c r="AX15" s="25"/>
      <c r="AY15" s="26"/>
      <c r="AZ15" s="24"/>
      <c r="BA15" s="25"/>
      <c r="BB15" s="26"/>
      <c r="BC15" s="24"/>
      <c r="BD15" s="25"/>
      <c r="BE15" s="26"/>
      <c r="BF15" s="24"/>
      <c r="BG15" s="25"/>
      <c r="BH15" s="26"/>
      <c r="BI15" s="24"/>
      <c r="BJ15" s="25"/>
      <c r="BK15" s="26"/>
      <c r="BL15" s="24"/>
      <c r="BM15" s="25"/>
      <c r="BN15" s="26"/>
      <c r="BO15" s="24"/>
      <c r="BP15" s="25"/>
      <c r="BQ15" s="26"/>
      <c r="BR15" s="24"/>
      <c r="BS15" s="25"/>
      <c r="BT15" s="26"/>
      <c r="BU15" s="24"/>
      <c r="BW15" s="27">
        <f>-SUM(BZ15:CB15)</f>
        <v>0</v>
      </c>
      <c r="BX15" s="1"/>
      <c r="BY15" s="1" t="s">
        <v>50</v>
      </c>
      <c r="BZ15" s="37">
        <v>0</v>
      </c>
      <c r="CA15" s="37">
        <v>0</v>
      </c>
    </row>
    <row r="16" ht="28.95" customHeight="1" spans="1:80" s="14" customFormat="1" x14ac:dyDescent="0.25">
      <c r="A16" s="30" t="s">
        <v>51</v>
      </c>
      <c r="B16" s="10"/>
      <c r="C16" s="32">
        <v>90</v>
      </c>
      <c r="D16" s="10"/>
      <c r="E16" s="38"/>
      <c r="F16" s="39">
        <f>E16*C16</f>
        <v>0</v>
      </c>
      <c r="G16" s="10"/>
      <c r="H16" s="38"/>
      <c r="I16" s="39">
        <f>H16*C16</f>
        <v>0</v>
      </c>
      <c r="J16" s="10"/>
      <c r="K16" s="38"/>
      <c r="L16" s="39">
        <f>K16*C16</f>
        <v>0</v>
      </c>
      <c r="M16" s="10"/>
      <c r="N16" s="38"/>
      <c r="O16" s="39">
        <f>N16*C16</f>
        <v>0</v>
      </c>
      <c r="P16" s="10"/>
      <c r="Q16" s="38"/>
      <c r="R16" s="39">
        <f>Q16*C16</f>
        <v>0</v>
      </c>
      <c r="S16" s="10"/>
      <c r="T16" s="38"/>
      <c r="U16" s="39">
        <f>T16*C16</f>
        <v>0</v>
      </c>
      <c r="V16" s="10"/>
      <c r="W16" s="38"/>
      <c r="X16" s="39">
        <f>W16*C16</f>
        <v>0</v>
      </c>
      <c r="Y16" s="10"/>
      <c r="Z16" s="38"/>
      <c r="AA16" s="39">
        <f>Z16*C16</f>
        <v>0</v>
      </c>
      <c r="AB16" s="10"/>
      <c r="AC16" s="38"/>
      <c r="AD16" s="39">
        <f>AC16*C16</f>
        <v>0</v>
      </c>
      <c r="AE16" s="10"/>
      <c r="AF16" s="38"/>
      <c r="AG16" s="39">
        <f>AF16*C16</f>
        <v>0</v>
      </c>
      <c r="AH16" s="10"/>
      <c r="AI16" s="38"/>
      <c r="AJ16" s="39">
        <f>AI16*C16</f>
        <v>0</v>
      </c>
      <c r="AK16" s="10"/>
      <c r="AL16" s="38"/>
      <c r="AM16" s="26">
        <f>AL16*C16</f>
        <v>0</v>
      </c>
      <c r="AN16" s="10"/>
      <c r="AO16" s="38"/>
      <c r="AP16" s="26">
        <f>AO16*C16</f>
        <v>0</v>
      </c>
      <c r="AQ16" s="10"/>
      <c r="AR16" s="38"/>
      <c r="AS16" s="26">
        <f>AR16*C16</f>
        <v>0</v>
      </c>
      <c r="AT16" s="10"/>
      <c r="AU16" s="38"/>
      <c r="AV16" s="26">
        <f>AU16*C16</f>
        <v>0</v>
      </c>
      <c r="AW16" s="10"/>
      <c r="AX16" s="38"/>
      <c r="AY16" s="39">
        <f>AX16*C16</f>
        <v>0</v>
      </c>
      <c r="AZ16" s="10"/>
      <c r="BA16" s="38"/>
      <c r="BB16" s="39">
        <f>BA16*C16</f>
        <v>0</v>
      </c>
      <c r="BC16" s="10"/>
      <c r="BD16" s="38"/>
      <c r="BE16" s="26">
        <f>BD16*C16</f>
        <v>0</v>
      </c>
      <c r="BF16" s="10"/>
      <c r="BG16" s="38"/>
      <c r="BH16" s="26">
        <f>BG16*C16</f>
        <v>0</v>
      </c>
      <c r="BI16" s="10"/>
      <c r="BJ16" s="38"/>
      <c r="BK16" s="26">
        <f>BJ16*C16</f>
        <v>0</v>
      </c>
      <c r="BL16" s="10"/>
      <c r="BM16" s="38"/>
      <c r="BN16" s="26">
        <f>BM16*C16</f>
        <v>0</v>
      </c>
      <c r="BO16" s="10"/>
      <c r="BP16" s="38"/>
      <c r="BQ16" s="26">
        <f>BP16*C16</f>
        <v>0</v>
      </c>
      <c r="BR16" s="10"/>
      <c r="BS16" s="38"/>
      <c r="BT16" s="26">
        <f>BS16*C16</f>
        <v>0</v>
      </c>
      <c r="BU16" s="10"/>
      <c r="BV16" s="20"/>
      <c r="BW16" s="27">
        <f>-SUM(BZ16:CB16)</f>
        <v>0</v>
      </c>
      <c r="BX16" s="20"/>
      <c r="BY16" s="1" t="s">
        <v>52</v>
      </c>
      <c r="BZ16" s="37">
        <v>0</v>
      </c>
      <c r="CA16" s="37">
        <v>0</v>
      </c>
      <c r="CB16" s="1"/>
    </row>
    <row r="17" ht="28.95" customHeight="1" spans="1:80" s="14" customFormat="1" x14ac:dyDescent="0.25">
      <c r="A17" s="40" t="s">
        <v>53</v>
      </c>
      <c r="B17" s="10"/>
      <c r="C17" s="23"/>
      <c r="D17" s="10"/>
      <c r="E17" s="38"/>
      <c r="F17" s="39">
        <f>E17*C17</f>
        <v>0</v>
      </c>
      <c r="G17" s="10"/>
      <c r="H17" s="38"/>
      <c r="I17" s="39">
        <f>H17*C17</f>
        <v>0</v>
      </c>
      <c r="J17" s="10"/>
      <c r="K17" s="38"/>
      <c r="L17" s="39">
        <f>K17*C17</f>
        <v>0</v>
      </c>
      <c r="M17" s="10"/>
      <c r="N17" s="38"/>
      <c r="O17" s="39">
        <f>N17*C17</f>
        <v>0</v>
      </c>
      <c r="P17" s="10"/>
      <c r="Q17" s="38"/>
      <c r="R17" s="39">
        <f>Q17*C17</f>
        <v>0</v>
      </c>
      <c r="S17" s="10"/>
      <c r="T17" s="38"/>
      <c r="U17" s="39">
        <f>T17*C17</f>
        <v>0</v>
      </c>
      <c r="V17" s="10"/>
      <c r="W17" s="38"/>
      <c r="X17" s="39">
        <f>W17*C17</f>
        <v>0</v>
      </c>
      <c r="Y17" s="10"/>
      <c r="Z17" s="38"/>
      <c r="AA17" s="39">
        <f>Z17*C17</f>
        <v>0</v>
      </c>
      <c r="AB17" s="10"/>
      <c r="AC17" s="38"/>
      <c r="AD17" s="39">
        <f>AC17*C17</f>
        <v>0</v>
      </c>
      <c r="AE17" s="10"/>
      <c r="AF17" s="38"/>
      <c r="AG17" s="39">
        <f>AF17*C17</f>
        <v>0</v>
      </c>
      <c r="AH17" s="10"/>
      <c r="AI17" s="38"/>
      <c r="AJ17" s="39">
        <f>AI17*C17</f>
        <v>0</v>
      </c>
      <c r="AK17" s="10"/>
      <c r="AL17" s="38"/>
      <c r="AM17" s="26">
        <f>AL17*C17</f>
        <v>0</v>
      </c>
      <c r="AN17" s="10"/>
      <c r="AO17" s="38"/>
      <c r="AP17" s="26">
        <f>AO17*C17</f>
        <v>0</v>
      </c>
      <c r="AQ17" s="10"/>
      <c r="AR17" s="38"/>
      <c r="AS17" s="26">
        <f>AR17*C17</f>
        <v>0</v>
      </c>
      <c r="AT17" s="10"/>
      <c r="AU17" s="38"/>
      <c r="AV17" s="26">
        <f>AU17*C17</f>
        <v>0</v>
      </c>
      <c r="AW17" s="10"/>
      <c r="AX17" s="38"/>
      <c r="AY17" s="39">
        <f>AX17*C17</f>
        <v>0</v>
      </c>
      <c r="AZ17" s="10"/>
      <c r="BA17" s="38"/>
      <c r="BB17" s="39">
        <f>BA17*C17</f>
        <v>0</v>
      </c>
      <c r="BC17" s="10"/>
      <c r="BD17" s="38"/>
      <c r="BE17" s="39">
        <f>BD17*C17</f>
        <v>0</v>
      </c>
      <c r="BF17" s="10"/>
      <c r="BG17" s="38"/>
      <c r="BH17" s="39">
        <f>BG17*C17</f>
        <v>0</v>
      </c>
      <c r="BI17" s="10"/>
      <c r="BJ17" s="38"/>
      <c r="BK17" s="39">
        <f>BJ17*C17</f>
        <v>0</v>
      </c>
      <c r="BL17" s="10"/>
      <c r="BM17" s="38"/>
      <c r="BN17" s="39">
        <f>BM17*C17</f>
        <v>0</v>
      </c>
      <c r="BO17" s="10"/>
      <c r="BP17" s="38"/>
      <c r="BQ17" s="39">
        <f>BP17*C17</f>
        <v>0</v>
      </c>
      <c r="BR17" s="10"/>
      <c r="BS17" s="38"/>
      <c r="BT17" s="39">
        <f>BS17*C17</f>
        <v>0</v>
      </c>
      <c r="BU17" s="10"/>
      <c r="BV17" s="20"/>
      <c r="BW17" s="41">
        <f>SUM(BW11:BW16)</f>
        <v>0</v>
      </c>
      <c r="BX17" s="20"/>
      <c r="BY17" s="42" t="s">
        <v>40</v>
      </c>
      <c r="BZ17" s="20"/>
      <c r="CA17" s="20"/>
      <c r="CB17" s="1"/>
    </row>
    <row r="18" ht="28.95" customHeight="1" spans="1:80" s="14" customFormat="1" x14ac:dyDescent="0.25">
      <c r="A18" s="43"/>
      <c r="B18" s="10"/>
      <c r="C18" s="44"/>
      <c r="D18" s="10"/>
      <c r="E18" s="45"/>
      <c r="F18" s="46"/>
      <c r="G18" s="10"/>
      <c r="H18" s="45"/>
      <c r="I18" s="46"/>
      <c r="J18" s="10"/>
      <c r="K18" s="45"/>
      <c r="L18" s="46"/>
      <c r="M18" s="10"/>
      <c r="N18" s="45"/>
      <c r="O18" s="46"/>
      <c r="P18" s="10"/>
      <c r="Q18" s="45"/>
      <c r="R18" s="46"/>
      <c r="S18" s="10"/>
      <c r="T18" s="45"/>
      <c r="U18" s="46"/>
      <c r="V18" s="10"/>
      <c r="W18" s="45"/>
      <c r="X18" s="46"/>
      <c r="Y18" s="10"/>
      <c r="Z18" s="45"/>
      <c r="AA18" s="46"/>
      <c r="AB18" s="10"/>
      <c r="AC18" s="45"/>
      <c r="AD18" s="46"/>
      <c r="AE18" s="10"/>
      <c r="AF18" s="45"/>
      <c r="AG18" s="46"/>
      <c r="AH18" s="10"/>
      <c r="AI18" s="45"/>
      <c r="AJ18" s="46"/>
      <c r="AK18" s="10"/>
      <c r="AL18" s="45"/>
      <c r="AM18" s="47"/>
      <c r="AN18" s="10"/>
      <c r="AO18" s="45"/>
      <c r="AP18" s="47"/>
      <c r="AQ18" s="10"/>
      <c r="AR18" s="45"/>
      <c r="AS18" s="47"/>
      <c r="AT18" s="10"/>
      <c r="AU18" s="45"/>
      <c r="AV18" s="47"/>
      <c r="AW18" s="10"/>
      <c r="AX18" s="45"/>
      <c r="AY18" s="46"/>
      <c r="AZ18" s="10"/>
      <c r="BA18" s="45"/>
      <c r="BB18" s="46"/>
      <c r="BC18" s="10"/>
      <c r="BD18" s="45"/>
      <c r="BE18" s="46"/>
      <c r="BF18" s="10"/>
      <c r="BG18" s="45"/>
      <c r="BH18" s="46"/>
      <c r="BI18" s="10"/>
      <c r="BJ18" s="45"/>
      <c r="BK18" s="46"/>
      <c r="BL18" s="10"/>
      <c r="BM18" s="45"/>
      <c r="BN18" s="46"/>
      <c r="BO18" s="10"/>
      <c r="BP18" s="45"/>
      <c r="BQ18" s="46"/>
      <c r="BR18" s="10"/>
      <c r="BS18" s="45"/>
      <c r="BT18" s="46"/>
      <c r="BU18" s="10"/>
      <c r="BV18" s="20"/>
      <c r="BW18" s="48">
        <f>BW9+BW17</f>
        <v>0</v>
      </c>
      <c r="BX18" s="20"/>
      <c r="BY18" s="35" t="s">
        <v>54</v>
      </c>
      <c r="BZ18" s="20"/>
      <c r="CA18" s="20"/>
      <c r="CB18" s="1"/>
    </row>
    <row r="19" ht="28.95" customHeight="1" spans="1:79" x14ac:dyDescent="0.25">
      <c r="A19" s="49"/>
      <c r="B19" s="24"/>
      <c r="C19" s="50"/>
      <c r="D19" s="24"/>
      <c r="E19" s="49">
        <f>SUM(E3:E17)</f>
        <v>0</v>
      </c>
      <c r="F19" s="51"/>
      <c r="G19" s="52"/>
      <c r="H19" s="49">
        <f>SUM(H3:H17)</f>
        <v>0</v>
      </c>
      <c r="I19" s="51"/>
      <c r="J19" s="52"/>
      <c r="K19" s="49">
        <f>SUM(K3:K17)</f>
        <v>0</v>
      </c>
      <c r="L19" s="51"/>
      <c r="M19" s="52"/>
      <c r="N19" s="49">
        <f>SUM(N3:N17)</f>
        <v>0</v>
      </c>
      <c r="O19" s="51"/>
      <c r="P19" s="52"/>
      <c r="Q19" s="49">
        <f>SUM(Q3:Q17)</f>
        <v>0</v>
      </c>
      <c r="R19" s="51"/>
      <c r="S19" s="52"/>
      <c r="T19" s="49">
        <f>SUM(T3:T17)</f>
        <v>0</v>
      </c>
      <c r="U19" s="51"/>
      <c r="V19" s="52"/>
      <c r="W19" s="49">
        <f>SUM(W3:W17)</f>
        <v>0</v>
      </c>
      <c r="X19" s="51"/>
      <c r="Y19" s="52"/>
      <c r="Z19" s="49">
        <f>SUM(Z3:Z17)</f>
        <v>0</v>
      </c>
      <c r="AA19" s="51"/>
      <c r="AB19" s="52"/>
      <c r="AC19" s="49">
        <f>SUM(AC3:AC17)</f>
        <v>0</v>
      </c>
      <c r="AD19" s="51"/>
      <c r="AE19" s="52"/>
      <c r="AF19" s="49">
        <f>SUM(AF3:AF17)</f>
        <v>0</v>
      </c>
      <c r="AG19" s="51"/>
      <c r="AH19" s="52"/>
      <c r="AI19" s="49">
        <f>SUM(AI3:AI17)</f>
        <v>0</v>
      </c>
      <c r="AJ19" s="51"/>
      <c r="AK19" s="52"/>
      <c r="AL19" s="49">
        <f>SUM(AL3:AL17)</f>
        <v>0</v>
      </c>
      <c r="AM19" s="51"/>
      <c r="AN19" s="52"/>
      <c r="AO19" s="49">
        <f>SUM(AO3:AO17)</f>
        <v>0</v>
      </c>
      <c r="AP19" s="51"/>
      <c r="AQ19" s="52"/>
      <c r="AR19" s="49">
        <f>SUM(AR3:AR17)</f>
        <v>0</v>
      </c>
      <c r="AS19" s="51"/>
      <c r="AT19" s="52"/>
      <c r="AU19" s="49">
        <f>SUM(AU3:AU17)</f>
        <v>0</v>
      </c>
      <c r="AV19" s="51"/>
      <c r="AW19" s="52"/>
      <c r="AX19" s="49">
        <f>SUM(AX3:AX17)</f>
        <v>0</v>
      </c>
      <c r="AY19" s="51"/>
      <c r="AZ19" s="52"/>
      <c r="BA19" s="49">
        <f>SUM(BA3:BA17)</f>
        <v>0</v>
      </c>
      <c r="BB19" s="51"/>
      <c r="BC19" s="52"/>
      <c r="BD19" s="49">
        <f>SUM(BD3:BD17)</f>
        <v>0</v>
      </c>
      <c r="BE19" s="51"/>
      <c r="BF19" s="52"/>
      <c r="BG19" s="49">
        <f>SUM(BG3:BG17)</f>
        <v>0</v>
      </c>
      <c r="BH19" s="51"/>
      <c r="BI19" s="52"/>
      <c r="BJ19" s="49">
        <f>SUM(BJ3:BJ17)</f>
        <v>0</v>
      </c>
      <c r="BK19" s="51"/>
      <c r="BL19" s="52"/>
      <c r="BM19" s="49">
        <f>SUM(BM3:BM17)</f>
        <v>0</v>
      </c>
      <c r="BN19" s="51"/>
      <c r="BO19" s="52"/>
      <c r="BP19" s="49">
        <f>SUM(BP3:BP17)</f>
        <v>0</v>
      </c>
      <c r="BQ19" s="51"/>
      <c r="BR19" s="52"/>
      <c r="BS19" s="49">
        <f>SUM(BS3:BS17)</f>
        <v>0</v>
      </c>
      <c r="BT19" s="51"/>
      <c r="BU19" s="24"/>
      <c r="BW19" s="53"/>
      <c r="BX19" s="1"/>
      <c r="BY19" s="1"/>
      <c r="CA19" s="20"/>
    </row>
    <row r="20" ht="28.95" customHeight="1" spans="1:80" s="54" customFormat="1" x14ac:dyDescent="0.25">
      <c r="A20" s="20" t="s">
        <v>55</v>
      </c>
      <c r="B20" s="20"/>
      <c r="C20" s="20" t="s">
        <v>55</v>
      </c>
      <c r="D20" s="24"/>
      <c r="E20" s="55">
        <f>SUM(F3:F17)</f>
        <v>0</v>
      </c>
      <c r="F20" s="56"/>
      <c r="G20" s="24"/>
      <c r="H20" s="55">
        <f>SUM(I3:I17)</f>
        <v>0</v>
      </c>
      <c r="I20" s="56"/>
      <c r="J20" s="24"/>
      <c r="K20" s="55">
        <f>SUM(L3:L17)</f>
        <v>0</v>
      </c>
      <c r="L20" s="56"/>
      <c r="M20" s="24"/>
      <c r="N20" s="55">
        <f>SUM(O3:O17)</f>
        <v>0</v>
      </c>
      <c r="O20" s="56"/>
      <c r="P20" s="24"/>
      <c r="Q20" s="55">
        <f>SUM(R3:R17)</f>
        <v>0</v>
      </c>
      <c r="R20" s="56"/>
      <c r="S20" s="24"/>
      <c r="T20" s="55">
        <f>SUM(U3:U17)</f>
        <v>0</v>
      </c>
      <c r="U20" s="56"/>
      <c r="V20" s="24"/>
      <c r="W20" s="55">
        <f>SUM(X3:X17)</f>
        <v>0</v>
      </c>
      <c r="X20" s="56"/>
      <c r="Y20" s="24"/>
      <c r="Z20" s="55">
        <f>SUM(AA3:AA17)</f>
        <v>0</v>
      </c>
      <c r="AA20" s="56"/>
      <c r="AB20" s="24"/>
      <c r="AC20" s="55">
        <f>SUM(AD3:AD17)</f>
        <v>0</v>
      </c>
      <c r="AD20" s="56"/>
      <c r="AE20" s="24"/>
      <c r="AF20" s="55">
        <f>SUM(AG3:AG17)</f>
        <v>0</v>
      </c>
      <c r="AG20" s="56"/>
      <c r="AH20" s="24"/>
      <c r="AI20" s="55">
        <f>SUM(AJ3:AJ17)</f>
        <v>0</v>
      </c>
      <c r="AJ20" s="56"/>
      <c r="AK20" s="24"/>
      <c r="AL20" s="55">
        <f>SUM(AM3:AM17)</f>
        <v>0</v>
      </c>
      <c r="AM20" s="56"/>
      <c r="AN20" s="24"/>
      <c r="AO20" s="55">
        <f>SUM(AP3:AP17)</f>
        <v>0</v>
      </c>
      <c r="AP20" s="56"/>
      <c r="AQ20" s="24"/>
      <c r="AR20" s="55">
        <f>SUM(AS3:AS17)</f>
        <v>0</v>
      </c>
      <c r="AS20" s="56"/>
      <c r="AT20" s="24"/>
      <c r="AU20" s="55">
        <f>SUM(AV3:AV17)</f>
        <v>0</v>
      </c>
      <c r="AV20" s="56"/>
      <c r="AW20" s="24"/>
      <c r="AX20" s="55">
        <f>SUM(AY3:AY17)</f>
        <v>0</v>
      </c>
      <c r="AY20" s="56"/>
      <c r="AZ20" s="24"/>
      <c r="BA20" s="55">
        <f>SUM(BB3:BB17)</f>
        <v>0</v>
      </c>
      <c r="BB20" s="56"/>
      <c r="BC20" s="24"/>
      <c r="BD20" s="55">
        <f>SUM(BE3:BE17)</f>
        <v>0</v>
      </c>
      <c r="BE20" s="56"/>
      <c r="BF20" s="24"/>
      <c r="BG20" s="55">
        <f>SUM(BH3:BH17)</f>
        <v>0</v>
      </c>
      <c r="BH20" s="56"/>
      <c r="BI20" s="24"/>
      <c r="BJ20" s="55">
        <f>SUM(BK3:BK17)</f>
        <v>0</v>
      </c>
      <c r="BK20" s="56"/>
      <c r="BL20" s="24"/>
      <c r="BM20" s="55">
        <f>SUM(BN3:BN17)</f>
        <v>0</v>
      </c>
      <c r="BN20" s="56"/>
      <c r="BO20" s="24"/>
      <c r="BP20" s="55">
        <f>SUM(BQ3:BQ17)</f>
        <v>0</v>
      </c>
      <c r="BQ20" s="56"/>
      <c r="BR20" s="24"/>
      <c r="BS20" s="55">
        <f>SUM(BT3:BT17)</f>
        <v>0</v>
      </c>
      <c r="BT20" s="56"/>
      <c r="BU20" s="24"/>
      <c r="BV20" s="1"/>
      <c r="BW20" s="57">
        <f>SUM(E20:BT20)</f>
        <v>0</v>
      </c>
      <c r="BX20" s="1"/>
      <c r="BY20" s="58" t="str">
        <f>A20</f>
        <v>MEAT</v>
      </c>
      <c r="BZ20" s="1"/>
      <c r="CA20" s="20"/>
      <c r="CB20" s="1"/>
    </row>
    <row r="21" ht="28.95" customHeight="1" spans="1:80" s="54" customFormat="1" x14ac:dyDescent="0.25">
      <c r="A21" s="20" t="s">
        <v>56</v>
      </c>
      <c r="B21" s="20"/>
      <c r="C21" s="20" t="s">
        <v>56</v>
      </c>
      <c r="D21" s="33"/>
      <c r="E21" s="59">
        <f>SUM(E3:E13)*10</f>
        <v>0</v>
      </c>
      <c r="F21" s="59"/>
      <c r="G21" s="33"/>
      <c r="H21" s="59">
        <f>SUM(H3:H13)*10</f>
        <v>0</v>
      </c>
      <c r="I21" s="59"/>
      <c r="J21" s="33"/>
      <c r="K21" s="59">
        <f>SUM(K3:K13)*10</f>
        <v>0</v>
      </c>
      <c r="L21" s="59"/>
      <c r="M21" s="33"/>
      <c r="N21" s="59">
        <f>SUM(N3:N13)*10</f>
        <v>0</v>
      </c>
      <c r="O21" s="59"/>
      <c r="P21" s="33"/>
      <c r="Q21" s="59">
        <f>SUM(Q3:Q13)*10</f>
        <v>0</v>
      </c>
      <c r="R21" s="59"/>
      <c r="S21" s="33"/>
      <c r="T21" s="59">
        <f>SUM(T3:T13)*10</f>
        <v>0</v>
      </c>
      <c r="U21" s="59"/>
      <c r="V21" s="33"/>
      <c r="W21" s="59">
        <f>SUM(W3:W13)*10</f>
        <v>0</v>
      </c>
      <c r="X21" s="59"/>
      <c r="Y21" s="33"/>
      <c r="Z21" s="59">
        <f>SUM(Z3:Z13)*10</f>
        <v>0</v>
      </c>
      <c r="AA21" s="59"/>
      <c r="AB21" s="33"/>
      <c r="AC21" s="59">
        <f>SUM(AC3:AC13)*10</f>
        <v>0</v>
      </c>
      <c r="AD21" s="59"/>
      <c r="AE21" s="33"/>
      <c r="AF21" s="59">
        <f>SUM(AF3:AF13)*10</f>
        <v>0</v>
      </c>
      <c r="AG21" s="59"/>
      <c r="AH21" s="33"/>
      <c r="AI21" s="59">
        <f>SUM(AI3:AI13)*10</f>
        <v>0</v>
      </c>
      <c r="AJ21" s="59"/>
      <c r="AK21" s="33"/>
      <c r="AL21" s="59">
        <f>SUM(AL3:AL13)*10</f>
        <v>0</v>
      </c>
      <c r="AM21" s="59"/>
      <c r="AN21" s="33"/>
      <c r="AO21" s="59">
        <f>SUM(AO3:AO13)*10</f>
        <v>0</v>
      </c>
      <c r="AP21" s="59"/>
      <c r="AQ21" s="33"/>
      <c r="AR21" s="59">
        <f>SUM(AR3:AR13)*10</f>
        <v>0</v>
      </c>
      <c r="AS21" s="59"/>
      <c r="AT21" s="33"/>
      <c r="AU21" s="59">
        <f>SUM(AU3:AU13)*10</f>
        <v>0</v>
      </c>
      <c r="AV21" s="59"/>
      <c r="AW21" s="33"/>
      <c r="AX21" s="60">
        <f>SUM(AX3:AX13)*10</f>
        <v>0</v>
      </c>
      <c r="AY21" s="60"/>
      <c r="AZ21" s="33"/>
      <c r="BA21" s="60">
        <f>SUM(BA3:BA17)*10</f>
        <v>0</v>
      </c>
      <c r="BB21" s="60"/>
      <c r="BC21" s="33"/>
      <c r="BD21" s="60">
        <f>SUM(BD3:BD17)*10</f>
        <v>0</v>
      </c>
      <c r="BE21" s="60"/>
      <c r="BF21" s="33"/>
      <c r="BG21" s="60">
        <f>SUM(BG3:BG17)*10</f>
        <v>0</v>
      </c>
      <c r="BH21" s="60"/>
      <c r="BI21" s="33"/>
      <c r="BJ21" s="60">
        <f>SUM(BJ3:BJ17)*10</f>
        <v>0</v>
      </c>
      <c r="BK21" s="60"/>
      <c r="BL21" s="33"/>
      <c r="BM21" s="60">
        <f>SUM(BM3:BM17)*10</f>
        <v>0</v>
      </c>
      <c r="BN21" s="60"/>
      <c r="BO21" s="33"/>
      <c r="BP21" s="60">
        <f>SUM(BP3:BP17)*10</f>
        <v>0</v>
      </c>
      <c r="BQ21" s="60"/>
      <c r="BR21" s="33"/>
      <c r="BS21" s="60">
        <f>SUM(BS3:BS17)*10</f>
        <v>0</v>
      </c>
      <c r="BT21" s="60"/>
      <c r="BU21" s="33"/>
      <c r="BV21" s="1"/>
      <c r="BW21" s="61">
        <f>SUM(E21:BT21)</f>
        <v>0</v>
      </c>
      <c r="BX21" s="1"/>
      <c r="BY21" s="62" t="str">
        <f>A21</f>
        <v>MARKUP</v>
      </c>
      <c r="BZ21" s="1"/>
      <c r="CA21" s="20"/>
      <c r="CB21" s="1"/>
    </row>
    <row r="22" ht="28.95" customHeight="1" spans="1:80" s="54" customFormat="1" x14ac:dyDescent="0.25">
      <c r="A22" s="20" t="s">
        <v>32</v>
      </c>
      <c r="B22" s="20"/>
      <c r="C22" s="20" t="s">
        <v>32</v>
      </c>
      <c r="D22" s="33"/>
      <c r="E22" s="63"/>
      <c r="F22" s="63"/>
      <c r="G22" s="33"/>
      <c r="H22" s="63"/>
      <c r="I22" s="63"/>
      <c r="J22" s="33"/>
      <c r="K22" s="63"/>
      <c r="L22" s="63"/>
      <c r="M22" s="33"/>
      <c r="N22" s="63"/>
      <c r="O22" s="63"/>
      <c r="P22" s="33"/>
      <c r="Q22" s="63"/>
      <c r="R22" s="63"/>
      <c r="S22" s="33"/>
      <c r="T22" s="63"/>
      <c r="U22" s="63"/>
      <c r="V22" s="33"/>
      <c r="W22" s="63"/>
      <c r="X22" s="63"/>
      <c r="Y22" s="33"/>
      <c r="Z22" s="63"/>
      <c r="AA22" s="63"/>
      <c r="AB22" s="33"/>
      <c r="AC22" s="63"/>
      <c r="AD22" s="63"/>
      <c r="AE22" s="33"/>
      <c r="AF22" s="63"/>
      <c r="AG22" s="63"/>
      <c r="AH22" s="33"/>
      <c r="AI22" s="63"/>
      <c r="AJ22" s="63"/>
      <c r="AK22" s="33"/>
      <c r="AL22" s="63"/>
      <c r="AM22" s="63"/>
      <c r="AN22" s="33"/>
      <c r="AO22" s="63"/>
      <c r="AP22" s="63"/>
      <c r="AQ22" s="33"/>
      <c r="AR22" s="63"/>
      <c r="AS22" s="63"/>
      <c r="AT22" s="33"/>
      <c r="AU22" s="63"/>
      <c r="AV22" s="63"/>
      <c r="AW22" s="33"/>
      <c r="AX22" s="63"/>
      <c r="AY22" s="63"/>
      <c r="AZ22" s="33"/>
      <c r="BA22" s="63"/>
      <c r="BB22" s="63"/>
      <c r="BC22" s="33"/>
      <c r="BD22" s="63"/>
      <c r="BE22" s="63"/>
      <c r="BF22" s="33"/>
      <c r="BG22" s="63"/>
      <c r="BH22" s="63"/>
      <c r="BI22" s="33"/>
      <c r="BJ22" s="63"/>
      <c r="BK22" s="63"/>
      <c r="BL22" s="33"/>
      <c r="BM22" s="63"/>
      <c r="BN22" s="63"/>
      <c r="BO22" s="33"/>
      <c r="BP22" s="63"/>
      <c r="BQ22" s="63"/>
      <c r="BR22" s="33"/>
      <c r="BS22" s="63"/>
      <c r="BT22" s="63"/>
      <c r="BU22" s="24"/>
      <c r="BV22" s="1"/>
      <c r="BW22" s="57">
        <f>SUM(E22:BT22)</f>
        <v>0</v>
      </c>
      <c r="BX22" s="1"/>
      <c r="BY22" s="62" t="str">
        <f>A22</f>
        <v>PAPERWARE</v>
      </c>
      <c r="BZ22" s="1"/>
      <c r="CA22" s="20"/>
      <c r="CB22" s="20"/>
    </row>
    <row r="23" ht="28.95" customHeight="1" spans="1:80" s="64" customFormat="1" x14ac:dyDescent="0.25">
      <c r="A23" s="10" t="s">
        <v>57</v>
      </c>
      <c r="B23" s="10"/>
      <c r="C23" s="10" t="s">
        <v>57</v>
      </c>
      <c r="D23" s="33"/>
      <c r="E23" s="65">
        <f>SUM(E20:E22)</f>
        <v>0</v>
      </c>
      <c r="F23" s="65"/>
      <c r="G23" s="10"/>
      <c r="H23" s="65">
        <f>SUM(H20:H22)</f>
        <v>0</v>
      </c>
      <c r="I23" s="65"/>
      <c r="J23" s="10"/>
      <c r="K23" s="65">
        <f>SUM(K20:K22)</f>
        <v>0</v>
      </c>
      <c r="L23" s="65"/>
      <c r="M23" s="10"/>
      <c r="N23" s="65">
        <f>SUM(N20:N22)</f>
        <v>0</v>
      </c>
      <c r="O23" s="65"/>
      <c r="P23" s="10"/>
      <c r="Q23" s="65">
        <f>SUM(Q20:Q22)</f>
        <v>0</v>
      </c>
      <c r="R23" s="65"/>
      <c r="S23" s="10"/>
      <c r="T23" s="65">
        <f>SUM(T20:T22)</f>
        <v>0</v>
      </c>
      <c r="U23" s="65"/>
      <c r="V23" s="10"/>
      <c r="W23" s="65">
        <f>SUM(W20:W22)</f>
        <v>0</v>
      </c>
      <c r="X23" s="65"/>
      <c r="Y23" s="10"/>
      <c r="Z23" s="65">
        <f>SUM(Z20:Z22)</f>
        <v>0</v>
      </c>
      <c r="AA23" s="65"/>
      <c r="AB23" s="10"/>
      <c r="AC23" s="65">
        <f>SUM(AC20:AC22)</f>
        <v>0</v>
      </c>
      <c r="AD23" s="65"/>
      <c r="AE23" s="10"/>
      <c r="AF23" s="65">
        <f>SUM(AF20:AF22)</f>
        <v>0</v>
      </c>
      <c r="AG23" s="65"/>
      <c r="AH23" s="10"/>
      <c r="AI23" s="65">
        <f>SUM(AI20:AI22)</f>
        <v>0</v>
      </c>
      <c r="AJ23" s="65"/>
      <c r="AK23" s="10"/>
      <c r="AL23" s="65">
        <f>SUM(AL20:AL22)</f>
        <v>0</v>
      </c>
      <c r="AM23" s="65"/>
      <c r="AN23" s="10"/>
      <c r="AO23" s="65">
        <f>SUM(AO20:AO22)</f>
        <v>0</v>
      </c>
      <c r="AP23" s="65"/>
      <c r="AQ23" s="10"/>
      <c r="AR23" s="65">
        <f>SUM(AR20:AR22)</f>
        <v>0</v>
      </c>
      <c r="AS23" s="65"/>
      <c r="AT23" s="10"/>
      <c r="AU23" s="65">
        <f>SUM(AU20:AU22)</f>
        <v>0</v>
      </c>
      <c r="AV23" s="65"/>
      <c r="AW23" s="10"/>
      <c r="AX23" s="65">
        <f>SUM(AX20:AX22)</f>
        <v>0</v>
      </c>
      <c r="AY23" s="65"/>
      <c r="AZ23" s="10"/>
      <c r="BA23" s="65">
        <f>SUM(BA20:BA22)</f>
        <v>0</v>
      </c>
      <c r="BB23" s="65"/>
      <c r="BC23" s="10"/>
      <c r="BD23" s="65">
        <f>SUM(BD20:BD22)</f>
        <v>0</v>
      </c>
      <c r="BE23" s="65"/>
      <c r="BF23" s="10"/>
      <c r="BG23" s="65">
        <f>SUM(BG20:BG22)</f>
        <v>0</v>
      </c>
      <c r="BH23" s="65"/>
      <c r="BI23" s="10"/>
      <c r="BJ23" s="65">
        <f>SUM(BJ20:BJ22)</f>
        <v>0</v>
      </c>
      <c r="BK23" s="65"/>
      <c r="BL23" s="10"/>
      <c r="BM23" s="65">
        <f>SUM(BM20:BM22)</f>
        <v>0</v>
      </c>
      <c r="BN23" s="65"/>
      <c r="BO23" s="10"/>
      <c r="BP23" s="65">
        <f>SUM(BP20:BP22)</f>
        <v>0</v>
      </c>
      <c r="BQ23" s="65"/>
      <c r="BR23" s="10"/>
      <c r="BS23" s="65">
        <f>SUM(BS20:BS22)</f>
        <v>0</v>
      </c>
      <c r="BT23" s="65"/>
      <c r="BU23" s="10"/>
      <c r="BV23" s="20"/>
      <c r="BW23" s="61">
        <f>SUM(E23:BT23)</f>
        <v>0</v>
      </c>
      <c r="BX23" s="10"/>
      <c r="BY23" s="62" t="str">
        <f>A23</f>
        <v>EXTENDED AMOUNT</v>
      </c>
      <c r="BZ23" s="10"/>
      <c r="CA23" s="20"/>
      <c r="CB23" s="20"/>
    </row>
    <row r="24" ht="16.2" customHeight="1" spans="4:80" x14ac:dyDescent="0.25">
      <c r="D24" s="66"/>
      <c r="CA24" s="67"/>
      <c r="CB24" s="67"/>
    </row>
    <row r="25" spans="4:80" x14ac:dyDescent="0.25">
      <c r="D25" s="66"/>
      <c r="CA25" s="67"/>
      <c r="CB25" s="67"/>
    </row>
    <row r="26" spans="1:81" s="68" customFormat="1" x14ac:dyDescent="0.25">
      <c r="A26" s="1"/>
      <c r="B26" s="2"/>
      <c r="C26" s="3"/>
      <c r="D26" s="66"/>
      <c r="E26" s="3"/>
      <c r="F26" s="6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1"/>
      <c r="BW26" s="4"/>
      <c r="BX26" s="4"/>
      <c r="BY26" s="4"/>
      <c r="BZ26" s="1"/>
      <c r="CA26" s="67"/>
      <c r="CB26" s="67"/>
      <c r="CC26" s="5"/>
    </row>
    <row r="27" spans="4:4" x14ac:dyDescent="0.25">
      <c r="D27" s="66"/>
    </row>
    <row r="28" spans="4:4" x14ac:dyDescent="0.25">
      <c r="D28" s="66"/>
    </row>
    <row r="29" spans="4:4" x14ac:dyDescent="0.25">
      <c r="D29" s="66"/>
    </row>
    <row r="30" spans="4:4" x14ac:dyDescent="0.25">
      <c r="D30" s="66"/>
    </row>
  </sheetData>
  <mergeCells count="145">
    <mergeCell ref="E1:F1"/>
    <mergeCell ref="T1:U1"/>
    <mergeCell ref="AX1:AY1"/>
    <mergeCell ref="BP1:BQ1"/>
    <mergeCell ref="BS1:BT1"/>
    <mergeCell ref="E2:F2"/>
    <mergeCell ref="H2:I2"/>
    <mergeCell ref="K2:L2"/>
    <mergeCell ref="N2:O2"/>
    <mergeCell ref="Q2:R2"/>
    <mergeCell ref="T2:U2"/>
    <mergeCell ref="W2:X2"/>
    <mergeCell ref="Z2:AA2"/>
    <mergeCell ref="AC2:AD2"/>
    <mergeCell ref="AF2:AG2"/>
    <mergeCell ref="AI2:AJ2"/>
    <mergeCell ref="AL2:AM2"/>
    <mergeCell ref="AO2:AP2"/>
    <mergeCell ref="AR2:AS2"/>
    <mergeCell ref="AU2:AV2"/>
    <mergeCell ref="AX2:AY2"/>
    <mergeCell ref="BA2:BB2"/>
    <mergeCell ref="BD2:BE2"/>
    <mergeCell ref="BG2:BH2"/>
    <mergeCell ref="BJ2:BK2"/>
    <mergeCell ref="BM2:BN2"/>
    <mergeCell ref="BP2:BQ2"/>
    <mergeCell ref="BS2:BT2"/>
    <mergeCell ref="BW2:BY2"/>
    <mergeCell ref="BW11:BY11"/>
    <mergeCell ref="E19:F19"/>
    <mergeCell ref="H19:I19"/>
    <mergeCell ref="K19:L19"/>
    <mergeCell ref="N19:O19"/>
    <mergeCell ref="Q19:R19"/>
    <mergeCell ref="T19:U19"/>
    <mergeCell ref="W19:X19"/>
    <mergeCell ref="Z19:AA19"/>
    <mergeCell ref="AC19:AD19"/>
    <mergeCell ref="AF19:AG19"/>
    <mergeCell ref="AI19:AJ19"/>
    <mergeCell ref="AL19:AM19"/>
    <mergeCell ref="AO19:AP19"/>
    <mergeCell ref="AR19:AS19"/>
    <mergeCell ref="AU19:AV19"/>
    <mergeCell ref="AX19:AY19"/>
    <mergeCell ref="BA19:BB19"/>
    <mergeCell ref="BD19:BE19"/>
    <mergeCell ref="BG19:BH19"/>
    <mergeCell ref="BJ19:BK19"/>
    <mergeCell ref="BM19:BN19"/>
    <mergeCell ref="BP19:BQ19"/>
    <mergeCell ref="BS19:BT19"/>
    <mergeCell ref="E20:F20"/>
    <mergeCell ref="H20:I20"/>
    <mergeCell ref="K20:L20"/>
    <mergeCell ref="N20:O20"/>
    <mergeCell ref="Q20:R20"/>
    <mergeCell ref="T20:U20"/>
    <mergeCell ref="W20:X20"/>
    <mergeCell ref="Z20:AA20"/>
    <mergeCell ref="AC20:AD20"/>
    <mergeCell ref="AF20:AG20"/>
    <mergeCell ref="AI20:AJ20"/>
    <mergeCell ref="AL20:AM20"/>
    <mergeCell ref="AO20:AP20"/>
    <mergeCell ref="AR20:AS20"/>
    <mergeCell ref="AU20:AV20"/>
    <mergeCell ref="AX20:AY20"/>
    <mergeCell ref="BA20:BB20"/>
    <mergeCell ref="BD20:BE20"/>
    <mergeCell ref="BG20:BH20"/>
    <mergeCell ref="BJ20:BK20"/>
    <mergeCell ref="BM20:BN20"/>
    <mergeCell ref="BP20:BQ20"/>
    <mergeCell ref="BS20:BT20"/>
    <mergeCell ref="E21:F21"/>
    <mergeCell ref="H21:I21"/>
    <mergeCell ref="K21:L21"/>
    <mergeCell ref="N21:O21"/>
    <mergeCell ref="Q21:R21"/>
    <mergeCell ref="T21:U21"/>
    <mergeCell ref="W21:X21"/>
    <mergeCell ref="Z21:AA21"/>
    <mergeCell ref="AC21:AD21"/>
    <mergeCell ref="AF21:AG21"/>
    <mergeCell ref="AI21:AJ21"/>
    <mergeCell ref="AL21:AM21"/>
    <mergeCell ref="AO21:AP21"/>
    <mergeCell ref="AR21:AS21"/>
    <mergeCell ref="AU21:AV21"/>
    <mergeCell ref="AX21:AY21"/>
    <mergeCell ref="BA21:BB21"/>
    <mergeCell ref="BD21:BE21"/>
    <mergeCell ref="BG21:BH21"/>
    <mergeCell ref="BJ21:BK21"/>
    <mergeCell ref="BM21:BN21"/>
    <mergeCell ref="BP21:BQ21"/>
    <mergeCell ref="BS21:BT21"/>
    <mergeCell ref="E22:F22"/>
    <mergeCell ref="H22:I22"/>
    <mergeCell ref="K22:L22"/>
    <mergeCell ref="N22:O22"/>
    <mergeCell ref="Q22:R22"/>
    <mergeCell ref="T22:U22"/>
    <mergeCell ref="W22:X22"/>
    <mergeCell ref="Z22:AA22"/>
    <mergeCell ref="AC22:AD22"/>
    <mergeCell ref="AF22:AG22"/>
    <mergeCell ref="AI22:AJ22"/>
    <mergeCell ref="AL22:AM22"/>
    <mergeCell ref="AO22:AP22"/>
    <mergeCell ref="AR22:AS22"/>
    <mergeCell ref="AU22:AV22"/>
    <mergeCell ref="AX22:AY22"/>
    <mergeCell ref="BA22:BB22"/>
    <mergeCell ref="BD22:BE22"/>
    <mergeCell ref="BG22:BH22"/>
    <mergeCell ref="BJ22:BK22"/>
    <mergeCell ref="BM22:BN22"/>
    <mergeCell ref="BP22:BQ22"/>
    <mergeCell ref="BS22:BT22"/>
    <mergeCell ref="E23:F23"/>
    <mergeCell ref="H23:I23"/>
    <mergeCell ref="K23:L23"/>
    <mergeCell ref="N23:O23"/>
    <mergeCell ref="Q23:R23"/>
    <mergeCell ref="T23:U23"/>
    <mergeCell ref="W23:X23"/>
    <mergeCell ref="Z23:AA23"/>
    <mergeCell ref="AC23:AD23"/>
    <mergeCell ref="AF23:AG23"/>
    <mergeCell ref="AI23:AJ23"/>
    <mergeCell ref="AL23:AM23"/>
    <mergeCell ref="AO23:AP23"/>
    <mergeCell ref="AR23:AS23"/>
    <mergeCell ref="AU23:AV23"/>
    <mergeCell ref="AX23:AY23"/>
    <mergeCell ref="BA23:BB23"/>
    <mergeCell ref="BD23:BE23"/>
    <mergeCell ref="BG23:BH23"/>
    <mergeCell ref="BJ23:BK23"/>
    <mergeCell ref="BM23:BN23"/>
    <mergeCell ref="BP23:BQ23"/>
    <mergeCell ref="BS23:BT2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Billing (29)</vt:lpstr>
      <vt:lpstr>Billing (28)</vt:lpstr>
      <vt:lpstr>Billing (27)</vt:lpstr>
      <vt:lpstr>Billing (32)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M&amp;G Management and Logistics Inc.</dc:creator>
  <cp:lastModifiedBy>Martin Hernandez</cp:lastModifiedBy>
  <cp:lastPrinted>2026-07-11T20:01:28Z</cp:lastPrinted>
  <dcterms:created xsi:type="dcterms:W3CDTF">2025-12-06T19:50:17Z</dcterms:created>
  <dcterms:modified xsi:type="dcterms:W3CDTF">2026-08-10T21:01:16Z</dcterms:modified>
</cp:coreProperties>
</file>