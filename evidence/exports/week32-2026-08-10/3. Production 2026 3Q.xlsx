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 activeTab="2"/>
  </bookViews>
  <sheets>
    <sheet sheetId="8" name="Production (29)" state="visible" r:id="rId4"/>
    <sheet sheetId="7" name="FROZEN INV" state="visible" r:id="rId5"/>
    <sheet sheetId="6" name="Production (28)" state="visible" r:id="rId6"/>
    <sheet sheetId="5" name="Production (27)" state="visible" r:id="rId7"/>
    <sheet sheetId="1" name="Production (32)" state="visible" r:id="rId8"/>
  </sheets>
  <calcPr calcId="171027" fullCalcOnLoad="1"/>
</workbook>
</file>

<file path=xl/sharedStrings.xml><?xml version="1.0" encoding="utf-8"?>
<sst xmlns="http://schemas.openxmlformats.org/spreadsheetml/2006/main" count="254" uniqueCount="46">
  <si>
    <r>
      <t>M</t>
    </r>
    <r>
      <rPr>
        <b/>
        <strike/>
        <sz val="14"/>
        <rFont val="Saginaw"/>
      </rPr>
      <t>&amp;</t>
    </r>
    <r>
      <rPr>
        <b/>
        <strike/>
        <sz val="20"/>
        <rFont val="Saginaw"/>
      </rPr>
      <t>G</t>
    </r>
  </si>
  <si>
    <t>CASES</t>
  </si>
  <si>
    <t xml:space="preserve">WEIGHT </t>
  </si>
  <si>
    <t>COST</t>
  </si>
  <si>
    <t>CASE WEIGHT</t>
  </si>
  <si>
    <t>CASE PRICE</t>
  </si>
  <si>
    <t>CLOSING STOCK</t>
  </si>
  <si>
    <t>ON HAND</t>
  </si>
  <si>
    <t>STOCK ON HAND</t>
  </si>
  <si>
    <t>PURCHASES</t>
  </si>
  <si>
    <t>PRODUCTION COST</t>
  </si>
  <si>
    <t>PRODUCTION</t>
  </si>
  <si>
    <t>TOTAL</t>
  </si>
  <si>
    <t>PRICE</t>
  </si>
  <si>
    <t>CLOSING WEEK</t>
  </si>
  <si>
    <t>FULL CASES</t>
  </si>
  <si>
    <t>WEIGHT</t>
  </si>
  <si>
    <t>SOLD</t>
  </si>
  <si>
    <t>LEFT</t>
  </si>
  <si>
    <t>INVENTORY</t>
  </si>
  <si>
    <t>INSIDE SKIRT STEAK</t>
  </si>
  <si>
    <t>STEAK TACO MEAT</t>
  </si>
  <si>
    <t>CHICKEN TACO MEAT</t>
  </si>
  <si>
    <t>CHICKEN BREAST</t>
  </si>
  <si>
    <t>ALPASTOR TACO MEAT</t>
  </si>
  <si>
    <t>CARNE ASADA</t>
  </si>
  <si>
    <t>PORK BUTT</t>
  </si>
  <si>
    <t>FAJITAS</t>
  </si>
  <si>
    <t>MILANESA</t>
  </si>
  <si>
    <t>OUTSIDE SKIRT</t>
  </si>
  <si>
    <t>TAMAL ROJO</t>
  </si>
  <si>
    <t>CHILE RELLENO</t>
  </si>
  <si>
    <t>INSIDE ROUND</t>
  </si>
  <si>
    <t>TACO DORADO</t>
  </si>
  <si>
    <t>CARNITAS</t>
  </si>
  <si>
    <t>TAPATIOS TACO MEAT</t>
  </si>
  <si>
    <r>
      <t>M</t>
    </r>
    <r>
      <rPr>
        <b/>
        <color theme="9" tint="-0.249977111117893"/>
        <strike/>
        <sz val="14"/>
        <rFont val="Saginaw"/>
      </rPr>
      <t>&amp;</t>
    </r>
    <r>
      <rPr>
        <b/>
        <color theme="9" tint="-0.249977111117893"/>
        <strike/>
        <sz val="20"/>
        <rFont val="Saginaw"/>
      </rPr>
      <t>G</t>
    </r>
  </si>
  <si>
    <t>FROZEN RESERVES 2026 LOMBARD</t>
  </si>
  <si>
    <t>DATE</t>
  </si>
  <si>
    <t>U/PRICE</t>
  </si>
  <si>
    <t>STAGE</t>
  </si>
  <si>
    <t>BRAND</t>
  </si>
  <si>
    <t>INSIDE SKIRTS CHOICE</t>
  </si>
  <si>
    <t>OUSIDE SKIRTS CHOICE</t>
  </si>
  <si>
    <t>TAMALES</t>
  </si>
  <si>
    <t>TACOS DORADOS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</si>
</sst>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&quot;$&quot;* #,##0.00_);_(&quot;$&quot;* (#,##0.00);_(&quot;$&quot;* &quot;-&quot;??_);_(@_)"/>
    <numFmt numFmtId="165" formatCode="&quot;$&quot;#,##0.00"/>
    <numFmt numFmtId="166" formatCode="0.0"/>
  </numFmts>
  <fonts count="10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strike/>
      <sz val="20"/>
      <name val="Saginaw"/>
    </font>
    <font>
      <b/>
      <color theme="1"/>
      <family val="2"/>
      <scheme val="minor"/>
      <sz val="10"/>
      <name val="Calibri"/>
    </font>
    <font>
      <b/>
      <u/>
      <color theme="1"/>
      <family val="2"/>
      <scheme val="minor"/>
      <sz val="11"/>
      <name val="Calibri"/>
    </font>
    <font>
      <family val="2"/>
      <scheme val="minor"/>
      <sz val="11"/>
      <name val="Calibri"/>
    </font>
    <font>
      <b/>
      <color theme="9" tint="-0.249977111117893"/>
      <strike/>
      <sz val="20"/>
      <name val="Saginaw"/>
    </font>
    <font>
      <color theme="1"/>
      <family val="2"/>
      <scheme val="minor"/>
      <sz val="10"/>
      <name val="Calibri"/>
    </font>
    <font>
      <u/>
      <color theme="1"/>
      <family val="2"/>
      <scheme val="minor"/>
      <sz val="10"/>
      <name val="Calibri"/>
    </font>
    <font>
      <b/>
      <u/>
      <color theme="1"/>
      <family val="2"/>
      <scheme val="minor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3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1" fontId="0" fillId="0" borderId="0" xfId="0" applyNumberFormat="1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 wrapText="1"/>
    </xf>
    <xf numFmtId="164" fontId="1" fillId="3" borderId="9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10" xfId="0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164" fontId="0" fillId="4" borderId="12" xfId="0" applyNumberForma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" fontId="0" fillId="4" borderId="12" xfId="0" applyNumberForma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164" fontId="1" fillId="4" borderId="12" xfId="0" applyNumberFormat="1" applyFont="1" applyFill="1" applyBorder="1" applyAlignment="1">
      <alignment horizontal="center" vertical="center"/>
    </xf>
    <xf numFmtId="164" fontId="1" fillId="5" borderId="0" xfId="0" applyNumberFormat="1" applyFont="1" applyFill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" fontId="0" fillId="4" borderId="14" xfId="0" applyNumberFormat="1" applyFill="1" applyBorder="1" applyAlignment="1">
      <alignment horizontal="center" vertical="center"/>
    </xf>
    <xf numFmtId="164" fontId="0" fillId="4" borderId="14" xfId="0" applyNumberForma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164" fontId="1" fillId="4" borderId="14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vertical="center"/>
    </xf>
    <xf numFmtId="0" fontId="0" fillId="3" borderId="9" xfId="0" applyFill="1" applyBorder="1" applyAlignment="1">
      <alignment horizontal="center"/>
    </xf>
    <xf numFmtId="164" fontId="0" fillId="3" borderId="9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64" fontId="0" fillId="3" borderId="15" xfId="0" applyNumberForma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0" borderId="17" xfId="0" applyBorder="1" applyAlignment="1">
      <alignment horizontal="center"/>
    </xf>
    <xf numFmtId="1" fontId="0" fillId="4" borderId="15" xfId="0" applyNumberFormat="1" applyFill="1" applyBorder="1" applyAlignment="1">
      <alignment horizontal="center"/>
    </xf>
    <xf numFmtId="0" fontId="0" fillId="0" borderId="18" xfId="0" applyBorder="1" applyAlignment="1">
      <alignment horizontal="center"/>
    </xf>
    <xf numFmtId="164" fontId="0" fillId="4" borderId="15" xfId="0" applyNumberForma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4" fillId="0" borderId="3" xfId="0" applyFont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3" fillId="4" borderId="1" xfId="0" applyNumberFormat="1" applyFont="1" applyFill="1" applyBorder="1" applyAlignment="1">
      <alignment horizontal="center" vertical="center"/>
    </xf>
    <xf numFmtId="164" fontId="3" fillId="4" borderId="12" xfId="0" applyNumberFormat="1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1" fillId="5" borderId="6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1" fontId="0" fillId="4" borderId="19" xfId="0" applyNumberFormat="1" applyFill="1" applyBorder="1" applyAlignment="1">
      <alignment horizontal="center" vertical="center"/>
    </xf>
    <xf numFmtId="164" fontId="0" fillId="4" borderId="19" xfId="0" applyNumberForma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164" fontId="1" fillId="4" borderId="19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165" fontId="0" fillId="0" borderId="8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20" xfId="0" applyNumberForma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0" fillId="0" borderId="4" xfId="0" applyBorder="1" applyAlignment="1">
      <alignment horizontal="center"/>
    </xf>
    <xf numFmtId="165" fontId="0" fillId="0" borderId="2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0" fontId="0" fillId="0" borderId="3" xfId="0" applyBorder="1"/>
    <xf numFmtId="164" fontId="1" fillId="0" borderId="9" xfId="0" applyNumberFormat="1" applyFont="1" applyBorder="1" applyAlignment="1">
      <alignment horizontal="center" vertical="center"/>
    </xf>
    <xf numFmtId="0" fontId="1" fillId="0" borderId="3" xfId="0" applyFont="1" applyBorder="1"/>
    <xf numFmtId="164" fontId="0" fillId="0" borderId="9" xfId="0" applyNumberForma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1" fillId="0" borderId="6" xfId="0" applyFont="1" applyBorder="1"/>
    <xf numFmtId="15" fontId="1" fillId="2" borderId="6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/>
    <xf numFmtId="164" fontId="1" fillId="0" borderId="0" xfId="0" applyNumberFormat="1" applyFont="1"/>
    <xf numFmtId="0" fontId="6" fillId="0" borderId="2" xfId="0" applyFont="1" applyBorder="1" applyAlignment="1">
      <alignment horizontal="center" vertical="center"/>
    </xf>
    <xf numFmtId="15" fontId="1" fillId="2" borderId="3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6" fillId="0" borderId="8" xfId="0" applyFont="1" applyBorder="1" applyAlignment="1">
      <alignment horizontal="center" vertical="center"/>
    </xf>
    <xf numFmtId="15" fontId="1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20" xfId="0" applyFont="1" applyBorder="1"/>
    <xf numFmtId="0" fontId="7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164" fontId="8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7" fillId="0" borderId="0" xfId="0" applyFont="1"/>
    <xf numFmtId="0" fontId="9" fillId="0" borderId="8" xfId="0" applyFont="1" applyBorder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166" fontId="7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7" fillId="0" borderId="20" xfId="0" applyFont="1" applyBorder="1"/>
    <xf numFmtId="164" fontId="7" fillId="0" borderId="0" xfId="0" applyNumberFormat="1" applyFont="1"/>
    <xf numFmtId="0" fontId="9" fillId="0" borderId="8" xfId="0" applyFont="1" applyBorder="1" applyAlignment="1">
      <alignment vertical="center"/>
    </xf>
    <xf numFmtId="16" fontId="9" fillId="0" borderId="8" xfId="0" applyNumberFormat="1" applyFont="1" applyBorder="1" applyAlignment="1">
      <alignment horizontal="center" vertical="center" wrapText="1"/>
    </xf>
    <xf numFmtId="164" fontId="7" fillId="0" borderId="20" xfId="0" applyNumberFormat="1" applyFont="1" applyBorder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6" fontId="7" fillId="0" borderId="8" xfId="0" applyNumberFormat="1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8" xfId="0" applyFont="1" applyBorder="1"/>
    <xf numFmtId="0" fontId="3" fillId="0" borderId="21" xfId="0" applyFont="1" applyBorder="1" applyAlignment="1">
      <alignment horizontal="center"/>
    </xf>
    <xf numFmtId="16" fontId="9" fillId="0" borderId="2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/>
    </xf>
    <xf numFmtId="164" fontId="7" fillId="0" borderId="3" xfId="0" applyNumberFormat="1" applyFont="1" applyBorder="1" applyAlignment="1">
      <alignment horizontal="center"/>
    </xf>
    <xf numFmtId="1" fontId="7" fillId="0" borderId="0" xfId="0" applyNumberFormat="1" applyFont="1" applyAlignment="1">
      <alignment horizontal="center"/>
    </xf>
    <xf numFmtId="0" fontId="7" fillId="0" borderId="3" xfId="0" applyFont="1" applyBorder="1"/>
    <xf numFmtId="0" fontId="9" fillId="3" borderId="2" xfId="0" applyFont="1" applyFill="1" applyBorder="1" applyAlignment="1">
      <alignment vertical="center"/>
    </xf>
    <xf numFmtId="0" fontId="7" fillId="3" borderId="3" xfId="0" applyFont="1" applyFill="1" applyBorder="1" applyAlignment="1">
      <alignment horizontal="center"/>
    </xf>
    <xf numFmtId="164" fontId="7" fillId="3" borderId="3" xfId="0" applyNumberFormat="1" applyFont="1" applyFill="1" applyBorder="1" applyAlignment="1">
      <alignment horizontal="center"/>
    </xf>
    <xf numFmtId="1" fontId="7" fillId="3" borderId="15" xfId="0" applyNumberFormat="1" applyFont="1" applyFill="1" applyBorder="1" applyAlignment="1">
      <alignment horizontal="center"/>
    </xf>
    <xf numFmtId="0" fontId="7" fillId="0" borderId="18" xfId="0" applyFont="1" applyBorder="1" applyAlignment="1">
      <alignment horizontal="center"/>
    </xf>
    <xf numFmtId="164" fontId="7" fillId="3" borderId="15" xfId="0" applyNumberFormat="1" applyFont="1" applyFill="1" applyBorder="1" applyAlignment="1">
      <alignment horizontal="center"/>
    </xf>
    <xf numFmtId="164" fontId="3" fillId="3" borderId="16" xfId="0" applyNumberFormat="1" applyFont="1" applyFill="1" applyBorder="1" applyAlignment="1">
      <alignment vertical="center"/>
    </xf>
    <xf numFmtId="0" fontId="0" fillId="0" borderId="22" xfId="0" applyBorder="1"/>
    <xf numFmtId="0" fontId="0" fillId="0" borderId="10" xfId="0" applyBorder="1"/>
    <xf numFmtId="0" fontId="0" fillId="0" borderId="23" xfId="0" applyBorder="1"/>
    <xf numFmtId="0" fontId="0" fillId="0" borderId="23" xfId="0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8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7"/>
  <sheetViews>
    <sheetView workbookViewId="0" zoomScale="95" zoomScaleNormal="95">
      <selection activeCell="AK3" sqref="AK3"/>
    </sheetView>
  </sheetViews>
  <sheetFormatPr defaultRowHeight="14.4" outlineLevelRow="0" outlineLevelCol="0" x14ac:dyDescent="0.3" customHeight="1"/>
  <cols>
    <col min="1" max="1" width="17.5546875" customWidth="1"/>
    <col min="2" max="2" width="2.33203125" customWidth="1"/>
    <col min="3" max="3" width="12.33203125" customWidth="1"/>
    <col min="4" max="4" width="2.33203125" customWidth="1"/>
    <col min="5" max="5" width="12.33203125" customWidth="1"/>
    <col min="6" max="6" width="2.33203125" customWidth="1"/>
    <col min="7" max="7" width="12.33203125" style="1" customWidth="1"/>
    <col min="8" max="8" width="2.33203125" customWidth="1"/>
    <col min="9" max="9" width="12.33203125" customWidth="1"/>
    <col min="10" max="10" width="2.33203125" customWidth="1"/>
    <col min="11" max="11" width="12.33203125" customWidth="1"/>
    <col min="12" max="12" width="2.33203125" customWidth="1"/>
    <col min="13" max="13" width="12.33203125" customWidth="1"/>
    <col min="14" max="14" width="2.33203125" customWidth="1"/>
    <col min="15" max="15" width="12.33203125" customWidth="1"/>
    <col min="16" max="16" width="2.33203125" customWidth="1"/>
    <col min="17" max="18" width="12.33203125" customWidth="1"/>
    <col min="19" max="19" width="31.6640625" style="2" customWidth="1"/>
    <col min="22" max="22" width="11.5546875" customWidth="1"/>
    <col min="25" max="25" width="11.5546875" customWidth="1"/>
    <col min="28" max="28" width="11.5546875" customWidth="1"/>
    <col min="30" max="30" width="8.88671875" style="3" customWidth="1"/>
    <col min="31" max="31" width="11.5546875" style="1" customWidth="1"/>
    <col min="36" max="36" width="9.88671875" customWidth="1"/>
    <col min="37" max="38" width="9.109375" customWidth="1"/>
    <col min="39" max="39" width="11.6640625" customWidth="1"/>
    <col min="40" max="40" width="9.109375" customWidth="1"/>
    <col min="41" max="41" width="21" customWidth="1"/>
  </cols>
  <sheetData>
    <row r="1" ht="19.05" customHeight="1" spans="1:41" s="4" customFormat="1" x14ac:dyDescent="0.25">
      <c r="A1" s="5" t="s">
        <v>0</v>
      </c>
      <c r="B1" s="6"/>
      <c r="C1" s="7" t="s">
        <v>1</v>
      </c>
      <c r="D1" s="6"/>
      <c r="E1" s="8" t="s">
        <v>2</v>
      </c>
      <c r="F1" s="6"/>
      <c r="G1" s="9" t="s">
        <v>3</v>
      </c>
      <c r="H1" s="10"/>
      <c r="I1" s="9" t="s">
        <v>4</v>
      </c>
      <c r="J1" s="6"/>
      <c r="K1" s="9" t="s">
        <v>5</v>
      </c>
      <c r="L1" s="2"/>
      <c r="M1" s="11" t="s">
        <v>6</v>
      </c>
      <c r="N1" s="11"/>
      <c r="O1" s="11"/>
      <c r="P1" s="11"/>
      <c r="Q1" s="11"/>
      <c r="R1" s="7" t="s">
        <v>7</v>
      </c>
      <c r="S1" s="14" t="s">
        <v>0</v>
      </c>
      <c r="T1" s="15" t="s">
        <v>8</v>
      </c>
      <c r="U1" s="15"/>
      <c r="V1" s="15"/>
      <c r="W1" s="18" t="s">
        <v>9</v>
      </c>
      <c r="X1" s="18"/>
      <c r="Y1" s="18"/>
      <c r="Z1" s="15" t="s">
        <v>6</v>
      </c>
      <c r="AA1" s="15"/>
      <c r="AB1" s="15"/>
      <c r="AC1" s="18" t="s">
        <v>10</v>
      </c>
      <c r="AD1" s="18"/>
      <c r="AE1" s="18"/>
      <c r="AF1" s="15" t="s">
        <v>11</v>
      </c>
      <c r="AG1" s="15"/>
      <c r="AH1" s="15"/>
      <c r="AI1" s="21" t="s">
        <v>12</v>
      </c>
      <c r="AJ1" s="22" t="s">
        <v>13</v>
      </c>
      <c r="AK1" s="23" t="s">
        <v>14</v>
      </c>
      <c r="AL1" s="23"/>
      <c r="AM1" s="23"/>
      <c r="AN1" s="23"/>
      <c r="AO1" s="26" t="s">
        <v>0</v>
      </c>
    </row>
    <row r="2" ht="19.05" customHeight="1" spans="1:41" s="4" customFormat="1" x14ac:dyDescent="0.25">
      <c r="A2" s="5"/>
      <c r="B2" s="6"/>
      <c r="C2" s="7"/>
      <c r="D2" s="6"/>
      <c r="E2" s="8"/>
      <c r="F2" s="6"/>
      <c r="G2" s="9"/>
      <c r="H2" s="10"/>
      <c r="I2" s="9"/>
      <c r="J2" s="6"/>
      <c r="K2" s="9"/>
      <c r="L2" s="31"/>
      <c r="M2" s="11" t="s">
        <v>15</v>
      </c>
      <c r="N2" s="12"/>
      <c r="O2" s="12" t="s">
        <v>16</v>
      </c>
      <c r="P2" s="12"/>
      <c r="Q2" s="13" t="s">
        <v>3</v>
      </c>
      <c r="R2" s="7"/>
      <c r="S2" s="14"/>
      <c r="T2" s="15"/>
      <c r="U2" s="15"/>
      <c r="V2" s="15"/>
      <c r="W2" s="18"/>
      <c r="X2" s="18"/>
      <c r="Y2" s="18"/>
      <c r="Z2" s="15"/>
      <c r="AA2" s="15"/>
      <c r="AB2" s="15"/>
      <c r="AC2" s="18"/>
      <c r="AD2" s="18"/>
      <c r="AE2" s="18"/>
      <c r="AF2" s="15"/>
      <c r="AG2" s="15"/>
      <c r="AH2" s="15"/>
      <c r="AI2" s="21"/>
      <c r="AJ2" s="22"/>
      <c r="AK2" s="36" t="s">
        <v>17</v>
      </c>
      <c r="AL2" s="38" t="s">
        <v>18</v>
      </c>
      <c r="AM2" s="38" t="s">
        <v>19</v>
      </c>
      <c r="AN2" s="38"/>
      <c r="AO2" s="26"/>
    </row>
    <row r="3" ht="19.05" customHeight="1" spans="1:41" x14ac:dyDescent="0.25">
      <c r="A3" s="41" t="s">
        <v>20</v>
      </c>
      <c r="B3" s="6"/>
      <c r="C3" s="42">
        <v>40</v>
      </c>
      <c r="D3" s="6"/>
      <c r="E3" s="42">
        <v>2117.7</v>
      </c>
      <c r="F3" s="6"/>
      <c r="G3" s="43">
        <v>14929.79</v>
      </c>
      <c r="H3" s="10"/>
      <c r="I3" s="6"/>
      <c r="J3" s="6"/>
      <c r="K3" s="6"/>
      <c r="L3" s="6"/>
      <c r="M3" s="6"/>
      <c r="N3" s="6"/>
      <c r="O3" s="6"/>
      <c r="P3" s="6"/>
      <c r="Q3" s="6"/>
      <c r="R3" s="44"/>
      <c r="S3" s="45" t="s">
        <v>21</v>
      </c>
      <c r="T3" s="44"/>
      <c r="U3" s="44">
        <v>0</v>
      </c>
      <c r="V3" s="46">
        <v>0</v>
      </c>
      <c r="W3" s="47">
        <f>C6</f>
        <v>0</v>
      </c>
      <c r="X3" s="47">
        <f>E6</f>
        <v>0</v>
      </c>
      <c r="Y3" s="48">
        <f>G6</f>
        <v>0</v>
      </c>
      <c r="Z3" s="49">
        <f>M6</f>
        <v>0</v>
      </c>
      <c r="AA3" s="50" t="e">
        <f>O6</f>
        <v>#DIV/0!</v>
      </c>
      <c r="AB3" s="51" t="e">
        <f>Q6</f>
        <v>#DIV/0!</v>
      </c>
      <c r="AC3" s="47">
        <f>T3+W3-Z3</f>
        <v>0</v>
      </c>
      <c r="AD3" s="52" t="e">
        <f>U3+X3-AA3</f>
        <v>#DIV/0!</v>
      </c>
      <c r="AE3" s="48" t="e">
        <f>V3+Y3-AB3</f>
        <v>#DIV/0!</v>
      </c>
      <c r="AF3" s="53">
        <v>253</v>
      </c>
      <c r="AG3" s="53"/>
      <c r="AH3" s="53"/>
      <c r="AI3" s="54">
        <v>253</v>
      </c>
      <c r="AJ3" s="55">
        <v>178.4293675889328</v>
      </c>
      <c r="AK3" s="2">
        <v>232</v>
      </c>
      <c r="AL3" s="44">
        <v>21</v>
      </c>
      <c r="AM3" s="56">
        <v>3432.02</v>
      </c>
      <c r="AN3" s="57">
        <f>R3+AI3-AK3-AL3</f>
        <v>0</v>
      </c>
      <c r="AO3" s="58" t="s">
        <v>21</v>
      </c>
    </row>
    <row r="4" ht="19.05" customHeight="1" spans="1:41" x14ac:dyDescent="0.25">
      <c r="A4" s="41"/>
      <c r="B4" s="6"/>
      <c r="C4" s="42">
        <v>103</v>
      </c>
      <c r="D4" s="6"/>
      <c r="E4" s="42">
        <v>6956.4</v>
      </c>
      <c r="F4" s="6"/>
      <c r="G4" s="43">
        <v>55095.24</v>
      </c>
      <c r="H4" s="10"/>
      <c r="I4" s="6"/>
      <c r="J4" s="6"/>
      <c r="K4" s="6"/>
      <c r="L4" s="6"/>
      <c r="M4" s="6"/>
      <c r="N4" s="6"/>
      <c r="O4" s="6"/>
      <c r="P4" s="6"/>
      <c r="Q4" s="6"/>
      <c r="R4" s="44"/>
      <c r="S4" s="45"/>
      <c r="T4" s="44"/>
      <c r="U4" s="44"/>
      <c r="V4" s="46"/>
      <c r="W4" s="47"/>
      <c r="X4" s="47"/>
      <c r="Y4" s="48"/>
      <c r="Z4" s="49"/>
      <c r="AA4" s="50"/>
      <c r="AB4" s="51"/>
      <c r="AC4" s="47"/>
      <c r="AD4" s="52"/>
      <c r="AE4" s="48"/>
      <c r="AF4" s="53"/>
      <c r="AG4" s="53"/>
      <c r="AH4" s="53"/>
      <c r="AI4" s="54"/>
      <c r="AJ4" s="55"/>
      <c r="AK4" s="2"/>
      <c r="AL4" s="44"/>
      <c r="AM4" s="56"/>
      <c r="AN4" s="57"/>
      <c r="AO4" s="58"/>
    </row>
    <row r="5" ht="19.05" customHeight="1" spans="1:41" x14ac:dyDescent="0.25">
      <c r="A5" s="41"/>
      <c r="B5" s="6"/>
      <c r="C5" s="72"/>
      <c r="D5" s="6"/>
      <c r="E5" s="72"/>
      <c r="F5" s="6"/>
      <c r="G5" s="73"/>
      <c r="H5" s="10"/>
      <c r="I5" s="72"/>
      <c r="J5" s="6"/>
      <c r="K5" s="72"/>
      <c r="L5" s="72"/>
      <c r="M5" s="72"/>
      <c r="N5" s="72"/>
      <c r="O5" s="72"/>
      <c r="P5" s="72"/>
      <c r="Q5" s="72"/>
      <c r="R5" s="44">
        <v>2</v>
      </c>
      <c r="S5" s="45" t="s">
        <v>22</v>
      </c>
      <c r="T5" s="74">
        <v>2</v>
      </c>
      <c r="U5" s="74">
        <v>40</v>
      </c>
      <c r="V5" s="75">
        <v>64.33</v>
      </c>
      <c r="W5" s="60">
        <f>C10</f>
        <v>0</v>
      </c>
      <c r="X5" s="60">
        <f>E10</f>
        <v>0</v>
      </c>
      <c r="Y5" s="63">
        <f>G10</f>
        <v>0</v>
      </c>
      <c r="Z5" s="61">
        <f>M10</f>
        <v>0</v>
      </c>
      <c r="AA5" s="76" t="e">
        <f>O10</f>
        <v>#DIV/0!</v>
      </c>
      <c r="AB5" s="77" t="e">
        <f>Q10</f>
        <v>#DIV/0!</v>
      </c>
      <c r="AC5" s="60">
        <f>T5+W5-Z5</f>
        <v>0</v>
      </c>
      <c r="AD5" s="62" t="e">
        <f>U5+X5-AA5</f>
        <v>#DIV/0!</v>
      </c>
      <c r="AE5" s="63" t="e">
        <f>V5+Y5-AB5</f>
        <v>#DIV/0!</v>
      </c>
      <c r="AF5" s="53">
        <v>121</v>
      </c>
      <c r="AG5" s="53"/>
      <c r="AH5" s="53"/>
      <c r="AI5" s="65">
        <v>121</v>
      </c>
      <c r="AJ5" s="66">
        <v>47.16528925619835</v>
      </c>
      <c r="AK5" s="2">
        <v>123</v>
      </c>
      <c r="AL5" s="44">
        <v>0</v>
      </c>
      <c r="AM5" s="56">
        <v>0</v>
      </c>
      <c r="AN5" s="57">
        <f>R5+AI5-AK5-AL5</f>
        <v>0</v>
      </c>
      <c r="AO5" s="78" t="s">
        <v>22</v>
      </c>
    </row>
    <row r="6" ht="19.05" customHeight="1" spans="1:41" x14ac:dyDescent="0.25">
      <c r="A6" s="79"/>
      <c r="B6" s="6"/>
      <c r="C6" s="80">
        <f>SUM(C3:C5)</f>
        <v>143</v>
      </c>
      <c r="D6" s="6"/>
      <c r="E6" s="80">
        <f>SUM(E3:E5)</f>
        <v>9074.1</v>
      </c>
      <c r="F6" s="6"/>
      <c r="G6" s="81">
        <f>SUM(G3:G5)</f>
        <v>70025.03</v>
      </c>
      <c r="H6" s="10"/>
      <c r="I6" s="82">
        <v>63.45524475524474</v>
      </c>
      <c r="J6" s="6"/>
      <c r="K6" s="83">
        <v>489.68552447552446</v>
      </c>
      <c r="L6" s="84"/>
      <c r="M6" s="85">
        <v>103</v>
      </c>
      <c r="N6" s="86"/>
      <c r="O6" s="87">
        <v>6956.4</v>
      </c>
      <c r="P6" s="88"/>
      <c r="Q6" s="89">
        <v>55095.24</v>
      </c>
      <c r="R6" s="44"/>
      <c r="S6" s="45"/>
      <c r="T6" s="74"/>
      <c r="U6" s="74"/>
      <c r="V6" s="75"/>
      <c r="W6" s="60"/>
      <c r="X6" s="60"/>
      <c r="Y6" s="63"/>
      <c r="Z6" s="61"/>
      <c r="AA6" s="76"/>
      <c r="AB6" s="77"/>
      <c r="AC6" s="60"/>
      <c r="AD6" s="62"/>
      <c r="AE6" s="63"/>
      <c r="AF6" s="53"/>
      <c r="AG6" s="53"/>
      <c r="AH6" s="53"/>
      <c r="AI6" s="65"/>
      <c r="AJ6" s="66"/>
      <c r="AK6" s="2"/>
      <c r="AL6" s="44"/>
      <c r="AM6" s="56"/>
      <c r="AN6" s="57"/>
      <c r="AO6" s="78"/>
    </row>
    <row r="7" ht="19.05" customHeight="1" spans="1:41" x14ac:dyDescent="0.25">
      <c r="A7" s="90" t="s">
        <v>23</v>
      </c>
      <c r="B7" s="6"/>
      <c r="C7" s="42">
        <v>40</v>
      </c>
      <c r="D7" s="6"/>
      <c r="E7" s="42">
        <v>1600</v>
      </c>
      <c r="F7" s="6"/>
      <c r="G7" s="43">
        <v>2224</v>
      </c>
      <c r="H7" s="10"/>
      <c r="I7" s="91"/>
      <c r="J7" s="6"/>
      <c r="K7" s="6"/>
      <c r="L7" s="6"/>
      <c r="M7" s="6"/>
      <c r="N7" s="6"/>
      <c r="O7" s="91"/>
      <c r="P7" s="6"/>
      <c r="Q7" s="6"/>
      <c r="R7" s="44"/>
      <c r="S7" s="45" t="s">
        <v>24</v>
      </c>
      <c r="T7" s="74"/>
      <c r="U7" s="74">
        <v>0</v>
      </c>
      <c r="V7" s="75">
        <v>0</v>
      </c>
      <c r="W7" s="60">
        <f>C14</f>
        <v>0</v>
      </c>
      <c r="X7" s="60">
        <f>E14</f>
        <v>0</v>
      </c>
      <c r="Y7" s="63">
        <f>G14</f>
        <v>0</v>
      </c>
      <c r="Z7" s="61">
        <f>M14</f>
        <v>0</v>
      </c>
      <c r="AA7" s="76" t="e">
        <f>O14</f>
        <v>#DIV/0!</v>
      </c>
      <c r="AB7" s="77" t="e">
        <f>Q14</f>
        <v>#DIV/0!</v>
      </c>
      <c r="AC7" s="60">
        <f>T7+W7-Z7</f>
        <v>0</v>
      </c>
      <c r="AD7" s="62" t="e">
        <f>U7+X7-AA7</f>
        <v>#DIV/0!</v>
      </c>
      <c r="AE7" s="63" t="e">
        <f>V7+Y7-AB7</f>
        <v>#DIV/0!</v>
      </c>
      <c r="AF7" s="53">
        <v>160</v>
      </c>
      <c r="AG7" s="53"/>
      <c r="AH7" s="53"/>
      <c r="AI7" s="65">
        <v>160</v>
      </c>
      <c r="AJ7" s="66">
        <v>61.27225</v>
      </c>
      <c r="AK7" s="2">
        <v>140</v>
      </c>
      <c r="AL7" s="44">
        <v>20</v>
      </c>
      <c r="AM7" s="56">
        <v>925.44</v>
      </c>
      <c r="AN7" s="57">
        <f>R7+AI7-AK7-AL7</f>
        <v>0</v>
      </c>
      <c r="AO7" s="78" t="s">
        <v>24</v>
      </c>
    </row>
    <row r="8" ht="19.05" customHeight="1" spans="1:41" x14ac:dyDescent="0.25">
      <c r="A8" s="90"/>
      <c r="B8" s="6"/>
      <c r="C8" s="42">
        <v>35</v>
      </c>
      <c r="D8" s="6"/>
      <c r="E8" s="42">
        <v>1400</v>
      </c>
      <c r="F8" s="6"/>
      <c r="G8" s="43">
        <v>1946</v>
      </c>
      <c r="H8" s="10"/>
      <c r="I8" s="91"/>
      <c r="J8" s="6"/>
      <c r="K8" s="6"/>
      <c r="L8" s="6"/>
      <c r="M8" s="6"/>
      <c r="N8" s="6"/>
      <c r="O8" s="91"/>
      <c r="P8" s="6"/>
      <c r="Q8" s="6"/>
      <c r="R8" s="44"/>
      <c r="S8" s="45"/>
      <c r="T8" s="74"/>
      <c r="U8" s="74"/>
      <c r="V8" s="75"/>
      <c r="W8" s="60"/>
      <c r="X8" s="60"/>
      <c r="Y8" s="63"/>
      <c r="Z8" s="61"/>
      <c r="AA8" s="76"/>
      <c r="AB8" s="77"/>
      <c r="AC8" s="60"/>
      <c r="AD8" s="62"/>
      <c r="AE8" s="63"/>
      <c r="AF8" s="53"/>
      <c r="AG8" s="53"/>
      <c r="AH8" s="53"/>
      <c r="AI8" s="65"/>
      <c r="AJ8" s="66"/>
      <c r="AK8" s="2"/>
      <c r="AL8" s="44"/>
      <c r="AM8" s="56"/>
      <c r="AN8" s="57"/>
      <c r="AO8" s="78"/>
    </row>
    <row r="9" ht="19.05" customHeight="1" spans="1:41" x14ac:dyDescent="0.25">
      <c r="A9" s="90"/>
      <c r="B9" s="6"/>
      <c r="C9" s="72"/>
      <c r="D9" s="6"/>
      <c r="E9" s="72"/>
      <c r="F9" s="6"/>
      <c r="G9" s="73"/>
      <c r="H9" s="10"/>
      <c r="I9" s="91"/>
      <c r="J9" s="6"/>
      <c r="K9" s="6"/>
      <c r="L9" s="6"/>
      <c r="M9" s="6"/>
      <c r="N9" s="6"/>
      <c r="O9" s="91"/>
      <c r="P9" s="6"/>
      <c r="Q9" s="6"/>
      <c r="R9" s="44">
        <v>5</v>
      </c>
      <c r="S9" s="45" t="s">
        <v>25</v>
      </c>
      <c r="T9" s="74">
        <v>5</v>
      </c>
      <c r="U9" s="74">
        <v>50</v>
      </c>
      <c r="V9" s="75">
        <v>1078.07</v>
      </c>
      <c r="W9" s="60">
        <f>C18</f>
        <v>0</v>
      </c>
      <c r="X9" s="60">
        <f>E18</f>
        <v>0</v>
      </c>
      <c r="Y9" s="63">
        <f>G18</f>
        <v>0</v>
      </c>
      <c r="Z9" s="61">
        <f>M18</f>
        <v>0</v>
      </c>
      <c r="AA9" s="76" t="e">
        <f>O18</f>
        <v>#DIV/0!</v>
      </c>
      <c r="AB9" s="77" t="e">
        <f>Q18</f>
        <v>#DIV/0!</v>
      </c>
      <c r="AC9" s="60">
        <f>T9+W9-Z9</f>
        <v>0</v>
      </c>
      <c r="AD9" s="62" t="e">
        <f>U9+X9-AA9</f>
        <v>#DIV/0!</v>
      </c>
      <c r="AE9" s="63" t="e">
        <f>V9+Y9-AB9</f>
        <v>#DIV/0!</v>
      </c>
      <c r="AF9" s="53">
        <v>33</v>
      </c>
      <c r="AG9" s="53"/>
      <c r="AH9" s="53"/>
      <c r="AI9" s="65">
        <v>33</v>
      </c>
      <c r="AJ9" s="93">
        <v>250.20363636363638</v>
      </c>
      <c r="AK9" s="2">
        <v>37</v>
      </c>
      <c r="AL9" s="44">
        <v>1</v>
      </c>
      <c r="AM9" s="56">
        <v>215.61</v>
      </c>
      <c r="AN9" s="57">
        <f>R9+AI9-AK9-AL9</f>
        <v>0</v>
      </c>
      <c r="AO9" s="78" t="s">
        <v>25</v>
      </c>
    </row>
    <row r="10" ht="19.05" customHeight="1" spans="1:41" x14ac:dyDescent="0.25">
      <c r="A10" s="79"/>
      <c r="B10" s="6"/>
      <c r="C10" s="80">
        <f>SUM(C7:C9)</f>
        <v>75</v>
      </c>
      <c r="D10" s="6"/>
      <c r="E10" s="80">
        <f>SUM(E7:E9)</f>
        <v>3000</v>
      </c>
      <c r="F10" s="6"/>
      <c r="G10" s="81">
        <f>SUM(G7:G9)</f>
        <v>4170</v>
      </c>
      <c r="H10" s="10"/>
      <c r="I10" s="82">
        <v>40</v>
      </c>
      <c r="J10" s="6"/>
      <c r="K10" s="83">
        <v>55.6</v>
      </c>
      <c r="L10" s="84"/>
      <c r="M10" s="85">
        <v>5</v>
      </c>
      <c r="N10" s="86"/>
      <c r="O10" s="87">
        <v>200</v>
      </c>
      <c r="P10" s="88"/>
      <c r="Q10" s="89">
        <v>278</v>
      </c>
      <c r="R10" s="44"/>
      <c r="S10" s="45"/>
      <c r="T10" s="74"/>
      <c r="U10" s="74"/>
      <c r="V10" s="75"/>
      <c r="W10" s="60"/>
      <c r="X10" s="60"/>
      <c r="Y10" s="63"/>
      <c r="Z10" s="61"/>
      <c r="AA10" s="76"/>
      <c r="AB10" s="77"/>
      <c r="AC10" s="60"/>
      <c r="AD10" s="62"/>
      <c r="AE10" s="63"/>
      <c r="AF10" s="53"/>
      <c r="AG10" s="53"/>
      <c r="AH10" s="53"/>
      <c r="AI10" s="65"/>
      <c r="AJ10" s="93"/>
      <c r="AK10" s="2"/>
      <c r="AL10" s="44"/>
      <c r="AM10" s="56"/>
      <c r="AN10" s="57"/>
      <c r="AO10" s="78"/>
    </row>
    <row r="11" ht="19.05" customHeight="1" spans="1:41" x14ac:dyDescent="0.25">
      <c r="A11" s="90" t="s">
        <v>26</v>
      </c>
      <c r="B11" s="6"/>
      <c r="C11" s="42">
        <v>60</v>
      </c>
      <c r="D11" s="6"/>
      <c r="E11" s="42">
        <v>5105</v>
      </c>
      <c r="F11" s="6"/>
      <c r="G11" s="43">
        <v>7095.95</v>
      </c>
      <c r="H11" s="10"/>
      <c r="I11" s="91"/>
      <c r="J11" s="6"/>
      <c r="K11" s="6"/>
      <c r="L11" s="6"/>
      <c r="M11" s="6"/>
      <c r="N11" s="6"/>
      <c r="O11" s="91"/>
      <c r="P11" s="6"/>
      <c r="Q11" s="6"/>
      <c r="R11" s="44">
        <v>1</v>
      </c>
      <c r="S11" s="45" t="s">
        <v>27</v>
      </c>
      <c r="T11" s="61">
        <v>1</v>
      </c>
      <c r="U11" s="61">
        <v>10</v>
      </c>
      <c r="V11" s="61">
        <v>235.2</v>
      </c>
      <c r="W11" s="60"/>
      <c r="X11" s="60"/>
      <c r="Y11" s="60"/>
      <c r="Z11" s="61"/>
      <c r="AA11" s="61"/>
      <c r="AB11" s="61"/>
      <c r="AC11" s="60"/>
      <c r="AD11" s="62"/>
      <c r="AE11" s="63"/>
      <c r="AF11" s="53">
        <v>20.5</v>
      </c>
      <c r="AG11" s="53"/>
      <c r="AH11" s="53"/>
      <c r="AI11" s="65">
        <v>20.5</v>
      </c>
      <c r="AJ11" s="66">
        <v>250.2039024390244</v>
      </c>
      <c r="AK11" s="2">
        <v>19.5</v>
      </c>
      <c r="AL11" s="44">
        <v>2</v>
      </c>
      <c r="AM11" s="56">
        <v>470.41</v>
      </c>
      <c r="AN11" s="57">
        <f>R11+AI11-AK11-AL11</f>
        <v>0</v>
      </c>
      <c r="AO11" s="78" t="s">
        <v>27</v>
      </c>
    </row>
    <row r="12" ht="19.05" customHeight="1" spans="1:41" x14ac:dyDescent="0.25">
      <c r="A12" s="90"/>
      <c r="B12" s="6"/>
      <c r="C12" s="42">
        <v>60</v>
      </c>
      <c r="D12" s="6"/>
      <c r="E12" s="42">
        <v>4910.44</v>
      </c>
      <c r="F12" s="6"/>
      <c r="G12" s="43">
        <v>6825.51</v>
      </c>
      <c r="H12" s="10"/>
      <c r="I12" s="91"/>
      <c r="J12" s="6"/>
      <c r="K12" s="6"/>
      <c r="L12" s="6"/>
      <c r="M12" s="6"/>
      <c r="N12" s="6"/>
      <c r="O12" s="91"/>
      <c r="P12" s="6"/>
      <c r="Q12" s="6"/>
      <c r="R12" s="44"/>
      <c r="S12" s="45"/>
      <c r="T12" s="61"/>
      <c r="U12" s="61"/>
      <c r="V12" s="61"/>
      <c r="W12" s="60"/>
      <c r="X12" s="60"/>
      <c r="Y12" s="60"/>
      <c r="Z12" s="61"/>
      <c r="AA12" s="61"/>
      <c r="AB12" s="61"/>
      <c r="AC12" s="60"/>
      <c r="AD12" s="62"/>
      <c r="AE12" s="63"/>
      <c r="AF12" s="53"/>
      <c r="AG12" s="53"/>
      <c r="AH12" s="53"/>
      <c r="AI12" s="65"/>
      <c r="AJ12" s="66"/>
      <c r="AK12" s="2"/>
      <c r="AL12" s="44"/>
      <c r="AM12" s="56"/>
      <c r="AN12" s="57"/>
      <c r="AO12" s="78"/>
    </row>
    <row r="13" ht="19.05" customHeight="1" spans="1:41" x14ac:dyDescent="0.25">
      <c r="A13" s="90"/>
      <c r="B13" s="6"/>
      <c r="C13" s="72"/>
      <c r="D13" s="6"/>
      <c r="E13" s="72"/>
      <c r="F13" s="6"/>
      <c r="G13" s="73"/>
      <c r="H13" s="10"/>
      <c r="I13" s="91"/>
      <c r="J13" s="6"/>
      <c r="K13" s="6"/>
      <c r="L13" s="6"/>
      <c r="M13" s="6"/>
      <c r="N13" s="6"/>
      <c r="O13" s="91"/>
      <c r="P13" s="6"/>
      <c r="Q13" s="6"/>
      <c r="R13" s="44">
        <v>38</v>
      </c>
      <c r="S13" s="45" t="s">
        <v>28</v>
      </c>
      <c r="T13" s="61">
        <v>38</v>
      </c>
      <c r="U13" s="61">
        <v>760</v>
      </c>
      <c r="V13" s="77">
        <v>5400.94</v>
      </c>
      <c r="W13" s="60">
        <f>C22</f>
        <v>0</v>
      </c>
      <c r="X13" s="60">
        <f>E22</f>
        <v>0</v>
      </c>
      <c r="Y13" s="63">
        <f>G22</f>
        <v>0</v>
      </c>
      <c r="Z13" s="61">
        <f>M22</f>
        <v>0</v>
      </c>
      <c r="AA13" s="76" t="e">
        <f>O22</f>
        <v>#DIV/0!</v>
      </c>
      <c r="AB13" s="77" t="e">
        <f>Q22</f>
        <v>#DIV/0!</v>
      </c>
      <c r="AC13" s="60">
        <f>T13+W13-Z13</f>
        <v>0</v>
      </c>
      <c r="AD13" s="62" t="e">
        <f>U13+X13-AA13</f>
        <v>#DIV/0!</v>
      </c>
      <c r="AE13" s="63" t="e">
        <f>V13+Y13-AB13</f>
        <v>#DIV/0!</v>
      </c>
      <c r="AF13" s="53"/>
      <c r="AG13" s="53"/>
      <c r="AH13" s="53"/>
      <c r="AI13" s="65"/>
      <c r="AJ13" s="66">
        <v>157.13</v>
      </c>
      <c r="AK13" s="2">
        <v>11</v>
      </c>
      <c r="AL13" s="44">
        <v>27</v>
      </c>
      <c r="AM13" s="56">
        <v>3837.51</v>
      </c>
      <c r="AN13" s="57">
        <f>R13+AI13-AK13-AL13</f>
        <v>0</v>
      </c>
      <c r="AO13" s="78" t="s">
        <v>28</v>
      </c>
    </row>
    <row r="14" ht="19.05" customHeight="1" spans="1:41" x14ac:dyDescent="0.25">
      <c r="A14" s="79"/>
      <c r="B14" s="6"/>
      <c r="C14" s="80">
        <f>SUM(C11:C13)</f>
        <v>120</v>
      </c>
      <c r="D14" s="6"/>
      <c r="E14" s="80">
        <f>SUM(E11:E13)</f>
        <v>10015.44</v>
      </c>
      <c r="F14" s="6"/>
      <c r="G14" s="81">
        <f>SUM(G11:G13)</f>
        <v>13921.46</v>
      </c>
      <c r="H14" s="10"/>
      <c r="I14" s="82">
        <v>83.46199999999999</v>
      </c>
      <c r="J14" s="6"/>
      <c r="K14" s="83">
        <v>116.01216666666666</v>
      </c>
      <c r="L14" s="84"/>
      <c r="M14" s="85">
        <v>120</v>
      </c>
      <c r="N14" s="86"/>
      <c r="O14" s="87">
        <v>10015.44</v>
      </c>
      <c r="P14" s="88"/>
      <c r="Q14" s="89">
        <v>13921.46</v>
      </c>
      <c r="R14" s="44"/>
      <c r="S14" s="45"/>
      <c r="T14" s="61"/>
      <c r="U14" s="61"/>
      <c r="V14" s="77"/>
      <c r="W14" s="60"/>
      <c r="X14" s="60"/>
      <c r="Y14" s="63"/>
      <c r="Z14" s="61"/>
      <c r="AA14" s="76"/>
      <c r="AB14" s="77"/>
      <c r="AC14" s="60"/>
      <c r="AD14" s="62"/>
      <c r="AE14" s="63"/>
      <c r="AF14" s="53"/>
      <c r="AG14" s="53"/>
      <c r="AH14" s="53"/>
      <c r="AI14" s="65"/>
      <c r="AJ14" s="66"/>
      <c r="AK14" s="2"/>
      <c r="AL14" s="44"/>
      <c r="AM14" s="56"/>
      <c r="AN14" s="57"/>
      <c r="AO14" s="78"/>
    </row>
    <row r="15" ht="19.05" customHeight="1" spans="1:41" x14ac:dyDescent="0.25">
      <c r="A15" s="90" t="s">
        <v>29</v>
      </c>
      <c r="B15" s="6"/>
      <c r="C15" s="42">
        <v>15</v>
      </c>
      <c r="D15" s="6"/>
      <c r="E15" s="42">
        <v>985</v>
      </c>
      <c r="F15" s="6"/>
      <c r="G15" s="43">
        <v>11120.65</v>
      </c>
      <c r="H15" s="10"/>
      <c r="I15" s="91"/>
      <c r="J15" s="6"/>
      <c r="K15" s="6"/>
      <c r="L15" s="6"/>
      <c r="M15" s="6"/>
      <c r="N15" s="6"/>
      <c r="O15" s="91"/>
      <c r="P15" s="6"/>
      <c r="Q15" s="6"/>
      <c r="R15" s="44">
        <v>40</v>
      </c>
      <c r="S15" s="45" t="s">
        <v>30</v>
      </c>
      <c r="T15" s="61">
        <v>40</v>
      </c>
      <c r="U15" s="61">
        <v>0</v>
      </c>
      <c r="V15" s="61">
        <v>3640</v>
      </c>
      <c r="W15" s="60"/>
      <c r="X15" s="60"/>
      <c r="Y15" s="60"/>
      <c r="Z15" s="61"/>
      <c r="AA15" s="61"/>
      <c r="AB15" s="61"/>
      <c r="AC15" s="60"/>
      <c r="AD15" s="62"/>
      <c r="AE15" s="63"/>
      <c r="AF15" s="53"/>
      <c r="AG15" s="53"/>
      <c r="AH15" s="53"/>
      <c r="AI15" s="65"/>
      <c r="AJ15" s="66">
        <v>91</v>
      </c>
      <c r="AK15" s="2">
        <v>6</v>
      </c>
      <c r="AL15" s="44">
        <v>34</v>
      </c>
      <c r="AM15" s="56">
        <v>3094</v>
      </c>
      <c r="AN15" s="57">
        <f>R15+AI15-AK15-AL15</f>
        <v>0</v>
      </c>
      <c r="AO15" s="78" t="s">
        <v>30</v>
      </c>
    </row>
    <row r="16" ht="19.05" customHeight="1" spans="1:41" x14ac:dyDescent="0.25">
      <c r="A16" s="90"/>
      <c r="B16" s="6"/>
      <c r="C16" s="42">
        <v>15</v>
      </c>
      <c r="D16" s="6"/>
      <c r="E16" s="42">
        <v>854.1</v>
      </c>
      <c r="F16" s="6"/>
      <c r="G16" s="43">
        <v>10607.92</v>
      </c>
      <c r="H16" s="10"/>
      <c r="I16" s="91"/>
      <c r="J16" s="6"/>
      <c r="K16" s="6"/>
      <c r="L16" s="6"/>
      <c r="O16" s="6"/>
      <c r="P16" s="6"/>
      <c r="Q16" s="94"/>
      <c r="R16" s="44"/>
      <c r="S16" s="45"/>
      <c r="T16" s="61"/>
      <c r="U16" s="61"/>
      <c r="V16" s="61"/>
      <c r="W16" s="60"/>
      <c r="X16" s="60"/>
      <c r="Y16" s="60"/>
      <c r="Z16" s="61"/>
      <c r="AA16" s="61"/>
      <c r="AB16" s="61"/>
      <c r="AC16" s="60"/>
      <c r="AD16" s="62"/>
      <c r="AE16" s="63"/>
      <c r="AF16" s="53"/>
      <c r="AG16" s="53"/>
      <c r="AH16" s="53"/>
      <c r="AI16" s="65"/>
      <c r="AJ16" s="66"/>
      <c r="AK16" s="2"/>
      <c r="AL16" s="44"/>
      <c r="AM16" s="56"/>
      <c r="AN16" s="57"/>
      <c r="AO16" s="78"/>
    </row>
    <row r="17" ht="19.05" customHeight="1" spans="1:41" x14ac:dyDescent="0.25">
      <c r="A17" s="90"/>
      <c r="B17" s="6"/>
      <c r="C17" s="72"/>
      <c r="D17" s="6"/>
      <c r="E17" s="72"/>
      <c r="F17" s="6"/>
      <c r="G17" s="73"/>
      <c r="H17" s="10"/>
      <c r="I17" s="91"/>
      <c r="J17" s="6"/>
      <c r="K17" s="6"/>
      <c r="L17" s="6"/>
      <c r="M17" s="6"/>
      <c r="N17" s="6"/>
      <c r="O17" s="91"/>
      <c r="P17" s="6"/>
      <c r="Q17" s="6"/>
      <c r="R17" s="44">
        <v>7</v>
      </c>
      <c r="S17" s="45" t="s">
        <v>31</v>
      </c>
      <c r="T17" s="61">
        <v>7</v>
      </c>
      <c r="U17" s="61">
        <v>0</v>
      </c>
      <c r="V17" s="61">
        <v>637</v>
      </c>
      <c r="W17" s="60"/>
      <c r="X17" s="60"/>
      <c r="Y17" s="60"/>
      <c r="Z17" s="61"/>
      <c r="AA17" s="61"/>
      <c r="AB17" s="61"/>
      <c r="AC17" s="60"/>
      <c r="AD17" s="62"/>
      <c r="AE17" s="63"/>
      <c r="AF17" s="53"/>
      <c r="AG17" s="53"/>
      <c r="AH17" s="53"/>
      <c r="AI17" s="65"/>
      <c r="AJ17" s="66">
        <v>91</v>
      </c>
      <c r="AK17" s="2">
        <v>5</v>
      </c>
      <c r="AL17" s="44">
        <v>2</v>
      </c>
      <c r="AM17" s="56">
        <v>182</v>
      </c>
      <c r="AN17" s="57">
        <f>R17+AI17-AK17-AL17</f>
        <v>0</v>
      </c>
      <c r="AO17" s="95" t="s">
        <v>31</v>
      </c>
    </row>
    <row r="18" ht="19.05" customHeight="1" spans="1:41" x14ac:dyDescent="0.25">
      <c r="A18" s="79"/>
      <c r="B18" s="6"/>
      <c r="C18" s="80">
        <f>SUM(C15:C17)</f>
        <v>30</v>
      </c>
      <c r="D18" s="6"/>
      <c r="E18" s="80">
        <f>SUM(E15:E17)</f>
        <v>1839.1</v>
      </c>
      <c r="F18" s="6"/>
      <c r="G18" s="81">
        <f>SUM(G15:G17)</f>
        <v>21728.57</v>
      </c>
      <c r="H18" s="10"/>
      <c r="I18" s="82">
        <v>61.30333333333333</v>
      </c>
      <c r="J18" s="6"/>
      <c r="K18" s="83">
        <v>724.2856666666667</v>
      </c>
      <c r="L18" s="84"/>
      <c r="M18" s="85">
        <v>15</v>
      </c>
      <c r="N18" s="86"/>
      <c r="O18" s="87">
        <v>854.1</v>
      </c>
      <c r="P18" s="88"/>
      <c r="Q18" s="89">
        <v>10607.92</v>
      </c>
      <c r="R18" s="44"/>
      <c r="S18" s="45"/>
      <c r="T18" s="61"/>
      <c r="U18" s="61"/>
      <c r="V18" s="61"/>
      <c r="W18" s="60"/>
      <c r="X18" s="60"/>
      <c r="Y18" s="60"/>
      <c r="Z18" s="61"/>
      <c r="AA18" s="61"/>
      <c r="AB18" s="61"/>
      <c r="AC18" s="60"/>
      <c r="AD18" s="62"/>
      <c r="AE18" s="63"/>
      <c r="AF18" s="53"/>
      <c r="AG18" s="53"/>
      <c r="AH18" s="53"/>
      <c r="AI18" s="65"/>
      <c r="AJ18" s="66"/>
      <c r="AK18" s="2"/>
      <c r="AL18" s="44"/>
      <c r="AM18" s="56"/>
      <c r="AN18" s="57"/>
      <c r="AO18" s="95"/>
    </row>
    <row r="19" ht="19.05" customHeight="1" spans="1:41" x14ac:dyDescent="0.25">
      <c r="A19" s="90" t="s">
        <v>32</v>
      </c>
      <c r="B19" s="6"/>
      <c r="C19" s="42"/>
      <c r="D19" s="6"/>
      <c r="E19" s="42"/>
      <c r="F19" s="6"/>
      <c r="G19" s="43"/>
      <c r="H19" s="10"/>
      <c r="I19" s="91"/>
      <c r="J19" s="6"/>
      <c r="K19" s="6"/>
      <c r="L19" s="6"/>
      <c r="M19" s="6"/>
      <c r="N19" s="6"/>
      <c r="O19" s="91"/>
      <c r="P19" s="6"/>
      <c r="Q19" s="6"/>
      <c r="R19" s="44">
        <v>69</v>
      </c>
      <c r="S19" s="45" t="s">
        <v>33</v>
      </c>
      <c r="T19" s="61">
        <v>69</v>
      </c>
      <c r="U19" s="61">
        <v>0</v>
      </c>
      <c r="V19" s="61">
        <v>6279</v>
      </c>
      <c r="W19" s="60"/>
      <c r="X19" s="60"/>
      <c r="Y19" s="60"/>
      <c r="Z19" s="61"/>
      <c r="AA19" s="61"/>
      <c r="AB19" s="61"/>
      <c r="AC19" s="60"/>
      <c r="AD19" s="62"/>
      <c r="AE19" s="63"/>
      <c r="AF19" s="53"/>
      <c r="AG19" s="53"/>
      <c r="AH19" s="53"/>
      <c r="AI19" s="65"/>
      <c r="AJ19" s="66">
        <v>91</v>
      </c>
      <c r="AK19" s="2">
        <v>10</v>
      </c>
      <c r="AL19" s="44">
        <v>59</v>
      </c>
      <c r="AM19" s="56">
        <v>5369</v>
      </c>
      <c r="AN19" s="57">
        <f>R19+AI19-AK19-AL19</f>
        <v>0</v>
      </c>
      <c r="AO19" s="95" t="s">
        <v>33</v>
      </c>
    </row>
    <row r="20" ht="19.05" customHeight="1" spans="1:41" x14ac:dyDescent="0.25">
      <c r="A20" s="90"/>
      <c r="B20" s="6"/>
      <c r="C20" s="42"/>
      <c r="D20" s="6"/>
      <c r="E20" s="42"/>
      <c r="F20" s="6"/>
      <c r="G20" s="43"/>
      <c r="H20" s="10"/>
      <c r="I20" s="91"/>
      <c r="J20" s="6"/>
      <c r="K20" s="6"/>
      <c r="L20" s="6"/>
      <c r="M20" s="6"/>
      <c r="N20" s="6"/>
      <c r="O20" s="91"/>
      <c r="P20" s="6"/>
      <c r="Q20" s="6"/>
      <c r="R20" s="44"/>
      <c r="S20" s="45"/>
      <c r="T20" s="61"/>
      <c r="U20" s="61"/>
      <c r="V20" s="61"/>
      <c r="W20" s="60"/>
      <c r="X20" s="60"/>
      <c r="Y20" s="60"/>
      <c r="Z20" s="61"/>
      <c r="AA20" s="61"/>
      <c r="AB20" s="61"/>
      <c r="AC20" s="60"/>
      <c r="AD20" s="62"/>
      <c r="AE20" s="63"/>
      <c r="AF20" s="53"/>
      <c r="AG20" s="53"/>
      <c r="AH20" s="53"/>
      <c r="AI20" s="65"/>
      <c r="AJ20" s="66"/>
      <c r="AK20" s="2"/>
      <c r="AL20" s="44"/>
      <c r="AM20" s="56"/>
      <c r="AN20" s="57"/>
      <c r="AO20" s="95"/>
    </row>
    <row r="21" ht="19.05" customHeight="1" spans="1:41" x14ac:dyDescent="0.25">
      <c r="A21" s="90"/>
      <c r="B21" s="6"/>
      <c r="C21" s="72"/>
      <c r="D21" s="6"/>
      <c r="E21" s="72"/>
      <c r="F21" s="6"/>
      <c r="G21" s="73"/>
      <c r="H21" s="10"/>
      <c r="I21" s="91"/>
      <c r="J21" s="6"/>
      <c r="K21" s="6"/>
      <c r="L21" s="6"/>
      <c r="M21" s="6"/>
      <c r="N21" s="6"/>
      <c r="O21" s="91"/>
      <c r="P21" s="6"/>
      <c r="Q21" s="6"/>
      <c r="R21" s="44">
        <v>168</v>
      </c>
      <c r="S21" s="45" t="s">
        <v>34</v>
      </c>
      <c r="T21" s="61">
        <v>168</v>
      </c>
      <c r="U21" s="61">
        <v>0</v>
      </c>
      <c r="V21" s="61">
        <v>3360</v>
      </c>
      <c r="W21" s="60"/>
      <c r="X21" s="60"/>
      <c r="Y21" s="60"/>
      <c r="Z21" s="61"/>
      <c r="AA21" s="61"/>
      <c r="AB21" s="61"/>
      <c r="AC21" s="60"/>
      <c r="AD21" s="62"/>
      <c r="AE21" s="63"/>
      <c r="AF21" s="53"/>
      <c r="AG21" s="53"/>
      <c r="AH21" s="53"/>
      <c r="AI21" s="65"/>
      <c r="AJ21" s="66">
        <v>10</v>
      </c>
      <c r="AK21" s="2">
        <v>30</v>
      </c>
      <c r="AL21" s="44">
        <v>138</v>
      </c>
      <c r="AM21" s="56">
        <v>2760</v>
      </c>
      <c r="AN21" s="57">
        <f>R21+AI21-AK21-AL21</f>
        <v>0</v>
      </c>
      <c r="AO21" s="78" t="s">
        <v>34</v>
      </c>
    </row>
    <row r="22" ht="19.05" customHeight="1" spans="1:41" x14ac:dyDescent="0.25">
      <c r="A22" s="79"/>
      <c r="B22" s="6"/>
      <c r="C22" s="80">
        <f>SUM(C19:C21)</f>
        <v>0</v>
      </c>
      <c r="D22" s="6"/>
      <c r="E22" s="80">
        <f>SUM(E19:E21)</f>
        <v>0</v>
      </c>
      <c r="F22" s="6"/>
      <c r="G22" s="81">
        <f>SUM(G19:G21)</f>
        <v>0</v>
      </c>
      <c r="H22" s="10"/>
      <c r="I22" s="82">
        <v>72.55</v>
      </c>
      <c r="J22" s="6"/>
      <c r="K22" s="83">
        <v>0</v>
      </c>
      <c r="L22" s="84"/>
      <c r="M22" s="85">
        <v>0</v>
      </c>
      <c r="N22" s="86"/>
      <c r="O22" s="87">
        <v>0</v>
      </c>
      <c r="P22" s="88"/>
      <c r="Q22" s="89">
        <v>0</v>
      </c>
      <c r="R22" s="44"/>
      <c r="S22" s="45"/>
      <c r="T22" s="61"/>
      <c r="U22" s="61"/>
      <c r="V22" s="61"/>
      <c r="W22" s="60"/>
      <c r="X22" s="60"/>
      <c r="Y22" s="60"/>
      <c r="Z22" s="61"/>
      <c r="AA22" s="61"/>
      <c r="AB22" s="61"/>
      <c r="AC22" s="60"/>
      <c r="AD22" s="62"/>
      <c r="AE22" s="63"/>
      <c r="AF22" s="53"/>
      <c r="AG22" s="53"/>
      <c r="AH22" s="53"/>
      <c r="AI22" s="65"/>
      <c r="AJ22" s="66"/>
      <c r="AK22" s="2"/>
      <c r="AL22" s="44"/>
      <c r="AM22" s="56"/>
      <c r="AN22" s="57"/>
      <c r="AO22" s="78"/>
    </row>
    <row r="23" ht="19.05" customHeight="1" spans="1:41" x14ac:dyDescent="0.25">
      <c r="A23" s="41" t="s">
        <v>35</v>
      </c>
      <c r="B23" s="6"/>
      <c r="C23" s="42">
        <v>15</v>
      </c>
      <c r="D23" s="6"/>
      <c r="E23" s="42">
        <v>891.6</v>
      </c>
      <c r="F23" s="6"/>
      <c r="G23" s="43">
        <v>4654.15</v>
      </c>
      <c r="H23" s="10"/>
      <c r="I23" s="91"/>
      <c r="J23" s="6"/>
      <c r="K23" s="6"/>
      <c r="L23" s="6"/>
      <c r="M23" s="6"/>
      <c r="N23" s="6"/>
      <c r="O23" s="91"/>
      <c r="P23" s="6"/>
      <c r="Q23" s="6"/>
      <c r="R23" s="74">
        <v>-1</v>
      </c>
      <c r="S23" s="97" t="s">
        <v>35</v>
      </c>
      <c r="T23" s="61">
        <v>-1</v>
      </c>
      <c r="U23" s="61">
        <v>-20</v>
      </c>
      <c r="V23" s="77">
        <v>-108.92</v>
      </c>
      <c r="W23" s="60">
        <f>C26</f>
        <v>0</v>
      </c>
      <c r="X23" s="60">
        <f>E26</f>
        <v>0</v>
      </c>
      <c r="Y23" s="63">
        <f>G26</f>
        <v>0</v>
      </c>
      <c r="Z23" s="61">
        <f>M26</f>
        <v>0</v>
      </c>
      <c r="AA23" s="76" t="e">
        <f>O26</f>
        <v>#DIV/0!</v>
      </c>
      <c r="AB23" s="77" t="e">
        <f>Q26</f>
        <v>#DIV/0!</v>
      </c>
      <c r="AC23" s="60">
        <f>T23+W23-Z23</f>
        <v>0</v>
      </c>
      <c r="AD23" s="62" t="e">
        <f>U23+X23-AA23</f>
        <v>#DIV/0!</v>
      </c>
      <c r="AE23" s="63" t="e">
        <f>V23+Y23-AB23</f>
        <v>#DIV/0!</v>
      </c>
      <c r="AF23" s="98">
        <v>38</v>
      </c>
      <c r="AG23" s="98"/>
      <c r="AH23" s="98"/>
      <c r="AI23" s="65">
        <v>38</v>
      </c>
      <c r="AJ23" s="66">
        <v>123.92078947368421</v>
      </c>
      <c r="AK23" s="99">
        <v>37</v>
      </c>
      <c r="AL23" s="74">
        <v>0</v>
      </c>
      <c r="AM23" s="100">
        <v>0</v>
      </c>
      <c r="AN23" s="101">
        <f>R23+AI23-AK23-AL23</f>
        <v>0</v>
      </c>
      <c r="AO23" s="78" t="s">
        <v>35</v>
      </c>
    </row>
    <row r="24" ht="19.05" customHeight="1" spans="1:41" x14ac:dyDescent="0.25">
      <c r="A24" s="41"/>
      <c r="B24" s="6"/>
      <c r="C24" s="42"/>
      <c r="D24" s="6"/>
      <c r="E24" s="42"/>
      <c r="F24" s="6"/>
      <c r="G24" s="43"/>
      <c r="H24" s="10"/>
      <c r="I24" s="91"/>
      <c r="J24" s="6"/>
      <c r="K24" s="6"/>
      <c r="L24" s="6"/>
      <c r="M24" s="6"/>
      <c r="N24" s="6"/>
      <c r="O24" s="91"/>
      <c r="P24" s="6"/>
      <c r="Q24" s="6"/>
      <c r="R24" s="74"/>
      <c r="S24" s="97"/>
      <c r="T24" s="61"/>
      <c r="U24" s="61"/>
      <c r="V24" s="77"/>
      <c r="W24" s="60"/>
      <c r="X24" s="60"/>
      <c r="Y24" s="63"/>
      <c r="Z24" s="61"/>
      <c r="AA24" s="76"/>
      <c r="AB24" s="77"/>
      <c r="AC24" s="60"/>
      <c r="AD24" s="62"/>
      <c r="AE24" s="63"/>
      <c r="AF24" s="98"/>
      <c r="AG24" s="98"/>
      <c r="AH24" s="98"/>
      <c r="AI24" s="65"/>
      <c r="AJ24" s="66"/>
      <c r="AK24" s="99"/>
      <c r="AL24" s="74"/>
      <c r="AM24" s="100"/>
      <c r="AN24" s="101"/>
      <c r="AO24" s="78"/>
    </row>
    <row r="25" ht="19.05" customHeight="1" spans="1:41" x14ac:dyDescent="0.25">
      <c r="A25" s="41"/>
      <c r="B25" s="6"/>
      <c r="C25" s="72"/>
      <c r="D25" s="6"/>
      <c r="E25" s="72"/>
      <c r="F25" s="6"/>
      <c r="G25" s="73"/>
      <c r="H25" s="6"/>
      <c r="I25" s="91"/>
      <c r="J25" s="6"/>
      <c r="K25" s="6"/>
      <c r="L25" s="6"/>
      <c r="M25" s="6"/>
      <c r="N25" s="6"/>
      <c r="O25" s="91"/>
      <c r="P25" s="6"/>
      <c r="Q25" s="6"/>
      <c r="R25" s="114"/>
      <c r="T25" s="115">
        <f>SUM(V3:V24)</f>
        <v>0</v>
      </c>
      <c r="U25" s="115"/>
      <c r="V25" s="115"/>
      <c r="W25" s="115">
        <f>SUM(Y3:Y24)</f>
        <v>0</v>
      </c>
      <c r="X25" s="115"/>
      <c r="Y25" s="115"/>
      <c r="Z25" s="115" t="e">
        <f>SUM(AB3:AB24)</f>
        <v>#DIV/0!</v>
      </c>
      <c r="AA25" s="115"/>
      <c r="AB25" s="115"/>
      <c r="AM25" s="118" t="e">
        <f>SUM(AM3:AM24)</f>
        <v>#DIV/0!</v>
      </c>
      <c r="AN25" s="4"/>
      <c r="AO25" s="119">
        <v>59783.06</v>
      </c>
    </row>
    <row r="26" ht="19.05" customHeight="1" spans="1:41" x14ac:dyDescent="0.25">
      <c r="A26" s="79"/>
      <c r="B26" s="88"/>
      <c r="C26" s="80">
        <f>SUM(C23:C25)</f>
        <v>15</v>
      </c>
      <c r="D26" s="88"/>
      <c r="E26" s="80">
        <f>SUM(E23:E25)</f>
        <v>891.6</v>
      </c>
      <c r="F26" s="88"/>
      <c r="G26" s="81">
        <f>SUM(G23:G25)</f>
        <v>4654.15</v>
      </c>
      <c r="H26" s="88"/>
      <c r="I26" s="82">
        <v>59.440000000000005</v>
      </c>
      <c r="J26" s="88"/>
      <c r="K26" s="83">
        <v>310.27666666666664</v>
      </c>
      <c r="L26" s="84"/>
      <c r="M26" s="85">
        <v>12</v>
      </c>
      <c r="N26" s="86"/>
      <c r="O26" s="87">
        <v>713.28</v>
      </c>
      <c r="P26" s="88"/>
      <c r="Q26" s="89">
        <v>3723.32</v>
      </c>
      <c r="R26" s="120"/>
      <c r="S26" s="31"/>
      <c r="T26" s="115"/>
      <c r="U26" s="115"/>
      <c r="V26" s="115"/>
      <c r="W26" s="115"/>
      <c r="X26" s="115"/>
      <c r="Y26" s="115"/>
      <c r="Z26" s="115"/>
      <c r="AA26" s="115"/>
      <c r="AB26" s="115"/>
      <c r="AC26" s="124"/>
      <c r="AD26" s="124"/>
      <c r="AE26" s="124"/>
      <c r="AF26" s="124"/>
      <c r="AG26" s="124"/>
      <c r="AH26" s="124"/>
      <c r="AI26" s="124"/>
      <c r="AJ26" s="124"/>
      <c r="AK26" s="124"/>
      <c r="AL26" s="124"/>
      <c r="AM26" s="118"/>
      <c r="AN26" s="126"/>
      <c r="AO26" s="127"/>
    </row>
    <row r="27" ht="15" customHeight="1" x14ac:dyDescent="0.25"/>
  </sheetData>
  <mergeCells count="293">
    <mergeCell ref="M1:Q1"/>
    <mergeCell ref="T1:V2"/>
    <mergeCell ref="W1:Y2"/>
    <mergeCell ref="Z1:AB2"/>
    <mergeCell ref="AC1:AE2"/>
    <mergeCell ref="AF1:AH2"/>
    <mergeCell ref="AK1:AN1"/>
    <mergeCell ref="A1:A2"/>
    <mergeCell ref="C1:C2"/>
    <mergeCell ref="E1:E2"/>
    <mergeCell ref="G1:G2"/>
    <mergeCell ref="I1:I2"/>
    <mergeCell ref="K1:K2"/>
    <mergeCell ref="R1:R2"/>
    <mergeCell ref="S1:S2"/>
    <mergeCell ref="AI1:AI2"/>
    <mergeCell ref="AJ1:AJ2"/>
    <mergeCell ref="AM2:AN2"/>
    <mergeCell ref="AO1:AO2"/>
    <mergeCell ref="A3:A5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G5:AG6"/>
    <mergeCell ref="AH5:AH6"/>
    <mergeCell ref="AI5:AI6"/>
    <mergeCell ref="AJ5:AJ6"/>
    <mergeCell ref="AK5:AK6"/>
    <mergeCell ref="AL5:AL6"/>
    <mergeCell ref="AM5:AM6"/>
    <mergeCell ref="AN5:AN6"/>
    <mergeCell ref="AO5:AO6"/>
    <mergeCell ref="A7:A9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AC7:AC8"/>
    <mergeCell ref="AD7:AD8"/>
    <mergeCell ref="AE7:AE8"/>
    <mergeCell ref="AF7:AF8"/>
    <mergeCell ref="AG7:AG8"/>
    <mergeCell ref="AH7:AH8"/>
    <mergeCell ref="AI7:AI8"/>
    <mergeCell ref="AJ7:AJ8"/>
    <mergeCell ref="AK7:AK8"/>
    <mergeCell ref="AL7:AL8"/>
    <mergeCell ref="AM7:AM8"/>
    <mergeCell ref="AN7:AN8"/>
    <mergeCell ref="AO7:AO8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AH9:AH10"/>
    <mergeCell ref="AI9:AI10"/>
    <mergeCell ref="AJ9:AJ10"/>
    <mergeCell ref="AK9:AK10"/>
    <mergeCell ref="AL9:AL10"/>
    <mergeCell ref="AM9:AM10"/>
    <mergeCell ref="AN9:AN10"/>
    <mergeCell ref="AO9:AO10"/>
    <mergeCell ref="A11:A13"/>
    <mergeCell ref="R11:R12"/>
    <mergeCell ref="S11:S12"/>
    <mergeCell ref="T11:T12"/>
    <mergeCell ref="U11:U12"/>
    <mergeCell ref="V11:V12"/>
    <mergeCell ref="W11:W12"/>
    <mergeCell ref="X11:X12"/>
    <mergeCell ref="Y11:Y12"/>
    <mergeCell ref="Z11:Z12"/>
    <mergeCell ref="AA11:AA12"/>
    <mergeCell ref="AB11:AB12"/>
    <mergeCell ref="AC11:AC12"/>
    <mergeCell ref="AD11:AD12"/>
    <mergeCell ref="AE11:AE12"/>
    <mergeCell ref="AF11:AF12"/>
    <mergeCell ref="AG11:AG12"/>
    <mergeCell ref="AH11:AH12"/>
    <mergeCell ref="AI11:AI12"/>
    <mergeCell ref="AJ11:AJ12"/>
    <mergeCell ref="AK11:AK12"/>
    <mergeCell ref="AL11:AL12"/>
    <mergeCell ref="AM11:AM12"/>
    <mergeCell ref="AN11:AN12"/>
    <mergeCell ref="AO11:AO12"/>
    <mergeCell ref="R13:R14"/>
    <mergeCell ref="S13:S14"/>
    <mergeCell ref="T13:T14"/>
    <mergeCell ref="U13:U14"/>
    <mergeCell ref="V13:V14"/>
    <mergeCell ref="W13:W14"/>
    <mergeCell ref="X13:X14"/>
    <mergeCell ref="Y13:Y14"/>
    <mergeCell ref="Z13:Z14"/>
    <mergeCell ref="AA13:AA14"/>
    <mergeCell ref="AB13:AB14"/>
    <mergeCell ref="AC13:AC14"/>
    <mergeCell ref="AD13:AD14"/>
    <mergeCell ref="AE13:AE14"/>
    <mergeCell ref="AF13:AF14"/>
    <mergeCell ref="AG13:AG14"/>
    <mergeCell ref="AH13:AH14"/>
    <mergeCell ref="AI13:AI14"/>
    <mergeCell ref="AJ13:AJ14"/>
    <mergeCell ref="AK13:AK14"/>
    <mergeCell ref="AL13:AL14"/>
    <mergeCell ref="AM13:AM14"/>
    <mergeCell ref="AN13:AN14"/>
    <mergeCell ref="AO13:AO14"/>
    <mergeCell ref="A15:A17"/>
    <mergeCell ref="R15:R16"/>
    <mergeCell ref="S15:S16"/>
    <mergeCell ref="T15:T16"/>
    <mergeCell ref="U15:U16"/>
    <mergeCell ref="V15:V16"/>
    <mergeCell ref="W15:W16"/>
    <mergeCell ref="X15:X16"/>
    <mergeCell ref="Y15:Y16"/>
    <mergeCell ref="Z15:Z16"/>
    <mergeCell ref="AA15:AA16"/>
    <mergeCell ref="AB15:AB16"/>
    <mergeCell ref="AC15:AC16"/>
    <mergeCell ref="AD15:AD16"/>
    <mergeCell ref="AE15:AE16"/>
    <mergeCell ref="AF15:AF16"/>
    <mergeCell ref="AG15:AG16"/>
    <mergeCell ref="AH15:AH16"/>
    <mergeCell ref="AI15:AI16"/>
    <mergeCell ref="AJ15:AJ16"/>
    <mergeCell ref="AK15:AK16"/>
    <mergeCell ref="AL15:AL16"/>
    <mergeCell ref="AM15:AM16"/>
    <mergeCell ref="AN15:AN16"/>
    <mergeCell ref="AO15:AO16"/>
    <mergeCell ref="R17:R18"/>
    <mergeCell ref="S17:S18"/>
    <mergeCell ref="T17:T18"/>
    <mergeCell ref="U17:U18"/>
    <mergeCell ref="V17:V18"/>
    <mergeCell ref="W17:W18"/>
    <mergeCell ref="X17:X18"/>
    <mergeCell ref="Y17:Y18"/>
    <mergeCell ref="Z17:Z18"/>
    <mergeCell ref="AA17:AA18"/>
    <mergeCell ref="AB17:AB18"/>
    <mergeCell ref="AC17:AC18"/>
    <mergeCell ref="AD17:AD18"/>
    <mergeCell ref="AE17:AE18"/>
    <mergeCell ref="AF17:AF18"/>
    <mergeCell ref="AG17:AG18"/>
    <mergeCell ref="AH17:AH18"/>
    <mergeCell ref="AI17:AI18"/>
    <mergeCell ref="AJ17:AJ18"/>
    <mergeCell ref="AK17:AK18"/>
    <mergeCell ref="AL17:AL18"/>
    <mergeCell ref="AM17:AM18"/>
    <mergeCell ref="AN17:AN18"/>
    <mergeCell ref="AO17:AO18"/>
    <mergeCell ref="A19:A21"/>
    <mergeCell ref="R19:R20"/>
    <mergeCell ref="S19:S20"/>
    <mergeCell ref="T19:T20"/>
    <mergeCell ref="U19:U20"/>
    <mergeCell ref="V19:V20"/>
    <mergeCell ref="W19:W20"/>
    <mergeCell ref="X19:X20"/>
    <mergeCell ref="Y19:Y20"/>
    <mergeCell ref="Z19:Z20"/>
    <mergeCell ref="AA19:AA20"/>
    <mergeCell ref="AB19:AB20"/>
    <mergeCell ref="AC19:AC20"/>
    <mergeCell ref="AD19:AD20"/>
    <mergeCell ref="AE19:AE20"/>
    <mergeCell ref="AF19:AF20"/>
    <mergeCell ref="AG19:AG20"/>
    <mergeCell ref="AH19:AH20"/>
    <mergeCell ref="AI19:AI20"/>
    <mergeCell ref="AJ19:AJ20"/>
    <mergeCell ref="AK19:AK20"/>
    <mergeCell ref="AL19:AL20"/>
    <mergeCell ref="AM19:AM20"/>
    <mergeCell ref="AN19:AN20"/>
    <mergeCell ref="AO19:AO20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21:AH22"/>
    <mergeCell ref="AI21:AI22"/>
    <mergeCell ref="AJ21:AJ22"/>
    <mergeCell ref="AK21:AK22"/>
    <mergeCell ref="AL21:AL22"/>
    <mergeCell ref="AM21:AM22"/>
    <mergeCell ref="AN21:AN22"/>
    <mergeCell ref="AO21:AO22"/>
    <mergeCell ref="A23:A25"/>
    <mergeCell ref="R23:R24"/>
    <mergeCell ref="S23:S24"/>
    <mergeCell ref="T23:T24"/>
    <mergeCell ref="U23:U24"/>
    <mergeCell ref="V23:V24"/>
    <mergeCell ref="W23:W24"/>
    <mergeCell ref="X23:X24"/>
    <mergeCell ref="Y23:Y24"/>
    <mergeCell ref="Z23:Z24"/>
    <mergeCell ref="AA23:AA24"/>
    <mergeCell ref="AB23:AB24"/>
    <mergeCell ref="AC23:AC24"/>
    <mergeCell ref="AD23:AD24"/>
    <mergeCell ref="AE23:AE24"/>
    <mergeCell ref="AF23:AF24"/>
    <mergeCell ref="AG23:AG24"/>
    <mergeCell ref="AH23:AH24"/>
    <mergeCell ref="AI23:AI24"/>
    <mergeCell ref="AJ23:AJ24"/>
    <mergeCell ref="AK23:AK24"/>
    <mergeCell ref="AL23:AL24"/>
    <mergeCell ref="AM23:AM24"/>
    <mergeCell ref="AN23:AN24"/>
    <mergeCell ref="AO23:AO24"/>
    <mergeCell ref="T25:V26"/>
    <mergeCell ref="W25:Y26"/>
    <mergeCell ref="Z25:AB26"/>
    <mergeCell ref="AM25:AM26"/>
  </mergeCells>
  <pageMargins left="0.2" right="0.2" top="0.75" bottom="0.75" header="0.3" footer="0.3"/>
  <pageSetup orientation="landscape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7"/>
  <sheetViews>
    <sheetView workbookViewId="0" zoomScale="95" zoomScaleNormal="95">
      <selection activeCell="AL3" sqref="AL3"/>
    </sheetView>
  </sheetViews>
  <sheetFormatPr defaultRowHeight="14.4" outlineLevelRow="0" outlineLevelCol="0" x14ac:dyDescent="0.3" customHeight="1"/>
  <cols>
    <col min="1" max="1" width="17.5546875" customWidth="1"/>
    <col min="2" max="2" width="2.33203125" customWidth="1"/>
    <col min="3" max="3" width="12.33203125" customWidth="1"/>
    <col min="4" max="4" width="2.33203125" customWidth="1"/>
    <col min="5" max="5" width="12.33203125" customWidth="1"/>
    <col min="6" max="6" width="2.33203125" customWidth="1"/>
    <col min="7" max="7" width="12.33203125" style="1" customWidth="1"/>
    <col min="8" max="8" width="2.33203125" customWidth="1"/>
    <col min="9" max="9" width="12.33203125" customWidth="1"/>
    <col min="10" max="10" width="2.33203125" customWidth="1"/>
    <col min="11" max="11" width="12.33203125" customWidth="1"/>
    <col min="12" max="12" width="2.33203125" customWidth="1"/>
    <col min="13" max="13" width="12.33203125" customWidth="1"/>
    <col min="14" max="14" width="2.33203125" customWidth="1"/>
    <col min="15" max="15" width="12.33203125" customWidth="1"/>
    <col min="16" max="16" width="2.33203125" customWidth="1"/>
    <col min="17" max="18" width="12.33203125" customWidth="1"/>
    <col min="19" max="19" width="31.6640625" style="2" customWidth="1"/>
    <col min="22" max="22" width="11.5546875" customWidth="1"/>
    <col min="25" max="25" width="11.5546875" customWidth="1"/>
    <col min="28" max="28" width="11.5546875" customWidth="1"/>
    <col min="30" max="30" width="8.88671875" style="3" customWidth="1"/>
    <col min="31" max="31" width="11.5546875" style="1" customWidth="1"/>
    <col min="36" max="36" width="9.88671875" customWidth="1"/>
    <col min="37" max="38" width="9.109375" customWidth="1"/>
    <col min="39" max="39" width="11.6640625" customWidth="1"/>
    <col min="40" max="40" width="9.109375" customWidth="1"/>
    <col min="41" max="41" width="21" customWidth="1"/>
  </cols>
  <sheetData>
    <row r="1" ht="19.05" customHeight="1" spans="1:41" s="4" customFormat="1" x14ac:dyDescent="0.25">
      <c r="A1" s="5" t="s">
        <v>0</v>
      </c>
      <c r="B1" s="6"/>
      <c r="C1" s="7" t="s">
        <v>1</v>
      </c>
      <c r="D1" s="6"/>
      <c r="E1" s="8" t="s">
        <v>2</v>
      </c>
      <c r="F1" s="6"/>
      <c r="G1" s="9" t="s">
        <v>3</v>
      </c>
      <c r="H1" s="10"/>
      <c r="I1" s="9" t="s">
        <v>4</v>
      </c>
      <c r="J1" s="6"/>
      <c r="K1" s="9" t="s">
        <v>5</v>
      </c>
      <c r="L1" s="2"/>
      <c r="M1" s="11" t="s">
        <v>6</v>
      </c>
      <c r="N1" s="12"/>
      <c r="O1" s="12"/>
      <c r="P1" s="12"/>
      <c r="Q1" s="13"/>
      <c r="R1" s="7" t="s">
        <v>7</v>
      </c>
      <c r="S1" s="14" t="s">
        <v>0</v>
      </c>
      <c r="T1" s="15" t="s">
        <v>8</v>
      </c>
      <c r="U1" s="16"/>
      <c r="V1" s="17"/>
      <c r="W1" s="18" t="s">
        <v>9</v>
      </c>
      <c r="X1" s="19"/>
      <c r="Y1" s="20"/>
      <c r="Z1" s="15" t="s">
        <v>6</v>
      </c>
      <c r="AA1" s="16"/>
      <c r="AB1" s="17"/>
      <c r="AC1" s="18" t="s">
        <v>10</v>
      </c>
      <c r="AD1" s="19"/>
      <c r="AE1" s="20"/>
      <c r="AF1" s="15" t="s">
        <v>11</v>
      </c>
      <c r="AG1" s="16"/>
      <c r="AH1" s="17"/>
      <c r="AI1" s="21" t="s">
        <v>12</v>
      </c>
      <c r="AJ1" s="22" t="s">
        <v>13</v>
      </c>
      <c r="AK1" s="23" t="s">
        <v>14</v>
      </c>
      <c r="AL1" s="24"/>
      <c r="AM1" s="24"/>
      <c r="AN1" s="25"/>
      <c r="AO1" s="26" t="s">
        <v>0</v>
      </c>
    </row>
    <row r="2" ht="19.05" customHeight="1" spans="1:41" s="4" customFormat="1" x14ac:dyDescent="0.25">
      <c r="A2" s="27"/>
      <c r="B2" s="6"/>
      <c r="C2" s="28"/>
      <c r="D2" s="6"/>
      <c r="E2" s="29"/>
      <c r="F2" s="6"/>
      <c r="G2" s="30"/>
      <c r="H2" s="10"/>
      <c r="I2" s="30"/>
      <c r="J2" s="6"/>
      <c r="K2" s="30"/>
      <c r="L2" s="31"/>
      <c r="M2" s="11" t="s">
        <v>15</v>
      </c>
      <c r="N2" s="12"/>
      <c r="O2" s="12" t="s">
        <v>16</v>
      </c>
      <c r="P2" s="12"/>
      <c r="Q2" s="13" t="s">
        <v>3</v>
      </c>
      <c r="R2" s="28"/>
      <c r="S2" s="32"/>
      <c r="T2" s="33"/>
      <c r="U2" s="34"/>
      <c r="V2" s="35"/>
      <c r="W2" s="11"/>
      <c r="X2" s="12"/>
      <c r="Y2" s="13"/>
      <c r="Z2" s="33"/>
      <c r="AA2" s="34"/>
      <c r="AB2" s="35"/>
      <c r="AC2" s="11"/>
      <c r="AD2" s="12"/>
      <c r="AE2" s="12"/>
      <c r="AF2" s="33"/>
      <c r="AG2" s="34"/>
      <c r="AH2" s="35"/>
      <c r="AI2" s="36"/>
      <c r="AJ2" s="37"/>
      <c r="AK2" s="36" t="s">
        <v>17</v>
      </c>
      <c r="AL2" s="38" t="s">
        <v>18</v>
      </c>
      <c r="AM2" s="38" t="s">
        <v>19</v>
      </c>
      <c r="AN2" s="39"/>
      <c r="AO2" s="40"/>
    </row>
    <row r="3" ht="19.05" customHeight="1" spans="1:41" x14ac:dyDescent="0.25">
      <c r="A3" s="41" t="s">
        <v>20</v>
      </c>
      <c r="B3" s="6"/>
      <c r="C3" s="42">
        <v>80</v>
      </c>
      <c r="D3" s="6"/>
      <c r="E3" s="42">
        <v>5993.9</v>
      </c>
      <c r="F3" s="6"/>
      <c r="G3" s="43">
        <v>48430.71</v>
      </c>
      <c r="H3" s="10"/>
      <c r="I3" s="6"/>
      <c r="J3" s="6"/>
      <c r="K3" s="6"/>
      <c r="L3" s="6"/>
      <c r="M3" s="6"/>
      <c r="N3" s="6"/>
      <c r="O3" s="6"/>
      <c r="P3" s="6"/>
      <c r="Q3" s="6"/>
      <c r="R3" s="44">
        <v>13</v>
      </c>
      <c r="S3" s="45" t="s">
        <v>21</v>
      </c>
      <c r="T3" s="44">
        <v>98</v>
      </c>
      <c r="U3" s="44">
        <v>7159.757500000001</v>
      </c>
      <c r="V3" s="46">
        <v>57922.4345</v>
      </c>
      <c r="W3" s="47">
        <f>C6</f>
        <v>80</v>
      </c>
      <c r="X3" s="47">
        <f>E6</f>
        <v>5993.9</v>
      </c>
      <c r="Y3" s="48">
        <f>G6</f>
        <v>48430.71</v>
      </c>
      <c r="Z3" s="49">
        <f>M6</f>
        <v>95</v>
      </c>
      <c r="AA3" s="50">
        <f>O6</f>
        <v>7117.756249999999</v>
      </c>
      <c r="AB3" s="51">
        <f>Q6</f>
        <v>57511.468125</v>
      </c>
      <c r="AC3" s="47">
        <f>T3+W3-Z3</f>
        <v>83</v>
      </c>
      <c r="AD3" s="52">
        <f>U3+X3-AA3</f>
        <v>6035.901250000002</v>
      </c>
      <c r="AE3" s="48">
        <f>V3+Y3-AB3</f>
        <v>48841.676374999995</v>
      </c>
      <c r="AF3" s="53">
        <v>120</v>
      </c>
      <c r="AG3" s="53">
        <v>109</v>
      </c>
      <c r="AH3" s="53"/>
      <c r="AI3" s="54">
        <f>SUM(AF3:AH4)</f>
        <v>229</v>
      </c>
      <c r="AJ3" s="55">
        <f>AE3/AI3+5</f>
        <v>218.2824295851528</v>
      </c>
      <c r="AK3" s="2">
        <v>230</v>
      </c>
      <c r="AL3" s="44">
        <v>12</v>
      </c>
      <c r="AM3" s="56">
        <f>AJ3*AL3</f>
        <v>2619.3891550218336</v>
      </c>
      <c r="AN3" s="57">
        <f>R3+AI3-AK3-AL3</f>
        <v>0</v>
      </c>
      <c r="AO3" s="58" t="s">
        <v>21</v>
      </c>
    </row>
    <row r="4" ht="19.05" customHeight="1" spans="1:41" x14ac:dyDescent="0.25">
      <c r="A4" s="41"/>
      <c r="B4" s="6"/>
      <c r="C4" s="42"/>
      <c r="D4" s="6"/>
      <c r="E4" s="42"/>
      <c r="F4" s="6"/>
      <c r="G4" s="43"/>
      <c r="H4" s="10"/>
      <c r="I4" s="6"/>
      <c r="J4" s="6"/>
      <c r="K4" s="6"/>
      <c r="L4" s="6"/>
      <c r="M4" s="6"/>
      <c r="N4" s="6"/>
      <c r="O4" s="6"/>
      <c r="P4" s="6"/>
      <c r="Q4" s="6"/>
      <c r="R4" s="49"/>
      <c r="S4" s="59"/>
      <c r="T4" s="49"/>
      <c r="U4" s="49"/>
      <c r="V4" s="51"/>
      <c r="W4" s="60"/>
      <c r="X4" s="60"/>
      <c r="Y4" s="60"/>
      <c r="Z4" s="61"/>
      <c r="AA4" s="61"/>
      <c r="AB4" s="61"/>
      <c r="AC4" s="60"/>
      <c r="AD4" s="62"/>
      <c r="AE4" s="63"/>
      <c r="AF4" s="64"/>
      <c r="AG4" s="64"/>
      <c r="AH4" s="64"/>
      <c r="AI4" s="65"/>
      <c r="AJ4" s="66"/>
      <c r="AK4" s="67"/>
      <c r="AL4" s="49"/>
      <c r="AM4" s="68"/>
      <c r="AN4" s="69"/>
      <c r="AO4" s="70"/>
    </row>
    <row r="5" ht="19.05" customHeight="1" spans="1:41" x14ac:dyDescent="0.25">
      <c r="A5" s="71"/>
      <c r="B5" s="6"/>
      <c r="C5" s="72"/>
      <c r="D5" s="6"/>
      <c r="E5" s="72"/>
      <c r="F5" s="6"/>
      <c r="G5" s="73"/>
      <c r="H5" s="10"/>
      <c r="I5" s="72"/>
      <c r="J5" s="6"/>
      <c r="K5" s="72"/>
      <c r="L5" s="72"/>
      <c r="M5" s="72"/>
      <c r="N5" s="72"/>
      <c r="O5" s="72"/>
      <c r="P5" s="72"/>
      <c r="Q5" s="72"/>
      <c r="R5" s="44"/>
      <c r="S5" s="45" t="s">
        <v>22</v>
      </c>
      <c r="T5" s="74">
        <v>8</v>
      </c>
      <c r="U5" s="74">
        <v>320</v>
      </c>
      <c r="V5" s="75">
        <v>448.5386666666667</v>
      </c>
      <c r="W5" s="60">
        <f>C10</f>
        <v>100</v>
      </c>
      <c r="X5" s="60">
        <f>E10</f>
        <v>4000</v>
      </c>
      <c r="Y5" s="63">
        <f>G10</f>
        <v>5550</v>
      </c>
      <c r="Z5" s="61">
        <f>M10</f>
        <v>47</v>
      </c>
      <c r="AA5" s="76">
        <f>O10</f>
        <v>1880</v>
      </c>
      <c r="AB5" s="77">
        <f>Q10</f>
        <v>2608.5</v>
      </c>
      <c r="AC5" s="60">
        <f>T5+W5-Z5</f>
        <v>61</v>
      </c>
      <c r="AD5" s="62">
        <f>U5+X5-AA5</f>
        <v>2440</v>
      </c>
      <c r="AE5" s="63">
        <f>V5+Y5-AB5</f>
        <v>3390.0386666666664</v>
      </c>
      <c r="AF5" s="53">
        <v>57</v>
      </c>
      <c r="AG5" s="53">
        <v>52</v>
      </c>
      <c r="AH5" s="53"/>
      <c r="AI5" s="65">
        <f>SUM(AF5:AH6)</f>
        <v>109</v>
      </c>
      <c r="AJ5" s="66">
        <f t="shared" ref="AJ5:AJ7" si="0">AE5/AI5+5</f>
        <v>36.10127217125382</v>
      </c>
      <c r="AK5" s="2">
        <v>109</v>
      </c>
      <c r="AL5" s="44"/>
      <c r="AM5" s="56">
        <f>AJ5*AL5</f>
        <v>0</v>
      </c>
      <c r="AN5" s="57">
        <f>R5+AI5-AK5-AL5</f>
        <v>0</v>
      </c>
      <c r="AO5" s="78" t="s">
        <v>22</v>
      </c>
    </row>
    <row r="6" ht="19.05" customHeight="1" spans="1:41" x14ac:dyDescent="0.25">
      <c r="A6" s="79"/>
      <c r="B6" s="6"/>
      <c r="C6" s="80">
        <f>SUM(C3:C5)</f>
        <v>80</v>
      </c>
      <c r="D6" s="6"/>
      <c r="E6" s="80">
        <f>SUM(E3:E5)</f>
        <v>5993.9</v>
      </c>
      <c r="F6" s="6"/>
      <c r="G6" s="81">
        <f>SUM(G3:G5)</f>
        <v>48430.71</v>
      </c>
      <c r="H6" s="10"/>
      <c r="I6" s="82">
        <f>E6/C6</f>
        <v>74.92375</v>
      </c>
      <c r="J6" s="6"/>
      <c r="K6" s="83">
        <f>G6/C6</f>
        <v>605.383875</v>
      </c>
      <c r="L6" s="84"/>
      <c r="M6" s="85">
        <v>95</v>
      </c>
      <c r="N6" s="86"/>
      <c r="O6" s="87">
        <f>M6*I6</f>
        <v>7117.756249999999</v>
      </c>
      <c r="P6" s="88"/>
      <c r="Q6" s="89">
        <f>M6*K6</f>
        <v>57511.468125</v>
      </c>
      <c r="R6" s="49"/>
      <c r="S6" s="59"/>
      <c r="T6" s="49"/>
      <c r="U6" s="49"/>
      <c r="V6" s="51"/>
      <c r="W6" s="60"/>
      <c r="X6" s="60"/>
      <c r="Y6" s="60"/>
      <c r="Z6" s="61"/>
      <c r="AA6" s="61"/>
      <c r="AB6" s="61"/>
      <c r="AC6" s="60"/>
      <c r="AD6" s="62"/>
      <c r="AE6" s="63"/>
      <c r="AF6" s="64"/>
      <c r="AG6" s="64"/>
      <c r="AH6" s="64"/>
      <c r="AI6" s="65"/>
      <c r="AJ6" s="66"/>
      <c r="AK6" s="67"/>
      <c r="AL6" s="49"/>
      <c r="AM6" s="68"/>
      <c r="AN6" s="69"/>
      <c r="AO6" s="70"/>
    </row>
    <row r="7" ht="19.05" customHeight="1" spans="1:41" x14ac:dyDescent="0.25">
      <c r="A7" s="90" t="s">
        <v>23</v>
      </c>
      <c r="B7" s="6"/>
      <c r="C7" s="42">
        <v>35</v>
      </c>
      <c r="D7" s="6"/>
      <c r="E7" s="42">
        <v>1400</v>
      </c>
      <c r="F7" s="6"/>
      <c r="G7" s="43">
        <v>1965</v>
      </c>
      <c r="H7" s="10"/>
      <c r="I7" s="91"/>
      <c r="J7" s="6"/>
      <c r="K7" s="6"/>
      <c r="L7" s="6"/>
      <c r="M7" s="6"/>
      <c r="N7" s="6"/>
      <c r="O7" s="91"/>
      <c r="P7" s="6"/>
      <c r="Q7" s="6"/>
      <c r="R7" s="44">
        <v>13</v>
      </c>
      <c r="S7" s="45" t="s">
        <v>24</v>
      </c>
      <c r="T7" s="74">
        <v>0</v>
      </c>
      <c r="U7" s="74">
        <v>0</v>
      </c>
      <c r="V7" s="75">
        <v>0</v>
      </c>
      <c r="W7" s="60">
        <f>C14</f>
        <v>120</v>
      </c>
      <c r="X7" s="60">
        <f>E14</f>
        <v>10007.24</v>
      </c>
      <c r="Y7" s="63">
        <f>G14</f>
        <v>14910.79</v>
      </c>
      <c r="Z7" s="61">
        <f>M14</f>
        <v>60</v>
      </c>
      <c r="AA7" s="76">
        <f>O14</f>
        <v>5003.62</v>
      </c>
      <c r="AB7" s="77">
        <f>Q14</f>
        <v>7455.395</v>
      </c>
      <c r="AC7" s="60">
        <f>T7+W7-Z7</f>
        <v>60</v>
      </c>
      <c r="AD7" s="62">
        <f>U7+X7-AA7</f>
        <v>5003.62</v>
      </c>
      <c r="AE7" s="63">
        <f>V7+Y7-AB7</f>
        <v>7455.395</v>
      </c>
      <c r="AF7" s="53">
        <v>59</v>
      </c>
      <c r="AG7" s="53">
        <v>65</v>
      </c>
      <c r="AH7" s="53">
        <v>27</v>
      </c>
      <c r="AI7" s="65">
        <f>SUM(AF7:AH8)</f>
        <v>151</v>
      </c>
      <c r="AJ7" s="66">
        <f t="shared" si="0"/>
        <v>54.37347682119206</v>
      </c>
      <c r="AK7" s="2">
        <v>137</v>
      </c>
      <c r="AL7" s="44">
        <v>27</v>
      </c>
      <c r="AM7" s="56">
        <f>AJ7*AL7</f>
        <v>1468.0838741721855</v>
      </c>
      <c r="AN7" s="57">
        <f>R7+AI7-AK7-AL7</f>
        <v>0</v>
      </c>
      <c r="AO7" s="78" t="s">
        <v>24</v>
      </c>
    </row>
    <row r="8" ht="19.05" customHeight="1" spans="1:41" x14ac:dyDescent="0.25">
      <c r="A8" s="90"/>
      <c r="B8" s="6"/>
      <c r="C8" s="42">
        <v>35</v>
      </c>
      <c r="D8" s="6"/>
      <c r="E8" s="42">
        <v>1400</v>
      </c>
      <c r="F8" s="6"/>
      <c r="G8" s="43">
        <v>1965</v>
      </c>
      <c r="H8" s="10"/>
      <c r="I8" s="91"/>
      <c r="J8" s="6"/>
      <c r="K8" s="6"/>
      <c r="L8" s="6"/>
      <c r="M8" s="6"/>
      <c r="N8" s="6"/>
      <c r="O8" s="91"/>
      <c r="P8" s="6"/>
      <c r="Q8" s="6"/>
      <c r="R8" s="49"/>
      <c r="S8" s="59"/>
      <c r="T8" s="49"/>
      <c r="U8" s="49"/>
      <c r="V8" s="51"/>
      <c r="W8" s="60"/>
      <c r="X8" s="60"/>
      <c r="Y8" s="60"/>
      <c r="Z8" s="61"/>
      <c r="AA8" s="61"/>
      <c r="AB8" s="61"/>
      <c r="AC8" s="60"/>
      <c r="AD8" s="62"/>
      <c r="AE8" s="63"/>
      <c r="AF8" s="64"/>
      <c r="AG8" s="64"/>
      <c r="AH8" s="64"/>
      <c r="AI8" s="65"/>
      <c r="AJ8" s="66"/>
      <c r="AK8" s="67"/>
      <c r="AL8" s="49"/>
      <c r="AM8" s="68"/>
      <c r="AN8" s="69"/>
      <c r="AO8" s="70"/>
    </row>
    <row r="9" ht="19.05" customHeight="1" spans="1:41" x14ac:dyDescent="0.25">
      <c r="A9" s="92"/>
      <c r="B9" s="6"/>
      <c r="C9" s="72">
        <v>30</v>
      </c>
      <c r="D9" s="6"/>
      <c r="E9" s="72">
        <v>1200</v>
      </c>
      <c r="F9" s="6"/>
      <c r="G9" s="73">
        <v>1620</v>
      </c>
      <c r="H9" s="10"/>
      <c r="I9" s="91"/>
      <c r="J9" s="6"/>
      <c r="K9" s="6"/>
      <c r="L9" s="6"/>
      <c r="M9" s="6"/>
      <c r="N9" s="6"/>
      <c r="O9" s="91"/>
      <c r="P9" s="6"/>
      <c r="Q9" s="6"/>
      <c r="R9" s="44">
        <v>4</v>
      </c>
      <c r="S9" s="45" t="s">
        <v>25</v>
      </c>
      <c r="T9" s="74">
        <v>31</v>
      </c>
      <c r="U9" s="74">
        <v>1938.12</v>
      </c>
      <c r="V9" s="75">
        <v>19807.584333333332</v>
      </c>
      <c r="W9" s="60">
        <f>C18</f>
        <v>0</v>
      </c>
      <c r="X9" s="60">
        <f>E18</f>
        <v>0</v>
      </c>
      <c r="Y9" s="63">
        <f>G18</f>
        <v>0</v>
      </c>
      <c r="Z9" s="61">
        <f>M18</f>
        <v>17</v>
      </c>
      <c r="AA9" s="76">
        <f>O18</f>
        <v>1062.8400000000001</v>
      </c>
      <c r="AB9" s="77">
        <f>Q18</f>
        <v>10862.150000000001</v>
      </c>
      <c r="AC9" s="60">
        <f>T9+W9-Z9</f>
        <v>14</v>
      </c>
      <c r="AD9" s="62">
        <f>U9+X9-AA9</f>
        <v>875.2799999999997</v>
      </c>
      <c r="AE9" s="63">
        <f>V9+Y9-AB9</f>
        <v>8945.43433333333</v>
      </c>
      <c r="AF9" s="53">
        <v>11</v>
      </c>
      <c r="AG9" s="53">
        <v>13</v>
      </c>
      <c r="AH9" s="53">
        <v>8</v>
      </c>
      <c r="AI9" s="65">
        <f>SUM(AF9:AH10)</f>
        <v>32</v>
      </c>
      <c r="AJ9" s="93">
        <f>AE9/SUM(AI9:AI12)+5</f>
        <v>215.4808078431372</v>
      </c>
      <c r="AK9" s="2">
        <v>35</v>
      </c>
      <c r="AL9" s="44">
        <v>1</v>
      </c>
      <c r="AM9" s="56">
        <f>AJ9*AL9</f>
        <v>215.4808078431372</v>
      </c>
      <c r="AN9" s="57">
        <f>R9+AI9-AK9-AL9</f>
        <v>0</v>
      </c>
      <c r="AO9" s="78" t="s">
        <v>25</v>
      </c>
    </row>
    <row r="10" ht="19.05" customHeight="1" spans="1:41" x14ac:dyDescent="0.25">
      <c r="A10" s="79"/>
      <c r="B10" s="6"/>
      <c r="C10" s="80">
        <f>SUM(C7:C9)</f>
        <v>100</v>
      </c>
      <c r="D10" s="6"/>
      <c r="E10" s="80">
        <f>SUM(E7:E9)</f>
        <v>4000</v>
      </c>
      <c r="F10" s="6"/>
      <c r="G10" s="81">
        <f>SUM(G7:G9)</f>
        <v>5550</v>
      </c>
      <c r="H10" s="10"/>
      <c r="I10" s="82">
        <f t="shared" ref="I10" si="1">E10/C10</f>
        <v>40</v>
      </c>
      <c r="J10" s="6"/>
      <c r="K10" s="83">
        <f t="shared" ref="K10" si="2">G10/C10</f>
        <v>55.5</v>
      </c>
      <c r="L10" s="84"/>
      <c r="M10" s="85">
        <v>47</v>
      </c>
      <c r="N10" s="86"/>
      <c r="O10" s="87">
        <f t="shared" ref="O10" si="3">M10*I10</f>
        <v>1880</v>
      </c>
      <c r="P10" s="88"/>
      <c r="Q10" s="89">
        <f t="shared" ref="Q10" si="4">M10*K10</f>
        <v>2608.5</v>
      </c>
      <c r="R10" s="49"/>
      <c r="S10" s="59"/>
      <c r="T10" s="49"/>
      <c r="U10" s="49"/>
      <c r="V10" s="51"/>
      <c r="W10" s="60"/>
      <c r="X10" s="60"/>
      <c r="Y10" s="60"/>
      <c r="Z10" s="61"/>
      <c r="AA10" s="61"/>
      <c r="AB10" s="61"/>
      <c r="AC10" s="60"/>
      <c r="AD10" s="62"/>
      <c r="AE10" s="63"/>
      <c r="AF10" s="64"/>
      <c r="AG10" s="64"/>
      <c r="AH10" s="64"/>
      <c r="AI10" s="65"/>
      <c r="AJ10" s="55"/>
      <c r="AK10" s="67"/>
      <c r="AL10" s="49"/>
      <c r="AM10" s="68"/>
      <c r="AN10" s="69"/>
      <c r="AO10" s="70"/>
    </row>
    <row r="11" ht="19.05" customHeight="1" spans="1:41" x14ac:dyDescent="0.25">
      <c r="A11" s="90" t="s">
        <v>26</v>
      </c>
      <c r="B11" s="6"/>
      <c r="C11" s="42"/>
      <c r="D11" s="6"/>
      <c r="E11" s="42"/>
      <c r="F11" s="6"/>
      <c r="G11" s="43"/>
      <c r="H11" s="10"/>
      <c r="I11" s="91"/>
      <c r="J11" s="6"/>
      <c r="K11" s="6"/>
      <c r="L11" s="6"/>
      <c r="M11" s="6"/>
      <c r="N11" s="6"/>
      <c r="O11" s="91"/>
      <c r="P11" s="6"/>
      <c r="Q11" s="6"/>
      <c r="R11" s="44"/>
      <c r="S11" s="45" t="s">
        <v>27</v>
      </c>
      <c r="T11" s="61"/>
      <c r="U11" s="61"/>
      <c r="V11" s="61"/>
      <c r="W11" s="60"/>
      <c r="X11" s="60"/>
      <c r="Y11" s="60"/>
      <c r="Z11" s="61"/>
      <c r="AA11" s="61"/>
      <c r="AB11" s="61"/>
      <c r="AC11" s="60"/>
      <c r="AD11" s="62"/>
      <c r="AE11" s="63"/>
      <c r="AF11" s="53">
        <v>7</v>
      </c>
      <c r="AG11" s="53">
        <v>3.5</v>
      </c>
      <c r="AH11" s="53"/>
      <c r="AI11" s="65">
        <f>SUM(AF11:AH12)</f>
        <v>10.5</v>
      </c>
      <c r="AJ11" s="66">
        <f>AJ9</f>
        <v>215.4808078431372</v>
      </c>
      <c r="AK11" s="2">
        <v>9</v>
      </c>
      <c r="AL11" s="44">
        <v>1.5</v>
      </c>
      <c r="AM11" s="56">
        <f>AJ11*AL11</f>
        <v>323.2212117647058</v>
      </c>
      <c r="AN11" s="57">
        <f>R11+AI11-AK11-AL11</f>
        <v>0</v>
      </c>
      <c r="AO11" s="78" t="s">
        <v>27</v>
      </c>
    </row>
    <row r="12" ht="19.05" customHeight="1" spans="1:41" x14ac:dyDescent="0.25">
      <c r="A12" s="90"/>
      <c r="B12" s="6"/>
      <c r="C12" s="42">
        <v>120</v>
      </c>
      <c r="D12" s="6"/>
      <c r="E12" s="42">
        <v>10007.24</v>
      </c>
      <c r="F12" s="6"/>
      <c r="G12" s="43">
        <v>14910.79</v>
      </c>
      <c r="H12" s="10"/>
      <c r="I12" s="91"/>
      <c r="J12" s="6"/>
      <c r="K12" s="6"/>
      <c r="L12" s="6"/>
      <c r="M12" s="6"/>
      <c r="N12" s="6"/>
      <c r="O12" s="91"/>
      <c r="P12" s="6"/>
      <c r="Q12" s="6"/>
      <c r="R12" s="49"/>
      <c r="S12" s="59"/>
      <c r="T12" s="61"/>
      <c r="U12" s="61"/>
      <c r="V12" s="61"/>
      <c r="W12" s="60"/>
      <c r="X12" s="60"/>
      <c r="Y12" s="60"/>
      <c r="Z12" s="61"/>
      <c r="AA12" s="61"/>
      <c r="AB12" s="61"/>
      <c r="AC12" s="60"/>
      <c r="AD12" s="62"/>
      <c r="AE12" s="63"/>
      <c r="AF12" s="64"/>
      <c r="AG12" s="64"/>
      <c r="AH12" s="64"/>
      <c r="AI12" s="65"/>
      <c r="AJ12" s="66"/>
      <c r="AK12" s="67"/>
      <c r="AL12" s="49"/>
      <c r="AM12" s="68"/>
      <c r="AN12" s="69"/>
      <c r="AO12" s="70"/>
    </row>
    <row r="13" ht="19.05" customHeight="1" spans="1:41" x14ac:dyDescent="0.25">
      <c r="A13" s="92"/>
      <c r="B13" s="6"/>
      <c r="C13" s="72"/>
      <c r="D13" s="6"/>
      <c r="E13" s="72"/>
      <c r="F13" s="6"/>
      <c r="G13" s="73"/>
      <c r="H13" s="10"/>
      <c r="I13" s="91"/>
      <c r="J13" s="6"/>
      <c r="K13" s="6"/>
      <c r="L13" s="6"/>
      <c r="M13" s="6"/>
      <c r="N13" s="6"/>
      <c r="O13" s="91"/>
      <c r="P13" s="6"/>
      <c r="Q13" s="6"/>
      <c r="R13" s="44">
        <v>24</v>
      </c>
      <c r="S13" s="45" t="s">
        <v>28</v>
      </c>
      <c r="T13" s="61"/>
      <c r="U13" s="61"/>
      <c r="V13" s="77"/>
      <c r="W13" s="60">
        <f>C22</f>
        <v>0</v>
      </c>
      <c r="X13" s="60">
        <f>E22</f>
        <v>0</v>
      </c>
      <c r="Y13" s="63">
        <f>G22</f>
        <v>0</v>
      </c>
      <c r="Z13" s="61"/>
      <c r="AA13" s="76"/>
      <c r="AB13" s="77"/>
      <c r="AC13" s="60">
        <f>T13+W13-Z13</f>
        <v>0</v>
      </c>
      <c r="AD13" s="62">
        <f>U13+X13-AA13</f>
        <v>0</v>
      </c>
      <c r="AE13" s="63">
        <f>V13+Y13-AB13</f>
        <v>0</v>
      </c>
      <c r="AF13" s="53"/>
      <c r="AG13" s="53"/>
      <c r="AH13" s="53"/>
      <c r="AI13" s="65">
        <f>SUM(AF13:AH14)</f>
        <v>0</v>
      </c>
      <c r="AJ13" s="66">
        <v>142.25</v>
      </c>
      <c r="AK13" s="2">
        <v>3</v>
      </c>
      <c r="AL13" s="44">
        <v>21</v>
      </c>
      <c r="AM13" s="56">
        <f>AJ13*AL13</f>
        <v>2987.25</v>
      </c>
      <c r="AN13" s="57">
        <f>R13+AI13-AK13-AL13</f>
        <v>0</v>
      </c>
      <c r="AO13" s="78" t="s">
        <v>28</v>
      </c>
    </row>
    <row r="14" ht="19.05" customHeight="1" spans="1:41" x14ac:dyDescent="0.25">
      <c r="A14" s="79"/>
      <c r="B14" s="6"/>
      <c r="C14" s="80">
        <f>SUM(C11:C13)</f>
        <v>120</v>
      </c>
      <c r="D14" s="6"/>
      <c r="E14" s="80">
        <f>SUM(E11:E13)</f>
        <v>10007.24</v>
      </c>
      <c r="F14" s="6"/>
      <c r="G14" s="81">
        <f>SUM(G11:G13)</f>
        <v>14910.79</v>
      </c>
      <c r="H14" s="10"/>
      <c r="I14" s="82">
        <f t="shared" ref="I14" si="5">E14/C14</f>
        <v>83.39366666666666</v>
      </c>
      <c r="J14" s="6"/>
      <c r="K14" s="83">
        <f t="shared" ref="K14" si="6">G14/C14</f>
        <v>124.25658333333334</v>
      </c>
      <c r="L14" s="84"/>
      <c r="M14" s="85">
        <v>60</v>
      </c>
      <c r="N14" s="86"/>
      <c r="O14" s="87">
        <f t="shared" ref="O14" si="7">M14*I14</f>
        <v>5003.62</v>
      </c>
      <c r="P14" s="88"/>
      <c r="Q14" s="89">
        <f t="shared" ref="Q14" si="8">M14*K14</f>
        <v>7455.395</v>
      </c>
      <c r="R14" s="49"/>
      <c r="S14" s="59"/>
      <c r="T14" s="61"/>
      <c r="U14" s="61"/>
      <c r="V14" s="61"/>
      <c r="W14" s="60"/>
      <c r="X14" s="60"/>
      <c r="Y14" s="60"/>
      <c r="Z14" s="61"/>
      <c r="AA14" s="61"/>
      <c r="AB14" s="61"/>
      <c r="AC14" s="60"/>
      <c r="AD14" s="62"/>
      <c r="AE14" s="63"/>
      <c r="AF14" s="64"/>
      <c r="AG14" s="64"/>
      <c r="AH14" s="64"/>
      <c r="AI14" s="65"/>
      <c r="AJ14" s="66"/>
      <c r="AK14" s="67"/>
      <c r="AL14" s="49"/>
      <c r="AM14" s="68"/>
      <c r="AN14" s="69"/>
      <c r="AO14" s="70"/>
    </row>
    <row r="15" ht="19.05" customHeight="1" spans="1:41" x14ac:dyDescent="0.25">
      <c r="A15" s="90" t="s">
        <v>29</v>
      </c>
      <c r="B15" s="6"/>
      <c r="C15" s="42"/>
      <c r="D15" s="6"/>
      <c r="E15" s="42"/>
      <c r="F15" s="6"/>
      <c r="G15" s="43"/>
      <c r="H15" s="10"/>
      <c r="I15" s="91"/>
      <c r="J15" s="6"/>
      <c r="K15" s="6"/>
      <c r="L15" s="6"/>
      <c r="M15" s="6"/>
      <c r="N15" s="6"/>
      <c r="O15" s="91"/>
      <c r="P15" s="6"/>
      <c r="Q15" s="6"/>
      <c r="R15" s="44">
        <v>4</v>
      </c>
      <c r="S15" s="45" t="s">
        <v>30</v>
      </c>
      <c r="T15" s="61"/>
      <c r="U15" s="61"/>
      <c r="V15" s="61"/>
      <c r="W15" s="60"/>
      <c r="X15" s="60"/>
      <c r="Y15" s="60"/>
      <c r="Z15" s="61"/>
      <c r="AA15" s="61"/>
      <c r="AB15" s="61"/>
      <c r="AC15" s="60"/>
      <c r="AD15" s="62"/>
      <c r="AE15" s="63"/>
      <c r="AF15" s="53"/>
      <c r="AG15" s="53"/>
      <c r="AH15" s="53"/>
      <c r="AI15" s="65">
        <f>SUM(AF15:AH16)</f>
        <v>0</v>
      </c>
      <c r="AJ15" s="66">
        <v>87</v>
      </c>
      <c r="AK15" s="2">
        <v>2</v>
      </c>
      <c r="AL15" s="44">
        <v>2</v>
      </c>
      <c r="AM15" s="56">
        <f>AJ15*AL15</f>
        <v>174</v>
      </c>
      <c r="AN15" s="57">
        <f>R15+AI15-AK15-AL15</f>
        <v>0</v>
      </c>
      <c r="AO15" s="78" t="s">
        <v>30</v>
      </c>
    </row>
    <row r="16" ht="19.05" customHeight="1" spans="1:41" x14ac:dyDescent="0.25">
      <c r="A16" s="90"/>
      <c r="B16" s="6"/>
      <c r="C16" s="42"/>
      <c r="D16" s="6"/>
      <c r="E16" s="42"/>
      <c r="F16" s="6"/>
      <c r="G16" s="43"/>
      <c r="H16" s="10"/>
      <c r="I16" s="91"/>
      <c r="J16" s="6"/>
      <c r="K16" s="6"/>
      <c r="L16" s="6"/>
      <c r="O16" s="6">
        <v>62.52</v>
      </c>
      <c r="P16" s="6"/>
      <c r="Q16" s="94">
        <v>638.95</v>
      </c>
      <c r="R16" s="49"/>
      <c r="S16" s="59"/>
      <c r="T16" s="61"/>
      <c r="U16" s="61"/>
      <c r="V16" s="61"/>
      <c r="W16" s="60"/>
      <c r="X16" s="60"/>
      <c r="Y16" s="60"/>
      <c r="Z16" s="61"/>
      <c r="AA16" s="61"/>
      <c r="AB16" s="61"/>
      <c r="AC16" s="60"/>
      <c r="AD16" s="62"/>
      <c r="AE16" s="63"/>
      <c r="AF16" s="64"/>
      <c r="AG16" s="64"/>
      <c r="AH16" s="64"/>
      <c r="AI16" s="65"/>
      <c r="AJ16" s="66"/>
      <c r="AK16" s="67"/>
      <c r="AL16" s="49"/>
      <c r="AM16" s="68"/>
      <c r="AN16" s="69"/>
      <c r="AO16" s="70"/>
    </row>
    <row r="17" ht="19.05" customHeight="1" spans="1:41" x14ac:dyDescent="0.25">
      <c r="A17" s="92"/>
      <c r="B17" s="6"/>
      <c r="C17" s="72"/>
      <c r="D17" s="6"/>
      <c r="E17" s="72"/>
      <c r="F17" s="6"/>
      <c r="G17" s="73"/>
      <c r="H17" s="10"/>
      <c r="I17" s="91"/>
      <c r="J17" s="6"/>
      <c r="K17" s="6"/>
      <c r="L17" s="6"/>
      <c r="M17" s="6"/>
      <c r="N17" s="6"/>
      <c r="O17" s="91"/>
      <c r="P17" s="6"/>
      <c r="Q17" s="6"/>
      <c r="R17" s="44">
        <v>22</v>
      </c>
      <c r="S17" s="45" t="s">
        <v>31</v>
      </c>
      <c r="T17" s="61"/>
      <c r="U17" s="61"/>
      <c r="V17" s="61"/>
      <c r="W17" s="60"/>
      <c r="X17" s="60"/>
      <c r="Y17" s="60"/>
      <c r="Z17" s="61"/>
      <c r="AA17" s="61"/>
      <c r="AB17" s="61"/>
      <c r="AC17" s="60"/>
      <c r="AD17" s="62"/>
      <c r="AE17" s="63"/>
      <c r="AF17" s="53"/>
      <c r="AG17" s="53"/>
      <c r="AH17" s="53"/>
      <c r="AI17" s="65">
        <f>SUM(AF17:AH18)</f>
        <v>0</v>
      </c>
      <c r="AJ17" s="66">
        <v>87</v>
      </c>
      <c r="AK17" s="2">
        <v>8</v>
      </c>
      <c r="AL17" s="44">
        <v>14</v>
      </c>
      <c r="AM17" s="56">
        <f>AJ17*AL17</f>
        <v>1218</v>
      </c>
      <c r="AN17" s="57">
        <f>R17+AI17-AK17-AL17</f>
        <v>0</v>
      </c>
      <c r="AO17" s="95" t="s">
        <v>31</v>
      </c>
    </row>
    <row r="18" ht="19.05" customHeight="1" spans="1:41" x14ac:dyDescent="0.25">
      <c r="A18" s="79"/>
      <c r="B18" s="6"/>
      <c r="C18" s="80">
        <f>SUM(C15:C17)</f>
        <v>0</v>
      </c>
      <c r="D18" s="6"/>
      <c r="E18" s="80">
        <f>SUM(E15:E17)</f>
        <v>0</v>
      </c>
      <c r="F18" s="6"/>
      <c r="G18" s="81">
        <f>SUM(G15:G17)</f>
        <v>0</v>
      </c>
      <c r="H18" s="10"/>
      <c r="I18" s="82" t="e">
        <f t="shared" ref="I18" si="9">E18/C18</f>
        <v>#DIV/0!</v>
      </c>
      <c r="J18" s="6"/>
      <c r="K18" s="83" t="e">
        <f t="shared" ref="K18" si="10">G18/C18</f>
        <v>#DIV/0!</v>
      </c>
      <c r="L18" s="84"/>
      <c r="M18" s="85">
        <v>17</v>
      </c>
      <c r="N18" s="86"/>
      <c r="O18" s="87">
        <f>O16*M18</f>
        <v>1062.8400000000001</v>
      </c>
      <c r="P18" s="88"/>
      <c r="Q18" s="89">
        <f>Q16*M18</f>
        <v>10862.150000000001</v>
      </c>
      <c r="R18" s="49"/>
      <c r="S18" s="59"/>
      <c r="T18" s="61"/>
      <c r="U18" s="61"/>
      <c r="V18" s="61"/>
      <c r="W18" s="60"/>
      <c r="X18" s="60"/>
      <c r="Y18" s="60"/>
      <c r="Z18" s="61"/>
      <c r="AA18" s="61"/>
      <c r="AB18" s="61"/>
      <c r="AC18" s="60"/>
      <c r="AD18" s="62"/>
      <c r="AE18" s="63"/>
      <c r="AF18" s="64"/>
      <c r="AG18" s="64"/>
      <c r="AH18" s="64"/>
      <c r="AI18" s="65"/>
      <c r="AJ18" s="66"/>
      <c r="AK18" s="67"/>
      <c r="AL18" s="49"/>
      <c r="AM18" s="68"/>
      <c r="AN18" s="69"/>
      <c r="AO18" s="96"/>
    </row>
    <row r="19" ht="19.05" customHeight="1" spans="1:41" x14ac:dyDescent="0.25">
      <c r="A19" s="90" t="s">
        <v>32</v>
      </c>
      <c r="B19" s="6"/>
      <c r="C19" s="42"/>
      <c r="D19" s="6"/>
      <c r="E19" s="42"/>
      <c r="F19" s="6"/>
      <c r="G19" s="43"/>
      <c r="H19" s="10"/>
      <c r="I19" s="91"/>
      <c r="J19" s="6"/>
      <c r="K19" s="6"/>
      <c r="L19" s="6"/>
      <c r="M19" s="6"/>
      <c r="N19" s="6"/>
      <c r="O19" s="91"/>
      <c r="P19" s="6"/>
      <c r="Q19" s="6"/>
      <c r="R19" s="44">
        <v>61</v>
      </c>
      <c r="S19" s="45" t="s">
        <v>33</v>
      </c>
      <c r="T19" s="61"/>
      <c r="U19" s="61"/>
      <c r="V19" s="61"/>
      <c r="W19" s="60"/>
      <c r="X19" s="60"/>
      <c r="Y19" s="60"/>
      <c r="Z19" s="61"/>
      <c r="AA19" s="61"/>
      <c r="AB19" s="61"/>
      <c r="AC19" s="60"/>
      <c r="AD19" s="62"/>
      <c r="AE19" s="63"/>
      <c r="AF19" s="53"/>
      <c r="AG19" s="53"/>
      <c r="AH19" s="53"/>
      <c r="AI19" s="65">
        <f>SUM(AF19:AH20)</f>
        <v>0</v>
      </c>
      <c r="AJ19" s="66">
        <v>87</v>
      </c>
      <c r="AK19" s="2">
        <v>8</v>
      </c>
      <c r="AL19" s="44">
        <v>53</v>
      </c>
      <c r="AM19" s="56">
        <f>AJ19*AL19</f>
        <v>4611</v>
      </c>
      <c r="AN19" s="57">
        <f>R19+AI19-AK19-AL19</f>
        <v>0</v>
      </c>
      <c r="AO19" s="95" t="s">
        <v>33</v>
      </c>
    </row>
    <row r="20" ht="19.05" customHeight="1" spans="1:41" x14ac:dyDescent="0.25">
      <c r="A20" s="90"/>
      <c r="B20" s="6"/>
      <c r="C20" s="42"/>
      <c r="D20" s="6"/>
      <c r="E20" s="42"/>
      <c r="F20" s="6"/>
      <c r="G20" s="43"/>
      <c r="H20" s="10"/>
      <c r="I20" s="91"/>
      <c r="J20" s="6"/>
      <c r="K20" s="6"/>
      <c r="L20" s="6"/>
      <c r="M20" s="6"/>
      <c r="N20" s="6"/>
      <c r="O20" s="91"/>
      <c r="P20" s="6"/>
      <c r="Q20" s="6"/>
      <c r="R20" s="49"/>
      <c r="S20" s="59"/>
      <c r="T20" s="61"/>
      <c r="U20" s="61"/>
      <c r="V20" s="61"/>
      <c r="W20" s="60"/>
      <c r="X20" s="60"/>
      <c r="Y20" s="60"/>
      <c r="Z20" s="61"/>
      <c r="AA20" s="61"/>
      <c r="AB20" s="61"/>
      <c r="AC20" s="60"/>
      <c r="AD20" s="62"/>
      <c r="AE20" s="63"/>
      <c r="AF20" s="64"/>
      <c r="AG20" s="64"/>
      <c r="AH20" s="64"/>
      <c r="AI20" s="65"/>
      <c r="AJ20" s="66"/>
      <c r="AK20" s="67"/>
      <c r="AL20" s="49"/>
      <c r="AM20" s="68"/>
      <c r="AN20" s="69"/>
      <c r="AO20" s="96"/>
    </row>
    <row r="21" ht="19.05" customHeight="1" spans="1:41" x14ac:dyDescent="0.25">
      <c r="A21" s="92"/>
      <c r="B21" s="6"/>
      <c r="C21" s="72"/>
      <c r="D21" s="6"/>
      <c r="E21" s="72"/>
      <c r="F21" s="6"/>
      <c r="G21" s="73"/>
      <c r="H21" s="10"/>
      <c r="I21" s="91"/>
      <c r="J21" s="6"/>
      <c r="K21" s="6"/>
      <c r="L21" s="6"/>
      <c r="M21" s="6"/>
      <c r="N21" s="6"/>
      <c r="O21" s="91"/>
      <c r="P21" s="6"/>
      <c r="Q21" s="6"/>
      <c r="R21" s="44">
        <v>35</v>
      </c>
      <c r="S21" s="45" t="s">
        <v>34</v>
      </c>
      <c r="T21" s="61"/>
      <c r="U21" s="61"/>
      <c r="V21" s="61"/>
      <c r="W21" s="60"/>
      <c r="X21" s="60"/>
      <c r="Y21" s="60"/>
      <c r="Z21" s="61"/>
      <c r="AA21" s="61"/>
      <c r="AB21" s="61"/>
      <c r="AC21" s="60"/>
      <c r="AD21" s="62"/>
      <c r="AE21" s="63"/>
      <c r="AF21" s="53"/>
      <c r="AG21" s="53">
        <v>68</v>
      </c>
      <c r="AH21" s="53"/>
      <c r="AI21" s="65">
        <f>SUM(AF21:AH22)</f>
        <v>68</v>
      </c>
      <c r="AJ21" s="66">
        <v>20</v>
      </c>
      <c r="AK21" s="2">
        <v>24</v>
      </c>
      <c r="AL21" s="44">
        <v>79</v>
      </c>
      <c r="AM21" s="56">
        <f>AJ21*AL21</f>
        <v>1580</v>
      </c>
      <c r="AN21" s="57">
        <f>R21+AI21-AK21-AL21</f>
        <v>0</v>
      </c>
      <c r="AO21" s="78" t="s">
        <v>34</v>
      </c>
    </row>
    <row r="22" ht="19.05" customHeight="1" spans="1:41" x14ac:dyDescent="0.25">
      <c r="A22" s="79"/>
      <c r="B22" s="6"/>
      <c r="C22" s="80">
        <f>SUM(C19:C21)</f>
        <v>0</v>
      </c>
      <c r="D22" s="6"/>
      <c r="E22" s="80">
        <f>SUM(E19:E21)</f>
        <v>0</v>
      </c>
      <c r="F22" s="6"/>
      <c r="G22" s="81">
        <f>SUM(G19:G21)</f>
        <v>0</v>
      </c>
      <c r="H22" s="10"/>
      <c r="I22" s="82" t="e">
        <f t="shared" ref="I22" si="11">E22/C22</f>
        <v>#DIV/0!</v>
      </c>
      <c r="J22" s="6"/>
      <c r="K22" s="83" t="e">
        <f t="shared" ref="K22" si="12">G22/C22</f>
        <v>#DIV/0!</v>
      </c>
      <c r="L22" s="84"/>
      <c r="M22" s="85"/>
      <c r="N22" s="86"/>
      <c r="O22" s="87" t="e">
        <f t="shared" ref="O22" si="13">M22*I22</f>
        <v>#DIV/0!</v>
      </c>
      <c r="P22" s="88"/>
      <c r="Q22" s="89" t="e">
        <f t="shared" ref="Q22" si="14">M22*K22</f>
        <v>#DIV/0!</v>
      </c>
      <c r="R22" s="49"/>
      <c r="S22" s="59"/>
      <c r="T22" s="61"/>
      <c r="U22" s="61"/>
      <c r="V22" s="61"/>
      <c r="W22" s="60"/>
      <c r="X22" s="60"/>
      <c r="Y22" s="60"/>
      <c r="Z22" s="61"/>
      <c r="AA22" s="61"/>
      <c r="AB22" s="61"/>
      <c r="AC22" s="60"/>
      <c r="AD22" s="62"/>
      <c r="AE22" s="63"/>
      <c r="AF22" s="64"/>
      <c r="AG22" s="64"/>
      <c r="AH22" s="64"/>
      <c r="AI22" s="65"/>
      <c r="AJ22" s="66"/>
      <c r="AK22" s="67"/>
      <c r="AL22" s="49"/>
      <c r="AM22" s="68"/>
      <c r="AN22" s="69"/>
      <c r="AO22" s="70"/>
    </row>
    <row r="23" ht="19.05" customHeight="1" spans="1:41" x14ac:dyDescent="0.25">
      <c r="A23" s="41" t="s">
        <v>35</v>
      </c>
      <c r="B23" s="6"/>
      <c r="C23" s="42"/>
      <c r="D23" s="6"/>
      <c r="E23" s="42"/>
      <c r="F23" s="6"/>
      <c r="G23" s="43"/>
      <c r="H23" s="10"/>
      <c r="I23" s="91"/>
      <c r="J23" s="6"/>
      <c r="K23" s="6"/>
      <c r="L23" s="6"/>
      <c r="M23" s="6"/>
      <c r="N23" s="6"/>
      <c r="O23" s="91"/>
      <c r="P23" s="6"/>
      <c r="Q23" s="6"/>
      <c r="R23" s="74">
        <v>3</v>
      </c>
      <c r="S23" s="97" t="s">
        <v>35</v>
      </c>
      <c r="T23" s="61">
        <v>8</v>
      </c>
      <c r="U23" s="61">
        <v>576</v>
      </c>
      <c r="V23" s="77">
        <v>3109.92</v>
      </c>
      <c r="W23" s="60">
        <f>C26</f>
        <v>15</v>
      </c>
      <c r="X23" s="60">
        <f>E26</f>
        <v>887.5</v>
      </c>
      <c r="Y23" s="63">
        <f>G26</f>
        <v>4863.5</v>
      </c>
      <c r="Z23" s="61">
        <f>M26</f>
        <v>15</v>
      </c>
      <c r="AA23" s="76">
        <f>O26</f>
        <v>887.5</v>
      </c>
      <c r="AB23" s="77">
        <f>Q26</f>
        <v>4863.5</v>
      </c>
      <c r="AC23" s="60">
        <f>T23+W23-Z23</f>
        <v>8</v>
      </c>
      <c r="AD23" s="62">
        <f>U23+X23-AA23</f>
        <v>576</v>
      </c>
      <c r="AE23" s="63">
        <f>V23+Y23-AB23</f>
        <v>3109.92</v>
      </c>
      <c r="AF23" s="98">
        <v>15</v>
      </c>
      <c r="AG23" s="98">
        <v>14</v>
      </c>
      <c r="AH23" s="98"/>
      <c r="AI23" s="65">
        <f>SUM(AF23:AH24)</f>
        <v>29</v>
      </c>
      <c r="AJ23" s="66">
        <f t="shared" ref="AJ23" si="15">AE23/AI23+5</f>
        <v>112.23862068965518</v>
      </c>
      <c r="AK23" s="99">
        <v>33</v>
      </c>
      <c r="AL23" s="74"/>
      <c r="AM23" s="100">
        <f>AJ23*AL23</f>
        <v>0</v>
      </c>
      <c r="AN23" s="101">
        <f>R23+AI23-AK23-AL23</f>
        <v>-1</v>
      </c>
      <c r="AO23" s="78" t="s">
        <v>35</v>
      </c>
    </row>
    <row r="24" ht="19.05" customHeight="1" spans="1:41" x14ac:dyDescent="0.25">
      <c r="A24" s="41"/>
      <c r="B24" s="6"/>
      <c r="C24" s="42">
        <v>15</v>
      </c>
      <c r="D24" s="6"/>
      <c r="E24" s="42">
        <v>887.5</v>
      </c>
      <c r="F24" s="6"/>
      <c r="G24" s="43">
        <v>4863.5</v>
      </c>
      <c r="H24" s="10"/>
      <c r="I24" s="91"/>
      <c r="J24" s="6"/>
      <c r="K24" s="6"/>
      <c r="L24" s="6"/>
      <c r="M24" s="6"/>
      <c r="N24" s="6"/>
      <c r="O24" s="91"/>
      <c r="P24" s="6"/>
      <c r="Q24" s="6"/>
      <c r="R24" s="102"/>
      <c r="S24" s="103"/>
      <c r="T24" s="104"/>
      <c r="U24" s="104"/>
      <c r="V24" s="104"/>
      <c r="W24" s="105"/>
      <c r="X24" s="105"/>
      <c r="Y24" s="105"/>
      <c r="Z24" s="104"/>
      <c r="AA24" s="104"/>
      <c r="AB24" s="104"/>
      <c r="AC24" s="105"/>
      <c r="AD24" s="106"/>
      <c r="AE24" s="107"/>
      <c r="AF24" s="108"/>
      <c r="AG24" s="108"/>
      <c r="AH24" s="108"/>
      <c r="AI24" s="109"/>
      <c r="AJ24" s="110"/>
      <c r="AK24" s="31"/>
      <c r="AL24" s="102"/>
      <c r="AM24" s="111"/>
      <c r="AN24" s="112"/>
      <c r="AO24" s="113"/>
    </row>
    <row r="25" ht="19.05" customHeight="1" spans="1:41" x14ac:dyDescent="0.25">
      <c r="A25" s="71"/>
      <c r="B25" s="6"/>
      <c r="C25" s="72"/>
      <c r="D25" s="6"/>
      <c r="E25" s="72"/>
      <c r="F25" s="6"/>
      <c r="G25" s="73"/>
      <c r="H25" s="6"/>
      <c r="I25" s="91"/>
      <c r="J25" s="6"/>
      <c r="K25" s="6"/>
      <c r="L25" s="6"/>
      <c r="M25" s="6"/>
      <c r="N25" s="6"/>
      <c r="O25" s="91"/>
      <c r="P25" s="6"/>
      <c r="Q25" s="6"/>
      <c r="R25" s="114"/>
      <c r="T25" s="115">
        <f>SUM(V3:V24)</f>
        <v>81288.4775</v>
      </c>
      <c r="U25" s="116"/>
      <c r="V25" s="116"/>
      <c r="W25" s="115">
        <f>SUM(Y3:Y24)</f>
        <v>73755</v>
      </c>
      <c r="X25" s="116"/>
      <c r="Y25" s="117"/>
      <c r="Z25" s="115">
        <f>SUM(AB3:AB24)</f>
        <v>83301.013125</v>
      </c>
      <c r="AA25" s="116"/>
      <c r="AB25" s="117"/>
      <c r="AM25" s="118">
        <f>SUM(AM3:AM24)</f>
        <v>15196.425048801862</v>
      </c>
      <c r="AN25" s="4"/>
      <c r="AO25" s="119">
        <f>Z25+AM25</f>
        <v>98497.43817380186</v>
      </c>
    </row>
    <row r="26" ht="19.05" customHeight="1" spans="1:41" x14ac:dyDescent="0.25">
      <c r="A26" s="79"/>
      <c r="B26" s="88"/>
      <c r="C26" s="80">
        <f>SUM(C23:C25)</f>
        <v>15</v>
      </c>
      <c r="D26" s="88"/>
      <c r="E26" s="80">
        <f>SUM(E23:E25)</f>
        <v>887.5</v>
      </c>
      <c r="F26" s="88"/>
      <c r="G26" s="81">
        <f>SUM(G23:G25)</f>
        <v>4863.5</v>
      </c>
      <c r="H26" s="88"/>
      <c r="I26" s="82">
        <f t="shared" ref="I26" si="16">E26/C26</f>
        <v>59.166666666666664</v>
      </c>
      <c r="J26" s="88"/>
      <c r="K26" s="83">
        <f t="shared" ref="K26" si="17">G26/C26</f>
        <v>324.23333333333335</v>
      </c>
      <c r="L26" s="84"/>
      <c r="M26" s="85">
        <v>15</v>
      </c>
      <c r="N26" s="86"/>
      <c r="O26" s="87">
        <f t="shared" ref="O26" si="18">M26*I26</f>
        <v>887.5</v>
      </c>
      <c r="P26" s="88"/>
      <c r="Q26" s="89">
        <f t="shared" ref="Q26" si="19">M26*K26</f>
        <v>4863.5</v>
      </c>
      <c r="R26" s="120"/>
      <c r="S26" s="31"/>
      <c r="T26" s="121"/>
      <c r="U26" s="122"/>
      <c r="V26" s="122"/>
      <c r="W26" s="121"/>
      <c r="X26" s="122"/>
      <c r="Y26" s="123"/>
      <c r="Z26" s="121"/>
      <c r="AA26" s="122"/>
      <c r="AB26" s="123"/>
      <c r="AC26" s="124"/>
      <c r="AD26" s="124"/>
      <c r="AE26" s="124"/>
      <c r="AF26" s="124"/>
      <c r="AG26" s="124"/>
      <c r="AH26" s="124"/>
      <c r="AI26" s="124"/>
      <c r="AJ26" s="124"/>
      <c r="AK26" s="124"/>
      <c r="AL26" s="124"/>
      <c r="AM26" s="125"/>
      <c r="AN26" s="126"/>
      <c r="AO26" s="127"/>
    </row>
    <row r="27" ht="15" customHeight="1" x14ac:dyDescent="0.25"/>
  </sheetData>
  <mergeCells count="293">
    <mergeCell ref="M1:Q1"/>
    <mergeCell ref="T1:V2"/>
    <mergeCell ref="W1:Y2"/>
    <mergeCell ref="Z1:AB2"/>
    <mergeCell ref="AC1:AE2"/>
    <mergeCell ref="AF1:AH2"/>
    <mergeCell ref="AK1:AN1"/>
    <mergeCell ref="A1:A2"/>
    <mergeCell ref="C1:C2"/>
    <mergeCell ref="E1:E2"/>
    <mergeCell ref="G1:G2"/>
    <mergeCell ref="I1:I2"/>
    <mergeCell ref="K1:K2"/>
    <mergeCell ref="R1:R2"/>
    <mergeCell ref="S1:S2"/>
    <mergeCell ref="AI1:AI2"/>
    <mergeCell ref="AJ1:AJ2"/>
    <mergeCell ref="AM2:AN2"/>
    <mergeCell ref="AO1:AO2"/>
    <mergeCell ref="A3:A5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G5:AG6"/>
    <mergeCell ref="AH5:AH6"/>
    <mergeCell ref="AI5:AI6"/>
    <mergeCell ref="AJ5:AJ6"/>
    <mergeCell ref="AK5:AK6"/>
    <mergeCell ref="AL5:AL6"/>
    <mergeCell ref="AM5:AM6"/>
    <mergeCell ref="AN5:AN6"/>
    <mergeCell ref="AO5:AO6"/>
    <mergeCell ref="A7:A9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AC7:AC8"/>
    <mergeCell ref="AD7:AD8"/>
    <mergeCell ref="AE7:AE8"/>
    <mergeCell ref="AF7:AF8"/>
    <mergeCell ref="AG7:AG8"/>
    <mergeCell ref="AH7:AH8"/>
    <mergeCell ref="AI7:AI8"/>
    <mergeCell ref="AJ7:AJ8"/>
    <mergeCell ref="AK7:AK8"/>
    <mergeCell ref="AL7:AL8"/>
    <mergeCell ref="AM7:AM8"/>
    <mergeCell ref="AN7:AN8"/>
    <mergeCell ref="AO7:AO8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AH9:AH10"/>
    <mergeCell ref="AI9:AI10"/>
    <mergeCell ref="AJ9:AJ10"/>
    <mergeCell ref="AK9:AK10"/>
    <mergeCell ref="AL9:AL10"/>
    <mergeCell ref="AM9:AM10"/>
    <mergeCell ref="AN9:AN10"/>
    <mergeCell ref="AO9:AO10"/>
    <mergeCell ref="A11:A13"/>
    <mergeCell ref="R11:R12"/>
    <mergeCell ref="S11:S12"/>
    <mergeCell ref="T11:T12"/>
    <mergeCell ref="U11:U12"/>
    <mergeCell ref="V11:V12"/>
    <mergeCell ref="W11:W12"/>
    <mergeCell ref="X11:X12"/>
    <mergeCell ref="Y11:Y12"/>
    <mergeCell ref="Z11:Z12"/>
    <mergeCell ref="AA11:AA12"/>
    <mergeCell ref="AB11:AB12"/>
    <mergeCell ref="AC11:AC12"/>
    <mergeCell ref="AD11:AD12"/>
    <mergeCell ref="AE11:AE12"/>
    <mergeCell ref="AF11:AF12"/>
    <mergeCell ref="AG11:AG12"/>
    <mergeCell ref="AH11:AH12"/>
    <mergeCell ref="AI11:AI12"/>
    <mergeCell ref="AJ11:AJ12"/>
    <mergeCell ref="AK11:AK12"/>
    <mergeCell ref="AL11:AL12"/>
    <mergeCell ref="AM11:AM12"/>
    <mergeCell ref="AN11:AN12"/>
    <mergeCell ref="AO11:AO12"/>
    <mergeCell ref="R13:R14"/>
    <mergeCell ref="S13:S14"/>
    <mergeCell ref="T13:T14"/>
    <mergeCell ref="U13:U14"/>
    <mergeCell ref="V13:V14"/>
    <mergeCell ref="W13:W14"/>
    <mergeCell ref="X13:X14"/>
    <mergeCell ref="Y13:Y14"/>
    <mergeCell ref="Z13:Z14"/>
    <mergeCell ref="AA13:AA14"/>
    <mergeCell ref="AB13:AB14"/>
    <mergeCell ref="AC13:AC14"/>
    <mergeCell ref="AD13:AD14"/>
    <mergeCell ref="AE13:AE14"/>
    <mergeCell ref="AF13:AF14"/>
    <mergeCell ref="AG13:AG14"/>
    <mergeCell ref="AH13:AH14"/>
    <mergeCell ref="AI13:AI14"/>
    <mergeCell ref="AJ13:AJ14"/>
    <mergeCell ref="AK13:AK14"/>
    <mergeCell ref="AL13:AL14"/>
    <mergeCell ref="AM13:AM14"/>
    <mergeCell ref="AN13:AN14"/>
    <mergeCell ref="AO13:AO14"/>
    <mergeCell ref="A15:A17"/>
    <mergeCell ref="R15:R16"/>
    <mergeCell ref="S15:S16"/>
    <mergeCell ref="T15:T16"/>
    <mergeCell ref="U15:U16"/>
    <mergeCell ref="V15:V16"/>
    <mergeCell ref="W15:W16"/>
    <mergeCell ref="X15:X16"/>
    <mergeCell ref="Y15:Y16"/>
    <mergeCell ref="Z15:Z16"/>
    <mergeCell ref="AA15:AA16"/>
    <mergeCell ref="AB15:AB16"/>
    <mergeCell ref="AC15:AC16"/>
    <mergeCell ref="AD15:AD16"/>
    <mergeCell ref="AE15:AE16"/>
    <mergeCell ref="AF15:AF16"/>
    <mergeCell ref="AG15:AG16"/>
    <mergeCell ref="AH15:AH16"/>
    <mergeCell ref="AI15:AI16"/>
    <mergeCell ref="AJ15:AJ16"/>
    <mergeCell ref="AK15:AK16"/>
    <mergeCell ref="AL15:AL16"/>
    <mergeCell ref="AM15:AM16"/>
    <mergeCell ref="AN15:AN16"/>
    <mergeCell ref="AO15:AO16"/>
    <mergeCell ref="R17:R18"/>
    <mergeCell ref="S17:S18"/>
    <mergeCell ref="T17:T18"/>
    <mergeCell ref="U17:U18"/>
    <mergeCell ref="V17:V18"/>
    <mergeCell ref="W17:W18"/>
    <mergeCell ref="X17:X18"/>
    <mergeCell ref="Y17:Y18"/>
    <mergeCell ref="Z17:Z18"/>
    <mergeCell ref="AA17:AA18"/>
    <mergeCell ref="AB17:AB18"/>
    <mergeCell ref="AC17:AC18"/>
    <mergeCell ref="AD17:AD18"/>
    <mergeCell ref="AE17:AE18"/>
    <mergeCell ref="AF17:AF18"/>
    <mergeCell ref="AG17:AG18"/>
    <mergeCell ref="AH17:AH18"/>
    <mergeCell ref="AI17:AI18"/>
    <mergeCell ref="AJ17:AJ18"/>
    <mergeCell ref="AK17:AK18"/>
    <mergeCell ref="AL17:AL18"/>
    <mergeCell ref="AM17:AM18"/>
    <mergeCell ref="AN17:AN18"/>
    <mergeCell ref="AO17:AO18"/>
    <mergeCell ref="A19:A21"/>
    <mergeCell ref="R19:R20"/>
    <mergeCell ref="S19:S20"/>
    <mergeCell ref="T19:T20"/>
    <mergeCell ref="U19:U20"/>
    <mergeCell ref="V19:V20"/>
    <mergeCell ref="W19:W20"/>
    <mergeCell ref="X19:X20"/>
    <mergeCell ref="Y19:Y20"/>
    <mergeCell ref="Z19:Z20"/>
    <mergeCell ref="AA19:AA20"/>
    <mergeCell ref="AB19:AB20"/>
    <mergeCell ref="AC19:AC20"/>
    <mergeCell ref="AD19:AD20"/>
    <mergeCell ref="AE19:AE20"/>
    <mergeCell ref="AF19:AF20"/>
    <mergeCell ref="AG19:AG20"/>
    <mergeCell ref="AH19:AH20"/>
    <mergeCell ref="AI19:AI20"/>
    <mergeCell ref="AJ19:AJ20"/>
    <mergeCell ref="AK19:AK20"/>
    <mergeCell ref="AL19:AL20"/>
    <mergeCell ref="AM19:AM20"/>
    <mergeCell ref="AN19:AN20"/>
    <mergeCell ref="AO19:AO20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21:AH22"/>
    <mergeCell ref="AI21:AI22"/>
    <mergeCell ref="AJ21:AJ22"/>
    <mergeCell ref="AK21:AK22"/>
    <mergeCell ref="AL21:AL22"/>
    <mergeCell ref="AM21:AM22"/>
    <mergeCell ref="AN21:AN22"/>
    <mergeCell ref="AO21:AO22"/>
    <mergeCell ref="A23:A25"/>
    <mergeCell ref="R23:R24"/>
    <mergeCell ref="S23:S24"/>
    <mergeCell ref="T23:T24"/>
    <mergeCell ref="U23:U24"/>
    <mergeCell ref="V23:V24"/>
    <mergeCell ref="W23:W24"/>
    <mergeCell ref="X23:X24"/>
    <mergeCell ref="Y23:Y24"/>
    <mergeCell ref="Z23:Z24"/>
    <mergeCell ref="AA23:AA24"/>
    <mergeCell ref="AB23:AB24"/>
    <mergeCell ref="AC23:AC24"/>
    <mergeCell ref="AD23:AD24"/>
    <mergeCell ref="AE23:AE24"/>
    <mergeCell ref="AF23:AF24"/>
    <mergeCell ref="AG23:AG24"/>
    <mergeCell ref="AH23:AH24"/>
    <mergeCell ref="AI23:AI24"/>
    <mergeCell ref="AJ23:AJ24"/>
    <mergeCell ref="AK23:AK24"/>
    <mergeCell ref="AL23:AL24"/>
    <mergeCell ref="AM23:AM24"/>
    <mergeCell ref="AN23:AN24"/>
    <mergeCell ref="AO23:AO24"/>
    <mergeCell ref="T25:V26"/>
    <mergeCell ref="W25:Y26"/>
    <mergeCell ref="Z25:AB26"/>
    <mergeCell ref="AM25:AM26"/>
  </mergeCells>
  <pageMargins left="0.2" right="0.2" top="0.75" bottom="0.75" header="0.3" footer="0.3"/>
  <pageSetup orientation="landscape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7"/>
  <sheetViews>
    <sheetView workbookViewId="0" zoomScale="95" zoomScaleNormal="95">
      <selection activeCell="AJ25" sqref="AJ25"/>
    </sheetView>
  </sheetViews>
  <sheetFormatPr defaultRowHeight="14.4" outlineLevelRow="0" outlineLevelCol="0" x14ac:dyDescent="0.3" customHeight="1"/>
  <cols>
    <col min="1" max="1" width="17.5546875" customWidth="1"/>
    <col min="2" max="2" width="2.33203125" customWidth="1"/>
    <col min="3" max="3" width="12.33203125" customWidth="1"/>
    <col min="4" max="4" width="2.33203125" customWidth="1"/>
    <col min="5" max="5" width="12.33203125" customWidth="1"/>
    <col min="6" max="6" width="2.33203125" customWidth="1"/>
    <col min="7" max="7" width="12.33203125" style="1" customWidth="1"/>
    <col min="8" max="8" width="2.33203125" customWidth="1"/>
    <col min="9" max="9" width="12.33203125" customWidth="1"/>
    <col min="10" max="10" width="2.33203125" customWidth="1"/>
    <col min="11" max="11" width="12.33203125" customWidth="1"/>
    <col min="12" max="12" width="2.33203125" customWidth="1"/>
    <col min="13" max="13" width="12.33203125" customWidth="1"/>
    <col min="14" max="14" width="2.33203125" customWidth="1"/>
    <col min="15" max="15" width="12.33203125" customWidth="1"/>
    <col min="16" max="16" width="2.33203125" customWidth="1"/>
    <col min="17" max="18" width="12.33203125" customWidth="1"/>
    <col min="19" max="19" width="31.6640625" style="2" customWidth="1"/>
    <col min="22" max="22" width="11.5546875" customWidth="1"/>
    <col min="25" max="25" width="11.5546875" customWidth="1"/>
    <col min="28" max="28" width="11.5546875" customWidth="1"/>
    <col min="30" max="30" width="8.88671875" style="3" customWidth="1"/>
    <col min="31" max="31" width="11.5546875" style="1" customWidth="1"/>
    <col min="36" max="36" width="9.88671875" customWidth="1"/>
    <col min="37" max="38" width="9.109375" customWidth="1"/>
    <col min="39" max="39" width="11.6640625" customWidth="1"/>
    <col min="40" max="40" width="9.109375" customWidth="1"/>
    <col min="41" max="41" width="21" customWidth="1"/>
  </cols>
  <sheetData>
    <row r="1" ht="19.05" customHeight="1" spans="1:41" s="4" customFormat="1" x14ac:dyDescent="0.25">
      <c r="A1" s="5" t="s">
        <v>0</v>
      </c>
      <c r="B1" s="6"/>
      <c r="C1" s="7" t="s">
        <v>1</v>
      </c>
      <c r="D1" s="6"/>
      <c r="E1" s="8" t="s">
        <v>2</v>
      </c>
      <c r="F1" s="6"/>
      <c r="G1" s="9" t="s">
        <v>3</v>
      </c>
      <c r="H1" s="10"/>
      <c r="I1" s="9" t="s">
        <v>4</v>
      </c>
      <c r="J1" s="6"/>
      <c r="K1" s="9" t="s">
        <v>5</v>
      </c>
      <c r="L1" s="2"/>
      <c r="M1" s="11" t="s">
        <v>6</v>
      </c>
      <c r="N1" s="12"/>
      <c r="O1" s="12"/>
      <c r="P1" s="12"/>
      <c r="Q1" s="13"/>
      <c r="R1" s="7" t="s">
        <v>7</v>
      </c>
      <c r="S1" s="14" t="s">
        <v>0</v>
      </c>
      <c r="T1" s="15" t="s">
        <v>8</v>
      </c>
      <c r="U1" s="16"/>
      <c r="V1" s="17"/>
      <c r="W1" s="18" t="s">
        <v>9</v>
      </c>
      <c r="X1" s="19"/>
      <c r="Y1" s="20"/>
      <c r="Z1" s="15" t="s">
        <v>6</v>
      </c>
      <c r="AA1" s="16"/>
      <c r="AB1" s="17"/>
      <c r="AC1" s="18" t="s">
        <v>10</v>
      </c>
      <c r="AD1" s="19"/>
      <c r="AE1" s="20"/>
      <c r="AF1" s="15" t="s">
        <v>11</v>
      </c>
      <c r="AG1" s="16"/>
      <c r="AH1" s="17"/>
      <c r="AI1" s="21" t="s">
        <v>12</v>
      </c>
      <c r="AJ1" s="22" t="s">
        <v>13</v>
      </c>
      <c r="AK1" s="23" t="s">
        <v>14</v>
      </c>
      <c r="AL1" s="24"/>
      <c r="AM1" s="24"/>
      <c r="AN1" s="25"/>
      <c r="AO1" s="26" t="s">
        <v>0</v>
      </c>
    </row>
    <row r="2" ht="19.05" customHeight="1" spans="1:41" s="4" customFormat="1" x14ac:dyDescent="0.25">
      <c r="A2" s="27"/>
      <c r="B2" s="6"/>
      <c r="C2" s="28"/>
      <c r="D2" s="6"/>
      <c r="E2" s="29"/>
      <c r="F2" s="6"/>
      <c r="G2" s="30"/>
      <c r="H2" s="10"/>
      <c r="I2" s="30"/>
      <c r="J2" s="6"/>
      <c r="K2" s="30"/>
      <c r="L2" s="31"/>
      <c r="M2" s="11" t="s">
        <v>15</v>
      </c>
      <c r="N2" s="12"/>
      <c r="O2" s="12" t="s">
        <v>16</v>
      </c>
      <c r="P2" s="12"/>
      <c r="Q2" s="13" t="s">
        <v>3</v>
      </c>
      <c r="R2" s="28"/>
      <c r="S2" s="32"/>
      <c r="T2" s="33"/>
      <c r="U2" s="34"/>
      <c r="V2" s="35"/>
      <c r="W2" s="11"/>
      <c r="X2" s="12"/>
      <c r="Y2" s="13"/>
      <c r="Z2" s="33"/>
      <c r="AA2" s="34"/>
      <c r="AB2" s="35"/>
      <c r="AC2" s="11"/>
      <c r="AD2" s="12"/>
      <c r="AE2" s="12"/>
      <c r="AF2" s="33"/>
      <c r="AG2" s="34"/>
      <c r="AH2" s="35"/>
      <c r="AI2" s="36"/>
      <c r="AJ2" s="37"/>
      <c r="AK2" s="36" t="s">
        <v>17</v>
      </c>
      <c r="AL2" s="38" t="s">
        <v>18</v>
      </c>
      <c r="AM2" s="38" t="s">
        <v>19</v>
      </c>
      <c r="AN2" s="39"/>
      <c r="AO2" s="40"/>
    </row>
    <row r="3" ht="19.05" customHeight="1" spans="1:41" x14ac:dyDescent="0.25">
      <c r="A3" s="41" t="s">
        <v>20</v>
      </c>
      <c r="B3" s="6"/>
      <c r="C3" s="42"/>
      <c r="D3" s="6"/>
      <c r="E3" s="42"/>
      <c r="F3" s="6"/>
      <c r="G3" s="43"/>
      <c r="H3" s="10"/>
      <c r="I3" s="6"/>
      <c r="J3" s="6"/>
      <c r="K3" s="6"/>
      <c r="L3" s="6"/>
      <c r="M3" s="6"/>
      <c r="N3" s="6"/>
      <c r="O3" s="6"/>
      <c r="P3" s="6"/>
      <c r="Q3" s="6"/>
      <c r="R3" s="44">
        <v>12</v>
      </c>
      <c r="S3" s="45" t="s">
        <v>21</v>
      </c>
      <c r="T3" s="44">
        <v>95</v>
      </c>
      <c r="U3" s="44">
        <v>7117.756249999999</v>
      </c>
      <c r="V3" s="46">
        <v>57511.468125</v>
      </c>
      <c r="W3" s="47">
        <f>C6</f>
        <v>0</v>
      </c>
      <c r="X3" s="47">
        <f>E6</f>
        <v>0</v>
      </c>
      <c r="Y3" s="48">
        <f>G6</f>
        <v>0</v>
      </c>
      <c r="Z3" s="49">
        <f>M6</f>
        <v>25</v>
      </c>
      <c r="AA3" s="50">
        <f>O6</f>
        <v>1873</v>
      </c>
      <c r="AB3" s="51">
        <f>Q6</f>
        <v>15134.5</v>
      </c>
      <c r="AC3" s="47">
        <f>T3+W3-Z3</f>
        <v>70</v>
      </c>
      <c r="AD3" s="52">
        <f>U3+X3-AA3</f>
        <v>5244.756249999999</v>
      </c>
      <c r="AE3" s="48">
        <f>V3+Y3-AB3</f>
        <v>42376.968125</v>
      </c>
      <c r="AF3" s="53">
        <v>106</v>
      </c>
      <c r="AG3" s="53">
        <v>105</v>
      </c>
      <c r="AH3" s="53"/>
      <c r="AI3" s="54">
        <f>SUM(AF3:AH4)</f>
        <v>211</v>
      </c>
      <c r="AJ3" s="55">
        <f>AE3/AI3+5</f>
        <v>205.83871149289098</v>
      </c>
      <c r="AK3" s="2">
        <v>223</v>
      </c>
      <c r="AL3" s="44"/>
      <c r="AM3" s="56">
        <f>AJ3*AL3</f>
        <v>0</v>
      </c>
      <c r="AN3" s="57">
        <f>R3+AI3-AK3-AL3</f>
        <v>0</v>
      </c>
      <c r="AO3" s="58" t="s">
        <v>21</v>
      </c>
    </row>
    <row r="4" ht="19.05" customHeight="1" spans="1:41" x14ac:dyDescent="0.25">
      <c r="A4" s="41"/>
      <c r="B4" s="6"/>
      <c r="C4" s="42"/>
      <c r="D4" s="6"/>
      <c r="E4" s="42"/>
      <c r="F4" s="6"/>
      <c r="G4" s="43"/>
      <c r="H4" s="10"/>
      <c r="I4" s="6"/>
      <c r="J4" s="6"/>
      <c r="K4" s="6"/>
      <c r="L4" s="6"/>
      <c r="M4" s="6"/>
      <c r="N4" s="6"/>
      <c r="O4" s="6">
        <v>74.92</v>
      </c>
      <c r="P4" s="6"/>
      <c r="Q4" s="94">
        <v>605.38</v>
      </c>
      <c r="R4" s="49"/>
      <c r="S4" s="59"/>
      <c r="T4" s="49"/>
      <c r="U4" s="49"/>
      <c r="V4" s="51"/>
      <c r="W4" s="60"/>
      <c r="X4" s="60"/>
      <c r="Y4" s="60"/>
      <c r="Z4" s="61"/>
      <c r="AA4" s="61"/>
      <c r="AB4" s="61"/>
      <c r="AC4" s="60"/>
      <c r="AD4" s="62"/>
      <c r="AE4" s="63"/>
      <c r="AF4" s="64"/>
      <c r="AG4" s="64"/>
      <c r="AH4" s="64"/>
      <c r="AI4" s="65"/>
      <c r="AJ4" s="66"/>
      <c r="AK4" s="67"/>
      <c r="AL4" s="49"/>
      <c r="AM4" s="68"/>
      <c r="AN4" s="69"/>
      <c r="AO4" s="70"/>
    </row>
    <row r="5" ht="19.05" customHeight="1" spans="1:41" x14ac:dyDescent="0.25">
      <c r="A5" s="71"/>
      <c r="B5" s="6"/>
      <c r="C5" s="72"/>
      <c r="D5" s="6"/>
      <c r="E5" s="72"/>
      <c r="F5" s="6"/>
      <c r="G5" s="73"/>
      <c r="H5" s="10"/>
      <c r="I5" s="72"/>
      <c r="J5" s="6"/>
      <c r="K5" s="72"/>
      <c r="L5" s="72"/>
      <c r="M5" s="72"/>
      <c r="N5" s="72"/>
      <c r="O5" s="72"/>
      <c r="P5" s="72"/>
      <c r="Q5" s="72"/>
      <c r="R5" s="44"/>
      <c r="S5" s="45" t="s">
        <v>22</v>
      </c>
      <c r="T5" s="74">
        <v>47</v>
      </c>
      <c r="U5" s="74">
        <v>1880</v>
      </c>
      <c r="V5" s="75">
        <v>2608.5</v>
      </c>
      <c r="W5" s="60">
        <f>C10</f>
        <v>20</v>
      </c>
      <c r="X5" s="60">
        <f>E10</f>
        <v>800</v>
      </c>
      <c r="Y5" s="63">
        <f>G10</f>
        <v>1096</v>
      </c>
      <c r="Z5" s="61">
        <f>M10</f>
        <v>0</v>
      </c>
      <c r="AA5" s="76">
        <f>O10</f>
        <v>0</v>
      </c>
      <c r="AB5" s="77">
        <f>Q10</f>
        <v>0</v>
      </c>
      <c r="AC5" s="60">
        <f>T5+W5-Z5</f>
        <v>67</v>
      </c>
      <c r="AD5" s="62">
        <f>U5+X5-AA5</f>
        <v>2680</v>
      </c>
      <c r="AE5" s="63">
        <f>V5+Y5-AB5</f>
        <v>3704.5</v>
      </c>
      <c r="AF5" s="53">
        <v>58</v>
      </c>
      <c r="AG5" s="53">
        <v>57</v>
      </c>
      <c r="AH5" s="53"/>
      <c r="AI5" s="65">
        <f>SUM(AF5:AH6)</f>
        <v>115</v>
      </c>
      <c r="AJ5" s="66">
        <f t="shared" ref="AJ5:AJ7" si="0">AE5/AI5+5</f>
        <v>37.21304347826087</v>
      </c>
      <c r="AK5" s="2">
        <v>115</v>
      </c>
      <c r="AL5" s="44"/>
      <c r="AM5" s="56">
        <f>AJ5*AL5</f>
        <v>0</v>
      </c>
      <c r="AN5" s="57">
        <f>R5+AI5-AK5-AL5</f>
        <v>0</v>
      </c>
      <c r="AO5" s="78" t="s">
        <v>22</v>
      </c>
    </row>
    <row r="6" ht="19.05" customHeight="1" spans="1:41" x14ac:dyDescent="0.25">
      <c r="A6" s="79"/>
      <c r="B6" s="6"/>
      <c r="C6" s="80">
        <f>SUM(C3:C5)</f>
        <v>0</v>
      </c>
      <c r="D6" s="6"/>
      <c r="E6" s="80">
        <f>SUM(E3:E5)</f>
        <v>0</v>
      </c>
      <c r="F6" s="6"/>
      <c r="G6" s="81">
        <f>SUM(G3:G5)</f>
        <v>0</v>
      </c>
      <c r="H6" s="10"/>
      <c r="I6" s="82" t="e">
        <f>E6/C6</f>
        <v>#DIV/0!</v>
      </c>
      <c r="J6" s="6"/>
      <c r="K6" s="83" t="e">
        <f>G6/C6</f>
        <v>#DIV/0!</v>
      </c>
      <c r="L6" s="84"/>
      <c r="M6" s="85">
        <v>25</v>
      </c>
      <c r="N6" s="86"/>
      <c r="O6" s="87">
        <f>O4*M6</f>
        <v>1873</v>
      </c>
      <c r="P6" s="88"/>
      <c r="Q6" s="89">
        <f>Q4*M6</f>
        <v>15134.5</v>
      </c>
      <c r="R6" s="49"/>
      <c r="S6" s="59"/>
      <c r="T6" s="49"/>
      <c r="U6" s="49"/>
      <c r="V6" s="51"/>
      <c r="W6" s="60"/>
      <c r="X6" s="60"/>
      <c r="Y6" s="60"/>
      <c r="Z6" s="61"/>
      <c r="AA6" s="61"/>
      <c r="AB6" s="61"/>
      <c r="AC6" s="60"/>
      <c r="AD6" s="62"/>
      <c r="AE6" s="63"/>
      <c r="AF6" s="64"/>
      <c r="AG6" s="64"/>
      <c r="AH6" s="64"/>
      <c r="AI6" s="65"/>
      <c r="AJ6" s="66"/>
      <c r="AK6" s="67"/>
      <c r="AL6" s="49"/>
      <c r="AM6" s="68"/>
      <c r="AN6" s="69"/>
      <c r="AO6" s="70"/>
    </row>
    <row r="7" ht="19.05" customHeight="1" spans="1:41" x14ac:dyDescent="0.25">
      <c r="A7" s="90" t="s">
        <v>23</v>
      </c>
      <c r="B7" s="6"/>
      <c r="C7" s="42"/>
      <c r="D7" s="6"/>
      <c r="E7" s="42"/>
      <c r="F7" s="6"/>
      <c r="G7" s="43"/>
      <c r="H7" s="10"/>
      <c r="I7" s="91"/>
      <c r="J7" s="6"/>
      <c r="K7" s="6"/>
      <c r="L7" s="6"/>
      <c r="M7" s="6"/>
      <c r="N7" s="6"/>
      <c r="O7" s="91"/>
      <c r="P7" s="6"/>
      <c r="Q7" s="6"/>
      <c r="R7" s="44">
        <v>27</v>
      </c>
      <c r="S7" s="45" t="s">
        <v>24</v>
      </c>
      <c r="T7" s="74">
        <v>60</v>
      </c>
      <c r="U7" s="74">
        <v>5003.62</v>
      </c>
      <c r="V7" s="75">
        <v>7455.395</v>
      </c>
      <c r="W7" s="60">
        <f>C14</f>
        <v>0</v>
      </c>
      <c r="X7" s="60">
        <f>E14</f>
        <v>0</v>
      </c>
      <c r="Y7" s="63">
        <f>G14</f>
        <v>0</v>
      </c>
      <c r="Z7" s="61"/>
      <c r="AA7" s="76"/>
      <c r="AB7" s="77"/>
      <c r="AC7" s="60">
        <f>T7+W7-Z7</f>
        <v>60</v>
      </c>
      <c r="AD7" s="62">
        <f>U7+X7-AA7</f>
        <v>5003.62</v>
      </c>
      <c r="AE7" s="63">
        <f>V7+Y7-AB7</f>
        <v>7455.395</v>
      </c>
      <c r="AF7" s="53">
        <v>63</v>
      </c>
      <c r="AG7" s="53">
        <v>45</v>
      </c>
      <c r="AH7" s="53">
        <v>29</v>
      </c>
      <c r="AI7" s="65">
        <f>SUM(AF7:AH8)</f>
        <v>137</v>
      </c>
      <c r="AJ7" s="66">
        <f t="shared" si="0"/>
        <v>59.41894160583942</v>
      </c>
      <c r="AK7" s="2">
        <v>142</v>
      </c>
      <c r="AL7" s="44">
        <v>22</v>
      </c>
      <c r="AM7" s="56">
        <f>AJ7*AL7</f>
        <v>1307.2167153284672</v>
      </c>
      <c r="AN7" s="57">
        <f>R7+AI7-AK7-AL7</f>
        <v>0</v>
      </c>
      <c r="AO7" s="78" t="s">
        <v>24</v>
      </c>
    </row>
    <row r="8" ht="19.05" customHeight="1" spans="1:41" x14ac:dyDescent="0.25">
      <c r="A8" s="90"/>
      <c r="B8" s="6"/>
      <c r="C8" s="42">
        <v>20</v>
      </c>
      <c r="D8" s="6"/>
      <c r="E8" s="42">
        <v>800</v>
      </c>
      <c r="F8" s="6"/>
      <c r="G8" s="43">
        <v>1096</v>
      </c>
      <c r="H8" s="10"/>
      <c r="I8" s="91"/>
      <c r="J8" s="6"/>
      <c r="K8" s="6"/>
      <c r="L8" s="6"/>
      <c r="M8" s="6"/>
      <c r="N8" s="6"/>
      <c r="O8" s="91"/>
      <c r="P8" s="6"/>
      <c r="Q8" s="6"/>
      <c r="R8" s="49"/>
      <c r="S8" s="59"/>
      <c r="T8" s="49"/>
      <c r="U8" s="49"/>
      <c r="V8" s="51"/>
      <c r="W8" s="60"/>
      <c r="X8" s="60"/>
      <c r="Y8" s="60"/>
      <c r="Z8" s="61"/>
      <c r="AA8" s="61"/>
      <c r="AB8" s="61"/>
      <c r="AC8" s="60"/>
      <c r="AD8" s="62"/>
      <c r="AE8" s="63"/>
      <c r="AF8" s="64"/>
      <c r="AG8" s="64"/>
      <c r="AH8" s="64"/>
      <c r="AI8" s="65"/>
      <c r="AJ8" s="66"/>
      <c r="AK8" s="67"/>
      <c r="AL8" s="49"/>
      <c r="AM8" s="68"/>
      <c r="AN8" s="69"/>
      <c r="AO8" s="70"/>
    </row>
    <row r="9" ht="19.05" customHeight="1" spans="1:41" x14ac:dyDescent="0.25">
      <c r="A9" s="92"/>
      <c r="B9" s="6"/>
      <c r="C9" s="72"/>
      <c r="D9" s="6"/>
      <c r="E9" s="72"/>
      <c r="F9" s="6"/>
      <c r="G9" s="73"/>
      <c r="H9" s="10"/>
      <c r="I9" s="91"/>
      <c r="J9" s="6"/>
      <c r="K9" s="6"/>
      <c r="L9" s="6"/>
      <c r="M9" s="6"/>
      <c r="N9" s="6"/>
      <c r="O9" s="91"/>
      <c r="P9" s="6"/>
      <c r="Q9" s="6"/>
      <c r="R9" s="44">
        <v>1</v>
      </c>
      <c r="S9" s="45" t="s">
        <v>25</v>
      </c>
      <c r="T9" s="74">
        <v>17</v>
      </c>
      <c r="U9" s="74">
        <v>1062.8400000000001</v>
      </c>
      <c r="V9" s="75">
        <v>10862.150000000001</v>
      </c>
      <c r="W9" s="60">
        <f>C18</f>
        <v>20</v>
      </c>
      <c r="X9" s="60">
        <f>E18</f>
        <v>1301.1</v>
      </c>
      <c r="Y9" s="63">
        <f>G18</f>
        <v>12633.68</v>
      </c>
      <c r="Z9" s="61">
        <f>M18</f>
        <v>26</v>
      </c>
      <c r="AA9" s="76">
        <f>O18</f>
        <v>1691.4299999999998</v>
      </c>
      <c r="AB9" s="77">
        <f>Q18</f>
        <v>16423.784</v>
      </c>
      <c r="AC9" s="60">
        <f>T9+W9-Z9</f>
        <v>11</v>
      </c>
      <c r="AD9" s="62">
        <f>U9+X9-AA9</f>
        <v>672.5100000000002</v>
      </c>
      <c r="AE9" s="63">
        <f>V9+Y9-AB9</f>
        <v>7072.046000000002</v>
      </c>
      <c r="AF9" s="53">
        <v>15</v>
      </c>
      <c r="AG9" s="53">
        <v>11</v>
      </c>
      <c r="AH9" s="53">
        <v>6</v>
      </c>
      <c r="AI9" s="65">
        <f>SUM(AF9:AH10)</f>
        <v>32</v>
      </c>
      <c r="AJ9" s="93">
        <f>AE9/SUM(AI9:AI12)+35</f>
        <v>197.57577011494257</v>
      </c>
      <c r="AK9" s="2">
        <v>33</v>
      </c>
      <c r="AL9" s="44"/>
      <c r="AM9" s="56">
        <f>AJ9*AL9</f>
        <v>0</v>
      </c>
      <c r="AN9" s="57">
        <f>R9+AI9-AK9-AL9</f>
        <v>0</v>
      </c>
      <c r="AO9" s="78" t="s">
        <v>25</v>
      </c>
    </row>
    <row r="10" ht="19.05" customHeight="1" spans="1:41" x14ac:dyDescent="0.25">
      <c r="A10" s="79"/>
      <c r="B10" s="6"/>
      <c r="C10" s="80">
        <f>SUM(C7:C9)</f>
        <v>20</v>
      </c>
      <c r="D10" s="6"/>
      <c r="E10" s="80">
        <f>SUM(E7:E9)</f>
        <v>800</v>
      </c>
      <c r="F10" s="6"/>
      <c r="G10" s="81">
        <f>SUM(G7:G9)</f>
        <v>1096</v>
      </c>
      <c r="H10" s="10"/>
      <c r="I10" s="82">
        <f t="shared" ref="I10" si="1">E10/C10</f>
        <v>40</v>
      </c>
      <c r="J10" s="6"/>
      <c r="K10" s="83">
        <f t="shared" ref="K10" si="2">G10/C10</f>
        <v>54.8</v>
      </c>
      <c r="L10" s="84"/>
      <c r="M10" s="85"/>
      <c r="N10" s="86"/>
      <c r="O10" s="87">
        <f t="shared" ref="O10" si="3">M10*I10</f>
        <v>0</v>
      </c>
      <c r="P10" s="88"/>
      <c r="Q10" s="89">
        <f t="shared" ref="Q10" si="4">M10*K10</f>
        <v>0</v>
      </c>
      <c r="R10" s="49"/>
      <c r="S10" s="59"/>
      <c r="T10" s="49"/>
      <c r="U10" s="49"/>
      <c r="V10" s="51"/>
      <c r="W10" s="60"/>
      <c r="X10" s="60"/>
      <c r="Y10" s="60"/>
      <c r="Z10" s="61"/>
      <c r="AA10" s="61"/>
      <c r="AB10" s="61"/>
      <c r="AC10" s="60"/>
      <c r="AD10" s="62"/>
      <c r="AE10" s="63"/>
      <c r="AF10" s="64"/>
      <c r="AG10" s="64"/>
      <c r="AH10" s="64"/>
      <c r="AI10" s="65"/>
      <c r="AJ10" s="55"/>
      <c r="AK10" s="67"/>
      <c r="AL10" s="49"/>
      <c r="AM10" s="68"/>
      <c r="AN10" s="69"/>
      <c r="AO10" s="70"/>
    </row>
    <row r="11" ht="19.05" customHeight="1" spans="1:41" x14ac:dyDescent="0.25">
      <c r="A11" s="90" t="s">
        <v>26</v>
      </c>
      <c r="B11" s="6"/>
      <c r="C11" s="42"/>
      <c r="D11" s="6"/>
      <c r="E11" s="42"/>
      <c r="F11" s="6"/>
      <c r="G11" s="43"/>
      <c r="H11" s="10"/>
      <c r="I11" s="91"/>
      <c r="J11" s="6"/>
      <c r="K11" s="6"/>
      <c r="L11" s="6"/>
      <c r="M11" s="6"/>
      <c r="N11" s="6"/>
      <c r="O11" s="91"/>
      <c r="P11" s="6"/>
      <c r="Q11" s="6"/>
      <c r="R11" s="44">
        <v>1.5</v>
      </c>
      <c r="S11" s="45" t="s">
        <v>27</v>
      </c>
      <c r="T11" s="61"/>
      <c r="U11" s="61"/>
      <c r="V11" s="61"/>
      <c r="W11" s="60"/>
      <c r="X11" s="60"/>
      <c r="Y11" s="60"/>
      <c r="Z11" s="61"/>
      <c r="AA11" s="61"/>
      <c r="AB11" s="61"/>
      <c r="AC11" s="60"/>
      <c r="AD11" s="62"/>
      <c r="AE11" s="63"/>
      <c r="AF11" s="53">
        <v>6.5</v>
      </c>
      <c r="AG11" s="53">
        <v>5</v>
      </c>
      <c r="AH11" s="53"/>
      <c r="AI11" s="65">
        <f>SUM(AF11:AH12)</f>
        <v>11.5</v>
      </c>
      <c r="AJ11" s="66">
        <f>AJ9</f>
        <v>197.57577011494257</v>
      </c>
      <c r="AK11" s="2">
        <v>13</v>
      </c>
      <c r="AL11" s="44"/>
      <c r="AM11" s="56">
        <f>AJ11*AL11</f>
        <v>0</v>
      </c>
      <c r="AN11" s="57">
        <f>R11+AI11-AK11-AL11</f>
        <v>0</v>
      </c>
      <c r="AO11" s="78" t="s">
        <v>27</v>
      </c>
    </row>
    <row r="12" ht="19.05" customHeight="1" spans="1:41" x14ac:dyDescent="0.25">
      <c r="A12" s="90"/>
      <c r="B12" s="6"/>
      <c r="C12" s="42"/>
      <c r="D12" s="6"/>
      <c r="E12" s="42"/>
      <c r="F12" s="6"/>
      <c r="G12" s="43"/>
      <c r="H12" s="10"/>
      <c r="I12" s="91"/>
      <c r="J12" s="6"/>
      <c r="K12" s="6"/>
      <c r="L12" s="6"/>
      <c r="M12" s="6"/>
      <c r="N12" s="6"/>
      <c r="O12" s="91"/>
      <c r="P12" s="6"/>
      <c r="Q12" s="6"/>
      <c r="R12" s="49"/>
      <c r="S12" s="59"/>
      <c r="T12" s="61"/>
      <c r="U12" s="61"/>
      <c r="V12" s="61"/>
      <c r="W12" s="60"/>
      <c r="X12" s="60"/>
      <c r="Y12" s="60"/>
      <c r="Z12" s="61"/>
      <c r="AA12" s="61"/>
      <c r="AB12" s="61"/>
      <c r="AC12" s="60"/>
      <c r="AD12" s="62"/>
      <c r="AE12" s="63"/>
      <c r="AF12" s="64"/>
      <c r="AG12" s="64"/>
      <c r="AH12" s="64"/>
      <c r="AI12" s="65"/>
      <c r="AJ12" s="66"/>
      <c r="AK12" s="67"/>
      <c r="AL12" s="49"/>
      <c r="AM12" s="68"/>
      <c r="AN12" s="69"/>
      <c r="AO12" s="70"/>
    </row>
    <row r="13" ht="19.05" customHeight="1" spans="1:41" x14ac:dyDescent="0.25">
      <c r="A13" s="92"/>
      <c r="B13" s="6"/>
      <c r="C13" s="72"/>
      <c r="D13" s="6"/>
      <c r="E13" s="72"/>
      <c r="F13" s="6"/>
      <c r="G13" s="73"/>
      <c r="H13" s="10"/>
      <c r="I13" s="91"/>
      <c r="J13" s="6"/>
      <c r="K13" s="6"/>
      <c r="L13" s="6"/>
      <c r="M13" s="6"/>
      <c r="N13" s="6"/>
      <c r="O13" s="91"/>
      <c r="P13" s="6"/>
      <c r="Q13" s="6"/>
      <c r="R13" s="44">
        <v>21</v>
      </c>
      <c r="S13" s="45" t="s">
        <v>28</v>
      </c>
      <c r="T13" s="61"/>
      <c r="U13" s="61"/>
      <c r="V13" s="77"/>
      <c r="W13" s="60">
        <f>C22</f>
        <v>20</v>
      </c>
      <c r="X13" s="60">
        <f>E22</f>
        <v>1451</v>
      </c>
      <c r="Y13" s="63">
        <f>G22</f>
        <v>6993.82</v>
      </c>
      <c r="Z13" s="61">
        <f>M22</f>
        <v>20</v>
      </c>
      <c r="AA13" s="76">
        <f>O22</f>
        <v>1451</v>
      </c>
      <c r="AB13" s="77">
        <f>Q22</f>
        <v>6993.82</v>
      </c>
      <c r="AC13" s="60">
        <f>T13+W13-Z13</f>
        <v>0</v>
      </c>
      <c r="AD13" s="62">
        <f>U13+X13-AA13</f>
        <v>0</v>
      </c>
      <c r="AE13" s="63">
        <f>V13+Y13-AB13</f>
        <v>0</v>
      </c>
      <c r="AF13" s="53"/>
      <c r="AG13" s="53"/>
      <c r="AH13" s="53"/>
      <c r="AI13" s="65">
        <f>SUM(AF13:AH14)</f>
        <v>0</v>
      </c>
      <c r="AJ13" s="66">
        <v>142.25</v>
      </c>
      <c r="AK13" s="2">
        <v>13</v>
      </c>
      <c r="AL13" s="44">
        <v>8</v>
      </c>
      <c r="AM13" s="56">
        <f>AJ13*AL13</f>
        <v>1138</v>
      </c>
      <c r="AN13" s="57">
        <f>R13+AI13-AK13-AL13</f>
        <v>0</v>
      </c>
      <c r="AO13" s="78" t="s">
        <v>28</v>
      </c>
    </row>
    <row r="14" ht="19.05" customHeight="1" spans="1:41" x14ac:dyDescent="0.25">
      <c r="A14" s="79"/>
      <c r="B14" s="6"/>
      <c r="C14" s="80">
        <f>SUM(C11:C13)</f>
        <v>0</v>
      </c>
      <c r="D14" s="6"/>
      <c r="E14" s="80">
        <f>SUM(E11:E13)</f>
        <v>0</v>
      </c>
      <c r="F14" s="6"/>
      <c r="G14" s="81">
        <f>SUM(G11:G13)</f>
        <v>0</v>
      </c>
      <c r="H14" s="10"/>
      <c r="I14" s="82" t="e">
        <f t="shared" ref="I14" si="5">E14/C14</f>
        <v>#DIV/0!</v>
      </c>
      <c r="J14" s="6"/>
      <c r="K14" s="83" t="e">
        <f t="shared" ref="K14" si="6">G14/C14</f>
        <v>#DIV/0!</v>
      </c>
      <c r="L14" s="84"/>
      <c r="M14" s="85"/>
      <c r="N14" s="86"/>
      <c r="O14" s="87" t="e">
        <f t="shared" ref="O14" si="7">M14*I14</f>
        <v>#DIV/0!</v>
      </c>
      <c r="P14" s="88"/>
      <c r="Q14" s="89" t="e">
        <f t="shared" ref="Q14" si="8">M14*K14</f>
        <v>#DIV/0!</v>
      </c>
      <c r="R14" s="49"/>
      <c r="S14" s="59"/>
      <c r="T14" s="61"/>
      <c r="U14" s="61"/>
      <c r="V14" s="61"/>
      <c r="W14" s="60"/>
      <c r="X14" s="60"/>
      <c r="Y14" s="60"/>
      <c r="Z14" s="61"/>
      <c r="AA14" s="61"/>
      <c r="AB14" s="61"/>
      <c r="AC14" s="60"/>
      <c r="AD14" s="62"/>
      <c r="AE14" s="63"/>
      <c r="AF14" s="64"/>
      <c r="AG14" s="64"/>
      <c r="AH14" s="64"/>
      <c r="AI14" s="65"/>
      <c r="AJ14" s="66"/>
      <c r="AK14" s="67"/>
      <c r="AL14" s="49"/>
      <c r="AM14" s="68"/>
      <c r="AN14" s="69"/>
      <c r="AO14" s="70"/>
    </row>
    <row r="15" ht="19.05" customHeight="1" spans="1:41" x14ac:dyDescent="0.25">
      <c r="A15" s="90" t="s">
        <v>29</v>
      </c>
      <c r="B15" s="6"/>
      <c r="C15" s="42"/>
      <c r="D15" s="6"/>
      <c r="E15" s="42"/>
      <c r="F15" s="6"/>
      <c r="G15" s="43"/>
      <c r="H15" s="10"/>
      <c r="I15" s="91"/>
      <c r="J15" s="6"/>
      <c r="K15" s="6"/>
      <c r="L15" s="6"/>
      <c r="M15" s="6"/>
      <c r="N15" s="6"/>
      <c r="O15" s="91"/>
      <c r="P15" s="6"/>
      <c r="Q15" s="6"/>
      <c r="R15" s="44">
        <v>2</v>
      </c>
      <c r="S15" s="45" t="s">
        <v>30</v>
      </c>
      <c r="T15" s="61"/>
      <c r="U15" s="61"/>
      <c r="V15" s="61"/>
      <c r="W15" s="60"/>
      <c r="X15" s="60"/>
      <c r="Y15" s="60"/>
      <c r="Z15" s="61"/>
      <c r="AA15" s="61"/>
      <c r="AB15" s="61"/>
      <c r="AC15" s="60"/>
      <c r="AD15" s="62"/>
      <c r="AE15" s="63"/>
      <c r="AF15" s="53"/>
      <c r="AG15" s="53"/>
      <c r="AH15" s="53"/>
      <c r="AI15" s="65">
        <f>SUM(AF15:AH16)</f>
        <v>0</v>
      </c>
      <c r="AJ15" s="66">
        <v>87</v>
      </c>
      <c r="AK15" s="2">
        <v>5</v>
      </c>
      <c r="AL15" s="44">
        <v>0</v>
      </c>
      <c r="AM15" s="56">
        <f>AJ15*AL15</f>
        <v>0</v>
      </c>
      <c r="AN15" s="57">
        <f>R15+AI15-AK15-AL15</f>
        <v>-3</v>
      </c>
      <c r="AO15" s="78" t="s">
        <v>30</v>
      </c>
    </row>
    <row r="16" ht="19.05" customHeight="1" spans="1:41" x14ac:dyDescent="0.25">
      <c r="A16" s="90"/>
      <c r="B16" s="6"/>
      <c r="C16" s="142">
        <v>20</v>
      </c>
      <c r="D16" s="149"/>
      <c r="E16" s="151">
        <v>1301.1</v>
      </c>
      <c r="F16" s="149"/>
      <c r="G16" s="156">
        <v>12633.68</v>
      </c>
      <c r="H16" s="10"/>
      <c r="I16" s="91"/>
      <c r="J16" s="6"/>
      <c r="K16" s="6"/>
      <c r="L16" s="6"/>
      <c r="O16" s="6"/>
      <c r="P16" s="6"/>
      <c r="Q16" s="94"/>
      <c r="R16" s="49"/>
      <c r="S16" s="59"/>
      <c r="T16" s="61"/>
      <c r="U16" s="61"/>
      <c r="V16" s="61"/>
      <c r="W16" s="60"/>
      <c r="X16" s="60"/>
      <c r="Y16" s="60"/>
      <c r="Z16" s="61"/>
      <c r="AA16" s="61"/>
      <c r="AB16" s="61"/>
      <c r="AC16" s="60"/>
      <c r="AD16" s="62"/>
      <c r="AE16" s="63"/>
      <c r="AF16" s="64"/>
      <c r="AG16" s="64"/>
      <c r="AH16" s="64"/>
      <c r="AI16" s="65"/>
      <c r="AJ16" s="66"/>
      <c r="AK16" s="67"/>
      <c r="AL16" s="49"/>
      <c r="AM16" s="68"/>
      <c r="AN16" s="69"/>
      <c r="AO16" s="70"/>
    </row>
    <row r="17" ht="19.05" customHeight="1" spans="1:41" x14ac:dyDescent="0.25">
      <c r="A17" s="92"/>
      <c r="B17" s="6"/>
      <c r="C17" s="72"/>
      <c r="D17" s="6"/>
      <c r="E17" s="72"/>
      <c r="F17" s="6"/>
      <c r="G17" s="73"/>
      <c r="H17" s="10"/>
      <c r="I17" s="91"/>
      <c r="J17" s="6"/>
      <c r="K17" s="6"/>
      <c r="L17" s="6"/>
      <c r="M17" s="6"/>
      <c r="N17" s="6"/>
      <c r="O17" s="91"/>
      <c r="P17" s="6"/>
      <c r="Q17" s="6"/>
      <c r="R17" s="44">
        <v>14</v>
      </c>
      <c r="S17" s="45" t="s">
        <v>31</v>
      </c>
      <c r="T17" s="61"/>
      <c r="U17" s="61"/>
      <c r="V17" s="61"/>
      <c r="W17" s="60"/>
      <c r="X17" s="60"/>
      <c r="Y17" s="60"/>
      <c r="Z17" s="61"/>
      <c r="AA17" s="61"/>
      <c r="AB17" s="61"/>
      <c r="AC17" s="60"/>
      <c r="AD17" s="62"/>
      <c r="AE17" s="63"/>
      <c r="AF17" s="53"/>
      <c r="AG17" s="53"/>
      <c r="AH17" s="53"/>
      <c r="AI17" s="65">
        <f>SUM(AF17:AH18)</f>
        <v>0</v>
      </c>
      <c r="AJ17" s="66">
        <v>87</v>
      </c>
      <c r="AK17" s="2">
        <v>6</v>
      </c>
      <c r="AL17" s="44">
        <v>8</v>
      </c>
      <c r="AM17" s="56">
        <f>AJ17*AL17</f>
        <v>696</v>
      </c>
      <c r="AN17" s="57">
        <f>R17+AI17-AK17-AL17</f>
        <v>0</v>
      </c>
      <c r="AO17" s="95" t="s">
        <v>31</v>
      </c>
    </row>
    <row r="18" ht="19.05" customHeight="1" spans="1:41" x14ac:dyDescent="0.25">
      <c r="A18" s="79"/>
      <c r="B18" s="6"/>
      <c r="C18" s="80">
        <f>SUM(C15:C17)</f>
        <v>20</v>
      </c>
      <c r="D18" s="6"/>
      <c r="E18" s="80">
        <f>SUM(E15:E17)</f>
        <v>1301.1</v>
      </c>
      <c r="F18" s="6"/>
      <c r="G18" s="81">
        <f>SUM(G15:G17)</f>
        <v>12633.68</v>
      </c>
      <c r="H18" s="10"/>
      <c r="I18" s="82">
        <f t="shared" ref="I18" si="9">E18/C18</f>
        <v>65.05499999999999</v>
      </c>
      <c r="J18" s="6"/>
      <c r="K18" s="83">
        <f t="shared" ref="K18" si="10">G18/C18</f>
        <v>631.684</v>
      </c>
      <c r="L18" s="84"/>
      <c r="M18" s="85">
        <v>26</v>
      </c>
      <c r="N18" s="86"/>
      <c r="O18" s="87">
        <f t="shared" ref="O18" si="11">M18*I18</f>
        <v>1691.4299999999998</v>
      </c>
      <c r="P18" s="88"/>
      <c r="Q18" s="89">
        <f t="shared" ref="Q18" si="12">M18*K18</f>
        <v>16423.784</v>
      </c>
      <c r="R18" s="49"/>
      <c r="S18" s="59"/>
      <c r="T18" s="61"/>
      <c r="U18" s="61"/>
      <c r="V18" s="61"/>
      <c r="W18" s="60"/>
      <c r="X18" s="60"/>
      <c r="Y18" s="60"/>
      <c r="Z18" s="61"/>
      <c r="AA18" s="61"/>
      <c r="AB18" s="61"/>
      <c r="AC18" s="60"/>
      <c r="AD18" s="62"/>
      <c r="AE18" s="63"/>
      <c r="AF18" s="64"/>
      <c r="AG18" s="64"/>
      <c r="AH18" s="64"/>
      <c r="AI18" s="65"/>
      <c r="AJ18" s="66"/>
      <c r="AK18" s="67"/>
      <c r="AL18" s="49"/>
      <c r="AM18" s="68"/>
      <c r="AN18" s="69"/>
      <c r="AO18" s="96"/>
    </row>
    <row r="19" ht="19.05" customHeight="1" spans="1:41" x14ac:dyDescent="0.25">
      <c r="A19" s="90" t="s">
        <v>32</v>
      </c>
      <c r="B19" s="6"/>
      <c r="C19" s="42"/>
      <c r="D19" s="6"/>
      <c r="E19" s="42"/>
      <c r="F19" s="6"/>
      <c r="G19" s="43"/>
      <c r="H19" s="10"/>
      <c r="I19" s="91"/>
      <c r="J19" s="6"/>
      <c r="K19" s="6"/>
      <c r="L19" s="6"/>
      <c r="M19" s="6"/>
      <c r="N19" s="6"/>
      <c r="O19" s="91"/>
      <c r="P19" s="6"/>
      <c r="Q19" s="6"/>
      <c r="R19" s="44">
        <v>53</v>
      </c>
      <c r="S19" s="45" t="s">
        <v>33</v>
      </c>
      <c r="T19" s="61"/>
      <c r="U19" s="61"/>
      <c r="V19" s="61"/>
      <c r="W19" s="60"/>
      <c r="X19" s="60"/>
      <c r="Y19" s="60"/>
      <c r="Z19" s="61"/>
      <c r="AA19" s="61"/>
      <c r="AB19" s="61"/>
      <c r="AC19" s="60"/>
      <c r="AD19" s="62"/>
      <c r="AE19" s="63"/>
      <c r="AF19" s="53"/>
      <c r="AG19" s="53"/>
      <c r="AH19" s="53"/>
      <c r="AI19" s="65">
        <f>SUM(AF19:AH20)</f>
        <v>0</v>
      </c>
      <c r="AJ19" s="66">
        <v>87</v>
      </c>
      <c r="AK19" s="2">
        <v>14</v>
      </c>
      <c r="AL19" s="44">
        <v>39</v>
      </c>
      <c r="AM19" s="56">
        <f>AJ19*AL19</f>
        <v>3393</v>
      </c>
      <c r="AN19" s="57">
        <f>R19+AI19-AK19-AL19</f>
        <v>0</v>
      </c>
      <c r="AO19" s="95" t="s">
        <v>33</v>
      </c>
    </row>
    <row r="20" ht="19.05" customHeight="1" spans="1:41" x14ac:dyDescent="0.25">
      <c r="A20" s="90"/>
      <c r="B20" s="6"/>
      <c r="C20" s="42">
        <v>20</v>
      </c>
      <c r="D20" s="6"/>
      <c r="E20" s="42">
        <v>1451</v>
      </c>
      <c r="F20" s="6"/>
      <c r="G20" s="43">
        <v>6993.82</v>
      </c>
      <c r="H20" s="10"/>
      <c r="I20" s="91"/>
      <c r="J20" s="6"/>
      <c r="K20" s="6"/>
      <c r="L20" s="6"/>
      <c r="M20" s="6"/>
      <c r="N20" s="6"/>
      <c r="O20" s="91"/>
      <c r="P20" s="6"/>
      <c r="Q20" s="6"/>
      <c r="R20" s="49"/>
      <c r="S20" s="59"/>
      <c r="T20" s="61"/>
      <c r="U20" s="61"/>
      <c r="V20" s="61"/>
      <c r="W20" s="60"/>
      <c r="X20" s="60"/>
      <c r="Y20" s="60"/>
      <c r="Z20" s="61"/>
      <c r="AA20" s="61"/>
      <c r="AB20" s="61"/>
      <c r="AC20" s="60"/>
      <c r="AD20" s="62"/>
      <c r="AE20" s="63"/>
      <c r="AF20" s="64"/>
      <c r="AG20" s="64"/>
      <c r="AH20" s="64"/>
      <c r="AI20" s="65"/>
      <c r="AJ20" s="66"/>
      <c r="AK20" s="67"/>
      <c r="AL20" s="49"/>
      <c r="AM20" s="68"/>
      <c r="AN20" s="69"/>
      <c r="AO20" s="96"/>
    </row>
    <row r="21" ht="19.05" customHeight="1" spans="1:41" x14ac:dyDescent="0.25">
      <c r="A21" s="92"/>
      <c r="B21" s="6"/>
      <c r="C21" s="72"/>
      <c r="D21" s="6"/>
      <c r="E21" s="72"/>
      <c r="F21" s="6"/>
      <c r="G21" s="73"/>
      <c r="H21" s="10"/>
      <c r="I21" s="91"/>
      <c r="J21" s="6"/>
      <c r="K21" s="6"/>
      <c r="L21" s="6"/>
      <c r="M21" s="6"/>
      <c r="N21" s="6"/>
      <c r="O21" s="91"/>
      <c r="P21" s="6"/>
      <c r="Q21" s="6"/>
      <c r="R21" s="44">
        <v>79</v>
      </c>
      <c r="S21" s="45" t="s">
        <v>34</v>
      </c>
      <c r="T21" s="61"/>
      <c r="U21" s="61"/>
      <c r="V21" s="61"/>
      <c r="W21" s="60"/>
      <c r="X21" s="60"/>
      <c r="Y21" s="60"/>
      <c r="Z21" s="61"/>
      <c r="AA21" s="61"/>
      <c r="AB21" s="61"/>
      <c r="AC21" s="60"/>
      <c r="AD21" s="62"/>
      <c r="AE21" s="63"/>
      <c r="AF21" s="53"/>
      <c r="AG21" s="53"/>
      <c r="AH21" s="53"/>
      <c r="AI21" s="65">
        <f>SUM(AF21:AH22)</f>
        <v>0</v>
      </c>
      <c r="AJ21" s="66">
        <v>20</v>
      </c>
      <c r="AK21" s="2"/>
      <c r="AL21" s="44">
        <v>0</v>
      </c>
      <c r="AM21" s="56">
        <f>AJ21*AL21</f>
        <v>0</v>
      </c>
      <c r="AN21" s="57">
        <f>R21+AI21-AK21-AL21</f>
        <v>79</v>
      </c>
      <c r="AO21" s="78" t="s">
        <v>34</v>
      </c>
    </row>
    <row r="22" ht="19.05" customHeight="1" spans="1:41" x14ac:dyDescent="0.25">
      <c r="A22" s="79"/>
      <c r="B22" s="6"/>
      <c r="C22" s="80">
        <f>SUM(C19:C21)</f>
        <v>20</v>
      </c>
      <c r="D22" s="6"/>
      <c r="E22" s="80">
        <f>SUM(E19:E21)</f>
        <v>1451</v>
      </c>
      <c r="F22" s="6"/>
      <c r="G22" s="81">
        <f>SUM(G19:G21)</f>
        <v>6993.82</v>
      </c>
      <c r="H22" s="10"/>
      <c r="I22" s="82">
        <f t="shared" ref="I22" si="13">E22/C22</f>
        <v>72.55</v>
      </c>
      <c r="J22" s="6"/>
      <c r="K22" s="83">
        <f t="shared" ref="K22" si="14">G22/C22</f>
        <v>349.691</v>
      </c>
      <c r="L22" s="84"/>
      <c r="M22" s="85">
        <v>20</v>
      </c>
      <c r="N22" s="86"/>
      <c r="O22" s="87">
        <f t="shared" ref="O22" si="15">M22*I22</f>
        <v>1451</v>
      </c>
      <c r="P22" s="88"/>
      <c r="Q22" s="89">
        <f t="shared" ref="Q22" si="16">M22*K22</f>
        <v>6993.82</v>
      </c>
      <c r="R22" s="49"/>
      <c r="S22" s="59"/>
      <c r="T22" s="61"/>
      <c r="U22" s="61"/>
      <c r="V22" s="61"/>
      <c r="W22" s="60"/>
      <c r="X22" s="60"/>
      <c r="Y22" s="60"/>
      <c r="Z22" s="61"/>
      <c r="AA22" s="61"/>
      <c r="AB22" s="61"/>
      <c r="AC22" s="60"/>
      <c r="AD22" s="62"/>
      <c r="AE22" s="63"/>
      <c r="AF22" s="64"/>
      <c r="AG22" s="64"/>
      <c r="AH22" s="64"/>
      <c r="AI22" s="65"/>
      <c r="AJ22" s="66"/>
      <c r="AK22" s="67"/>
      <c r="AL22" s="49"/>
      <c r="AM22" s="68"/>
      <c r="AN22" s="69"/>
      <c r="AO22" s="70"/>
    </row>
    <row r="23" ht="19.05" customHeight="1" spans="1:41" x14ac:dyDescent="0.25">
      <c r="A23" s="41" t="s">
        <v>35</v>
      </c>
      <c r="B23" s="6"/>
      <c r="C23" s="42"/>
      <c r="D23" s="6"/>
      <c r="E23" s="42"/>
      <c r="F23" s="6"/>
      <c r="G23" s="43"/>
      <c r="H23" s="10"/>
      <c r="I23" s="91"/>
      <c r="J23" s="6"/>
      <c r="K23" s="6"/>
      <c r="L23" s="6"/>
      <c r="M23" s="6"/>
      <c r="N23" s="6"/>
      <c r="O23" s="91"/>
      <c r="P23" s="6"/>
      <c r="Q23" s="6"/>
      <c r="R23" s="74"/>
      <c r="S23" s="97" t="s">
        <v>35</v>
      </c>
      <c r="T23" s="61">
        <v>15</v>
      </c>
      <c r="U23" s="61">
        <v>887.5</v>
      </c>
      <c r="V23" s="77">
        <v>4863.5</v>
      </c>
      <c r="W23" s="60">
        <f>C26</f>
        <v>0</v>
      </c>
      <c r="X23" s="60">
        <f>E26</f>
        <v>0</v>
      </c>
      <c r="Y23" s="63">
        <f>G26</f>
        <v>0</v>
      </c>
      <c r="Z23" s="61">
        <f>M26</f>
        <v>9</v>
      </c>
      <c r="AA23" s="76">
        <f>O26</f>
        <v>531</v>
      </c>
      <c r="AB23" s="77">
        <f>Q26</f>
        <v>2918.07</v>
      </c>
      <c r="AC23" s="60">
        <f>T23+W23-Z23</f>
        <v>6</v>
      </c>
      <c r="AD23" s="62">
        <f>U23+X23-AA23</f>
        <v>356.5</v>
      </c>
      <c r="AE23" s="63">
        <f>V23+Y23-AB23</f>
        <v>1945.4299999999998</v>
      </c>
      <c r="AF23" s="98">
        <v>15</v>
      </c>
      <c r="AG23" s="98"/>
      <c r="AH23" s="98"/>
      <c r="AI23" s="65">
        <f>SUM(AF23:AH24)</f>
        <v>15</v>
      </c>
      <c r="AJ23" s="66">
        <f>AE23/AI23</f>
        <v>129.6953333333333</v>
      </c>
      <c r="AK23" s="99">
        <v>15</v>
      </c>
      <c r="AL23" s="74"/>
      <c r="AM23" s="100">
        <f>AJ23*AL23</f>
        <v>0</v>
      </c>
      <c r="AN23" s="101">
        <f>R23+AI23-AK23-AL23</f>
        <v>0</v>
      </c>
      <c r="AO23" s="78" t="s">
        <v>35</v>
      </c>
    </row>
    <row r="24" ht="19.05" customHeight="1" spans="1:41" x14ac:dyDescent="0.25">
      <c r="A24" s="41"/>
      <c r="B24" s="6"/>
      <c r="C24" s="42"/>
      <c r="D24" s="6"/>
      <c r="E24" s="42"/>
      <c r="F24" s="6"/>
      <c r="G24" s="43"/>
      <c r="H24" s="10"/>
      <c r="I24" s="91"/>
      <c r="J24" s="6"/>
      <c r="K24" s="6"/>
      <c r="L24" s="6"/>
      <c r="M24" s="6"/>
      <c r="N24" s="6"/>
      <c r="O24" s="91">
        <v>59</v>
      </c>
      <c r="P24" s="6"/>
      <c r="Q24" s="94">
        <v>324.23</v>
      </c>
      <c r="R24" s="102"/>
      <c r="S24" s="103"/>
      <c r="T24" s="104"/>
      <c r="U24" s="104"/>
      <c r="V24" s="104"/>
      <c r="W24" s="105"/>
      <c r="X24" s="105"/>
      <c r="Y24" s="105"/>
      <c r="Z24" s="104"/>
      <c r="AA24" s="104"/>
      <c r="AB24" s="104"/>
      <c r="AC24" s="105"/>
      <c r="AD24" s="106"/>
      <c r="AE24" s="107"/>
      <c r="AF24" s="108"/>
      <c r="AG24" s="108"/>
      <c r="AH24" s="108"/>
      <c r="AI24" s="109"/>
      <c r="AJ24" s="110"/>
      <c r="AK24" s="31"/>
      <c r="AL24" s="102"/>
      <c r="AM24" s="111"/>
      <c r="AN24" s="112"/>
      <c r="AO24" s="113"/>
    </row>
    <row r="25" ht="19.05" customHeight="1" spans="1:41" x14ac:dyDescent="0.25">
      <c r="A25" s="71"/>
      <c r="B25" s="6"/>
      <c r="C25" s="72"/>
      <c r="D25" s="6"/>
      <c r="E25" s="72"/>
      <c r="F25" s="6"/>
      <c r="G25" s="73"/>
      <c r="H25" s="6"/>
      <c r="I25" s="91"/>
      <c r="J25" s="6"/>
      <c r="K25" s="6"/>
      <c r="L25" s="6"/>
      <c r="M25" s="6"/>
      <c r="N25" s="6"/>
      <c r="O25" s="91"/>
      <c r="P25" s="6"/>
      <c r="Q25" s="6"/>
      <c r="R25" s="114"/>
      <c r="T25" s="115">
        <f>SUM(V3:V24)</f>
        <v>83301.013125</v>
      </c>
      <c r="U25" s="116"/>
      <c r="V25" s="116"/>
      <c r="W25" s="115">
        <f>SUM(Y3:Y24)</f>
        <v>20723.5</v>
      </c>
      <c r="X25" s="116"/>
      <c r="Y25" s="117"/>
      <c r="Z25" s="115">
        <f>SUM(AB3:AB24)</f>
        <v>41470.174</v>
      </c>
      <c r="AA25" s="116"/>
      <c r="AB25" s="117"/>
      <c r="AM25" s="118">
        <f>SUM(AM3:AM24)</f>
        <v>6534.216715328467</v>
      </c>
      <c r="AN25" s="4"/>
      <c r="AO25" s="119">
        <f>Z25+AM25</f>
        <v>48004.39071532847</v>
      </c>
    </row>
    <row r="26" ht="19.05" customHeight="1" spans="1:41" x14ac:dyDescent="0.25">
      <c r="A26" s="79"/>
      <c r="B26" s="88"/>
      <c r="C26" s="80">
        <f>SUM(C23:C25)</f>
        <v>0</v>
      </c>
      <c r="D26" s="88"/>
      <c r="E26" s="80">
        <f>SUM(E23:E25)</f>
        <v>0</v>
      </c>
      <c r="F26" s="88"/>
      <c r="G26" s="81">
        <f>SUM(G23:G25)</f>
        <v>0</v>
      </c>
      <c r="H26" s="88"/>
      <c r="I26" s="82" t="e">
        <f t="shared" ref="I26" si="17">E26/C26</f>
        <v>#DIV/0!</v>
      </c>
      <c r="J26" s="88"/>
      <c r="K26" s="83" t="e">
        <f t="shared" ref="K26" si="18">G26/C26</f>
        <v>#DIV/0!</v>
      </c>
      <c r="L26" s="84"/>
      <c r="M26" s="85">
        <v>9</v>
      </c>
      <c r="N26" s="86"/>
      <c r="O26" s="87">
        <f>O24*M26</f>
        <v>531</v>
      </c>
      <c r="P26" s="88"/>
      <c r="Q26" s="89">
        <f>Q24*M26</f>
        <v>2918.07</v>
      </c>
      <c r="R26" s="120"/>
      <c r="S26" s="31"/>
      <c r="T26" s="121"/>
      <c r="U26" s="122"/>
      <c r="V26" s="122"/>
      <c r="W26" s="121"/>
      <c r="X26" s="122"/>
      <c r="Y26" s="123"/>
      <c r="Z26" s="121"/>
      <c r="AA26" s="122"/>
      <c r="AB26" s="123"/>
      <c r="AC26" s="124"/>
      <c r="AD26" s="124"/>
      <c r="AE26" s="124"/>
      <c r="AF26" s="124"/>
      <c r="AG26" s="124"/>
      <c r="AH26" s="124"/>
      <c r="AI26" s="124"/>
      <c r="AJ26" s="124"/>
      <c r="AK26" s="124"/>
      <c r="AL26" s="124"/>
      <c r="AM26" s="125"/>
      <c r="AN26" s="126"/>
      <c r="AO26" s="127"/>
    </row>
    <row r="27" ht="15" customHeight="1" x14ac:dyDescent="0.25"/>
  </sheetData>
  <mergeCells count="293">
    <mergeCell ref="M1:Q1"/>
    <mergeCell ref="T1:V2"/>
    <mergeCell ref="W1:Y2"/>
    <mergeCell ref="Z1:AB2"/>
    <mergeCell ref="AC1:AE2"/>
    <mergeCell ref="AF1:AH2"/>
    <mergeCell ref="AK1:AN1"/>
    <mergeCell ref="A1:A2"/>
    <mergeCell ref="C1:C2"/>
    <mergeCell ref="E1:E2"/>
    <mergeCell ref="G1:G2"/>
    <mergeCell ref="I1:I2"/>
    <mergeCell ref="K1:K2"/>
    <mergeCell ref="R1:R2"/>
    <mergeCell ref="S1:S2"/>
    <mergeCell ref="AI1:AI2"/>
    <mergeCell ref="AJ1:AJ2"/>
    <mergeCell ref="AM2:AN2"/>
    <mergeCell ref="AO1:AO2"/>
    <mergeCell ref="A3:A5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G5:AG6"/>
    <mergeCell ref="AH5:AH6"/>
    <mergeCell ref="AI5:AI6"/>
    <mergeCell ref="AJ5:AJ6"/>
    <mergeCell ref="AK5:AK6"/>
    <mergeCell ref="AL5:AL6"/>
    <mergeCell ref="AM5:AM6"/>
    <mergeCell ref="AN5:AN6"/>
    <mergeCell ref="AO5:AO6"/>
    <mergeCell ref="A7:A9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AC7:AC8"/>
    <mergeCell ref="AD7:AD8"/>
    <mergeCell ref="AE7:AE8"/>
    <mergeCell ref="AF7:AF8"/>
    <mergeCell ref="AG7:AG8"/>
    <mergeCell ref="AH7:AH8"/>
    <mergeCell ref="AI7:AI8"/>
    <mergeCell ref="AJ7:AJ8"/>
    <mergeCell ref="AK7:AK8"/>
    <mergeCell ref="AL7:AL8"/>
    <mergeCell ref="AM7:AM8"/>
    <mergeCell ref="AN7:AN8"/>
    <mergeCell ref="AO7:AO8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AH9:AH10"/>
    <mergeCell ref="AI9:AI10"/>
    <mergeCell ref="AJ9:AJ10"/>
    <mergeCell ref="AK9:AK10"/>
    <mergeCell ref="AL9:AL10"/>
    <mergeCell ref="AM9:AM10"/>
    <mergeCell ref="AN9:AN10"/>
    <mergeCell ref="AO9:AO10"/>
    <mergeCell ref="A11:A13"/>
    <mergeCell ref="R11:R12"/>
    <mergeCell ref="S11:S12"/>
    <mergeCell ref="T11:T12"/>
    <mergeCell ref="U11:U12"/>
    <mergeCell ref="V11:V12"/>
    <mergeCell ref="W11:W12"/>
    <mergeCell ref="X11:X12"/>
    <mergeCell ref="Y11:Y12"/>
    <mergeCell ref="Z11:Z12"/>
    <mergeCell ref="AA11:AA12"/>
    <mergeCell ref="AB11:AB12"/>
    <mergeCell ref="AC11:AC12"/>
    <mergeCell ref="AD11:AD12"/>
    <mergeCell ref="AE11:AE12"/>
    <mergeCell ref="AF11:AF12"/>
    <mergeCell ref="AG11:AG12"/>
    <mergeCell ref="AH11:AH12"/>
    <mergeCell ref="AI11:AI12"/>
    <mergeCell ref="AJ11:AJ12"/>
    <mergeCell ref="AK11:AK12"/>
    <mergeCell ref="AL11:AL12"/>
    <mergeCell ref="AM11:AM12"/>
    <mergeCell ref="AN11:AN12"/>
    <mergeCell ref="AO11:AO12"/>
    <mergeCell ref="R13:R14"/>
    <mergeCell ref="S13:S14"/>
    <mergeCell ref="T13:T14"/>
    <mergeCell ref="U13:U14"/>
    <mergeCell ref="V13:V14"/>
    <mergeCell ref="W13:W14"/>
    <mergeCell ref="X13:X14"/>
    <mergeCell ref="Y13:Y14"/>
    <mergeCell ref="Z13:Z14"/>
    <mergeCell ref="AA13:AA14"/>
    <mergeCell ref="AB13:AB14"/>
    <mergeCell ref="AC13:AC14"/>
    <mergeCell ref="AD13:AD14"/>
    <mergeCell ref="AE13:AE14"/>
    <mergeCell ref="AF13:AF14"/>
    <mergeCell ref="AG13:AG14"/>
    <mergeCell ref="AH13:AH14"/>
    <mergeCell ref="AI13:AI14"/>
    <mergeCell ref="AJ13:AJ14"/>
    <mergeCell ref="AK13:AK14"/>
    <mergeCell ref="AL13:AL14"/>
    <mergeCell ref="AM13:AM14"/>
    <mergeCell ref="AN13:AN14"/>
    <mergeCell ref="AO13:AO14"/>
    <mergeCell ref="A15:A17"/>
    <mergeCell ref="R15:R16"/>
    <mergeCell ref="S15:S16"/>
    <mergeCell ref="T15:T16"/>
    <mergeCell ref="U15:U16"/>
    <mergeCell ref="V15:V16"/>
    <mergeCell ref="W15:W16"/>
    <mergeCell ref="X15:X16"/>
    <mergeCell ref="Y15:Y16"/>
    <mergeCell ref="Z15:Z16"/>
    <mergeCell ref="AA15:AA16"/>
    <mergeCell ref="AB15:AB16"/>
    <mergeCell ref="AC15:AC16"/>
    <mergeCell ref="AD15:AD16"/>
    <mergeCell ref="AE15:AE16"/>
    <mergeCell ref="AF15:AF16"/>
    <mergeCell ref="AG15:AG16"/>
    <mergeCell ref="AH15:AH16"/>
    <mergeCell ref="AI15:AI16"/>
    <mergeCell ref="AJ15:AJ16"/>
    <mergeCell ref="AK15:AK16"/>
    <mergeCell ref="AL15:AL16"/>
    <mergeCell ref="AM15:AM16"/>
    <mergeCell ref="AN15:AN16"/>
    <mergeCell ref="AO15:AO16"/>
    <mergeCell ref="R17:R18"/>
    <mergeCell ref="S17:S18"/>
    <mergeCell ref="T17:T18"/>
    <mergeCell ref="U17:U18"/>
    <mergeCell ref="V17:V18"/>
    <mergeCell ref="W17:W18"/>
    <mergeCell ref="X17:X18"/>
    <mergeCell ref="Y17:Y18"/>
    <mergeCell ref="Z17:Z18"/>
    <mergeCell ref="AA17:AA18"/>
    <mergeCell ref="AB17:AB18"/>
    <mergeCell ref="AC17:AC18"/>
    <mergeCell ref="AD17:AD18"/>
    <mergeCell ref="AE17:AE18"/>
    <mergeCell ref="AF17:AF18"/>
    <mergeCell ref="AG17:AG18"/>
    <mergeCell ref="AH17:AH18"/>
    <mergeCell ref="AI17:AI18"/>
    <mergeCell ref="AJ17:AJ18"/>
    <mergeCell ref="AK17:AK18"/>
    <mergeCell ref="AL17:AL18"/>
    <mergeCell ref="AM17:AM18"/>
    <mergeCell ref="AN17:AN18"/>
    <mergeCell ref="AO17:AO18"/>
    <mergeCell ref="A19:A21"/>
    <mergeCell ref="R19:R20"/>
    <mergeCell ref="S19:S20"/>
    <mergeCell ref="T19:T20"/>
    <mergeCell ref="U19:U20"/>
    <mergeCell ref="V19:V20"/>
    <mergeCell ref="W19:W20"/>
    <mergeCell ref="X19:X20"/>
    <mergeCell ref="Y19:Y20"/>
    <mergeCell ref="Z19:Z20"/>
    <mergeCell ref="AA19:AA20"/>
    <mergeCell ref="AB19:AB20"/>
    <mergeCell ref="AC19:AC20"/>
    <mergeCell ref="AD19:AD20"/>
    <mergeCell ref="AE19:AE20"/>
    <mergeCell ref="AF19:AF20"/>
    <mergeCell ref="AG19:AG20"/>
    <mergeCell ref="AH19:AH20"/>
    <mergeCell ref="AI19:AI20"/>
    <mergeCell ref="AJ19:AJ20"/>
    <mergeCell ref="AK19:AK20"/>
    <mergeCell ref="AL19:AL20"/>
    <mergeCell ref="AM19:AM20"/>
    <mergeCell ref="AN19:AN20"/>
    <mergeCell ref="AO19:AO20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21:AH22"/>
    <mergeCell ref="AI21:AI22"/>
    <mergeCell ref="AJ21:AJ22"/>
    <mergeCell ref="AK21:AK22"/>
    <mergeCell ref="AL21:AL22"/>
    <mergeCell ref="AM21:AM22"/>
    <mergeCell ref="AN21:AN22"/>
    <mergeCell ref="AO21:AO22"/>
    <mergeCell ref="A23:A25"/>
    <mergeCell ref="R23:R24"/>
    <mergeCell ref="S23:S24"/>
    <mergeCell ref="T23:T24"/>
    <mergeCell ref="U23:U24"/>
    <mergeCell ref="V23:V24"/>
    <mergeCell ref="W23:W24"/>
    <mergeCell ref="X23:X24"/>
    <mergeCell ref="Y23:Y24"/>
    <mergeCell ref="Z23:Z24"/>
    <mergeCell ref="AA23:AA24"/>
    <mergeCell ref="AB23:AB24"/>
    <mergeCell ref="AC23:AC24"/>
    <mergeCell ref="AD23:AD24"/>
    <mergeCell ref="AE23:AE24"/>
    <mergeCell ref="AF23:AF24"/>
    <mergeCell ref="AG23:AG24"/>
    <mergeCell ref="AH23:AH24"/>
    <mergeCell ref="AI23:AI24"/>
    <mergeCell ref="AJ23:AJ24"/>
    <mergeCell ref="AK23:AK24"/>
    <mergeCell ref="AL23:AL24"/>
    <mergeCell ref="AM23:AM24"/>
    <mergeCell ref="AN23:AN24"/>
    <mergeCell ref="AO23:AO24"/>
    <mergeCell ref="T25:V26"/>
    <mergeCell ref="W25:Y26"/>
    <mergeCell ref="Z25:AB26"/>
    <mergeCell ref="AM25:AM26"/>
  </mergeCells>
  <pageMargins left="0.2" right="0.2" top="0.75" bottom="0.75" header="0.3" footer="0.3"/>
  <pageSetup orientation="landscape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4"/>
  <sheetViews>
    <sheetView workbookViewId="0" zoomScale="90" zoomScaleNormal="90">
      <selection activeCell="Q8" sqref="Q8"/>
    </sheetView>
  </sheetViews>
  <sheetFormatPr defaultRowHeight="14.4" outlineLevelRow="0" outlineLevelCol="0" x14ac:dyDescent="0.3" customHeight="1"/>
  <cols>
    <col min="1" max="1" width="17.5546875" customWidth="1"/>
    <col min="2" max="2" width="12.33203125" customWidth="1"/>
    <col min="3" max="3" width="2.6640625" customWidth="1"/>
    <col min="4" max="4" width="12.33203125" customWidth="1"/>
    <col min="5" max="5" width="2.6640625" customWidth="1"/>
    <col min="6" max="6" width="12.33203125" style="1" customWidth="1"/>
    <col min="7" max="7" width="2.6640625" customWidth="1"/>
    <col min="8" max="8" width="12.33203125" customWidth="1"/>
    <col min="9" max="9" width="2.6640625" customWidth="1"/>
    <col min="10" max="10" width="12.33203125" customWidth="1"/>
    <col min="11" max="11" width="2.6640625" customWidth="1"/>
    <col min="12" max="12" width="12.33203125" customWidth="1"/>
    <col min="13" max="13" width="8.88671875" style="2" customWidth="1"/>
    <col min="14" max="14" width="8.88671875" style="6" customWidth="1"/>
    <col min="15" max="15" width="11.5546875" customWidth="1"/>
    <col min="16" max="16" width="17.5546875" customWidth="1"/>
    <col min="17" max="17" width="12.33203125" customWidth="1"/>
    <col min="18" max="18" width="2.6640625" customWidth="1"/>
    <col min="19" max="19" width="12.33203125" customWidth="1"/>
    <col min="20" max="20" width="2.6640625" customWidth="1"/>
    <col min="21" max="21" width="12.33203125" style="1" customWidth="1"/>
    <col min="22" max="22" width="2.6640625" customWidth="1"/>
    <col min="23" max="23" width="12.33203125" customWidth="1"/>
    <col min="24" max="24" width="2.6640625" customWidth="1"/>
    <col min="25" max="25" width="12.33203125" customWidth="1"/>
    <col min="26" max="26" width="2.6640625" customWidth="1"/>
    <col min="27" max="27" width="12.33203125" customWidth="1"/>
    <col min="28" max="28" width="8.88671875" style="2" customWidth="1"/>
    <col min="29" max="29" width="8.88671875" style="6" customWidth="1"/>
    <col min="30" max="30" width="11.5546875" customWidth="1"/>
    <col min="31" max="31" width="17.5546875" customWidth="1"/>
    <col min="32" max="32" width="12.33203125" customWidth="1"/>
    <col min="33" max="33" width="2.6640625" customWidth="1"/>
    <col min="34" max="34" width="12.33203125" customWidth="1"/>
    <col min="35" max="35" width="2.6640625" customWidth="1"/>
    <col min="36" max="36" width="12.33203125" style="1" customWidth="1"/>
    <col min="37" max="37" width="2.6640625" customWidth="1"/>
    <col min="38" max="38" width="12.33203125" customWidth="1"/>
    <col min="39" max="39" width="2.6640625" customWidth="1"/>
    <col min="40" max="40" width="12.33203125" customWidth="1"/>
    <col min="41" max="41" width="2.6640625" customWidth="1"/>
    <col min="42" max="42" width="12.33203125" customWidth="1"/>
    <col min="43" max="43" width="8.88671875" style="2" customWidth="1"/>
    <col min="44" max="44" width="8.88671875" style="6" customWidth="1"/>
    <col min="45" max="45" width="11.5546875" customWidth="1"/>
    <col min="46" max="46" width="17.5546875" customWidth="1"/>
    <col min="47" max="47" width="12.33203125" customWidth="1"/>
    <col min="48" max="48" width="2.6640625" customWidth="1"/>
    <col min="49" max="49" width="12.33203125" customWidth="1"/>
    <col min="50" max="50" width="2.6640625" customWidth="1"/>
    <col min="51" max="51" width="12.33203125" style="1" customWidth="1"/>
    <col min="52" max="52" width="2.6640625" customWidth="1"/>
    <col min="53" max="53" width="12.33203125" customWidth="1"/>
    <col min="54" max="54" width="2.6640625" customWidth="1"/>
    <col min="55" max="55" width="12.33203125" customWidth="1"/>
    <col min="56" max="56" width="2.6640625" customWidth="1"/>
    <col min="57" max="57" width="12.33203125" customWidth="1"/>
    <col min="58" max="58" width="8.88671875" style="2" customWidth="1"/>
    <col min="59" max="59" width="8.88671875" style="6" customWidth="1"/>
    <col min="60" max="60" width="12" customWidth="1"/>
    <col min="62" max="62" width="13.5546875" style="1" customWidth="1"/>
  </cols>
  <sheetData>
    <row r="1" ht="19.5" customHeight="1" spans="1:62" s="4" customFormat="1" x14ac:dyDescent="0.25">
      <c r="A1" s="128" t="s">
        <v>36</v>
      </c>
      <c r="B1" s="129"/>
      <c r="C1" s="129"/>
      <c r="D1" s="130" t="s">
        <v>37</v>
      </c>
      <c r="E1" s="130"/>
      <c r="F1" s="130"/>
      <c r="G1" s="130"/>
      <c r="H1" s="130"/>
      <c r="I1" s="130"/>
      <c r="J1" s="130"/>
      <c r="K1" s="130"/>
      <c r="L1" s="130"/>
      <c r="M1" s="130"/>
      <c r="N1" s="131"/>
      <c r="O1" s="132"/>
      <c r="P1" s="128" t="s">
        <v>36</v>
      </c>
      <c r="Q1" s="129"/>
      <c r="R1" s="129"/>
      <c r="S1" s="130">
        <f>D1</f>
        <v>NaN</v>
      </c>
      <c r="T1" s="130"/>
      <c r="U1" s="130"/>
      <c r="V1" s="130"/>
      <c r="W1" s="130"/>
      <c r="X1" s="130"/>
      <c r="Y1" s="130"/>
      <c r="Z1" s="130"/>
      <c r="AA1" s="130"/>
      <c r="AB1" s="130"/>
      <c r="AC1" s="131"/>
      <c r="AD1" s="132"/>
      <c r="AE1" s="128" t="s">
        <v>36</v>
      </c>
      <c r="AF1" s="129"/>
      <c r="AG1" s="129"/>
      <c r="AH1" s="130">
        <f>D1</f>
        <v>NaN</v>
      </c>
      <c r="AI1" s="130"/>
      <c r="AJ1" s="130"/>
      <c r="AK1" s="130"/>
      <c r="AL1" s="130"/>
      <c r="AM1" s="130"/>
      <c r="AN1" s="130"/>
      <c r="AO1" s="130"/>
      <c r="AP1" s="130"/>
      <c r="AQ1" s="130"/>
      <c r="AR1" s="131"/>
      <c r="AS1" s="132"/>
      <c r="AT1" s="128" t="s">
        <v>36</v>
      </c>
      <c r="AU1" s="129"/>
      <c r="AV1" s="129"/>
      <c r="AW1" s="130">
        <f>D1</f>
        <v>NaN</v>
      </c>
      <c r="AX1" s="130"/>
      <c r="AY1" s="130"/>
      <c r="AZ1" s="130"/>
      <c r="BA1" s="130"/>
      <c r="BB1" s="130"/>
      <c r="BC1" s="130"/>
      <c r="BD1" s="130"/>
      <c r="BE1" s="130"/>
      <c r="BF1" s="130"/>
      <c r="BG1" s="131"/>
      <c r="BH1" s="132"/>
      <c r="BJ1" s="133"/>
    </row>
    <row r="2" ht="19.5" customHeight="1" spans="1:62" s="4" customFormat="1" x14ac:dyDescent="0.25">
      <c r="A2" s="134"/>
      <c r="B2" s="126"/>
      <c r="C2" s="126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6"/>
      <c r="O2" s="137"/>
      <c r="P2" s="138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40"/>
      <c r="AD2" s="141"/>
      <c r="AE2" s="138"/>
      <c r="AH2" s="139"/>
      <c r="AI2" s="139"/>
      <c r="AJ2" s="139"/>
      <c r="AK2" s="139"/>
      <c r="AL2" s="139"/>
      <c r="AM2" s="139"/>
      <c r="AN2" s="139"/>
      <c r="AO2" s="139"/>
      <c r="AP2" s="139"/>
      <c r="AQ2" s="139"/>
      <c r="AR2" s="140"/>
      <c r="AS2" s="141"/>
      <c r="AT2" s="138"/>
      <c r="AW2" s="139"/>
      <c r="AX2" s="139"/>
      <c r="AY2" s="139"/>
      <c r="AZ2" s="139"/>
      <c r="BA2" s="139"/>
      <c r="BB2" s="139"/>
      <c r="BC2" s="139"/>
      <c r="BD2" s="139"/>
      <c r="BE2" s="139"/>
      <c r="BF2" s="139"/>
      <c r="BG2" s="140"/>
      <c r="BH2" s="141"/>
      <c r="BJ2" s="133"/>
    </row>
    <row r="3" ht="19.5" customHeight="1" spans="1:62" s="142" customFormat="1" x14ac:dyDescent="0.25">
      <c r="A3" s="143" t="s">
        <v>38</v>
      </c>
      <c r="B3" s="144" t="s">
        <v>1</v>
      </c>
      <c r="C3" s="144"/>
      <c r="D3" s="144" t="s">
        <v>16</v>
      </c>
      <c r="E3" s="144"/>
      <c r="F3" s="145" t="s">
        <v>3</v>
      </c>
      <c r="G3" s="144"/>
      <c r="H3" s="144" t="s">
        <v>4</v>
      </c>
      <c r="I3" s="144"/>
      <c r="J3" s="144" t="s">
        <v>5</v>
      </c>
      <c r="K3" s="146"/>
      <c r="L3" s="146"/>
      <c r="M3" s="146" t="s">
        <v>39</v>
      </c>
      <c r="N3" s="146" t="s">
        <v>40</v>
      </c>
      <c r="O3" s="147" t="s">
        <v>41</v>
      </c>
      <c r="P3" s="143" t="s">
        <v>38</v>
      </c>
      <c r="Q3" s="144" t="s">
        <v>1</v>
      </c>
      <c r="R3" s="144"/>
      <c r="S3" s="144" t="s">
        <v>16</v>
      </c>
      <c r="T3" s="144"/>
      <c r="U3" s="145" t="s">
        <v>3</v>
      </c>
      <c r="V3" s="144"/>
      <c r="W3" s="144" t="s">
        <v>4</v>
      </c>
      <c r="X3" s="144"/>
      <c r="Y3" s="144" t="s">
        <v>5</v>
      </c>
      <c r="Z3" s="146"/>
      <c r="AA3" s="146"/>
      <c r="AB3" s="146" t="s">
        <v>39</v>
      </c>
      <c r="AC3" s="146" t="s">
        <v>40</v>
      </c>
      <c r="AD3" s="147" t="s">
        <v>41</v>
      </c>
      <c r="AE3" s="143" t="s">
        <v>38</v>
      </c>
      <c r="AF3" s="144" t="s">
        <v>1</v>
      </c>
      <c r="AG3" s="144"/>
      <c r="AH3" s="144" t="s">
        <v>16</v>
      </c>
      <c r="AI3" s="144"/>
      <c r="AJ3" s="145" t="s">
        <v>3</v>
      </c>
      <c r="AK3" s="144"/>
      <c r="AL3" s="144" t="s">
        <v>4</v>
      </c>
      <c r="AM3" s="144"/>
      <c r="AN3" s="144" t="s">
        <v>5</v>
      </c>
      <c r="AO3" s="146"/>
      <c r="AP3" s="146"/>
      <c r="AQ3" s="146" t="s">
        <v>39</v>
      </c>
      <c r="AR3" s="146" t="s">
        <v>40</v>
      </c>
      <c r="AS3" s="147" t="s">
        <v>41</v>
      </c>
      <c r="AT3" s="143" t="s">
        <v>38</v>
      </c>
      <c r="AU3" s="144" t="s">
        <v>1</v>
      </c>
      <c r="AV3" s="144"/>
      <c r="AW3" s="144" t="s">
        <v>16</v>
      </c>
      <c r="AX3" s="144"/>
      <c r="AY3" s="145" t="s">
        <v>3</v>
      </c>
      <c r="AZ3" s="144"/>
      <c r="BA3" s="144" t="s">
        <v>4</v>
      </c>
      <c r="BB3" s="144"/>
      <c r="BC3" s="144" t="s">
        <v>5</v>
      </c>
      <c r="BD3" s="146"/>
      <c r="BE3" s="146"/>
      <c r="BF3" s="146" t="s">
        <v>39</v>
      </c>
      <c r="BG3" s="146" t="s">
        <v>40</v>
      </c>
      <c r="BH3" s="147" t="s">
        <v>41</v>
      </c>
      <c r="BJ3" s="148"/>
    </row>
    <row r="4" ht="19.5" customHeight="1" spans="1:62" s="149" customFormat="1" x14ac:dyDescent="0.25">
      <c r="A4" s="150"/>
      <c r="B4" s="151"/>
      <c r="C4" s="151"/>
      <c r="D4" s="152" t="s">
        <v>42</v>
      </c>
      <c r="E4" s="152"/>
      <c r="F4" s="152"/>
      <c r="G4" s="151"/>
      <c r="H4" s="153"/>
      <c r="I4" s="151"/>
      <c r="J4" s="154"/>
      <c r="K4" s="151"/>
      <c r="L4" s="151"/>
      <c r="M4" s="148"/>
      <c r="N4" s="151"/>
      <c r="O4" s="155"/>
      <c r="P4" s="150"/>
      <c r="Q4" s="151"/>
      <c r="R4" s="151"/>
      <c r="S4" s="152" t="s">
        <v>43</v>
      </c>
      <c r="T4" s="152"/>
      <c r="U4" s="152"/>
      <c r="V4" s="151"/>
      <c r="W4" s="153"/>
      <c r="X4" s="151"/>
      <c r="Y4" s="154"/>
      <c r="Z4" s="151"/>
      <c r="AA4" s="151"/>
      <c r="AB4" s="148"/>
      <c r="AC4" s="151"/>
      <c r="AD4" s="155"/>
      <c r="AE4" s="150"/>
      <c r="AF4" s="151"/>
      <c r="AG4" s="151"/>
      <c r="AH4" s="152" t="s">
        <v>26</v>
      </c>
      <c r="AI4" s="152"/>
      <c r="AJ4" s="152"/>
      <c r="AK4" s="151"/>
      <c r="AL4" s="153"/>
      <c r="AM4" s="151"/>
      <c r="AN4" s="154"/>
      <c r="AO4" s="151"/>
      <c r="AP4" s="151"/>
      <c r="AQ4" s="148"/>
      <c r="AR4" s="151"/>
      <c r="AS4" s="155"/>
      <c r="AT4" s="150"/>
      <c r="AU4" s="151"/>
      <c r="AV4" s="151"/>
      <c r="AW4" s="152" t="s">
        <v>44</v>
      </c>
      <c r="AX4" s="152"/>
      <c r="AY4" s="152"/>
      <c r="AZ4" s="151"/>
      <c r="BA4" s="153"/>
      <c r="BB4" s="151"/>
      <c r="BC4" s="154"/>
      <c r="BD4" s="151"/>
      <c r="BE4" s="151"/>
      <c r="BF4" s="148"/>
      <c r="BG4" s="151"/>
      <c r="BH4" s="155"/>
      <c r="BJ4" s="156"/>
    </row>
    <row r="5" ht="19.5" customHeight="1" spans="1:62" s="149" customFormat="1" x14ac:dyDescent="0.25">
      <c r="A5" s="157"/>
      <c r="B5" s="151"/>
      <c r="C5" s="151"/>
      <c r="D5" s="151"/>
      <c r="E5" s="151"/>
      <c r="F5" s="154"/>
      <c r="G5" s="151"/>
      <c r="H5" s="153"/>
      <c r="I5" s="151"/>
      <c r="J5" s="151"/>
      <c r="K5" s="151"/>
      <c r="L5" s="151"/>
      <c r="M5" s="142"/>
      <c r="N5" s="151"/>
      <c r="O5" s="155"/>
      <c r="P5" s="157"/>
      <c r="Q5" s="151"/>
      <c r="R5" s="151"/>
      <c r="S5" s="151"/>
      <c r="T5" s="151"/>
      <c r="U5" s="154"/>
      <c r="V5" s="151"/>
      <c r="W5" s="153"/>
      <c r="X5" s="151"/>
      <c r="Y5" s="151"/>
      <c r="Z5" s="151"/>
      <c r="AA5" s="151"/>
      <c r="AB5" s="142"/>
      <c r="AC5" s="151"/>
      <c r="AD5" s="155"/>
      <c r="AE5" s="157"/>
      <c r="AF5" s="151"/>
      <c r="AG5" s="151"/>
      <c r="AH5" s="151"/>
      <c r="AI5" s="151"/>
      <c r="AJ5" s="154"/>
      <c r="AK5" s="151"/>
      <c r="AL5" s="153"/>
      <c r="AM5" s="151"/>
      <c r="AN5" s="151"/>
      <c r="AO5" s="151"/>
      <c r="AP5" s="151"/>
      <c r="AQ5" s="142"/>
      <c r="AR5" s="151"/>
      <c r="AS5" s="155"/>
      <c r="AT5" s="157"/>
      <c r="AU5" s="151"/>
      <c r="AV5" s="151"/>
      <c r="AW5" s="151"/>
      <c r="AX5" s="151"/>
      <c r="AY5" s="154"/>
      <c r="AZ5" s="151"/>
      <c r="BA5" s="153"/>
      <c r="BB5" s="151"/>
      <c r="BC5" s="151"/>
      <c r="BD5" s="151"/>
      <c r="BE5" s="151"/>
      <c r="BF5" s="142"/>
      <c r="BG5" s="151"/>
      <c r="BH5" s="155"/>
      <c r="BJ5" s="156"/>
    </row>
    <row r="6" ht="19.5" customHeight="1" spans="1:62" s="142" customFormat="1" x14ac:dyDescent="0.25">
      <c r="A6" s="158"/>
      <c r="O6" s="159"/>
      <c r="P6" s="158"/>
      <c r="W6" s="160"/>
      <c r="Y6" s="148"/>
      <c r="AB6" s="148" t="e">
        <f>Y6/W6</f>
        <v>#DIV/0!</v>
      </c>
      <c r="AD6" s="161"/>
      <c r="AE6" s="158"/>
      <c r="AL6" s="160"/>
      <c r="AN6" s="148"/>
      <c r="AS6" s="161"/>
      <c r="AT6" s="162"/>
      <c r="AU6" s="151"/>
      <c r="AV6" s="151"/>
      <c r="AW6" s="151"/>
      <c r="AX6" s="151"/>
      <c r="AY6" s="154"/>
      <c r="AZ6" s="151"/>
      <c r="BA6" s="153"/>
      <c r="BB6" s="151"/>
      <c r="BC6" s="154"/>
      <c r="BF6" s="148"/>
      <c r="BH6" s="161"/>
      <c r="BJ6" s="148"/>
    </row>
    <row r="7" ht="19.5" customHeight="1" spans="1:63" s="149" customFormat="1" x14ac:dyDescent="0.25">
      <c r="A7" s="158"/>
      <c r="B7" s="151"/>
      <c r="C7" s="151"/>
      <c r="D7" s="151"/>
      <c r="E7" s="151"/>
      <c r="F7" s="154"/>
      <c r="G7" s="151"/>
      <c r="H7" s="160"/>
      <c r="I7" s="142"/>
      <c r="J7" s="148"/>
      <c r="K7" s="151"/>
      <c r="L7" s="151"/>
      <c r="M7" s="148"/>
      <c r="N7" s="151"/>
      <c r="O7" s="155"/>
      <c r="P7" s="158"/>
      <c r="Q7" s="151"/>
      <c r="R7" s="151"/>
      <c r="S7" s="151"/>
      <c r="T7" s="151"/>
      <c r="U7" s="154"/>
      <c r="V7" s="151"/>
      <c r="W7" s="153"/>
      <c r="X7" s="151"/>
      <c r="Y7" s="154"/>
      <c r="Z7" s="151"/>
      <c r="AA7" s="151"/>
      <c r="AB7" s="148"/>
      <c r="AC7" s="151"/>
      <c r="AD7" s="163"/>
      <c r="AE7" s="158"/>
      <c r="AF7" s="151"/>
      <c r="AG7" s="151"/>
      <c r="AH7" s="151"/>
      <c r="AI7" s="151"/>
      <c r="AJ7" s="151"/>
      <c r="AK7" s="151"/>
      <c r="AL7" s="151"/>
      <c r="AM7" s="151"/>
      <c r="AN7" s="151"/>
      <c r="AO7" s="151"/>
      <c r="AP7" s="151"/>
      <c r="AQ7" s="151"/>
      <c r="AR7" s="151"/>
      <c r="AS7" s="161"/>
      <c r="AT7" s="162"/>
      <c r="AU7" s="151"/>
      <c r="AV7" s="151"/>
      <c r="AW7" s="151"/>
      <c r="AX7" s="151"/>
      <c r="AY7" s="154"/>
      <c r="AZ7" s="151"/>
      <c r="BA7" s="153"/>
      <c r="BB7" s="151"/>
      <c r="BC7" s="154"/>
      <c r="BD7" s="151"/>
      <c r="BE7" s="151"/>
      <c r="BF7" s="148"/>
      <c r="BG7" s="151"/>
      <c r="BH7" s="163"/>
      <c r="BJ7" s="148"/>
      <c r="BK7" s="142"/>
    </row>
    <row r="8" ht="19.5" customHeight="1" spans="1:63" s="149" customFormat="1" x14ac:dyDescent="0.25">
      <c r="A8" s="158"/>
      <c r="B8" s="151"/>
      <c r="C8" s="151"/>
      <c r="D8" s="151"/>
      <c r="E8" s="151"/>
      <c r="F8" s="154"/>
      <c r="G8" s="151"/>
      <c r="H8" s="153"/>
      <c r="I8" s="151"/>
      <c r="J8" s="154"/>
      <c r="K8" s="151"/>
      <c r="L8" s="151"/>
      <c r="M8" s="148"/>
      <c r="N8" s="151"/>
      <c r="O8" s="155"/>
      <c r="P8" s="158">
        <v>46073</v>
      </c>
      <c r="W8" s="160">
        <f>'Production (28)'!E16/'Production (28)'!C16</f>
        <v>65.05499999999999</v>
      </c>
      <c r="X8" s="142"/>
      <c r="Y8" s="148">
        <f>'Production (28)'!G16/'Production (28)'!C16</f>
        <v>631.684</v>
      </c>
      <c r="Z8" s="151"/>
      <c r="AA8" s="151"/>
      <c r="AB8" s="148">
        <f>Y8/W8</f>
        <v>9.70999923141957</v>
      </c>
      <c r="AC8" s="151"/>
      <c r="AD8" s="163"/>
      <c r="AE8" s="158"/>
      <c r="AK8" s="142"/>
      <c r="AL8" s="160"/>
      <c r="AM8" s="142"/>
      <c r="AN8" s="148"/>
      <c r="AO8" s="142"/>
      <c r="AP8" s="142"/>
      <c r="AQ8" s="142"/>
      <c r="AR8" s="142"/>
      <c r="AS8" s="161"/>
      <c r="AT8" s="162"/>
      <c r="AU8" s="151"/>
      <c r="AV8" s="151"/>
      <c r="AW8" s="151"/>
      <c r="AX8" s="151"/>
      <c r="AY8" s="154"/>
      <c r="AZ8" s="151"/>
      <c r="BA8" s="153"/>
      <c r="BB8" s="151"/>
      <c r="BC8" s="154">
        <v>75</v>
      </c>
      <c r="BD8" s="151"/>
      <c r="BE8" s="151"/>
      <c r="BF8" s="148"/>
      <c r="BG8" s="151"/>
      <c r="BH8" s="163"/>
      <c r="BJ8" s="148"/>
      <c r="BK8" s="142"/>
    </row>
    <row r="9" ht="19.5" customHeight="1" spans="1:63" s="149" customFormat="1" x14ac:dyDescent="0.25">
      <c r="A9" s="158"/>
      <c r="G9" s="151"/>
      <c r="H9" s="153"/>
      <c r="I9" s="151"/>
      <c r="J9" s="154"/>
      <c r="K9" s="151"/>
      <c r="L9" s="151"/>
      <c r="M9" s="148"/>
      <c r="N9" s="151"/>
      <c r="O9" s="155"/>
      <c r="P9" s="158"/>
      <c r="Q9" s="151"/>
      <c r="R9" s="151"/>
      <c r="S9" s="151"/>
      <c r="T9" s="151"/>
      <c r="U9" s="154"/>
      <c r="V9" s="151"/>
      <c r="W9" s="153"/>
      <c r="X9" s="151"/>
      <c r="Y9" s="154"/>
      <c r="Z9" s="151"/>
      <c r="AA9" s="151"/>
      <c r="AB9" s="148"/>
      <c r="AC9" s="151"/>
      <c r="AD9" s="163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62"/>
      <c r="AU9" s="151"/>
      <c r="AV9" s="151"/>
      <c r="AW9" s="151"/>
      <c r="AX9" s="151"/>
      <c r="AY9" s="154"/>
      <c r="AZ9" s="151"/>
      <c r="BA9" s="153"/>
      <c r="BB9" s="151"/>
      <c r="BC9" s="154"/>
      <c r="BD9" s="151"/>
      <c r="BE9" s="151"/>
      <c r="BF9" s="148"/>
      <c r="BG9" s="151"/>
      <c r="BH9" s="163"/>
      <c r="BJ9" s="148"/>
      <c r="BK9" s="142"/>
    </row>
    <row r="10" ht="19.5" customHeight="1" spans="2:63" s="149" customFormat="1" x14ac:dyDescent="0.25">
      <c r="B10" s="142"/>
      <c r="C10" s="142"/>
      <c r="D10" s="142"/>
      <c r="E10" s="142"/>
      <c r="F10" s="148"/>
      <c r="G10" s="142"/>
      <c r="H10" s="142"/>
      <c r="I10" s="142"/>
      <c r="J10" s="142"/>
      <c r="P10" s="158"/>
      <c r="V10" s="151"/>
      <c r="W10" s="160"/>
      <c r="X10" s="142"/>
      <c r="Y10" s="148"/>
      <c r="Z10" s="151"/>
      <c r="AA10" s="151"/>
      <c r="AB10" s="148"/>
      <c r="AC10" s="151"/>
      <c r="AD10" s="163"/>
      <c r="AE10" s="158"/>
      <c r="AK10" s="151"/>
      <c r="AL10" s="160"/>
      <c r="AM10" s="142"/>
      <c r="AN10" s="148"/>
      <c r="AO10" s="151"/>
      <c r="AP10" s="151"/>
      <c r="AQ10" s="151"/>
      <c r="AR10" s="151"/>
      <c r="AS10" s="151"/>
      <c r="AT10" s="162"/>
      <c r="AU10" s="151"/>
      <c r="AW10" s="151"/>
      <c r="AY10" s="156"/>
      <c r="BA10" s="153"/>
      <c r="BC10" s="154"/>
      <c r="BD10" s="151"/>
      <c r="BE10" s="151"/>
      <c r="BF10" s="148"/>
      <c r="BG10" s="151"/>
      <c r="BH10" s="163"/>
      <c r="BJ10" s="148"/>
      <c r="BK10" s="142"/>
    </row>
    <row r="11" ht="19.5" customHeight="1" spans="1:63" s="149" customFormat="1" x14ac:dyDescent="0.25">
      <c r="A11" s="158"/>
      <c r="B11" s="151"/>
      <c r="C11" s="151"/>
      <c r="D11" s="151"/>
      <c r="E11" s="151"/>
      <c r="F11" s="154"/>
      <c r="G11" s="151"/>
      <c r="H11" s="153"/>
      <c r="I11" s="151"/>
      <c r="J11" s="154"/>
      <c r="K11" s="151"/>
      <c r="L11" s="151"/>
      <c r="M11" s="148"/>
      <c r="N11" s="151"/>
      <c r="O11" s="155"/>
      <c r="P11" s="158"/>
      <c r="Q11" s="151"/>
      <c r="R11" s="151"/>
      <c r="S11" s="151"/>
      <c r="T11" s="151"/>
      <c r="U11" s="154"/>
      <c r="V11" s="151"/>
      <c r="W11" s="153"/>
      <c r="X11" s="151"/>
      <c r="Y11" s="154"/>
      <c r="Z11" s="151"/>
      <c r="AA11" s="151"/>
      <c r="AB11" s="148"/>
      <c r="AC11" s="151"/>
      <c r="AD11" s="163"/>
      <c r="AE11" s="151"/>
      <c r="AF11" s="151"/>
      <c r="AG11" s="151"/>
      <c r="AH11" s="151"/>
      <c r="AI11" s="151"/>
      <c r="AJ11" s="151"/>
      <c r="AK11" s="151"/>
      <c r="AL11" s="151"/>
      <c r="AM11" s="151"/>
      <c r="AN11" s="151"/>
      <c r="AO11" s="151"/>
      <c r="AP11" s="151"/>
      <c r="AQ11" s="151"/>
      <c r="AR11" s="151"/>
      <c r="AS11" s="151"/>
      <c r="AT11" s="162"/>
      <c r="AU11" s="151"/>
      <c r="AW11" s="151"/>
      <c r="AY11" s="156"/>
      <c r="BA11" s="153"/>
      <c r="BC11" s="154"/>
      <c r="BD11" s="151"/>
      <c r="BE11" s="151"/>
      <c r="BF11" s="148"/>
      <c r="BG11" s="151"/>
      <c r="BH11" s="163"/>
      <c r="BJ11" s="148"/>
      <c r="BK11" s="142"/>
    </row>
    <row r="12" ht="19.5" customHeight="1" spans="1:63" s="149" customFormat="1" x14ac:dyDescent="0.25">
      <c r="A12" s="158"/>
      <c r="B12" s="151"/>
      <c r="C12" s="151"/>
      <c r="D12" s="151"/>
      <c r="E12" s="151"/>
      <c r="F12" s="154"/>
      <c r="G12" s="151"/>
      <c r="H12" s="153"/>
      <c r="I12" s="151"/>
      <c r="J12" s="154"/>
      <c r="K12" s="151"/>
      <c r="L12" s="151"/>
      <c r="M12" s="148"/>
      <c r="N12" s="151"/>
      <c r="O12" s="155"/>
      <c r="P12" s="158"/>
      <c r="Q12" s="151"/>
      <c r="R12" s="151"/>
      <c r="S12" s="151"/>
      <c r="T12" s="151"/>
      <c r="U12" s="154"/>
      <c r="V12" s="151"/>
      <c r="W12" s="160"/>
      <c r="X12" s="142"/>
      <c r="Y12" s="148"/>
      <c r="Z12" s="151"/>
      <c r="AA12" s="151"/>
      <c r="AB12" s="148"/>
      <c r="AC12" s="151"/>
      <c r="AD12" s="163"/>
      <c r="AT12" s="158"/>
      <c r="AU12" s="151"/>
      <c r="AV12" s="151"/>
      <c r="AW12" s="151"/>
      <c r="AX12" s="151"/>
      <c r="AY12" s="154"/>
      <c r="AZ12" s="151"/>
      <c r="BA12" s="153"/>
      <c r="BB12" s="151"/>
      <c r="BC12" s="154"/>
      <c r="BD12" s="151"/>
      <c r="BE12" s="151"/>
      <c r="BF12" s="148"/>
      <c r="BG12" s="151"/>
      <c r="BH12" s="163"/>
      <c r="BJ12" s="148"/>
      <c r="BK12" s="142"/>
    </row>
    <row r="13" ht="19.5" customHeight="1" spans="1:62" s="149" customFormat="1" x14ac:dyDescent="0.25">
      <c r="A13" s="164"/>
      <c r="F13" s="156"/>
      <c r="M13" s="142"/>
      <c r="N13" s="151"/>
      <c r="O13" s="155"/>
      <c r="P13" s="157"/>
      <c r="Q13" s="151"/>
      <c r="R13" s="151"/>
      <c r="S13" s="151"/>
      <c r="T13" s="151"/>
      <c r="U13" s="154"/>
      <c r="V13" s="151"/>
      <c r="W13" s="153"/>
      <c r="X13" s="151"/>
      <c r="Y13" s="154"/>
      <c r="Z13" s="151"/>
      <c r="AA13" s="151"/>
      <c r="AB13" s="148"/>
      <c r="AC13" s="151"/>
      <c r="AD13" s="163"/>
      <c r="AE13" s="157"/>
      <c r="AF13" s="151"/>
      <c r="AG13" s="151"/>
      <c r="AH13" s="151"/>
      <c r="AI13" s="151"/>
      <c r="AJ13" s="154"/>
      <c r="AK13" s="151"/>
      <c r="AL13" s="153"/>
      <c r="AM13" s="151"/>
      <c r="AN13" s="151"/>
      <c r="AO13" s="151"/>
      <c r="AP13" s="151"/>
      <c r="AQ13" s="142"/>
      <c r="AR13" s="151"/>
      <c r="AS13" s="155"/>
      <c r="AT13" s="157"/>
      <c r="AU13" s="151"/>
      <c r="AV13" s="151"/>
      <c r="AW13" s="151"/>
      <c r="AX13" s="151"/>
      <c r="AY13" s="154"/>
      <c r="AZ13" s="151"/>
      <c r="BA13" s="153"/>
      <c r="BB13" s="151"/>
      <c r="BC13" s="151"/>
      <c r="BD13" s="151"/>
      <c r="BE13" s="151"/>
      <c r="BF13" s="142"/>
      <c r="BG13" s="151"/>
      <c r="BH13" s="163"/>
      <c r="BJ13" s="148"/>
    </row>
    <row r="14" ht="19.5" customHeight="1" spans="1:62" s="149" customFormat="1" x14ac:dyDescent="0.25">
      <c r="A14" s="157"/>
      <c r="B14" s="151"/>
      <c r="C14" s="151"/>
      <c r="D14" s="151"/>
      <c r="E14" s="151"/>
      <c r="F14" s="154"/>
      <c r="G14" s="151"/>
      <c r="H14" s="153"/>
      <c r="I14" s="151"/>
      <c r="J14" s="151"/>
      <c r="K14" s="151"/>
      <c r="L14" s="151"/>
      <c r="M14" s="142"/>
      <c r="N14" s="151"/>
      <c r="O14" s="155"/>
      <c r="P14" s="157"/>
      <c r="Q14" s="151"/>
      <c r="R14" s="151"/>
      <c r="S14" s="151"/>
      <c r="T14" s="151"/>
      <c r="U14" s="154"/>
      <c r="V14" s="151"/>
      <c r="W14" s="160"/>
      <c r="X14" s="142"/>
      <c r="Y14" s="148"/>
      <c r="Z14" s="151"/>
      <c r="AA14" s="151"/>
      <c r="AB14" s="148"/>
      <c r="AC14" s="151"/>
      <c r="AD14" s="163"/>
      <c r="AE14" s="157"/>
      <c r="AF14" s="151"/>
      <c r="AG14" s="151"/>
      <c r="AH14" s="151"/>
      <c r="AI14" s="151"/>
      <c r="AJ14" s="154"/>
      <c r="AK14" s="151"/>
      <c r="AL14" s="153"/>
      <c r="AM14" s="151"/>
      <c r="AN14" s="151"/>
      <c r="AO14" s="151"/>
      <c r="AP14" s="151"/>
      <c r="AQ14" s="142"/>
      <c r="AR14" s="151"/>
      <c r="AS14" s="155"/>
      <c r="AT14" s="157"/>
      <c r="AU14" s="151"/>
      <c r="AV14" s="151"/>
      <c r="AW14" s="165" t="s">
        <v>45</v>
      </c>
      <c r="AX14" s="165"/>
      <c r="AY14" s="165"/>
      <c r="AZ14" s="151"/>
      <c r="BA14" s="153"/>
      <c r="BB14" s="151"/>
      <c r="BC14" s="151"/>
      <c r="BD14" s="151"/>
      <c r="BE14" s="151"/>
      <c r="BF14" s="142"/>
      <c r="BG14" s="151"/>
      <c r="BH14" s="163"/>
      <c r="BJ14" s="148"/>
    </row>
    <row r="15" ht="19.5" customHeight="1" spans="1:62" s="149" customFormat="1" x14ac:dyDescent="0.25">
      <c r="A15" s="157"/>
      <c r="B15" s="151"/>
      <c r="C15" s="151"/>
      <c r="D15" s="151"/>
      <c r="F15" s="156"/>
      <c r="M15" s="142"/>
      <c r="N15" s="151"/>
      <c r="O15" s="155"/>
      <c r="P15" s="157"/>
      <c r="Q15" s="151"/>
      <c r="R15" s="151"/>
      <c r="S15" s="151"/>
      <c r="U15" s="156"/>
      <c r="W15" s="153"/>
      <c r="X15" s="151"/>
      <c r="Y15" s="154"/>
      <c r="AB15" s="148"/>
      <c r="AC15" s="151"/>
      <c r="AD15" s="163"/>
      <c r="AE15" s="157"/>
      <c r="AF15" s="151"/>
      <c r="AG15" s="151"/>
      <c r="AH15" s="151"/>
      <c r="AJ15" s="156"/>
      <c r="AQ15" s="142"/>
      <c r="AR15" s="151"/>
      <c r="AS15" s="155"/>
      <c r="AT15" s="157"/>
      <c r="AU15" s="151"/>
      <c r="AV15" s="151"/>
      <c r="AW15" s="151"/>
      <c r="AY15" s="156"/>
      <c r="BF15" s="142"/>
      <c r="BG15" s="151"/>
      <c r="BH15" s="163"/>
      <c r="BJ15" s="148"/>
    </row>
    <row r="16" ht="19.5" customHeight="1" spans="1:62" s="149" customFormat="1" x14ac:dyDescent="0.25">
      <c r="A16" s="164"/>
      <c r="F16" s="156"/>
      <c r="M16" s="142"/>
      <c r="N16" s="151"/>
      <c r="O16" s="155"/>
      <c r="P16" s="164"/>
      <c r="W16" s="160"/>
      <c r="X16" s="142"/>
      <c r="Y16" s="148"/>
      <c r="AB16" s="148"/>
      <c r="AC16" s="151"/>
      <c r="AD16" s="163"/>
      <c r="AE16" s="164"/>
      <c r="AJ16" s="156"/>
      <c r="AQ16" s="142"/>
      <c r="AR16" s="151"/>
      <c r="AS16" s="155"/>
      <c r="AT16" s="162"/>
      <c r="AU16" s="151"/>
      <c r="AV16" s="151"/>
      <c r="AW16" s="151"/>
      <c r="AX16" s="151"/>
      <c r="AY16" s="154"/>
      <c r="AZ16" s="151"/>
      <c r="BA16" s="153"/>
      <c r="BB16" s="151"/>
      <c r="BC16" s="154"/>
      <c r="BF16" s="148"/>
      <c r="BG16" s="151"/>
      <c r="BH16" s="163"/>
      <c r="BJ16" s="148"/>
    </row>
    <row r="17" ht="19.5" customHeight="1" spans="1:62" s="149" customFormat="1" x14ac:dyDescent="0.25">
      <c r="A17" s="164"/>
      <c r="F17" s="156"/>
      <c r="M17" s="142"/>
      <c r="N17" s="151"/>
      <c r="O17" s="155"/>
      <c r="P17" s="164"/>
      <c r="U17" s="156"/>
      <c r="W17" s="153"/>
      <c r="X17" s="151"/>
      <c r="Y17" s="154"/>
      <c r="AB17" s="142"/>
      <c r="AC17" s="151"/>
      <c r="AD17" s="163"/>
      <c r="AE17" s="164"/>
      <c r="AJ17" s="156"/>
      <c r="AQ17" s="142"/>
      <c r="AR17" s="151"/>
      <c r="AS17" s="155"/>
      <c r="AT17" s="162"/>
      <c r="AU17" s="151"/>
      <c r="AV17" s="151"/>
      <c r="AW17" s="151"/>
      <c r="AX17" s="151"/>
      <c r="AY17" s="154"/>
      <c r="AZ17" s="151"/>
      <c r="BA17" s="153"/>
      <c r="BB17" s="151"/>
      <c r="BC17" s="154"/>
      <c r="BF17" s="148"/>
      <c r="BG17" s="151"/>
      <c r="BH17" s="163"/>
      <c r="BJ17" s="148"/>
    </row>
    <row r="18" ht="19.5" customHeight="1" spans="1:62" s="149" customFormat="1" x14ac:dyDescent="0.25">
      <c r="A18" s="164"/>
      <c r="F18" s="156"/>
      <c r="M18" s="142"/>
      <c r="N18" s="151"/>
      <c r="O18" s="155"/>
      <c r="P18" s="164"/>
      <c r="U18" s="156"/>
      <c r="W18" s="160"/>
      <c r="X18" s="142"/>
      <c r="Y18" s="148"/>
      <c r="AB18" s="148"/>
      <c r="AC18" s="151"/>
      <c r="AD18" s="163"/>
      <c r="AE18" s="164"/>
      <c r="AJ18" s="156"/>
      <c r="AQ18" s="142"/>
      <c r="AR18" s="151"/>
      <c r="AS18" s="155"/>
      <c r="AT18" s="151"/>
      <c r="AU18" s="151"/>
      <c r="AV18" s="151"/>
      <c r="AW18" s="151"/>
      <c r="AX18" s="151"/>
      <c r="AY18" s="151"/>
      <c r="AZ18" s="151"/>
      <c r="BA18" s="151"/>
      <c r="BB18" s="151"/>
      <c r="BC18" s="151"/>
      <c r="BF18" s="142"/>
      <c r="BG18" s="151"/>
      <c r="BH18" s="163"/>
      <c r="BJ18" s="148"/>
    </row>
    <row r="19" ht="19.5" customHeight="1" spans="1:62" s="149" customFormat="1" x14ac:dyDescent="0.25">
      <c r="A19" s="164"/>
      <c r="F19" s="156"/>
      <c r="M19" s="142"/>
      <c r="N19" s="151"/>
      <c r="O19" s="155"/>
      <c r="P19" s="164"/>
      <c r="U19" s="156"/>
      <c r="W19" s="153"/>
      <c r="X19" s="151"/>
      <c r="Y19" s="154"/>
      <c r="AB19" s="142"/>
      <c r="AC19" s="151"/>
      <c r="AD19" s="163"/>
      <c r="AE19" s="164"/>
      <c r="AJ19" s="156"/>
      <c r="AQ19" s="142"/>
      <c r="AR19" s="151"/>
      <c r="AS19" s="155"/>
      <c r="AT19" s="162"/>
      <c r="AU19" s="151"/>
      <c r="AV19" s="151"/>
      <c r="AW19" s="151"/>
      <c r="AX19" s="151"/>
      <c r="AY19" s="154"/>
      <c r="AZ19" s="151"/>
      <c r="BA19" s="153"/>
      <c r="BB19" s="151"/>
      <c r="BC19" s="154"/>
      <c r="BF19" s="142"/>
      <c r="BG19" s="151"/>
      <c r="BH19" s="163"/>
      <c r="BJ19" s="148"/>
    </row>
    <row r="20" ht="19.5" customHeight="1" spans="1:62" s="149" customFormat="1" x14ac:dyDescent="0.25">
      <c r="A20" s="164"/>
      <c r="F20" s="156"/>
      <c r="M20" s="142"/>
      <c r="N20" s="151"/>
      <c r="O20" s="155"/>
      <c r="P20" s="164"/>
      <c r="U20" s="156"/>
      <c r="W20" s="160"/>
      <c r="X20" s="142"/>
      <c r="Y20" s="148"/>
      <c r="AB20" s="148"/>
      <c r="AC20" s="151"/>
      <c r="AD20" s="155"/>
      <c r="AE20" s="164"/>
      <c r="AJ20" s="156"/>
      <c r="AQ20" s="142"/>
      <c r="AR20" s="151"/>
      <c r="AS20" s="155"/>
      <c r="AT20" s="162"/>
      <c r="AU20" s="151"/>
      <c r="AV20" s="151"/>
      <c r="AW20" s="151"/>
      <c r="AX20" s="151"/>
      <c r="AY20" s="154"/>
      <c r="AZ20" s="151"/>
      <c r="BA20" s="153"/>
      <c r="BB20" s="151"/>
      <c r="BC20" s="154">
        <v>75</v>
      </c>
      <c r="BF20" s="142"/>
      <c r="BG20" s="151"/>
      <c r="BH20" s="163"/>
      <c r="BJ20" s="148"/>
    </row>
    <row r="21" ht="19.5" customHeight="1" spans="1:62" s="149" customFormat="1" x14ac:dyDescent="0.25">
      <c r="A21" s="164"/>
      <c r="F21" s="156"/>
      <c r="M21" s="142"/>
      <c r="N21" s="151"/>
      <c r="O21" s="155"/>
      <c r="P21" s="164"/>
      <c r="U21" s="156"/>
      <c r="AB21" s="142"/>
      <c r="AC21" s="151"/>
      <c r="AD21" s="155"/>
      <c r="AE21" s="164"/>
      <c r="AJ21" s="156"/>
      <c r="AQ21" s="142"/>
      <c r="AR21" s="151"/>
      <c r="AS21" s="155"/>
      <c r="AT21" s="164"/>
      <c r="AY21" s="156"/>
      <c r="BF21" s="142"/>
      <c r="BG21" s="151"/>
      <c r="BH21" s="163"/>
      <c r="BJ21" s="148"/>
    </row>
    <row r="22" ht="19.5" customHeight="1" spans="1:62" s="149" customFormat="1" x14ac:dyDescent="0.25">
      <c r="A22" s="164"/>
      <c r="F22" s="156"/>
      <c r="M22" s="142"/>
      <c r="N22" s="151"/>
      <c r="O22" s="155"/>
      <c r="P22" s="164"/>
      <c r="U22" s="156"/>
      <c r="AB22" s="142"/>
      <c r="AC22" s="151"/>
      <c r="AD22" s="155"/>
      <c r="AE22" s="164"/>
      <c r="AJ22" s="156"/>
      <c r="AQ22" s="142"/>
      <c r="AR22" s="151"/>
      <c r="AS22" s="155"/>
      <c r="AT22" s="164"/>
      <c r="AY22" s="156"/>
      <c r="BF22" s="142"/>
      <c r="BG22" s="151"/>
      <c r="BH22" s="163"/>
      <c r="BJ22" s="148"/>
    </row>
    <row r="23" ht="19.5" customHeight="1" spans="1:62" s="149" customFormat="1" x14ac:dyDescent="0.25">
      <c r="A23" s="164"/>
      <c r="F23" s="156"/>
      <c r="M23" s="142"/>
      <c r="N23" s="151"/>
      <c r="O23" s="155"/>
      <c r="P23" s="164"/>
      <c r="U23" s="156"/>
      <c r="AB23" s="142"/>
      <c r="AC23" s="151"/>
      <c r="AD23" s="155"/>
      <c r="AE23" s="164"/>
      <c r="AJ23" s="156"/>
      <c r="AQ23" s="142"/>
      <c r="AR23" s="151"/>
      <c r="AS23" s="155"/>
      <c r="AT23" s="164"/>
      <c r="AY23" s="156"/>
      <c r="BF23" s="142"/>
      <c r="BG23" s="151"/>
      <c r="BH23" s="163"/>
      <c r="BJ23" s="148"/>
    </row>
    <row r="24" ht="19.5" customHeight="1" spans="1:62" s="149" customFormat="1" x14ac:dyDescent="0.25">
      <c r="A24" s="166"/>
      <c r="B24" s="167"/>
      <c r="C24" s="167"/>
      <c r="D24" s="167"/>
      <c r="E24" s="167"/>
      <c r="F24" s="168"/>
      <c r="G24" s="151"/>
      <c r="H24" s="169"/>
      <c r="I24" s="151"/>
      <c r="J24" s="151"/>
      <c r="K24" s="151"/>
      <c r="L24" s="151"/>
      <c r="M24" s="148"/>
      <c r="N24" s="151"/>
      <c r="O24" s="155"/>
      <c r="P24" s="166"/>
      <c r="Q24" s="167"/>
      <c r="R24" s="167"/>
      <c r="S24" s="167"/>
      <c r="T24" s="167"/>
      <c r="U24" s="168"/>
      <c r="V24" s="151"/>
      <c r="W24" s="169"/>
      <c r="X24" s="151"/>
      <c r="Y24" s="151"/>
      <c r="Z24" s="151"/>
      <c r="AA24" s="151"/>
      <c r="AB24" s="148"/>
      <c r="AC24" s="151"/>
      <c r="AD24" s="155"/>
      <c r="AE24" s="166"/>
      <c r="AF24" s="170"/>
      <c r="AG24" s="167"/>
      <c r="AH24" s="167"/>
      <c r="AI24" s="167"/>
      <c r="AJ24" s="168"/>
      <c r="AK24" s="167"/>
      <c r="AL24" s="169"/>
      <c r="AM24" s="151"/>
      <c r="AN24" s="151"/>
      <c r="AO24" s="151"/>
      <c r="AP24" s="151"/>
      <c r="AQ24" s="148"/>
      <c r="AR24" s="151"/>
      <c r="AS24" s="155"/>
      <c r="AT24" s="166"/>
      <c r="AU24" s="167"/>
      <c r="AV24" s="167"/>
      <c r="AW24" s="167"/>
      <c r="AX24" s="167"/>
      <c r="AY24" s="168"/>
      <c r="AZ24" s="151"/>
      <c r="BA24" s="169"/>
      <c r="BB24" s="151"/>
      <c r="BC24" s="151"/>
      <c r="BD24" s="151"/>
      <c r="BE24" s="151"/>
      <c r="BF24" s="148"/>
      <c r="BG24" s="151"/>
      <c r="BH24" s="163"/>
      <c r="BJ24" s="148"/>
    </row>
    <row r="25" ht="19.5" customHeight="1" spans="1:62" s="149" customFormat="1" x14ac:dyDescent="0.25">
      <c r="A25" s="171"/>
      <c r="B25" s="172">
        <f>SUM(B7:B24)</f>
        <v>0</v>
      </c>
      <c r="C25" s="172"/>
      <c r="D25" s="172">
        <f>SUM(D7:D24)</f>
        <v>0</v>
      </c>
      <c r="E25" s="172"/>
      <c r="F25" s="173">
        <f>SUM(F7:F24)</f>
        <v>0</v>
      </c>
      <c r="G25" s="151"/>
      <c r="H25" s="174" t="e">
        <f>D25/B25</f>
        <v>#DIV/0!</v>
      </c>
      <c r="I25" s="175"/>
      <c r="J25" s="176" t="e">
        <f>F25/B25</f>
        <v>#DIV/0!</v>
      </c>
      <c r="K25" s="151"/>
      <c r="L25" s="176">
        <f>F25</f>
        <v>0</v>
      </c>
      <c r="M25" s="148"/>
      <c r="N25" s="151"/>
      <c r="O25" s="155"/>
      <c r="P25" s="171"/>
      <c r="Q25" s="172">
        <f>SUM(Q7:Q24)</f>
        <v>0</v>
      </c>
      <c r="R25" s="172"/>
      <c r="S25" s="172">
        <f>SUM(S7:S24)</f>
        <v>0</v>
      </c>
      <c r="T25" s="172"/>
      <c r="U25" s="173">
        <f>SUM(U7:U24)</f>
        <v>0</v>
      </c>
      <c r="V25" s="151"/>
      <c r="W25" s="174" t="e">
        <f>S25/Q25</f>
        <v>#DIV/0!</v>
      </c>
      <c r="X25" s="175"/>
      <c r="Y25" s="176" t="e">
        <f>U25/Q25</f>
        <v>#DIV/0!</v>
      </c>
      <c r="Z25" s="151"/>
      <c r="AA25" s="176">
        <f>U25</f>
        <v>0</v>
      </c>
      <c r="AB25" s="148" t="e">
        <f>U25/S25</f>
        <v>#DIV/0!</v>
      </c>
      <c r="AC25" s="151"/>
      <c r="AD25" s="155"/>
      <c r="AE25" s="171"/>
      <c r="AF25" s="172">
        <f>SUM(AF7:AF24)</f>
        <v>0</v>
      </c>
      <c r="AG25" s="172"/>
      <c r="AH25" s="172">
        <f>SUM(AH7:AH24)</f>
        <v>0</v>
      </c>
      <c r="AI25" s="172"/>
      <c r="AJ25" s="173">
        <f>SUM(AJ7:AJ24)</f>
        <v>0</v>
      </c>
      <c r="AK25" s="151"/>
      <c r="AL25" s="174" t="e">
        <f>AH25/AF25</f>
        <v>#DIV/0!</v>
      </c>
      <c r="AM25" s="175"/>
      <c r="AN25" s="176" t="e">
        <f>AJ25/AF25</f>
        <v>#DIV/0!</v>
      </c>
      <c r="AO25" s="151"/>
      <c r="AP25" s="176">
        <f>AJ25</f>
        <v>0</v>
      </c>
      <c r="AQ25" s="148" t="e">
        <f>AJ25/AH25</f>
        <v>#DIV/0!</v>
      </c>
      <c r="AR25" s="151"/>
      <c r="AS25" s="155"/>
      <c r="AT25" s="171"/>
      <c r="AU25" s="172">
        <f>SUM(AU6:AU24)</f>
        <v>0</v>
      </c>
      <c r="AV25" s="172"/>
      <c r="AW25" s="172">
        <f>SUM(AW6:AW24)</f>
        <v>0</v>
      </c>
      <c r="AX25" s="172"/>
      <c r="AY25" s="173">
        <f>SUM(AY6:AY24)</f>
        <v>0</v>
      </c>
      <c r="AZ25" s="151"/>
      <c r="BA25" s="174" t="e">
        <f>AW25/AU25</f>
        <v>#DIV/0!</v>
      </c>
      <c r="BB25" s="175"/>
      <c r="BC25" s="176" t="e">
        <f>AY25/AU25</f>
        <v>#DIV/0!</v>
      </c>
      <c r="BD25" s="151"/>
      <c r="BE25" s="176">
        <f>AY25</f>
        <v>0</v>
      </c>
      <c r="BF25" s="148" t="e">
        <f>AY25/AU25</f>
        <v>#DIV/0!</v>
      </c>
      <c r="BG25" s="151"/>
      <c r="BH25" s="177">
        <f>L25+AA25+AP25+BE25</f>
        <v>0</v>
      </c>
      <c r="BJ25" s="148"/>
    </row>
    <row r="26" ht="19.5" customHeight="1" spans="1:62" x14ac:dyDescent="0.25">
      <c r="A26" s="178"/>
      <c r="B26" s="179"/>
      <c r="C26" s="179"/>
      <c r="D26" s="179"/>
      <c r="E26" s="179"/>
      <c r="F26" s="179"/>
      <c r="G26" s="179"/>
      <c r="H26" s="179"/>
      <c r="I26" s="179"/>
      <c r="J26" s="179"/>
      <c r="K26" s="179"/>
      <c r="L26" s="179"/>
      <c r="M26" s="67"/>
      <c r="N26" s="42"/>
      <c r="O26" s="180"/>
      <c r="P26" s="178"/>
      <c r="Q26" s="179"/>
      <c r="R26" s="179"/>
      <c r="S26" s="179"/>
      <c r="T26" s="179"/>
      <c r="U26" s="179"/>
      <c r="V26" s="179"/>
      <c r="W26" s="179"/>
      <c r="X26" s="179"/>
      <c r="Y26" s="179"/>
      <c r="Z26" s="179"/>
      <c r="AA26" s="179"/>
      <c r="AB26" s="67"/>
      <c r="AC26" s="42"/>
      <c r="AD26" s="180"/>
      <c r="AE26" s="178"/>
      <c r="AF26" s="179"/>
      <c r="AG26" s="179"/>
      <c r="AH26" s="179"/>
      <c r="AI26" s="179"/>
      <c r="AJ26" s="179"/>
      <c r="AK26" s="179"/>
      <c r="AL26" s="179"/>
      <c r="AM26" s="179"/>
      <c r="AN26" s="179"/>
      <c r="AO26" s="179"/>
      <c r="AP26" s="179"/>
      <c r="AQ26" s="67"/>
      <c r="AR26" s="42"/>
      <c r="AS26" s="180"/>
      <c r="AT26" s="178"/>
      <c r="AU26" s="179"/>
      <c r="AV26" s="179"/>
      <c r="AW26" s="179"/>
      <c r="AX26" s="179"/>
      <c r="AY26" s="179"/>
      <c r="AZ26" s="179"/>
      <c r="BA26" s="179"/>
      <c r="BB26" s="179"/>
      <c r="BC26" s="179"/>
      <c r="BD26" s="179"/>
      <c r="BE26" s="179"/>
      <c r="BF26" s="67"/>
      <c r="BG26" s="42"/>
      <c r="BH26" s="181"/>
      <c r="BJ26" s="148"/>
    </row>
    <row r="28" spans="2:8" x14ac:dyDescent="0.25">
      <c r="B28" s="6"/>
      <c r="C28" s="6"/>
      <c r="D28" s="6"/>
      <c r="E28" s="6"/>
      <c r="F28" s="94"/>
      <c r="G28" s="6"/>
      <c r="H28" s="6"/>
    </row>
    <row r="29" spans="2:6" x14ac:dyDescent="0.25">
      <c r="B29" s="6"/>
      <c r="C29" s="6"/>
      <c r="D29" s="6"/>
      <c r="E29" s="6"/>
      <c r="F29" s="94"/>
    </row>
    <row r="30" spans="2:6" x14ac:dyDescent="0.25">
      <c r="B30" s="6"/>
      <c r="C30" s="6"/>
      <c r="D30" s="6"/>
      <c r="E30" s="6"/>
      <c r="F30" s="94"/>
    </row>
    <row r="32" spans="2:13" x14ac:dyDescent="0.25">
      <c r="B32" s="6"/>
      <c r="D32" s="6"/>
      <c r="F32" s="94"/>
      <c r="H32" s="182"/>
      <c r="I32" s="6"/>
      <c r="J32" s="94"/>
      <c r="M32" s="183"/>
    </row>
    <row r="33" spans="2:2" x14ac:dyDescent="0.25">
      <c r="B33" s="6"/>
    </row>
    <row r="34" spans="2:6" x14ac:dyDescent="0.25">
      <c r="B34" s="6"/>
      <c r="C34" s="6"/>
      <c r="D34" s="6"/>
      <c r="E34" s="6"/>
      <c r="F34" s="94"/>
    </row>
  </sheetData>
  <mergeCells count="13">
    <mergeCell ref="D1:M2"/>
    <mergeCell ref="S1:AB2"/>
    <mergeCell ref="AH1:AQ2"/>
    <mergeCell ref="AW1:BF2"/>
    <mergeCell ref="A1:A2"/>
    <mergeCell ref="P1:P2"/>
    <mergeCell ref="AE1:AE2"/>
    <mergeCell ref="AT1:AT2"/>
    <mergeCell ref="D4:F4"/>
    <mergeCell ref="S4:U4"/>
    <mergeCell ref="AH4:AJ4"/>
    <mergeCell ref="AW4:AY4"/>
    <mergeCell ref="AW14:AY14"/>
  </mergeCells>
  <pageMargins left="0.2" right="0.2" top="0.75" bottom="0.75" header="0.3" footer="0.3"/>
  <pageSetup orientation="landscape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7"/>
  <sheetViews>
    <sheetView workbookViewId="0" zoomScale="95" zoomScaleNormal="95">
      <selection activeCell="AK3" sqref="AK3"/>
    </sheetView>
  </sheetViews>
  <sheetFormatPr defaultRowHeight="14.4" outlineLevelRow="0" outlineLevelCol="0" x14ac:dyDescent="0.3" customHeight="1"/>
  <cols>
    <col min="1" max="1" width="17.5546875" customWidth="1"/>
    <col min="2" max="2" width="2.33203125" customWidth="1"/>
    <col min="3" max="3" width="12.33203125" customWidth="1"/>
    <col min="4" max="4" width="2.33203125" customWidth="1"/>
    <col min="5" max="5" width="12.33203125" customWidth="1"/>
    <col min="6" max="6" width="2.33203125" customWidth="1"/>
    <col min="7" max="7" width="12.33203125" style="1" customWidth="1"/>
    <col min="8" max="8" width="2.33203125" customWidth="1"/>
    <col min="9" max="9" width="12.33203125" customWidth="1"/>
    <col min="10" max="10" width="2.33203125" customWidth="1"/>
    <col min="11" max="11" width="12.33203125" customWidth="1"/>
    <col min="12" max="12" width="2.33203125" customWidth="1"/>
    <col min="13" max="13" width="12.33203125" customWidth="1"/>
    <col min="14" max="14" width="2.33203125" customWidth="1"/>
    <col min="15" max="15" width="12.33203125" customWidth="1"/>
    <col min="16" max="16" width="2.33203125" customWidth="1"/>
    <col min="17" max="18" width="12.33203125" customWidth="1"/>
    <col min="19" max="19" width="31.6640625" style="2" customWidth="1"/>
    <col min="22" max="22" width="11.5546875" customWidth="1"/>
    <col min="25" max="25" width="11.5546875" customWidth="1"/>
    <col min="28" max="28" width="11.5546875" customWidth="1"/>
    <col min="30" max="30" width="8.88671875" style="3" customWidth="1"/>
    <col min="31" max="31" width="11.5546875" style="1" customWidth="1"/>
    <col min="36" max="36" width="9.88671875" customWidth="1"/>
    <col min="37" max="38" width="9.109375" customWidth="1"/>
    <col min="39" max="39" width="11.6640625" customWidth="1"/>
    <col min="40" max="40" width="9.109375" customWidth="1"/>
    <col min="41" max="41" width="21" customWidth="1"/>
  </cols>
  <sheetData>
    <row r="1" ht="19.05" customHeight="1" spans="1:41" s="4" customFormat="1" x14ac:dyDescent="0.25">
      <c r="A1" s="5" t="s">
        <v>0</v>
      </c>
      <c r="B1" s="6"/>
      <c r="C1" s="7" t="s">
        <v>1</v>
      </c>
      <c r="D1" s="6"/>
      <c r="E1" s="8" t="s">
        <v>2</v>
      </c>
      <c r="F1" s="6"/>
      <c r="G1" s="9" t="s">
        <v>3</v>
      </c>
      <c r="H1" s="10"/>
      <c r="I1" s="9" t="s">
        <v>4</v>
      </c>
      <c r="J1" s="6"/>
      <c r="K1" s="9" t="s">
        <v>5</v>
      </c>
      <c r="L1" s="2"/>
      <c r="M1" s="11" t="s">
        <v>6</v>
      </c>
      <c r="N1" s="12"/>
      <c r="O1" s="12"/>
      <c r="P1" s="12"/>
      <c r="Q1" s="13"/>
      <c r="R1" s="7" t="s">
        <v>7</v>
      </c>
      <c r="S1" s="14" t="s">
        <v>0</v>
      </c>
      <c r="T1" s="15" t="s">
        <v>8</v>
      </c>
      <c r="U1" s="16"/>
      <c r="V1" s="17"/>
      <c r="W1" s="18" t="s">
        <v>9</v>
      </c>
      <c r="X1" s="19"/>
      <c r="Y1" s="20"/>
      <c r="Z1" s="15" t="s">
        <v>6</v>
      </c>
      <c r="AA1" s="16"/>
      <c r="AB1" s="17"/>
      <c r="AC1" s="18" t="s">
        <v>10</v>
      </c>
      <c r="AD1" s="19"/>
      <c r="AE1" s="20"/>
      <c r="AF1" s="15" t="s">
        <v>11</v>
      </c>
      <c r="AG1" s="16"/>
      <c r="AH1" s="17"/>
      <c r="AI1" s="21" t="s">
        <v>12</v>
      </c>
      <c r="AJ1" s="22" t="s">
        <v>13</v>
      </c>
      <c r="AK1" s="23" t="s">
        <v>14</v>
      </c>
      <c r="AL1" s="24"/>
      <c r="AM1" s="24"/>
      <c r="AN1" s="25"/>
      <c r="AO1" s="26" t="s">
        <v>0</v>
      </c>
    </row>
    <row r="2" ht="19.05" customHeight="1" spans="1:41" s="4" customFormat="1" x14ac:dyDescent="0.25">
      <c r="A2" s="27"/>
      <c r="B2" s="6"/>
      <c r="C2" s="28"/>
      <c r="D2" s="6"/>
      <c r="E2" s="29"/>
      <c r="F2" s="6"/>
      <c r="G2" s="30"/>
      <c r="H2" s="10"/>
      <c r="I2" s="30"/>
      <c r="J2" s="6"/>
      <c r="K2" s="30"/>
      <c r="L2" s="31"/>
      <c r="M2" s="11" t="s">
        <v>15</v>
      </c>
      <c r="N2" s="12"/>
      <c r="O2" s="12" t="s">
        <v>16</v>
      </c>
      <c r="P2" s="12"/>
      <c r="Q2" s="13" t="s">
        <v>3</v>
      </c>
      <c r="R2" s="28"/>
      <c r="S2" s="32"/>
      <c r="T2" s="33"/>
      <c r="U2" s="34"/>
      <c r="V2" s="35"/>
      <c r="W2" s="11"/>
      <c r="X2" s="12"/>
      <c r="Y2" s="13"/>
      <c r="Z2" s="33"/>
      <c r="AA2" s="34"/>
      <c r="AB2" s="35"/>
      <c r="AC2" s="11"/>
      <c r="AD2" s="12"/>
      <c r="AE2" s="12"/>
      <c r="AF2" s="33"/>
      <c r="AG2" s="34"/>
      <c r="AH2" s="35"/>
      <c r="AI2" s="36"/>
      <c r="AJ2" s="37"/>
      <c r="AK2" s="36" t="s">
        <v>17</v>
      </c>
      <c r="AL2" s="38" t="s">
        <v>18</v>
      </c>
      <c r="AM2" s="38" t="s">
        <v>19</v>
      </c>
      <c r="AN2" s="39"/>
      <c r="AO2" s="40"/>
    </row>
    <row r="3" ht="19.05" customHeight="1" spans="1:41" x14ac:dyDescent="0.25">
      <c r="A3" s="41" t="s">
        <v>20</v>
      </c>
      <c r="B3" s="6"/>
      <c r="C3" s="42"/>
      <c r="D3" s="6"/>
      <c r="E3" s="42"/>
      <c r="F3" s="6"/>
      <c r="G3" s="43"/>
      <c r="H3" s="10"/>
      <c r="I3" s="6"/>
      <c r="J3" s="6"/>
      <c r="K3" s="6"/>
      <c r="L3" s="6"/>
      <c r="M3" s="6"/>
      <c r="N3" s="6"/>
      <c r="O3" s="6"/>
      <c r="P3" s="6"/>
      <c r="Q3" s="6"/>
      <c r="R3" s="44"/>
      <c r="S3" s="45" t="s">
        <v>21</v>
      </c>
      <c r="T3" s="44"/>
      <c r="U3" s="44"/>
      <c r="V3" s="46"/>
      <c r="W3" s="47">
        <f>C6</f>
        <v>0</v>
      </c>
      <c r="X3" s="47">
        <f>E6</f>
        <v>0</v>
      </c>
      <c r="Y3" s="48">
        <f>G6</f>
        <v>0</v>
      </c>
      <c r="Z3" s="49">
        <f>M6</f>
        <v>0</v>
      </c>
      <c r="AA3" s="50" t="e">
        <f>O6</f>
        <v>#DIV/0!</v>
      </c>
      <c r="AB3" s="51" t="e">
        <f>Q6</f>
        <v>#DIV/0!</v>
      </c>
      <c r="AC3" s="47">
        <f>T3+W3-Z3</f>
        <v>0</v>
      </c>
      <c r="AD3" s="52" t="e">
        <f>U3+X3-AA3</f>
        <v>#DIV/0!</v>
      </c>
      <c r="AE3" s="48" t="e">
        <f>V3+Y3-AB3</f>
        <v>#DIV/0!</v>
      </c>
      <c r="AF3" s="53"/>
      <c r="AG3" s="53"/>
      <c r="AH3" s="53"/>
      <c r="AI3" s="54">
        <f>SUM(AF3:AH4)</f>
        <v>0</v>
      </c>
      <c r="AJ3" s="55" t="e">
        <f>AE3/AI3+5</f>
        <v>#DIV/0!</v>
      </c>
      <c r="AK3" s="2"/>
      <c r="AL3" s="44"/>
      <c r="AM3" s="56" t="e">
        <f>AJ3*AL3</f>
        <v>#DIV/0!</v>
      </c>
      <c r="AN3" s="57">
        <f>R3+AI3-AK3-AL3</f>
        <v>0</v>
      </c>
      <c r="AO3" s="58" t="s">
        <v>21</v>
      </c>
    </row>
    <row r="4" ht="19.05" customHeight="1" spans="1:41" x14ac:dyDescent="0.25">
      <c r="A4" s="41"/>
      <c r="B4" s="6"/>
      <c r="C4" s="42"/>
      <c r="D4" s="6"/>
      <c r="E4" s="42"/>
      <c r="F4" s="6"/>
      <c r="G4" s="43"/>
      <c r="H4" s="10"/>
      <c r="I4" s="6"/>
      <c r="J4" s="6"/>
      <c r="K4" s="6"/>
      <c r="L4" s="6"/>
      <c r="M4" s="6"/>
      <c r="N4" s="6"/>
      <c r="O4" s="6"/>
      <c r="P4" s="6"/>
      <c r="Q4" s="6"/>
      <c r="R4" s="49"/>
      <c r="S4" s="59"/>
      <c r="T4" s="49"/>
      <c r="U4" s="49"/>
      <c r="V4" s="51"/>
      <c r="W4" s="60"/>
      <c r="X4" s="60"/>
      <c r="Y4" s="60"/>
      <c r="Z4" s="61"/>
      <c r="AA4" s="61"/>
      <c r="AB4" s="61"/>
      <c r="AC4" s="60"/>
      <c r="AD4" s="62"/>
      <c r="AE4" s="63"/>
      <c r="AF4" s="64"/>
      <c r="AG4" s="64"/>
      <c r="AH4" s="64"/>
      <c r="AI4" s="65"/>
      <c r="AJ4" s="66"/>
      <c r="AK4" s="67"/>
      <c r="AL4" s="49"/>
      <c r="AM4" s="68"/>
      <c r="AN4" s="69"/>
      <c r="AO4" s="70"/>
    </row>
    <row r="5" ht="19.05" customHeight="1" spans="1:41" x14ac:dyDescent="0.25">
      <c r="A5" s="71"/>
      <c r="B5" s="6"/>
      <c r="C5" s="72"/>
      <c r="D5" s="6"/>
      <c r="E5" s="72"/>
      <c r="F5" s="6"/>
      <c r="G5" s="73"/>
      <c r="H5" s="10"/>
      <c r="I5" s="72"/>
      <c r="J5" s="6"/>
      <c r="K5" s="72"/>
      <c r="L5" s="72"/>
      <c r="M5" s="72"/>
      <c r="N5" s="72"/>
      <c r="O5" s="72"/>
      <c r="P5" s="72"/>
      <c r="Q5" s="72"/>
      <c r="R5" s="44"/>
      <c r="S5" s="45" t="s">
        <v>22</v>
      </c>
      <c r="T5" s="74"/>
      <c r="U5" s="74"/>
      <c r="V5" s="75"/>
      <c r="W5" s="60">
        <f>C10</f>
        <v>0</v>
      </c>
      <c r="X5" s="60">
        <f>E10</f>
        <v>0</v>
      </c>
      <c r="Y5" s="63">
        <f>G10</f>
        <v>0</v>
      </c>
      <c r="Z5" s="61">
        <f>M10</f>
        <v>0</v>
      </c>
      <c r="AA5" s="76" t="e">
        <f>O10</f>
        <v>#DIV/0!</v>
      </c>
      <c r="AB5" s="77" t="e">
        <f>Q10</f>
        <v>#DIV/0!</v>
      </c>
      <c r="AC5" s="60">
        <f>T5+W5-Z5</f>
        <v>0</v>
      </c>
      <c r="AD5" s="62" t="e">
        <f>U5+X5-AA5</f>
        <v>#DIV/0!</v>
      </c>
      <c r="AE5" s="63" t="e">
        <f>V5+Y5-AB5</f>
        <v>#DIV/0!</v>
      </c>
      <c r="AF5" s="53"/>
      <c r="AG5" s="53"/>
      <c r="AH5" s="53"/>
      <c r="AI5" s="65">
        <f>SUM(AF5:AH6)</f>
        <v>0</v>
      </c>
      <c r="AJ5" s="66" t="e">
        <f t="shared" ref="AJ5:AJ7" si="0">AE5/AI5+5</f>
        <v>#DIV/0!</v>
      </c>
      <c r="AK5" s="2"/>
      <c r="AL5" s="44"/>
      <c r="AM5" s="56" t="e">
        <f>AJ5*AL5</f>
        <v>#DIV/0!</v>
      </c>
      <c r="AN5" s="57">
        <f>R5+AI5-AK5-AL5</f>
        <v>0</v>
      </c>
      <c r="AO5" s="78" t="s">
        <v>22</v>
      </c>
    </row>
    <row r="6" ht="19.05" customHeight="1" spans="1:41" x14ac:dyDescent="0.25">
      <c r="A6" s="79"/>
      <c r="B6" s="6"/>
      <c r="C6" s="80">
        <f>SUM(C3:C5)</f>
        <v>0</v>
      </c>
      <c r="D6" s="6"/>
      <c r="E6" s="80">
        <f>SUM(E3:E5)</f>
        <v>0</v>
      </c>
      <c r="F6" s="6"/>
      <c r="G6" s="81">
        <f>SUM(G3:G5)</f>
        <v>0</v>
      </c>
      <c r="H6" s="10"/>
      <c r="I6" s="82" t="e">
        <f>E6/C6</f>
        <v>#DIV/0!</v>
      </c>
      <c r="J6" s="6"/>
      <c r="K6" s="83" t="e">
        <f>G6/C6</f>
        <v>#DIV/0!</v>
      </c>
      <c r="L6" s="84"/>
      <c r="M6" s="85"/>
      <c r="N6" s="86"/>
      <c r="O6" s="87" t="e">
        <f>M6*I6</f>
        <v>#DIV/0!</v>
      </c>
      <c r="P6" s="88"/>
      <c r="Q6" s="89" t="e">
        <f>M6*K6</f>
        <v>#DIV/0!</v>
      </c>
      <c r="R6" s="49"/>
      <c r="S6" s="59"/>
      <c r="T6" s="49"/>
      <c r="U6" s="49"/>
      <c r="V6" s="51"/>
      <c r="W6" s="60"/>
      <c r="X6" s="60"/>
      <c r="Y6" s="60"/>
      <c r="Z6" s="61"/>
      <c r="AA6" s="61"/>
      <c r="AB6" s="61"/>
      <c r="AC6" s="60"/>
      <c r="AD6" s="62"/>
      <c r="AE6" s="63"/>
      <c r="AF6" s="64"/>
      <c r="AG6" s="64"/>
      <c r="AH6" s="64"/>
      <c r="AI6" s="65"/>
      <c r="AJ6" s="66"/>
      <c r="AK6" s="67"/>
      <c r="AL6" s="49"/>
      <c r="AM6" s="68"/>
      <c r="AN6" s="69"/>
      <c r="AO6" s="70"/>
    </row>
    <row r="7" ht="19.05" customHeight="1" spans="1:41" x14ac:dyDescent="0.25">
      <c r="A7" s="90" t="s">
        <v>23</v>
      </c>
      <c r="B7" s="6"/>
      <c r="C7" s="42"/>
      <c r="D7" s="6"/>
      <c r="E7" s="42"/>
      <c r="F7" s="6"/>
      <c r="G7" s="43"/>
      <c r="H7" s="10"/>
      <c r="I7" s="91"/>
      <c r="J7" s="6"/>
      <c r="K7" s="6"/>
      <c r="L7" s="6"/>
      <c r="M7" s="6"/>
      <c r="N7" s="6"/>
      <c r="O7" s="91"/>
      <c r="P7" s="6"/>
      <c r="Q7" s="6"/>
      <c r="R7" s="44"/>
      <c r="S7" s="45" t="s">
        <v>24</v>
      </c>
      <c r="T7" s="74"/>
      <c r="U7" s="74"/>
      <c r="V7" s="75"/>
      <c r="W7" s="60">
        <f>C14</f>
        <v>0</v>
      </c>
      <c r="X7" s="60">
        <f>E14</f>
        <v>0</v>
      </c>
      <c r="Y7" s="63">
        <f>G14</f>
        <v>0</v>
      </c>
      <c r="Z7" s="61">
        <f>M14</f>
        <v>0</v>
      </c>
      <c r="AA7" s="76" t="e">
        <f>O14</f>
        <v>#DIV/0!</v>
      </c>
      <c r="AB7" s="77" t="e">
        <f>Q14</f>
        <v>#DIV/0!</v>
      </c>
      <c r="AC7" s="60">
        <f>T7+W7-Z7</f>
        <v>0</v>
      </c>
      <c r="AD7" s="62" t="e">
        <f>U7+X7-AA7</f>
        <v>#DIV/0!</v>
      </c>
      <c r="AE7" s="63" t="e">
        <f>V7+Y7-AB7</f>
        <v>#DIV/0!</v>
      </c>
      <c r="AF7" s="53"/>
      <c r="AG7" s="53"/>
      <c r="AH7" s="53"/>
      <c r="AI7" s="65">
        <f>SUM(AF7:AH8)</f>
        <v>0</v>
      </c>
      <c r="AJ7" s="66" t="e">
        <f t="shared" si="0"/>
        <v>#DIV/0!</v>
      </c>
      <c r="AK7" s="2"/>
      <c r="AL7" s="44"/>
      <c r="AM7" s="56" t="e">
        <f>AJ7*AL7</f>
        <v>#DIV/0!</v>
      </c>
      <c r="AN7" s="57">
        <f>R7+AI7-AK7-AL7</f>
        <v>0</v>
      </c>
      <c r="AO7" s="78" t="s">
        <v>24</v>
      </c>
    </row>
    <row r="8" ht="19.05" customHeight="1" spans="1:41" x14ac:dyDescent="0.25">
      <c r="A8" s="90"/>
      <c r="B8" s="6"/>
      <c r="C8" s="42"/>
      <c r="D8" s="6"/>
      <c r="E8" s="42"/>
      <c r="F8" s="6"/>
      <c r="G8" s="43"/>
      <c r="H8" s="10"/>
      <c r="I8" s="91"/>
      <c r="J8" s="6"/>
      <c r="K8" s="6"/>
      <c r="L8" s="6"/>
      <c r="M8" s="6"/>
      <c r="N8" s="6"/>
      <c r="O8" s="91"/>
      <c r="P8" s="6"/>
      <c r="Q8" s="6"/>
      <c r="R8" s="49"/>
      <c r="S8" s="59"/>
      <c r="T8" s="49"/>
      <c r="U8" s="49"/>
      <c r="V8" s="51"/>
      <c r="W8" s="60"/>
      <c r="X8" s="60"/>
      <c r="Y8" s="60"/>
      <c r="Z8" s="61"/>
      <c r="AA8" s="61"/>
      <c r="AB8" s="61"/>
      <c r="AC8" s="60"/>
      <c r="AD8" s="62"/>
      <c r="AE8" s="63"/>
      <c r="AF8" s="64"/>
      <c r="AG8" s="64"/>
      <c r="AH8" s="64"/>
      <c r="AI8" s="65"/>
      <c r="AJ8" s="66"/>
      <c r="AK8" s="67"/>
      <c r="AL8" s="49"/>
      <c r="AM8" s="68"/>
      <c r="AN8" s="69"/>
      <c r="AO8" s="70"/>
    </row>
    <row r="9" ht="19.05" customHeight="1" spans="1:41" x14ac:dyDescent="0.25">
      <c r="A9" s="92"/>
      <c r="B9" s="6"/>
      <c r="C9" s="72"/>
      <c r="D9" s="6"/>
      <c r="E9" s="72"/>
      <c r="F9" s="6"/>
      <c r="G9" s="73"/>
      <c r="H9" s="10"/>
      <c r="I9" s="91"/>
      <c r="J9" s="6"/>
      <c r="K9" s="6"/>
      <c r="L9" s="6"/>
      <c r="M9" s="6"/>
      <c r="N9" s="6"/>
      <c r="O9" s="91"/>
      <c r="P9" s="6"/>
      <c r="Q9" s="6"/>
      <c r="R9" s="44"/>
      <c r="S9" s="45" t="s">
        <v>25</v>
      </c>
      <c r="T9" s="74"/>
      <c r="U9" s="74"/>
      <c r="V9" s="75"/>
      <c r="W9" s="60">
        <f>C18</f>
        <v>0</v>
      </c>
      <c r="X9" s="60">
        <f>E18</f>
        <v>0</v>
      </c>
      <c r="Y9" s="63">
        <f>G18</f>
        <v>0</v>
      </c>
      <c r="Z9" s="61">
        <f>M18</f>
        <v>0</v>
      </c>
      <c r="AA9" s="76" t="e">
        <f>O18</f>
        <v>#DIV/0!</v>
      </c>
      <c r="AB9" s="77" t="e">
        <f>Q18</f>
        <v>#DIV/0!</v>
      </c>
      <c r="AC9" s="60">
        <f>T9+W9-Z9</f>
        <v>0</v>
      </c>
      <c r="AD9" s="62" t="e">
        <f>U9+X9-AA9</f>
        <v>#DIV/0!</v>
      </c>
      <c r="AE9" s="63" t="e">
        <f>V9+Y9-AB9</f>
        <v>#DIV/0!</v>
      </c>
      <c r="AF9" s="53"/>
      <c r="AG9" s="53"/>
      <c r="AH9" s="53"/>
      <c r="AI9" s="65">
        <f>SUM(AF9:AH10)</f>
        <v>0</v>
      </c>
      <c r="AJ9" s="93" t="e">
        <f>AE9/SUM(AI9:AI12)+5</f>
        <v>#DIV/0!</v>
      </c>
      <c r="AK9" s="2"/>
      <c r="AL9" s="44"/>
      <c r="AM9" s="56" t="e">
        <f>AJ9*AL9</f>
        <v>#DIV/0!</v>
      </c>
      <c r="AN9" s="57">
        <f>R9+AI9-AK9-AL9</f>
        <v>0</v>
      </c>
      <c r="AO9" s="78" t="s">
        <v>25</v>
      </c>
    </row>
    <row r="10" ht="19.05" customHeight="1" spans="1:41" x14ac:dyDescent="0.25">
      <c r="A10" s="79"/>
      <c r="B10" s="6"/>
      <c r="C10" s="80">
        <f>SUM(C7:C9)</f>
        <v>0</v>
      </c>
      <c r="D10" s="6"/>
      <c r="E10" s="80">
        <f>SUM(E7:E9)</f>
        <v>0</v>
      </c>
      <c r="F10" s="6"/>
      <c r="G10" s="81">
        <f>SUM(G7:G9)</f>
        <v>0</v>
      </c>
      <c r="H10" s="10"/>
      <c r="I10" s="82" t="e">
        <f t="shared" ref="I10" si="1">E10/C10</f>
        <v>#DIV/0!</v>
      </c>
      <c r="J10" s="6"/>
      <c r="K10" s="83" t="e">
        <f t="shared" ref="K10" si="2">G10/C10</f>
        <v>#DIV/0!</v>
      </c>
      <c r="L10" s="84"/>
      <c r="M10" s="85"/>
      <c r="N10" s="86"/>
      <c r="O10" s="87" t="e">
        <f t="shared" ref="O10" si="3">M10*I10</f>
        <v>#DIV/0!</v>
      </c>
      <c r="P10" s="88"/>
      <c r="Q10" s="89" t="e">
        <f t="shared" ref="Q10" si="4">M10*K10</f>
        <v>#DIV/0!</v>
      </c>
      <c r="R10" s="49"/>
      <c r="S10" s="59"/>
      <c r="T10" s="49"/>
      <c r="U10" s="49"/>
      <c r="V10" s="51"/>
      <c r="W10" s="60"/>
      <c r="X10" s="60"/>
      <c r="Y10" s="60"/>
      <c r="Z10" s="61"/>
      <c r="AA10" s="61"/>
      <c r="AB10" s="61"/>
      <c r="AC10" s="60"/>
      <c r="AD10" s="62"/>
      <c r="AE10" s="63"/>
      <c r="AF10" s="64"/>
      <c r="AG10" s="64"/>
      <c r="AH10" s="64"/>
      <c r="AI10" s="65"/>
      <c r="AJ10" s="55"/>
      <c r="AK10" s="67"/>
      <c r="AL10" s="49"/>
      <c r="AM10" s="68"/>
      <c r="AN10" s="69"/>
      <c r="AO10" s="70"/>
    </row>
    <row r="11" ht="19.05" customHeight="1" spans="1:41" x14ac:dyDescent="0.25">
      <c r="A11" s="90" t="s">
        <v>26</v>
      </c>
      <c r="B11" s="6"/>
      <c r="C11" s="42"/>
      <c r="D11" s="6"/>
      <c r="E11" s="42"/>
      <c r="F11" s="6"/>
      <c r="G11" s="43"/>
      <c r="H11" s="10"/>
      <c r="I11" s="91"/>
      <c r="J11" s="6"/>
      <c r="K11" s="6"/>
      <c r="L11" s="6"/>
      <c r="M11" s="6"/>
      <c r="N11" s="6"/>
      <c r="O11" s="91"/>
      <c r="P11" s="6"/>
      <c r="Q11" s="6"/>
      <c r="R11" s="44"/>
      <c r="S11" s="45" t="s">
        <v>27</v>
      </c>
      <c r="T11" s="61"/>
      <c r="U11" s="61"/>
      <c r="V11" s="61"/>
      <c r="W11" s="60"/>
      <c r="X11" s="60"/>
      <c r="Y11" s="60"/>
      <c r="Z11" s="61"/>
      <c r="AA11" s="61"/>
      <c r="AB11" s="61"/>
      <c r="AC11" s="60"/>
      <c r="AD11" s="62"/>
      <c r="AE11" s="63"/>
      <c r="AF11" s="53"/>
      <c r="AG11" s="53"/>
      <c r="AH11" s="53"/>
      <c r="AI11" s="65">
        <f>SUM(AF11:AH12)</f>
        <v>0</v>
      </c>
      <c r="AJ11" s="66" t="e">
        <f>AJ9</f>
        <v>#DIV/0!</v>
      </c>
      <c r="AK11" s="2"/>
      <c r="AL11" s="44"/>
      <c r="AM11" s="56" t="e">
        <f>AJ11*AL11</f>
        <v>#DIV/0!</v>
      </c>
      <c r="AN11" s="57">
        <f>R11+AI11-AK11-AL11</f>
        <v>0</v>
      </c>
      <c r="AO11" s="78" t="s">
        <v>27</v>
      </c>
    </row>
    <row r="12" ht="19.05" customHeight="1" spans="1:41" x14ac:dyDescent="0.25">
      <c r="A12" s="90"/>
      <c r="B12" s="6"/>
      <c r="C12" s="42"/>
      <c r="D12" s="6"/>
      <c r="E12" s="42"/>
      <c r="F12" s="6"/>
      <c r="G12" s="43"/>
      <c r="H12" s="10"/>
      <c r="I12" s="91"/>
      <c r="J12" s="6"/>
      <c r="K12" s="6"/>
      <c r="L12" s="6"/>
      <c r="M12" s="6"/>
      <c r="N12" s="6"/>
      <c r="O12" s="91"/>
      <c r="P12" s="6"/>
      <c r="Q12" s="6"/>
      <c r="R12" s="49"/>
      <c r="S12" s="59"/>
      <c r="T12" s="61"/>
      <c r="U12" s="61"/>
      <c r="V12" s="61"/>
      <c r="W12" s="60"/>
      <c r="X12" s="60"/>
      <c r="Y12" s="60"/>
      <c r="Z12" s="61"/>
      <c r="AA12" s="61"/>
      <c r="AB12" s="61"/>
      <c r="AC12" s="60"/>
      <c r="AD12" s="62"/>
      <c r="AE12" s="63"/>
      <c r="AF12" s="64"/>
      <c r="AG12" s="64"/>
      <c r="AH12" s="64"/>
      <c r="AI12" s="65"/>
      <c r="AJ12" s="66"/>
      <c r="AK12" s="67"/>
      <c r="AL12" s="49"/>
      <c r="AM12" s="68"/>
      <c r="AN12" s="69"/>
      <c r="AO12" s="70"/>
    </row>
    <row r="13" ht="19.05" customHeight="1" spans="1:41" x14ac:dyDescent="0.25">
      <c r="A13" s="92"/>
      <c r="B13" s="6"/>
      <c r="C13" s="72"/>
      <c r="D13" s="6"/>
      <c r="E13" s="72"/>
      <c r="F13" s="6"/>
      <c r="G13" s="73"/>
      <c r="H13" s="10"/>
      <c r="I13" s="91"/>
      <c r="J13" s="6"/>
      <c r="K13" s="6"/>
      <c r="L13" s="6"/>
      <c r="M13" s="6"/>
      <c r="N13" s="6"/>
      <c r="O13" s="91"/>
      <c r="P13" s="6"/>
      <c r="Q13" s="6"/>
      <c r="R13" s="44"/>
      <c r="S13" s="45" t="s">
        <v>28</v>
      </c>
      <c r="T13" s="61"/>
      <c r="U13" s="61"/>
      <c r="V13" s="77"/>
      <c r="W13" s="60">
        <f>C22</f>
        <v>0</v>
      </c>
      <c r="X13" s="60">
        <f>E22</f>
        <v>0</v>
      </c>
      <c r="Y13" s="63">
        <f>G22</f>
        <v>0</v>
      </c>
      <c r="Z13" s="61">
        <f>M22</f>
        <v>0</v>
      </c>
      <c r="AA13" s="76" t="e">
        <f>O22</f>
        <v>#DIV/0!</v>
      </c>
      <c r="AB13" s="77" t="e">
        <f>Q22</f>
        <v>#DIV/0!</v>
      </c>
      <c r="AC13" s="60">
        <f>T13+W13-Z13</f>
        <v>0</v>
      </c>
      <c r="AD13" s="62" t="e">
        <f>U13+X13-AA13</f>
        <v>#DIV/0!</v>
      </c>
      <c r="AE13" s="63" t="e">
        <f>V13+Y13-AB13</f>
        <v>#DIV/0!</v>
      </c>
      <c r="AF13" s="53"/>
      <c r="AG13" s="53"/>
      <c r="AH13" s="53"/>
      <c r="AI13" s="65">
        <f>SUM(AF13:AH14)</f>
        <v>0</v>
      </c>
      <c r="AJ13" s="66" t="e">
        <f>AE13/AI13+5</f>
        <v>#DIV/0!</v>
      </c>
      <c r="AK13" s="2"/>
      <c r="AL13" s="44"/>
      <c r="AM13" s="56" t="e">
        <f>AJ13*AL13</f>
        <v>#DIV/0!</v>
      </c>
      <c r="AN13" s="57">
        <f>R13+AI13-AK13-AL13</f>
        <v>0</v>
      </c>
      <c r="AO13" s="78" t="s">
        <v>28</v>
      </c>
    </row>
    <row r="14" ht="19.05" customHeight="1" spans="1:41" x14ac:dyDescent="0.25">
      <c r="A14" s="79"/>
      <c r="B14" s="6"/>
      <c r="C14" s="80">
        <f>SUM(C11:C13)</f>
        <v>0</v>
      </c>
      <c r="D14" s="6"/>
      <c r="E14" s="80">
        <f>SUM(E11:E13)</f>
        <v>0</v>
      </c>
      <c r="F14" s="6"/>
      <c r="G14" s="81">
        <f>SUM(G11:G13)</f>
        <v>0</v>
      </c>
      <c r="H14" s="10"/>
      <c r="I14" s="82" t="e">
        <f t="shared" ref="I14" si="5">E14/C14</f>
        <v>#DIV/0!</v>
      </c>
      <c r="J14" s="6"/>
      <c r="K14" s="83" t="e">
        <f t="shared" ref="K14" si="6">G14/C14</f>
        <v>#DIV/0!</v>
      </c>
      <c r="L14" s="84"/>
      <c r="M14" s="85"/>
      <c r="N14" s="86"/>
      <c r="O14" s="87" t="e">
        <f t="shared" ref="O14" si="7">M14*I14</f>
        <v>#DIV/0!</v>
      </c>
      <c r="P14" s="88"/>
      <c r="Q14" s="89" t="e">
        <f t="shared" ref="Q14" si="8">M14*K14</f>
        <v>#DIV/0!</v>
      </c>
      <c r="R14" s="49"/>
      <c r="S14" s="59"/>
      <c r="T14" s="61"/>
      <c r="U14" s="61"/>
      <c r="V14" s="61"/>
      <c r="W14" s="60"/>
      <c r="X14" s="60"/>
      <c r="Y14" s="60"/>
      <c r="Z14" s="61"/>
      <c r="AA14" s="61"/>
      <c r="AB14" s="61"/>
      <c r="AC14" s="60"/>
      <c r="AD14" s="62"/>
      <c r="AE14" s="63"/>
      <c r="AF14" s="64"/>
      <c r="AG14" s="64"/>
      <c r="AH14" s="64"/>
      <c r="AI14" s="65"/>
      <c r="AJ14" s="66"/>
      <c r="AK14" s="67"/>
      <c r="AL14" s="49"/>
      <c r="AM14" s="68"/>
      <c r="AN14" s="69"/>
      <c r="AO14" s="70"/>
    </row>
    <row r="15" ht="19.05" customHeight="1" spans="1:41" x14ac:dyDescent="0.25">
      <c r="A15" s="90" t="s">
        <v>29</v>
      </c>
      <c r="B15" s="6"/>
      <c r="C15" s="42"/>
      <c r="D15" s="6"/>
      <c r="E15" s="42"/>
      <c r="F15" s="6"/>
      <c r="G15" s="43"/>
      <c r="H15" s="10"/>
      <c r="I15" s="91"/>
      <c r="J15" s="6"/>
      <c r="K15" s="6"/>
      <c r="L15" s="6"/>
      <c r="M15" s="6"/>
      <c r="N15" s="6"/>
      <c r="O15" s="91"/>
      <c r="P15" s="6"/>
      <c r="Q15" s="6"/>
      <c r="R15" s="44"/>
      <c r="S15" s="45" t="s">
        <v>30</v>
      </c>
      <c r="T15" s="61"/>
      <c r="U15" s="61"/>
      <c r="V15" s="61"/>
      <c r="W15" s="60"/>
      <c r="X15" s="60"/>
      <c r="Y15" s="60"/>
      <c r="Z15" s="61"/>
      <c r="AA15" s="61"/>
      <c r="AB15" s="61"/>
      <c r="AC15" s="60"/>
      <c r="AD15" s="62"/>
      <c r="AE15" s="63"/>
      <c r="AF15" s="53"/>
      <c r="AG15" s="53"/>
      <c r="AH15" s="53"/>
      <c r="AI15" s="65">
        <f>SUM(AF15:AH16)</f>
        <v>0</v>
      </c>
      <c r="AJ15" s="66">
        <v>87</v>
      </c>
      <c r="AK15" s="2"/>
      <c r="AL15" s="44"/>
      <c r="AM15" s="56">
        <f>AJ15*AL15</f>
        <v>0</v>
      </c>
      <c r="AN15" s="57">
        <f>R15+AI15-AK15-AL15</f>
        <v>0</v>
      </c>
      <c r="AO15" s="78" t="s">
        <v>30</v>
      </c>
    </row>
    <row r="16" ht="19.05" customHeight="1" spans="1:41" x14ac:dyDescent="0.25">
      <c r="A16" s="90"/>
      <c r="B16" s="6"/>
      <c r="C16" s="42"/>
      <c r="D16" s="6"/>
      <c r="E16" s="42"/>
      <c r="F16" s="6"/>
      <c r="G16" s="43"/>
      <c r="H16" s="10"/>
      <c r="I16" s="91"/>
      <c r="J16" s="6"/>
      <c r="K16" s="6"/>
      <c r="L16" s="6"/>
      <c r="O16" s="6"/>
      <c r="P16" s="6"/>
      <c r="Q16" s="94"/>
      <c r="R16" s="49"/>
      <c r="S16" s="59"/>
      <c r="T16" s="61"/>
      <c r="U16" s="61"/>
      <c r="V16" s="61"/>
      <c r="W16" s="60"/>
      <c r="X16" s="60"/>
      <c r="Y16" s="60"/>
      <c r="Z16" s="61"/>
      <c r="AA16" s="61"/>
      <c r="AB16" s="61"/>
      <c r="AC16" s="60"/>
      <c r="AD16" s="62"/>
      <c r="AE16" s="63"/>
      <c r="AF16" s="64"/>
      <c r="AG16" s="64"/>
      <c r="AH16" s="64"/>
      <c r="AI16" s="65"/>
      <c r="AJ16" s="66"/>
      <c r="AK16" s="67"/>
      <c r="AL16" s="49"/>
      <c r="AM16" s="68"/>
      <c r="AN16" s="69"/>
      <c r="AO16" s="70"/>
    </row>
    <row r="17" ht="19.05" customHeight="1" spans="1:41" x14ac:dyDescent="0.25">
      <c r="A17" s="92"/>
      <c r="B17" s="6"/>
      <c r="C17" s="72"/>
      <c r="D17" s="6"/>
      <c r="E17" s="72"/>
      <c r="F17" s="6"/>
      <c r="G17" s="73"/>
      <c r="H17" s="10"/>
      <c r="I17" s="91"/>
      <c r="J17" s="6"/>
      <c r="K17" s="6"/>
      <c r="L17" s="6"/>
      <c r="M17" s="6"/>
      <c r="N17" s="6"/>
      <c r="O17" s="91"/>
      <c r="P17" s="6"/>
      <c r="Q17" s="6"/>
      <c r="R17" s="44"/>
      <c r="S17" s="45" t="s">
        <v>31</v>
      </c>
      <c r="T17" s="61"/>
      <c r="U17" s="61"/>
      <c r="V17" s="61"/>
      <c r="W17" s="60"/>
      <c r="X17" s="60"/>
      <c r="Y17" s="60"/>
      <c r="Z17" s="61"/>
      <c r="AA17" s="61"/>
      <c r="AB17" s="61"/>
      <c r="AC17" s="60"/>
      <c r="AD17" s="62"/>
      <c r="AE17" s="63"/>
      <c r="AF17" s="53"/>
      <c r="AG17" s="53"/>
      <c r="AH17" s="53"/>
      <c r="AI17" s="65">
        <f>SUM(AF17:AH18)</f>
        <v>0</v>
      </c>
      <c r="AJ17" s="66">
        <v>87</v>
      </c>
      <c r="AK17" s="2"/>
      <c r="AL17" s="44"/>
      <c r="AM17" s="56">
        <f>AJ17*AL17</f>
        <v>0</v>
      </c>
      <c r="AN17" s="57">
        <f>R17+AI17-AK17-AL17</f>
        <v>0</v>
      </c>
      <c r="AO17" s="95" t="s">
        <v>31</v>
      </c>
    </row>
    <row r="18" ht="19.05" customHeight="1" spans="1:41" x14ac:dyDescent="0.25">
      <c r="A18" s="79"/>
      <c r="B18" s="6"/>
      <c r="C18" s="80">
        <f>SUM(C15:C17)</f>
        <v>0</v>
      </c>
      <c r="D18" s="6"/>
      <c r="E18" s="80">
        <f>SUM(E15:E17)</f>
        <v>0</v>
      </c>
      <c r="F18" s="6"/>
      <c r="G18" s="81">
        <f>SUM(G15:G17)</f>
        <v>0</v>
      </c>
      <c r="H18" s="10"/>
      <c r="I18" s="82" t="e">
        <f t="shared" ref="I18" si="9">E18/C18</f>
        <v>#DIV/0!</v>
      </c>
      <c r="J18" s="6"/>
      <c r="K18" s="83" t="e">
        <f t="shared" ref="K18" si="10">G18/C18</f>
        <v>#DIV/0!</v>
      </c>
      <c r="L18" s="84"/>
      <c r="M18" s="85"/>
      <c r="N18" s="86"/>
      <c r="O18" s="87" t="e">
        <f t="shared" ref="O18" si="11">M18*I18</f>
        <v>#DIV/0!</v>
      </c>
      <c r="P18" s="88"/>
      <c r="Q18" s="89" t="e">
        <f t="shared" ref="Q18" si="12">M18*K18</f>
        <v>#DIV/0!</v>
      </c>
      <c r="R18" s="49"/>
      <c r="S18" s="59"/>
      <c r="T18" s="61"/>
      <c r="U18" s="61"/>
      <c r="V18" s="61"/>
      <c r="W18" s="60"/>
      <c r="X18" s="60"/>
      <c r="Y18" s="60"/>
      <c r="Z18" s="61"/>
      <c r="AA18" s="61"/>
      <c r="AB18" s="61"/>
      <c r="AC18" s="60"/>
      <c r="AD18" s="62"/>
      <c r="AE18" s="63"/>
      <c r="AF18" s="64"/>
      <c r="AG18" s="64"/>
      <c r="AH18" s="64"/>
      <c r="AI18" s="65"/>
      <c r="AJ18" s="66"/>
      <c r="AK18" s="67"/>
      <c r="AL18" s="49"/>
      <c r="AM18" s="68"/>
      <c r="AN18" s="69"/>
      <c r="AO18" s="96"/>
    </row>
    <row r="19" ht="19.05" customHeight="1" spans="1:41" x14ac:dyDescent="0.25">
      <c r="A19" s="90" t="s">
        <v>32</v>
      </c>
      <c r="B19" s="6"/>
      <c r="C19" s="42"/>
      <c r="D19" s="6"/>
      <c r="E19" s="42"/>
      <c r="F19" s="6"/>
      <c r="G19" s="43"/>
      <c r="H19" s="10"/>
      <c r="I19" s="91"/>
      <c r="J19" s="6"/>
      <c r="K19" s="6"/>
      <c r="L19" s="6"/>
      <c r="M19" s="6"/>
      <c r="N19" s="6"/>
      <c r="O19" s="91"/>
      <c r="P19" s="6"/>
      <c r="Q19" s="6"/>
      <c r="R19" s="44"/>
      <c r="S19" s="45" t="s">
        <v>33</v>
      </c>
      <c r="T19" s="61"/>
      <c r="U19" s="61"/>
      <c r="V19" s="61"/>
      <c r="W19" s="60"/>
      <c r="X19" s="60"/>
      <c r="Y19" s="60"/>
      <c r="Z19" s="61"/>
      <c r="AA19" s="61"/>
      <c r="AB19" s="61"/>
      <c r="AC19" s="60"/>
      <c r="AD19" s="62"/>
      <c r="AE19" s="63"/>
      <c r="AF19" s="53"/>
      <c r="AG19" s="53"/>
      <c r="AH19" s="53"/>
      <c r="AI19" s="65">
        <f>SUM(AF19:AH20)</f>
        <v>0</v>
      </c>
      <c r="AJ19" s="66">
        <v>87</v>
      </c>
      <c r="AK19" s="2"/>
      <c r="AL19" s="44"/>
      <c r="AM19" s="56">
        <f>AJ19*AL19</f>
        <v>0</v>
      </c>
      <c r="AN19" s="57">
        <f>R19+AI19-AK19-AL19</f>
        <v>0</v>
      </c>
      <c r="AO19" s="95" t="s">
        <v>33</v>
      </c>
    </row>
    <row r="20" ht="19.05" customHeight="1" spans="1:41" x14ac:dyDescent="0.25">
      <c r="A20" s="90"/>
      <c r="B20" s="6"/>
      <c r="C20" s="42"/>
      <c r="D20" s="6"/>
      <c r="E20" s="42"/>
      <c r="F20" s="6"/>
      <c r="G20" s="43"/>
      <c r="H20" s="10"/>
      <c r="I20" s="91"/>
      <c r="J20" s="6"/>
      <c r="K20" s="6"/>
      <c r="L20" s="6"/>
      <c r="M20" s="6"/>
      <c r="N20" s="6"/>
      <c r="O20" s="91"/>
      <c r="P20" s="6"/>
      <c r="Q20" s="6"/>
      <c r="R20" s="49"/>
      <c r="S20" s="59"/>
      <c r="T20" s="61"/>
      <c r="U20" s="61"/>
      <c r="V20" s="61"/>
      <c r="W20" s="60"/>
      <c r="X20" s="60"/>
      <c r="Y20" s="60"/>
      <c r="Z20" s="61"/>
      <c r="AA20" s="61"/>
      <c r="AB20" s="61"/>
      <c r="AC20" s="60"/>
      <c r="AD20" s="62"/>
      <c r="AE20" s="63"/>
      <c r="AF20" s="64"/>
      <c r="AG20" s="64"/>
      <c r="AH20" s="64"/>
      <c r="AI20" s="65"/>
      <c r="AJ20" s="66"/>
      <c r="AK20" s="67"/>
      <c r="AL20" s="49"/>
      <c r="AM20" s="68"/>
      <c r="AN20" s="69"/>
      <c r="AO20" s="96"/>
    </row>
    <row r="21" ht="19.05" customHeight="1" spans="1:41" x14ac:dyDescent="0.25">
      <c r="A21" s="92"/>
      <c r="B21" s="6"/>
      <c r="C21" s="72"/>
      <c r="D21" s="6"/>
      <c r="E21" s="72"/>
      <c r="F21" s="6"/>
      <c r="G21" s="73"/>
      <c r="H21" s="10"/>
      <c r="I21" s="91"/>
      <c r="J21" s="6"/>
      <c r="K21" s="6"/>
      <c r="L21" s="6"/>
      <c r="M21" s="6"/>
      <c r="N21" s="6"/>
      <c r="O21" s="91"/>
      <c r="P21" s="6"/>
      <c r="Q21" s="6"/>
      <c r="R21" s="44"/>
      <c r="S21" s="45" t="s">
        <v>34</v>
      </c>
      <c r="T21" s="61"/>
      <c r="U21" s="61"/>
      <c r="V21" s="61"/>
      <c r="W21" s="60"/>
      <c r="X21" s="60"/>
      <c r="Y21" s="60"/>
      <c r="Z21" s="61"/>
      <c r="AA21" s="61"/>
      <c r="AB21" s="61"/>
      <c r="AC21" s="60"/>
      <c r="AD21" s="62"/>
      <c r="AE21" s="63"/>
      <c r="AF21" s="53"/>
      <c r="AG21" s="53"/>
      <c r="AH21" s="53"/>
      <c r="AI21" s="65">
        <f>SUM(AF21:AH22)</f>
        <v>0</v>
      </c>
      <c r="AJ21" s="66">
        <v>20</v>
      </c>
      <c r="AK21" s="2"/>
      <c r="AL21" s="44"/>
      <c r="AM21" s="56">
        <f>AJ21*AL21</f>
        <v>0</v>
      </c>
      <c r="AN21" s="57">
        <f>R21+AI21-AK21-AL21</f>
        <v>0</v>
      </c>
      <c r="AO21" s="78" t="s">
        <v>34</v>
      </c>
    </row>
    <row r="22" ht="19.05" customHeight="1" spans="1:41" x14ac:dyDescent="0.25">
      <c r="A22" s="79"/>
      <c r="B22" s="6"/>
      <c r="C22" s="80">
        <f>SUM(C19:C21)</f>
        <v>0</v>
      </c>
      <c r="D22" s="6"/>
      <c r="E22" s="80">
        <f>SUM(E19:E21)</f>
        <v>0</v>
      </c>
      <c r="F22" s="6"/>
      <c r="G22" s="81">
        <f>SUM(G19:G21)</f>
        <v>0</v>
      </c>
      <c r="H22" s="10"/>
      <c r="I22" s="82" t="e">
        <f t="shared" ref="I22" si="13">E22/C22</f>
        <v>#DIV/0!</v>
      </c>
      <c r="J22" s="6"/>
      <c r="K22" s="83" t="e">
        <f t="shared" ref="K22" si="14">G22/C22</f>
        <v>#DIV/0!</v>
      </c>
      <c r="L22" s="84"/>
      <c r="M22" s="85"/>
      <c r="N22" s="86"/>
      <c r="O22" s="87" t="e">
        <f t="shared" ref="O22" si="15">M22*I22</f>
        <v>#DIV/0!</v>
      </c>
      <c r="P22" s="88"/>
      <c r="Q22" s="89" t="e">
        <f t="shared" ref="Q22" si="16">M22*K22</f>
        <v>#DIV/0!</v>
      </c>
      <c r="R22" s="49"/>
      <c r="S22" s="59"/>
      <c r="T22" s="61"/>
      <c r="U22" s="61"/>
      <c r="V22" s="61"/>
      <c r="W22" s="60"/>
      <c r="X22" s="60"/>
      <c r="Y22" s="60"/>
      <c r="Z22" s="61"/>
      <c r="AA22" s="61"/>
      <c r="AB22" s="61"/>
      <c r="AC22" s="60"/>
      <c r="AD22" s="62"/>
      <c r="AE22" s="63"/>
      <c r="AF22" s="64"/>
      <c r="AG22" s="64"/>
      <c r="AH22" s="64"/>
      <c r="AI22" s="65"/>
      <c r="AJ22" s="66"/>
      <c r="AK22" s="67"/>
      <c r="AL22" s="49"/>
      <c r="AM22" s="68"/>
      <c r="AN22" s="69"/>
      <c r="AO22" s="70"/>
    </row>
    <row r="23" ht="19.05" customHeight="1" spans="1:41" x14ac:dyDescent="0.25">
      <c r="A23" s="41" t="s">
        <v>35</v>
      </c>
      <c r="B23" s="6"/>
      <c r="C23" s="42"/>
      <c r="D23" s="6"/>
      <c r="E23" s="42"/>
      <c r="F23" s="6"/>
      <c r="G23" s="43"/>
      <c r="H23" s="10"/>
      <c r="I23" s="91"/>
      <c r="J23" s="6"/>
      <c r="K23" s="6"/>
      <c r="L23" s="6"/>
      <c r="M23" s="6"/>
      <c r="N23" s="6"/>
      <c r="O23" s="91"/>
      <c r="P23" s="6"/>
      <c r="Q23" s="6"/>
      <c r="R23" s="74"/>
      <c r="S23" s="97" t="s">
        <v>35</v>
      </c>
      <c r="T23" s="61"/>
      <c r="U23" s="61"/>
      <c r="V23" s="77"/>
      <c r="W23" s="60">
        <f>C26</f>
        <v>0</v>
      </c>
      <c r="X23" s="60">
        <f>E26</f>
        <v>0</v>
      </c>
      <c r="Y23" s="63">
        <f>G26</f>
        <v>0</v>
      </c>
      <c r="Z23" s="61">
        <f>M26</f>
        <v>0</v>
      </c>
      <c r="AA23" s="76" t="e">
        <f>O26</f>
        <v>#DIV/0!</v>
      </c>
      <c r="AB23" s="77" t="e">
        <f>Q26</f>
        <v>#DIV/0!</v>
      </c>
      <c r="AC23" s="60">
        <f>T23+W23-Z23</f>
        <v>0</v>
      </c>
      <c r="AD23" s="62" t="e">
        <f>U23+X23-AA23</f>
        <v>#DIV/0!</v>
      </c>
      <c r="AE23" s="63" t="e">
        <f>V23+Y23-AB23</f>
        <v>#DIV/0!</v>
      </c>
      <c r="AF23" s="98"/>
      <c r="AG23" s="98"/>
      <c r="AH23" s="98"/>
      <c r="AI23" s="65">
        <f>SUM(AF23:AH24)</f>
        <v>0</v>
      </c>
      <c r="AJ23" s="66" t="e">
        <f t="shared" ref="AJ23" si="17">AE23/AI23+5</f>
        <v>#DIV/0!</v>
      </c>
      <c r="AK23" s="99"/>
      <c r="AL23" s="74"/>
      <c r="AM23" s="100" t="e">
        <f>AJ23*AL23</f>
        <v>#DIV/0!</v>
      </c>
      <c r="AN23" s="101">
        <f>R23+AI23-AK23-AL23</f>
        <v>0</v>
      </c>
      <c r="AO23" s="78" t="s">
        <v>35</v>
      </c>
    </row>
    <row r="24" ht="19.05" customHeight="1" spans="1:41" x14ac:dyDescent="0.25">
      <c r="A24" s="41"/>
      <c r="B24" s="6"/>
      <c r="C24" s="42"/>
      <c r="D24" s="6"/>
      <c r="E24" s="42"/>
      <c r="F24" s="6"/>
      <c r="G24" s="43"/>
      <c r="H24" s="10"/>
      <c r="I24" s="91"/>
      <c r="J24" s="6"/>
      <c r="K24" s="6"/>
      <c r="L24" s="6"/>
      <c r="M24" s="6"/>
      <c r="N24" s="6"/>
      <c r="O24" s="91"/>
      <c r="P24" s="6"/>
      <c r="Q24" s="6"/>
      <c r="R24" s="102"/>
      <c r="S24" s="103"/>
      <c r="T24" s="104"/>
      <c r="U24" s="104"/>
      <c r="V24" s="104"/>
      <c r="W24" s="105"/>
      <c r="X24" s="105"/>
      <c r="Y24" s="105"/>
      <c r="Z24" s="104"/>
      <c r="AA24" s="104"/>
      <c r="AB24" s="104"/>
      <c r="AC24" s="105"/>
      <c r="AD24" s="106"/>
      <c r="AE24" s="107"/>
      <c r="AF24" s="108"/>
      <c r="AG24" s="108"/>
      <c r="AH24" s="108"/>
      <c r="AI24" s="109"/>
      <c r="AJ24" s="110"/>
      <c r="AK24" s="31"/>
      <c r="AL24" s="102"/>
      <c r="AM24" s="111"/>
      <c r="AN24" s="112"/>
      <c r="AO24" s="113"/>
    </row>
    <row r="25" ht="19.05" customHeight="1" spans="1:41" x14ac:dyDescent="0.25">
      <c r="A25" s="71"/>
      <c r="B25" s="6"/>
      <c r="C25" s="72"/>
      <c r="D25" s="6"/>
      <c r="E25" s="72"/>
      <c r="F25" s="6"/>
      <c r="G25" s="73"/>
      <c r="H25" s="6"/>
      <c r="I25" s="91"/>
      <c r="J25" s="6"/>
      <c r="K25" s="6"/>
      <c r="L25" s="6"/>
      <c r="M25" s="6"/>
      <c r="N25" s="6"/>
      <c r="O25" s="91"/>
      <c r="P25" s="6"/>
      <c r="Q25" s="6"/>
      <c r="R25" s="114"/>
      <c r="T25" s="115">
        <f>SUM(V3:V24)</f>
        <v>0</v>
      </c>
      <c r="U25" s="116"/>
      <c r="V25" s="116"/>
      <c r="W25" s="115">
        <f>SUM(Y3:Y24)</f>
        <v>0</v>
      </c>
      <c r="X25" s="116"/>
      <c r="Y25" s="117"/>
      <c r="Z25" s="115" t="e">
        <f>SUM(AB3:AB24)</f>
        <v>#DIV/0!</v>
      </c>
      <c r="AA25" s="116"/>
      <c r="AB25" s="117"/>
      <c r="AM25" s="118" t="e">
        <f>SUM(AM3:AM24)</f>
        <v>#DIV/0!</v>
      </c>
      <c r="AN25" s="4"/>
      <c r="AO25" s="119" t="e">
        <f>Z25+AM25</f>
        <v>#DIV/0!</v>
      </c>
    </row>
    <row r="26" ht="19.05" customHeight="1" spans="1:41" x14ac:dyDescent="0.25">
      <c r="A26" s="79"/>
      <c r="B26" s="88"/>
      <c r="C26" s="80">
        <f>SUM(C23:C25)</f>
        <v>0</v>
      </c>
      <c r="D26" s="88"/>
      <c r="E26" s="80">
        <f>SUM(E23:E25)</f>
        <v>0</v>
      </c>
      <c r="F26" s="88"/>
      <c r="G26" s="81">
        <f>SUM(G23:G25)</f>
        <v>0</v>
      </c>
      <c r="H26" s="88"/>
      <c r="I26" s="82" t="e">
        <f t="shared" ref="I26" si="18">E26/C26</f>
        <v>#DIV/0!</v>
      </c>
      <c r="J26" s="88"/>
      <c r="K26" s="83" t="e">
        <f t="shared" ref="K26" si="19">G26/C26</f>
        <v>#DIV/0!</v>
      </c>
      <c r="L26" s="84"/>
      <c r="M26" s="85"/>
      <c r="N26" s="86"/>
      <c r="O26" s="87" t="e">
        <f t="shared" ref="O26" si="20">M26*I26</f>
        <v>#DIV/0!</v>
      </c>
      <c r="P26" s="88"/>
      <c r="Q26" s="89" t="e">
        <f t="shared" ref="Q26" si="21">M26*K26</f>
        <v>#DIV/0!</v>
      </c>
      <c r="R26" s="120"/>
      <c r="S26" s="31"/>
      <c r="T26" s="121"/>
      <c r="U26" s="122"/>
      <c r="V26" s="122"/>
      <c r="W26" s="121"/>
      <c r="X26" s="122"/>
      <c r="Y26" s="123"/>
      <c r="Z26" s="121"/>
      <c r="AA26" s="122"/>
      <c r="AB26" s="123"/>
      <c r="AC26" s="124"/>
      <c r="AD26" s="124"/>
      <c r="AE26" s="124"/>
      <c r="AF26" s="124"/>
      <c r="AG26" s="124"/>
      <c r="AH26" s="124"/>
      <c r="AI26" s="124"/>
      <c r="AJ26" s="124"/>
      <c r="AK26" s="124"/>
      <c r="AL26" s="124"/>
      <c r="AM26" s="125"/>
      <c r="AN26" s="126"/>
      <c r="AO26" s="127"/>
    </row>
    <row r="27" ht="15" customHeight="1" x14ac:dyDescent="0.25"/>
  </sheetData>
  <mergeCells count="293">
    <mergeCell ref="M1:Q1"/>
    <mergeCell ref="T1:V2"/>
    <mergeCell ref="W1:Y2"/>
    <mergeCell ref="Z1:AB2"/>
    <mergeCell ref="AC1:AE2"/>
    <mergeCell ref="AF1:AH2"/>
    <mergeCell ref="AK1:AN1"/>
    <mergeCell ref="A1:A2"/>
    <mergeCell ref="C1:C2"/>
    <mergeCell ref="E1:E2"/>
    <mergeCell ref="G1:G2"/>
    <mergeCell ref="I1:I2"/>
    <mergeCell ref="K1:K2"/>
    <mergeCell ref="R1:R2"/>
    <mergeCell ref="S1:S2"/>
    <mergeCell ref="AI1:AI2"/>
    <mergeCell ref="AJ1:AJ2"/>
    <mergeCell ref="AM2:AN2"/>
    <mergeCell ref="AO1:AO2"/>
    <mergeCell ref="A3:A5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G5:AG6"/>
    <mergeCell ref="AH5:AH6"/>
    <mergeCell ref="AI5:AI6"/>
    <mergeCell ref="AJ5:AJ6"/>
    <mergeCell ref="AK5:AK6"/>
    <mergeCell ref="AL5:AL6"/>
    <mergeCell ref="AM5:AM6"/>
    <mergeCell ref="AN5:AN6"/>
    <mergeCell ref="AO5:AO6"/>
    <mergeCell ref="A7:A9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AC7:AC8"/>
    <mergeCell ref="AD7:AD8"/>
    <mergeCell ref="AE7:AE8"/>
    <mergeCell ref="AF7:AF8"/>
    <mergeCell ref="AG7:AG8"/>
    <mergeCell ref="AH7:AH8"/>
    <mergeCell ref="AI7:AI8"/>
    <mergeCell ref="AJ7:AJ8"/>
    <mergeCell ref="AK7:AK8"/>
    <mergeCell ref="AL7:AL8"/>
    <mergeCell ref="AM7:AM8"/>
    <mergeCell ref="AN7:AN8"/>
    <mergeCell ref="AO7:AO8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AH9:AH10"/>
    <mergeCell ref="AI9:AI10"/>
    <mergeCell ref="AJ9:AJ10"/>
    <mergeCell ref="AK9:AK10"/>
    <mergeCell ref="AL9:AL10"/>
    <mergeCell ref="AM9:AM10"/>
    <mergeCell ref="AN9:AN10"/>
    <mergeCell ref="AO9:AO10"/>
    <mergeCell ref="A11:A13"/>
    <mergeCell ref="R11:R12"/>
    <mergeCell ref="S11:S12"/>
    <mergeCell ref="T11:T12"/>
    <mergeCell ref="U11:U12"/>
    <mergeCell ref="V11:V12"/>
    <mergeCell ref="W11:W12"/>
    <mergeCell ref="X11:X12"/>
    <mergeCell ref="Y11:Y12"/>
    <mergeCell ref="Z11:Z12"/>
    <mergeCell ref="AA11:AA12"/>
    <mergeCell ref="AB11:AB12"/>
    <mergeCell ref="AC11:AC12"/>
    <mergeCell ref="AD11:AD12"/>
    <mergeCell ref="AE11:AE12"/>
    <mergeCell ref="AF11:AF12"/>
    <mergeCell ref="AG11:AG12"/>
    <mergeCell ref="AH11:AH12"/>
    <mergeCell ref="AI11:AI12"/>
    <mergeCell ref="AJ11:AJ12"/>
    <mergeCell ref="AK11:AK12"/>
    <mergeCell ref="AL11:AL12"/>
    <mergeCell ref="AM11:AM12"/>
    <mergeCell ref="AN11:AN12"/>
    <mergeCell ref="AO11:AO12"/>
    <mergeCell ref="R13:R14"/>
    <mergeCell ref="S13:S14"/>
    <mergeCell ref="T13:T14"/>
    <mergeCell ref="U13:U14"/>
    <mergeCell ref="V13:V14"/>
    <mergeCell ref="W13:W14"/>
    <mergeCell ref="X13:X14"/>
    <mergeCell ref="Y13:Y14"/>
    <mergeCell ref="Z13:Z14"/>
    <mergeCell ref="AA13:AA14"/>
    <mergeCell ref="AB13:AB14"/>
    <mergeCell ref="AC13:AC14"/>
    <mergeCell ref="AD13:AD14"/>
    <mergeCell ref="AE13:AE14"/>
    <mergeCell ref="AF13:AF14"/>
    <mergeCell ref="AG13:AG14"/>
    <mergeCell ref="AH13:AH14"/>
    <mergeCell ref="AI13:AI14"/>
    <mergeCell ref="AJ13:AJ14"/>
    <mergeCell ref="AK13:AK14"/>
    <mergeCell ref="AL13:AL14"/>
    <mergeCell ref="AM13:AM14"/>
    <mergeCell ref="AN13:AN14"/>
    <mergeCell ref="AO13:AO14"/>
    <mergeCell ref="A15:A17"/>
    <mergeCell ref="R15:R16"/>
    <mergeCell ref="S15:S16"/>
    <mergeCell ref="T15:T16"/>
    <mergeCell ref="U15:U16"/>
    <mergeCell ref="V15:V16"/>
    <mergeCell ref="W15:W16"/>
    <mergeCell ref="X15:X16"/>
    <mergeCell ref="Y15:Y16"/>
    <mergeCell ref="Z15:Z16"/>
    <mergeCell ref="AA15:AA16"/>
    <mergeCell ref="AB15:AB16"/>
    <mergeCell ref="AC15:AC16"/>
    <mergeCell ref="AD15:AD16"/>
    <mergeCell ref="AE15:AE16"/>
    <mergeCell ref="AF15:AF16"/>
    <mergeCell ref="AG15:AG16"/>
    <mergeCell ref="AH15:AH16"/>
    <mergeCell ref="AI15:AI16"/>
    <mergeCell ref="AJ15:AJ16"/>
    <mergeCell ref="AK15:AK16"/>
    <mergeCell ref="AL15:AL16"/>
    <mergeCell ref="AM15:AM16"/>
    <mergeCell ref="AN15:AN16"/>
    <mergeCell ref="AO15:AO16"/>
    <mergeCell ref="R17:R18"/>
    <mergeCell ref="S17:S18"/>
    <mergeCell ref="T17:T18"/>
    <mergeCell ref="U17:U18"/>
    <mergeCell ref="V17:V18"/>
    <mergeCell ref="W17:W18"/>
    <mergeCell ref="X17:X18"/>
    <mergeCell ref="Y17:Y18"/>
    <mergeCell ref="Z17:Z18"/>
    <mergeCell ref="AA17:AA18"/>
    <mergeCell ref="AB17:AB18"/>
    <mergeCell ref="AC17:AC18"/>
    <mergeCell ref="AD17:AD18"/>
    <mergeCell ref="AE17:AE18"/>
    <mergeCell ref="AF17:AF18"/>
    <mergeCell ref="AG17:AG18"/>
    <mergeCell ref="AH17:AH18"/>
    <mergeCell ref="AI17:AI18"/>
    <mergeCell ref="AJ17:AJ18"/>
    <mergeCell ref="AK17:AK18"/>
    <mergeCell ref="AL17:AL18"/>
    <mergeCell ref="AM17:AM18"/>
    <mergeCell ref="AN17:AN18"/>
    <mergeCell ref="AO17:AO18"/>
    <mergeCell ref="A19:A21"/>
    <mergeCell ref="R19:R20"/>
    <mergeCell ref="S19:S20"/>
    <mergeCell ref="T19:T20"/>
    <mergeCell ref="U19:U20"/>
    <mergeCell ref="V19:V20"/>
    <mergeCell ref="W19:W20"/>
    <mergeCell ref="X19:X20"/>
    <mergeCell ref="Y19:Y20"/>
    <mergeCell ref="Z19:Z20"/>
    <mergeCell ref="AA19:AA20"/>
    <mergeCell ref="AB19:AB20"/>
    <mergeCell ref="AC19:AC20"/>
    <mergeCell ref="AD19:AD20"/>
    <mergeCell ref="AE19:AE20"/>
    <mergeCell ref="AF19:AF20"/>
    <mergeCell ref="AG19:AG20"/>
    <mergeCell ref="AH19:AH20"/>
    <mergeCell ref="AI19:AI20"/>
    <mergeCell ref="AJ19:AJ20"/>
    <mergeCell ref="AK19:AK20"/>
    <mergeCell ref="AL19:AL20"/>
    <mergeCell ref="AM19:AM20"/>
    <mergeCell ref="AN19:AN20"/>
    <mergeCell ref="AO19:AO20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21:AH22"/>
    <mergeCell ref="AI21:AI22"/>
    <mergeCell ref="AJ21:AJ22"/>
    <mergeCell ref="AK21:AK22"/>
    <mergeCell ref="AL21:AL22"/>
    <mergeCell ref="AM21:AM22"/>
    <mergeCell ref="AN21:AN22"/>
    <mergeCell ref="AO21:AO22"/>
    <mergeCell ref="A23:A25"/>
    <mergeCell ref="R23:R24"/>
    <mergeCell ref="S23:S24"/>
    <mergeCell ref="T23:T24"/>
    <mergeCell ref="U23:U24"/>
    <mergeCell ref="V23:V24"/>
    <mergeCell ref="W23:W24"/>
    <mergeCell ref="X23:X24"/>
    <mergeCell ref="Y23:Y24"/>
    <mergeCell ref="Z23:Z24"/>
    <mergeCell ref="AA23:AA24"/>
    <mergeCell ref="AB23:AB24"/>
    <mergeCell ref="AC23:AC24"/>
    <mergeCell ref="AD23:AD24"/>
    <mergeCell ref="AE23:AE24"/>
    <mergeCell ref="AF23:AF24"/>
    <mergeCell ref="AG23:AG24"/>
    <mergeCell ref="AH23:AH24"/>
    <mergeCell ref="AI23:AI24"/>
    <mergeCell ref="AJ23:AJ24"/>
    <mergeCell ref="AK23:AK24"/>
    <mergeCell ref="AL23:AL24"/>
    <mergeCell ref="AM23:AM24"/>
    <mergeCell ref="AN23:AN24"/>
    <mergeCell ref="AO23:AO24"/>
    <mergeCell ref="T25:V26"/>
    <mergeCell ref="W25:Y26"/>
    <mergeCell ref="Z25:AB26"/>
    <mergeCell ref="AM25:AM26"/>
  </mergeCells>
  <pageMargins left="0.2" right="0.2" top="0.75" bottom="0.75" header="0.3" footer="0.3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Production (29)</vt:lpstr>
      <vt:lpstr>FROZEN INV</vt:lpstr>
      <vt:lpstr>Production (28)</vt:lpstr>
      <vt:lpstr>Production (27)</vt:lpstr>
      <vt:lpstr>Production (32)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M&amp;G Management and Logistics Inc.</dc:creator>
  <cp:lastModifiedBy>Martin Hernandez</cp:lastModifiedBy>
  <cp:lastPrinted>2026-07-11T16:57:35Z</cp:lastPrinted>
  <dcterms:created xsi:type="dcterms:W3CDTF">2025-12-06T19:49:05Z</dcterms:created>
  <dcterms:modified xsi:type="dcterms:W3CDTF">2026-08-10T21:01:12Z</dcterms:modified>
</cp:coreProperties>
</file>