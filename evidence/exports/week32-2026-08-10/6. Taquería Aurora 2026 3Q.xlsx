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activeTab="1"/>
  </bookViews>
  <sheets>
    <sheet sheetId="6" name="Week (29)" state="visible" r:id="rId4"/>
    <sheet sheetId="4" name="Payments" state="visible" r:id="rId5"/>
    <sheet sheetId="5" name="Week (28)" state="visible" r:id="rId6"/>
    <sheet sheetId="3" name="Week (27)" state="visible" r:id="rId7"/>
    <sheet sheetId="1" name="Week (32)" state="visible" r:id="rId8"/>
  </sheets>
  <calcPr calcId="171027" fullCalcOnLoad="1"/>
</workbook>
</file>

<file path=xl/sharedStrings.xml><?xml version="1.0" encoding="utf-8"?>
<sst xmlns="http://schemas.openxmlformats.org/spreadsheetml/2006/main" count="336" uniqueCount="38">
  <si>
    <t>M&amp;G Management and Logistics Inc.</t>
  </si>
  <si>
    <t>Statement Date:</t>
  </si>
  <si>
    <t>1058 N. DuPage Avenue</t>
  </si>
  <si>
    <t>Due Date:</t>
  </si>
  <si>
    <t>Lombard, Illinois. 60148</t>
  </si>
  <si>
    <t>(630) 245-3643</t>
  </si>
  <si>
    <t>Invoice #</t>
  </si>
  <si>
    <t>2026-29</t>
  </si>
  <si>
    <t>Taqueria Aurora</t>
  </si>
  <si>
    <t>Taqueria Aurora Burlington</t>
  </si>
  <si>
    <t>645 N. Elmwood Drive</t>
  </si>
  <si>
    <t>425 S. Main Street</t>
  </si>
  <si>
    <t>Aurora, Illinois. 60506</t>
  </si>
  <si>
    <t>Burlington, Illinois. 60109</t>
  </si>
  <si>
    <t>DATE</t>
  </si>
  <si>
    <t>DESCRIPTION</t>
  </si>
  <si>
    <t>CHARGES</t>
  </si>
  <si>
    <t>QUANTITY</t>
  </si>
  <si>
    <t>BALANCE</t>
  </si>
  <si>
    <t>Steak Taco Meat</t>
  </si>
  <si>
    <t>Chicken Taco</t>
  </si>
  <si>
    <t>Chile Relleno</t>
  </si>
  <si>
    <t>AlPastor Taco Meat</t>
  </si>
  <si>
    <t xml:space="preserve">Markup </t>
  </si>
  <si>
    <t>Total Invoice</t>
  </si>
  <si>
    <t>Week</t>
  </si>
  <si>
    <t>Invoice</t>
  </si>
  <si>
    <t>Payment</t>
  </si>
  <si>
    <t>1-Q</t>
  </si>
  <si>
    <t>2026-28</t>
  </si>
  <si>
    <t>Chicken Taco Meat</t>
  </si>
  <si>
    <t>Tampiquena</t>
  </si>
  <si>
    <t>2026-27</t>
  </si>
  <si>
    <t>2026-32</t>
  </si>
  <si>
    <t>Taquería Aurora</t>
  </si>
  <si>
    <t>Burlington</t>
  </si>
  <si>
    <t>Carne Asada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</si>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</sst>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(#,##0.00);_(&quot;$&quot;* &quot;-&quot;??_);_(@_)"/>
  </numFmts>
  <fonts count="8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family val="2"/>
      <scheme val="minor"/>
      <sz val="12"/>
      <name val="Calibri"/>
    </font>
    <font>
      <family val="2"/>
      <scheme val="minor"/>
      <sz val="11"/>
      <name val="Calibri"/>
    </font>
    <font>
      <b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color rgb="FFC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5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5" fillId="0" borderId="0" xfId="0" applyNumberFormat="1" applyFont="1"/>
    <xf numFmtId="164" fontId="1" fillId="0" borderId="3" xfId="0" applyNumberFormat="1" applyFont="1" applyBorder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" fontId="1" fillId="0" borderId="1" xfId="0" applyNumberFormat="1" applyFont="1" applyBorder="1" applyAlignment="1">
      <alignment horizontal="center"/>
    </xf>
    <xf numFmtId="164" fontId="7" fillId="0" borderId="3" xfId="0" applyNumberFormat="1" applyFont="1" applyBorder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 zoomScale="69" zoomScaleNormal="69">
      <selection activeCell="I2" sqref="I2"/>
    </sheetView>
  </sheetViews>
  <sheetFormatPr defaultRowHeight="13.8" outlineLevelRow="0" outlineLevelCol="0" x14ac:dyDescent="0.3" defaultColWidth="9.109375" customHeight="1"/>
  <cols>
    <col min="1" max="1" width="11.44140625" style="1" customWidth="1"/>
    <col min="2" max="2" width="2.6640625" style="1" customWidth="1"/>
    <col min="3" max="3" width="24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1.44140625" style="1" customWidth="1"/>
    <col min="11" max="11" width="2.6640625" style="1" customWidth="1"/>
    <col min="12" max="12" width="24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6384" width="9.109375" style="2" customWidth="1"/>
  </cols>
  <sheetData>
    <row r="1" ht="24.9" customHeight="1" spans="1:18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46244.5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v>46244.5</v>
      </c>
    </row>
    <row r="2" ht="24.9" customHeight="1" spans="1:18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v>46251.5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v>46251.5</v>
      </c>
    </row>
    <row r="3" ht="24.9" customHeight="1" spans="1:18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</row>
    <row r="4" ht="24.9" customHeight="1" spans="1:18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33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">
        <v>33</v>
      </c>
    </row>
    <row r="5" ht="24.9" customHeight="1" spans="1:18" x14ac:dyDescent="0.25">
      <c r="A5" s="3" t="s">
        <v>34</v>
      </c>
      <c r="B5" s="3"/>
      <c r="C5" s="3"/>
      <c r="D5" s="3"/>
      <c r="E5" s="3"/>
      <c r="F5" s="3"/>
      <c r="G5" s="3"/>
      <c r="H5" s="3"/>
      <c r="I5" s="3"/>
      <c r="J5" s="3" t="s">
        <v>35</v>
      </c>
      <c r="K5" s="3"/>
      <c r="L5" s="3"/>
      <c r="M5" s="3"/>
      <c r="N5" s="3"/>
      <c r="O5" s="3"/>
      <c r="P5" s="3"/>
      <c r="Q5" s="3"/>
      <c r="R5" s="3"/>
    </row>
    <row r="6" ht="24.9" customHeight="1" spans="1:18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 t="s">
        <v>11</v>
      </c>
      <c r="K6" s="3"/>
      <c r="L6" s="3"/>
      <c r="M6" s="3"/>
      <c r="N6" s="3"/>
      <c r="O6" s="3"/>
      <c r="P6" s="3"/>
      <c r="Q6" s="3"/>
      <c r="R6" s="3"/>
    </row>
    <row r="7" ht="24.9" customHeight="1" spans="1:18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</row>
    <row r="8" ht="24.9" customHeight="1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4.9" customHeight="1" spans="1:18" s="8" customFormat="1" x14ac:dyDescent="0.25">
      <c r="A9" s="9" t="s">
        <v>14</v>
      </c>
      <c r="B9" s="10"/>
      <c r="C9" s="10" t="s">
        <v>15</v>
      </c>
      <c r="D9" s="10"/>
      <c r="E9" s="10" t="s">
        <v>16</v>
      </c>
      <c r="F9" s="10"/>
      <c r="G9" s="10" t="s">
        <v>17</v>
      </c>
      <c r="H9" s="10"/>
      <c r="I9" s="11" t="s">
        <v>18</v>
      </c>
      <c r="J9" s="9" t="s">
        <v>14</v>
      </c>
      <c r="K9" s="10"/>
      <c r="L9" s="10" t="s">
        <v>15</v>
      </c>
      <c r="M9" s="10"/>
      <c r="N9" s="10" t="s">
        <v>16</v>
      </c>
      <c r="O9" s="10"/>
      <c r="P9" s="10" t="s">
        <v>17</v>
      </c>
      <c r="Q9" s="10"/>
      <c r="R9" s="11" t="s">
        <v>18</v>
      </c>
    </row>
    <row r="10" ht="24.9" customHeight="1" spans="1:18" x14ac:dyDescent="0.25">
      <c r="A10" s="12">
        <v>46239.5</v>
      </c>
      <c r="B10" s="13"/>
      <c r="C10" s="13" t="s">
        <v>19</v>
      </c>
      <c r="D10" s="13"/>
      <c r="E10" s="14">
        <v>163.4294</v>
      </c>
      <c r="F10" s="13"/>
      <c r="G10" s="13">
        <v>6</v>
      </c>
      <c r="H10" s="13"/>
      <c r="I10" s="15">
        <v>980.58</v>
      </c>
      <c r="J10" s="12">
        <v>46239.5</v>
      </c>
      <c r="K10" s="13"/>
      <c r="L10" s="13" t="s">
        <v>19</v>
      </c>
      <c r="M10" s="13"/>
      <c r="N10" s="14">
        <v>163.4294</v>
      </c>
      <c r="O10" s="13"/>
      <c r="P10" s="13">
        <v>2</v>
      </c>
      <c r="Q10" s="13"/>
      <c r="R10" s="15">
        <v>326.86</v>
      </c>
    </row>
    <row r="11" ht="24.9" customHeight="1" spans="1:18" x14ac:dyDescent="0.25">
      <c r="A11" s="12">
        <v>46239.5</v>
      </c>
      <c r="B11" s="16"/>
      <c r="C11" s="16" t="s">
        <v>30</v>
      </c>
      <c r="D11" s="16"/>
      <c r="E11" s="17">
        <v>32.1653</v>
      </c>
      <c r="F11" s="16"/>
      <c r="G11" s="16">
        <v>1</v>
      </c>
      <c r="H11" s="16"/>
      <c r="I11" s="15">
        <v>32.17</v>
      </c>
      <c r="J11" s="12">
        <v>46239.5</v>
      </c>
      <c r="K11" s="16"/>
      <c r="L11" s="16" t="s">
        <v>30</v>
      </c>
      <c r="M11" s="16"/>
      <c r="N11" s="17">
        <v>32.1653</v>
      </c>
      <c r="O11" s="16"/>
      <c r="P11" s="16">
        <v>1</v>
      </c>
      <c r="Q11" s="16"/>
      <c r="R11" s="15">
        <v>32.17</v>
      </c>
    </row>
    <row r="12" ht="24.9" customHeight="1" spans="1:18" x14ac:dyDescent="0.25">
      <c r="A12" s="12">
        <v>46239.5</v>
      </c>
      <c r="B12" s="16"/>
      <c r="C12" s="13" t="s">
        <v>22</v>
      </c>
      <c r="D12" s="16"/>
      <c r="E12" s="17">
        <v>46.2722</v>
      </c>
      <c r="F12" s="16"/>
      <c r="G12" s="16">
        <v>3</v>
      </c>
      <c r="H12" s="16"/>
      <c r="I12" s="15">
        <v>138.82</v>
      </c>
      <c r="J12" s="12">
        <v>46239.5</v>
      </c>
      <c r="K12" s="16"/>
      <c r="L12" s="13" t="s">
        <v>36</v>
      </c>
      <c r="M12" s="16"/>
      <c r="N12" s="17">
        <v>235.2036</v>
      </c>
      <c r="O12" s="16"/>
      <c r="P12" s="16">
        <v>1</v>
      </c>
      <c r="Q12" s="16"/>
      <c r="R12" s="15">
        <v>235.2</v>
      </c>
    </row>
    <row r="13" ht="24.9" customHeight="1" spans="1:18" x14ac:dyDescent="0.25">
      <c r="A13" s="12">
        <v>46242.5</v>
      </c>
      <c r="B13" s="16"/>
      <c r="C13" s="16" t="s">
        <v>19</v>
      </c>
      <c r="D13" s="16"/>
      <c r="E13" s="17">
        <v>163.4294</v>
      </c>
      <c r="F13" s="16"/>
      <c r="G13" s="16">
        <v>4</v>
      </c>
      <c r="H13" s="16"/>
      <c r="I13" s="15">
        <v>653.72</v>
      </c>
      <c r="J13" s="12">
        <v>46242.5</v>
      </c>
      <c r="K13" s="16"/>
      <c r="L13" s="16" t="s">
        <v>19</v>
      </c>
      <c r="M13" s="16"/>
      <c r="N13" s="17">
        <v>163.4294</v>
      </c>
      <c r="O13" s="16"/>
      <c r="P13" s="16">
        <v>2</v>
      </c>
      <c r="Q13" s="16"/>
      <c r="R13" s="15">
        <v>326.86</v>
      </c>
    </row>
    <row r="14" ht="24.9" customHeight="1" spans="1:18" x14ac:dyDescent="0.25">
      <c r="A14" s="12">
        <v>46242.5</v>
      </c>
      <c r="B14" s="16"/>
      <c r="C14" s="13" t="s">
        <v>22</v>
      </c>
      <c r="D14" s="16"/>
      <c r="E14" s="17">
        <v>46.2722</v>
      </c>
      <c r="F14" s="16"/>
      <c r="G14" s="16">
        <v>3</v>
      </c>
      <c r="H14" s="16"/>
      <c r="I14" s="15">
        <v>138.82</v>
      </c>
      <c r="J14" s="12">
        <v>46242.5</v>
      </c>
      <c r="K14" s="16"/>
      <c r="L14" s="13" t="s">
        <v>30</v>
      </c>
      <c r="M14" s="16"/>
      <c r="N14" s="17">
        <v>32.1653</v>
      </c>
      <c r="O14" s="16"/>
      <c r="P14" s="16">
        <v>2</v>
      </c>
      <c r="Q14" s="16"/>
      <c r="R14" s="15">
        <v>64.33</v>
      </c>
    </row>
    <row r="15" ht="24.9" customHeight="1" spans="1:18" x14ac:dyDescent="0.25">
      <c r="A15" s="12"/>
      <c r="B15" s="16"/>
      <c r="C15" s="16"/>
      <c r="D15" s="16"/>
      <c r="E15" s="17"/>
      <c r="F15" s="16"/>
      <c r="G15" s="16"/>
      <c r="H15" s="16"/>
      <c r="I15" s="15"/>
      <c r="J15" s="12"/>
      <c r="K15" s="16"/>
      <c r="L15" s="16"/>
      <c r="M15" s="16"/>
      <c r="N15" s="17"/>
      <c r="O15" s="16"/>
      <c r="P15" s="16"/>
      <c r="Q15" s="16"/>
      <c r="R15" s="15"/>
    </row>
    <row r="16" ht="24.9" customHeight="1" spans="1:18" x14ac:dyDescent="0.25">
      <c r="A16" s="18"/>
      <c r="B16" s="16"/>
      <c r="C16" s="13"/>
      <c r="D16" s="16"/>
      <c r="E16" s="17"/>
      <c r="F16" s="16"/>
      <c r="G16" s="16"/>
      <c r="H16" s="16"/>
      <c r="I16" s="19"/>
      <c r="J16" s="18"/>
      <c r="K16" s="16"/>
      <c r="L16" s="13"/>
      <c r="M16" s="16"/>
      <c r="N16" s="17"/>
      <c r="O16" s="16"/>
      <c r="P16" s="16"/>
      <c r="Q16" s="16"/>
      <c r="R16" s="19"/>
    </row>
    <row r="17" ht="24.9" customHeight="1" spans="1:18" x14ac:dyDescent="0.25">
      <c r="A17" s="18"/>
      <c r="B17" s="16"/>
      <c r="C17" s="16"/>
      <c r="D17" s="16"/>
      <c r="E17" s="17"/>
      <c r="F17" s="16"/>
      <c r="G17" s="16"/>
      <c r="H17" s="16"/>
      <c r="I17" s="19"/>
      <c r="J17" s="18"/>
      <c r="K17" s="16"/>
      <c r="L17" s="16"/>
      <c r="M17" s="16"/>
      <c r="N17" s="17"/>
      <c r="O17" s="16"/>
      <c r="P17" s="16"/>
      <c r="Q17" s="16"/>
      <c r="R17" s="19"/>
    </row>
    <row r="18" ht="24.9" customHeight="1" spans="1:18" x14ac:dyDescent="0.25">
      <c r="A18" s="18"/>
      <c r="B18" s="16"/>
      <c r="C18" s="13"/>
      <c r="D18" s="16"/>
      <c r="E18" s="17"/>
      <c r="F18" s="16"/>
      <c r="G18" s="16"/>
      <c r="H18" s="16"/>
      <c r="I18" s="19"/>
      <c r="J18" s="18"/>
      <c r="K18" s="16"/>
      <c r="L18" s="13"/>
      <c r="M18" s="16"/>
      <c r="N18" s="17"/>
      <c r="O18" s="16"/>
      <c r="P18" s="16"/>
      <c r="Q18" s="16"/>
      <c r="R18" s="19"/>
    </row>
    <row r="19" ht="24.9" customHeight="1" spans="1:18" x14ac:dyDescent="0.25">
      <c r="A19" s="18"/>
      <c r="B19" s="16"/>
      <c r="C19" s="16"/>
      <c r="D19" s="16"/>
      <c r="E19" s="17"/>
      <c r="F19" s="16"/>
      <c r="G19" s="16"/>
      <c r="H19" s="16"/>
      <c r="I19" s="19"/>
      <c r="J19" s="18"/>
      <c r="K19" s="16"/>
      <c r="L19" s="16"/>
      <c r="M19" s="16"/>
      <c r="N19" s="17"/>
      <c r="O19" s="16"/>
      <c r="P19" s="16"/>
      <c r="Q19" s="16"/>
      <c r="R19" s="19"/>
    </row>
    <row r="20" ht="24.9" customHeight="1" spans="1:18" x14ac:dyDescent="0.25">
      <c r="A20" s="18"/>
      <c r="B20" s="16"/>
      <c r="C20" s="16"/>
      <c r="D20" s="16"/>
      <c r="E20" s="17"/>
      <c r="F20" s="16"/>
      <c r="G20" s="16"/>
      <c r="H20" s="16"/>
      <c r="I20" s="19"/>
      <c r="J20" s="18"/>
      <c r="K20" s="16"/>
      <c r="L20" s="16"/>
      <c r="M20" s="16"/>
      <c r="N20" s="17"/>
      <c r="O20" s="16"/>
      <c r="P20" s="16"/>
      <c r="Q20" s="16"/>
      <c r="R20" s="19"/>
    </row>
    <row r="21" ht="24.9" customHeight="1" spans="1:18" x14ac:dyDescent="0.25">
      <c r="A21" s="18"/>
      <c r="B21" s="16"/>
      <c r="C21" s="16"/>
      <c r="D21" s="16"/>
      <c r="E21" s="17"/>
      <c r="F21" s="16"/>
      <c r="G21" s="16"/>
      <c r="H21" s="16"/>
      <c r="I21" s="19"/>
      <c r="J21" s="18"/>
      <c r="K21" s="16"/>
      <c r="L21" s="16"/>
      <c r="M21" s="16"/>
      <c r="N21" s="17"/>
      <c r="O21" s="16"/>
      <c r="P21" s="16"/>
      <c r="Q21" s="16"/>
      <c r="R21" s="19"/>
    </row>
    <row r="22" ht="24.9" customHeight="1" spans="1:18" x14ac:dyDescent="0.25">
      <c r="A22" s="20"/>
      <c r="B22" s="16"/>
      <c r="C22" s="16"/>
      <c r="D22" s="16"/>
      <c r="E22" s="17"/>
      <c r="F22" s="16"/>
      <c r="G22" s="16"/>
      <c r="H22" s="16"/>
      <c r="I22" s="19"/>
      <c r="J22" s="20"/>
      <c r="K22" s="16"/>
      <c r="L22" s="16"/>
      <c r="M22" s="16"/>
      <c r="N22" s="17"/>
      <c r="O22" s="16"/>
      <c r="P22" s="16"/>
      <c r="Q22" s="16"/>
      <c r="R22" s="19"/>
    </row>
    <row r="23" ht="24.9" customHeight="1" spans="1:18" x14ac:dyDescent="0.25">
      <c r="A23" s="20"/>
      <c r="B23" s="16"/>
      <c r="C23" s="16"/>
      <c r="D23" s="16"/>
      <c r="E23" s="17"/>
      <c r="F23" s="16"/>
      <c r="G23" s="16"/>
      <c r="H23" s="16"/>
      <c r="I23" s="19"/>
      <c r="J23" s="20"/>
      <c r="K23" s="16"/>
      <c r="L23" s="16"/>
      <c r="M23" s="16"/>
      <c r="N23" s="17"/>
      <c r="O23" s="16"/>
      <c r="P23" s="16"/>
      <c r="Q23" s="16"/>
      <c r="R23" s="19"/>
    </row>
    <row r="24" ht="24.9" customHeight="1" spans="1:18" x14ac:dyDescent="0.25">
      <c r="A24" s="21"/>
      <c r="B24" s="21"/>
      <c r="C24" s="21"/>
      <c r="D24" s="21"/>
      <c r="E24" s="22"/>
      <c r="F24" s="21"/>
      <c r="G24" s="21"/>
      <c r="H24" s="21"/>
      <c r="I24" s="22"/>
      <c r="J24" s="21"/>
      <c r="K24" s="21"/>
      <c r="L24" s="21"/>
      <c r="M24" s="21"/>
      <c r="N24" s="22"/>
      <c r="O24" s="21"/>
      <c r="P24" s="21"/>
      <c r="Q24" s="21"/>
      <c r="R24" s="22"/>
    </row>
    <row r="25" ht="24.9" customHeight="1" spans="1:18" x14ac:dyDescent="0.25">
      <c r="A25" s="21"/>
      <c r="B25" s="21"/>
      <c r="C25" s="21" t="s">
        <v>37</v>
      </c>
      <c r="D25" s="21"/>
      <c r="E25" s="23">
        <v>15</v>
      </c>
      <c r="F25" s="21"/>
      <c r="G25" s="21">
        <v>17</v>
      </c>
      <c r="H25" s="21"/>
      <c r="I25" s="23">
        <v>255</v>
      </c>
      <c r="J25" s="21"/>
      <c r="K25" s="21"/>
      <c r="L25" s="21" t="s">
        <v>37</v>
      </c>
      <c r="M25" s="21"/>
      <c r="N25" s="23">
        <v>15</v>
      </c>
      <c r="O25" s="21"/>
      <c r="P25" s="21">
        <v>8</v>
      </c>
      <c r="Q25" s="21"/>
      <c r="R25" s="23">
        <v>120</v>
      </c>
    </row>
    <row r="26" ht="24.9" customHeight="1" spans="1:18" x14ac:dyDescent="0.25">
      <c r="A26" s="21"/>
      <c r="B26" s="21"/>
      <c r="C26" s="21" t="s">
        <v>24</v>
      </c>
      <c r="D26" s="21"/>
      <c r="E26" s="22"/>
      <c r="F26" s="21"/>
      <c r="G26" s="1"/>
      <c r="H26" s="21"/>
      <c r="I26" s="24">
        <v>2199.09</v>
      </c>
      <c r="J26" s="21"/>
      <c r="K26" s="21"/>
      <c r="L26" s="21" t="s">
        <v>24</v>
      </c>
      <c r="M26" s="21"/>
      <c r="N26" s="22"/>
      <c r="O26" s="21"/>
      <c r="P26" s="1"/>
      <c r="Q26" s="21"/>
      <c r="R26" s="24">
        <v>1105.42</v>
      </c>
    </row>
    <row r="27" ht="24.9" customHeight="1" spans="1:18" x14ac:dyDescent="0.25">
      <c r="A27" s="21"/>
      <c r="B27" s="21"/>
      <c r="C27" s="21"/>
      <c r="D27" s="21"/>
      <c r="E27" s="22"/>
      <c r="F27" s="21"/>
      <c r="G27" s="21"/>
      <c r="H27" s="21"/>
      <c r="I27" s="22"/>
      <c r="J27" s="21"/>
      <c r="K27" s="21"/>
      <c r="L27" s="21"/>
      <c r="M27" s="21"/>
      <c r="N27" s="22"/>
      <c r="O27" s="21"/>
      <c r="P27" s="21"/>
      <c r="Q27" s="21"/>
      <c r="R27" s="22"/>
    </row>
    <row r="28" ht="24.75" customHeight="1" spans="1:18" x14ac:dyDescent="0.25">
      <c r="A28" s="21"/>
      <c r="B28" s="21"/>
      <c r="C28" s="21"/>
      <c r="D28" s="21"/>
      <c r="E28" s="22"/>
      <c r="F28" s="21"/>
      <c r="G28" s="21"/>
      <c r="H28" s="21"/>
      <c r="I28" s="22"/>
      <c r="J28" s="21"/>
      <c r="K28" s="21"/>
      <c r="L28" s="21"/>
      <c r="M28" s="21"/>
      <c r="N28" s="22"/>
      <c r="O28" s="21"/>
      <c r="P28" s="21"/>
      <c r="Q28" s="21"/>
      <c r="R28" s="22"/>
    </row>
  </sheetData>
  <mergeCells count="22"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P4:Q4"/>
    <mergeCell ref="A5:I5"/>
    <mergeCell ref="J5:R5"/>
    <mergeCell ref="A6:I6"/>
    <mergeCell ref="J6:R6"/>
    <mergeCell ref="A7:I7"/>
    <mergeCell ref="J7:R7"/>
    <mergeCell ref="A8:I8"/>
    <mergeCell ref="J8:R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 zoomScale="69" zoomScaleNormal="69">
      <selection activeCell="A26" sqref="A26"/>
    </sheetView>
  </sheetViews>
  <sheetFormatPr defaultRowHeight="13.8" outlineLevelRow="0" outlineLevelCol="0" x14ac:dyDescent="0.3" defaultColWidth="9.109375" customHeight="1"/>
  <cols>
    <col min="1" max="1" width="11.44140625" style="1" customWidth="1"/>
    <col min="2" max="2" width="2.6640625" style="1" customWidth="1"/>
    <col min="3" max="3" width="24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1.44140625" style="1" customWidth="1"/>
    <col min="11" max="11" width="2.6640625" style="1" customWidth="1"/>
    <col min="12" max="12" width="24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6384" width="9.109375" style="2" customWidth="1"/>
  </cols>
  <sheetData>
    <row r="1" ht="24.9" customHeight="1" spans="1:18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46209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46209</v>
      </c>
    </row>
    <row r="2" ht="24.9" customHeight="1" spans="1:18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I1+7</f>
        <v>46216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R1+7</f>
        <v>46216</v>
      </c>
    </row>
    <row r="3" ht="24.9" customHeight="1" spans="1:18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</row>
    <row r="4" ht="24.9" customHeight="1" spans="1:18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32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2026-27</v>
      </c>
    </row>
    <row r="5" ht="24.9" customHeight="1" spans="1:18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</row>
    <row r="6" ht="24.9" customHeight="1" spans="1:18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 t="s">
        <v>11</v>
      </c>
      <c r="K6" s="3"/>
      <c r="L6" s="3"/>
      <c r="M6" s="3"/>
      <c r="N6" s="3"/>
      <c r="O6" s="3"/>
      <c r="P6" s="3"/>
      <c r="Q6" s="3"/>
      <c r="R6" s="3"/>
    </row>
    <row r="7" ht="24.9" customHeight="1" spans="1:18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</row>
    <row r="8" ht="24.9" customHeight="1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4.9" customHeight="1" spans="1:18" s="8" customFormat="1" x14ac:dyDescent="0.25">
      <c r="A9" s="9" t="s">
        <v>14</v>
      </c>
      <c r="B9" s="10"/>
      <c r="C9" s="10" t="s">
        <v>15</v>
      </c>
      <c r="D9" s="10"/>
      <c r="E9" s="10" t="s">
        <v>16</v>
      </c>
      <c r="F9" s="10"/>
      <c r="G9" s="10" t="s">
        <v>17</v>
      </c>
      <c r="H9" s="10"/>
      <c r="I9" s="11" t="s">
        <v>18</v>
      </c>
      <c r="J9" s="9" t="s">
        <v>14</v>
      </c>
      <c r="K9" s="10"/>
      <c r="L9" s="10" t="s">
        <v>15</v>
      </c>
      <c r="M9" s="10"/>
      <c r="N9" s="10" t="s">
        <v>16</v>
      </c>
      <c r="O9" s="10"/>
      <c r="P9" s="10" t="s">
        <v>17</v>
      </c>
      <c r="Q9" s="10"/>
      <c r="R9" s="11" t="s">
        <v>18</v>
      </c>
    </row>
    <row r="10" ht="24.9" customHeight="1" spans="1:18" x14ac:dyDescent="0.25">
      <c r="A10" s="12">
        <v>46204</v>
      </c>
      <c r="B10" s="13"/>
      <c r="C10" s="13" t="s">
        <v>19</v>
      </c>
      <c r="D10" s="13"/>
      <c r="E10" s="14">
        <v>218.28</v>
      </c>
      <c r="F10" s="13"/>
      <c r="G10" s="13">
        <v>6</v>
      </c>
      <c r="H10" s="13"/>
      <c r="I10" s="15">
        <f>E10*G10</f>
        <v>1309.68</v>
      </c>
      <c r="J10" s="12">
        <v>46204</v>
      </c>
      <c r="K10" s="13"/>
      <c r="L10" s="13" t="s">
        <v>19</v>
      </c>
      <c r="M10" s="13"/>
      <c r="N10" s="14">
        <v>218.28</v>
      </c>
      <c r="O10" s="13"/>
      <c r="P10" s="13">
        <v>10</v>
      </c>
      <c r="Q10" s="13"/>
      <c r="R10" s="15">
        <f>N10*P10</f>
        <v>2182.8</v>
      </c>
    </row>
    <row r="11" ht="24.9" customHeight="1" spans="1:18" x14ac:dyDescent="0.25">
      <c r="A11" s="12">
        <v>46204</v>
      </c>
      <c r="B11" s="16"/>
      <c r="C11" s="16" t="s">
        <v>20</v>
      </c>
      <c r="D11" s="16"/>
      <c r="E11" s="17">
        <v>36.1</v>
      </c>
      <c r="F11" s="16"/>
      <c r="G11" s="16">
        <v>1</v>
      </c>
      <c r="H11" s="16"/>
      <c r="I11" s="15">
        <f>E11*G11</f>
        <v>36.1</v>
      </c>
      <c r="J11" s="12">
        <v>46204</v>
      </c>
      <c r="K11" s="16"/>
      <c r="L11" s="16" t="s">
        <v>22</v>
      </c>
      <c r="M11" s="16"/>
      <c r="N11" s="17">
        <v>54.37</v>
      </c>
      <c r="O11" s="16"/>
      <c r="P11" s="16">
        <v>3</v>
      </c>
      <c r="Q11" s="16"/>
      <c r="R11" s="15">
        <f>N11*P11</f>
        <v>163.10999999999999</v>
      </c>
    </row>
    <row r="12" ht="24.9" customHeight="1" spans="1:18" x14ac:dyDescent="0.25">
      <c r="A12" s="12">
        <v>46204</v>
      </c>
      <c r="B12" s="16"/>
      <c r="C12" s="13" t="s">
        <v>22</v>
      </c>
      <c r="D12" s="16"/>
      <c r="E12" s="17">
        <v>54.37</v>
      </c>
      <c r="F12" s="16"/>
      <c r="G12" s="16">
        <v>3</v>
      </c>
      <c r="H12" s="16"/>
      <c r="I12" s="15">
        <f>E12*G12</f>
        <v>163.10999999999999</v>
      </c>
      <c r="J12" s="12">
        <v>46204</v>
      </c>
      <c r="K12" s="16"/>
      <c r="L12" s="13" t="s">
        <v>21</v>
      </c>
      <c r="M12" s="16"/>
      <c r="N12" s="17">
        <v>91</v>
      </c>
      <c r="O12" s="16"/>
      <c r="P12" s="16">
        <v>1</v>
      </c>
      <c r="Q12" s="16"/>
      <c r="R12" s="15">
        <f>N12*P12</f>
        <v>91</v>
      </c>
    </row>
    <row r="13" ht="24.9" customHeight="1" spans="1:18" x14ac:dyDescent="0.25">
      <c r="A13" s="12"/>
      <c r="B13" s="16"/>
      <c r="C13" s="16"/>
      <c r="D13" s="16"/>
      <c r="E13" s="17"/>
      <c r="F13" s="16"/>
      <c r="G13" s="16"/>
      <c r="H13" s="16"/>
      <c r="I13" s="15"/>
      <c r="J13" s="12">
        <v>46207</v>
      </c>
      <c r="K13" s="16"/>
      <c r="L13" s="16" t="s">
        <v>31</v>
      </c>
      <c r="M13" s="16"/>
      <c r="N13" s="17">
        <v>215.48</v>
      </c>
      <c r="O13" s="16"/>
      <c r="P13" s="16">
        <v>1</v>
      </c>
      <c r="Q13" s="16"/>
      <c r="R13" s="15">
        <f>N13*P13</f>
        <v>215.48</v>
      </c>
    </row>
    <row r="14" ht="24.9" customHeight="1" spans="1:18" x14ac:dyDescent="0.25">
      <c r="A14" s="12"/>
      <c r="B14" s="16"/>
      <c r="C14" s="13"/>
      <c r="D14" s="16"/>
      <c r="E14" s="17"/>
      <c r="F14" s="16"/>
      <c r="G14" s="16"/>
      <c r="H14" s="16"/>
      <c r="I14" s="15"/>
      <c r="J14" s="12"/>
      <c r="K14" s="16"/>
      <c r="L14" s="13"/>
      <c r="M14" s="16"/>
      <c r="N14" s="17"/>
      <c r="O14" s="16"/>
      <c r="P14" s="16"/>
      <c r="Q14" s="16"/>
      <c r="R14" s="15"/>
    </row>
    <row r="15" ht="24.9" customHeight="1" spans="1:18" x14ac:dyDescent="0.25">
      <c r="A15" s="12"/>
      <c r="B15" s="16"/>
      <c r="C15" s="16"/>
      <c r="D15" s="16"/>
      <c r="E15" s="17"/>
      <c r="F15" s="16"/>
      <c r="G15" s="16"/>
      <c r="H15" s="16"/>
      <c r="I15" s="15"/>
      <c r="J15" s="12"/>
      <c r="K15" s="16"/>
      <c r="L15" s="16"/>
      <c r="M15" s="16"/>
      <c r="N15" s="17"/>
      <c r="O15" s="16"/>
      <c r="P15" s="16"/>
      <c r="Q15" s="16"/>
      <c r="R15" s="15"/>
    </row>
    <row r="16" ht="24.9" customHeight="1" spans="1:18" x14ac:dyDescent="0.25">
      <c r="A16" s="18"/>
      <c r="B16" s="16"/>
      <c r="C16" s="13"/>
      <c r="D16" s="16"/>
      <c r="E16" s="17"/>
      <c r="F16" s="16"/>
      <c r="G16" s="16"/>
      <c r="H16" s="16"/>
      <c r="I16" s="19"/>
      <c r="J16" s="18"/>
      <c r="K16" s="16"/>
      <c r="L16" s="13"/>
      <c r="M16" s="16"/>
      <c r="N16" s="17"/>
      <c r="O16" s="16"/>
      <c r="P16" s="16"/>
      <c r="Q16" s="16"/>
      <c r="R16" s="19"/>
    </row>
    <row r="17" ht="24.9" customHeight="1" spans="1:18" x14ac:dyDescent="0.25">
      <c r="A17" s="18"/>
      <c r="B17" s="16"/>
      <c r="C17" s="16"/>
      <c r="D17" s="16"/>
      <c r="E17" s="17"/>
      <c r="F17" s="16"/>
      <c r="G17" s="16"/>
      <c r="H17" s="16"/>
      <c r="I17" s="19"/>
      <c r="J17" s="18"/>
      <c r="K17" s="16"/>
      <c r="L17" s="16"/>
      <c r="M17" s="16"/>
      <c r="N17" s="17"/>
      <c r="O17" s="16"/>
      <c r="P17" s="16"/>
      <c r="Q17" s="16"/>
      <c r="R17" s="19"/>
    </row>
    <row r="18" ht="24.9" customHeight="1" spans="1:18" x14ac:dyDescent="0.25">
      <c r="A18" s="18"/>
      <c r="B18" s="16"/>
      <c r="C18" s="13"/>
      <c r="D18" s="16"/>
      <c r="E18" s="17"/>
      <c r="F18" s="16"/>
      <c r="G18" s="16"/>
      <c r="H18" s="16"/>
      <c r="I18" s="19"/>
      <c r="J18" s="18"/>
      <c r="K18" s="16"/>
      <c r="L18" s="13"/>
      <c r="M18" s="16"/>
      <c r="N18" s="17"/>
      <c r="O18" s="16"/>
      <c r="P18" s="16"/>
      <c r="Q18" s="16"/>
      <c r="R18" s="19"/>
    </row>
    <row r="19" ht="24.9" customHeight="1" spans="1:18" x14ac:dyDescent="0.25">
      <c r="A19" s="18"/>
      <c r="B19" s="16"/>
      <c r="C19" s="16"/>
      <c r="D19" s="16"/>
      <c r="E19" s="17"/>
      <c r="F19" s="16"/>
      <c r="G19" s="16"/>
      <c r="H19" s="16"/>
      <c r="I19" s="19"/>
      <c r="J19" s="18"/>
      <c r="K19" s="16"/>
      <c r="L19" s="16"/>
      <c r="M19" s="16"/>
      <c r="N19" s="17"/>
      <c r="O19" s="16"/>
      <c r="P19" s="16"/>
      <c r="Q19" s="16"/>
      <c r="R19" s="19"/>
    </row>
    <row r="20" ht="24.9" customHeight="1" spans="1:18" x14ac:dyDescent="0.25">
      <c r="A20" s="18"/>
      <c r="B20" s="16"/>
      <c r="C20" s="16"/>
      <c r="D20" s="16"/>
      <c r="E20" s="17"/>
      <c r="F20" s="16"/>
      <c r="G20" s="16"/>
      <c r="H20" s="16"/>
      <c r="I20" s="19"/>
      <c r="J20" s="18"/>
      <c r="K20" s="16"/>
      <c r="L20" s="16"/>
      <c r="M20" s="16"/>
      <c r="N20" s="17"/>
      <c r="O20" s="16"/>
      <c r="P20" s="16"/>
      <c r="Q20" s="16"/>
      <c r="R20" s="19"/>
    </row>
    <row r="21" ht="24.9" customHeight="1" spans="1:18" x14ac:dyDescent="0.25">
      <c r="A21" s="18"/>
      <c r="B21" s="16"/>
      <c r="C21" s="16"/>
      <c r="D21" s="16"/>
      <c r="E21" s="17"/>
      <c r="F21" s="16"/>
      <c r="G21" s="16"/>
      <c r="H21" s="16"/>
      <c r="I21" s="19"/>
      <c r="J21" s="18"/>
      <c r="K21" s="16"/>
      <c r="L21" s="16"/>
      <c r="M21" s="16"/>
      <c r="N21" s="17"/>
      <c r="O21" s="16"/>
      <c r="P21" s="16"/>
      <c r="Q21" s="16"/>
      <c r="R21" s="19"/>
    </row>
    <row r="22" ht="24.9" customHeight="1" spans="1:18" x14ac:dyDescent="0.25">
      <c r="A22" s="20"/>
      <c r="B22" s="16"/>
      <c r="C22" s="16"/>
      <c r="D22" s="16"/>
      <c r="E22" s="17"/>
      <c r="F22" s="16"/>
      <c r="G22" s="16"/>
      <c r="H22" s="16"/>
      <c r="I22" s="19"/>
      <c r="J22" s="20"/>
      <c r="K22" s="16"/>
      <c r="L22" s="16"/>
      <c r="M22" s="16"/>
      <c r="N22" s="17"/>
      <c r="O22" s="16"/>
      <c r="P22" s="16"/>
      <c r="Q22" s="16"/>
      <c r="R22" s="19"/>
    </row>
    <row r="23" ht="24.9" customHeight="1" spans="1:18" x14ac:dyDescent="0.25">
      <c r="A23" s="20"/>
      <c r="B23" s="16"/>
      <c r="C23" s="16"/>
      <c r="D23" s="16"/>
      <c r="E23" s="17"/>
      <c r="F23" s="16"/>
      <c r="G23" s="16"/>
      <c r="H23" s="16"/>
      <c r="I23" s="19"/>
      <c r="J23" s="20"/>
      <c r="K23" s="16"/>
      <c r="L23" s="16"/>
      <c r="M23" s="16"/>
      <c r="N23" s="17"/>
      <c r="O23" s="16"/>
      <c r="P23" s="16"/>
      <c r="Q23" s="16"/>
      <c r="R23" s="19"/>
    </row>
    <row r="24" ht="24.9" customHeight="1" spans="1:18" x14ac:dyDescent="0.25">
      <c r="A24" s="21"/>
      <c r="B24" s="21"/>
      <c r="C24" s="21"/>
      <c r="D24" s="21"/>
      <c r="E24" s="22"/>
      <c r="F24" s="21"/>
      <c r="G24" s="21"/>
      <c r="H24" s="21"/>
      <c r="I24" s="22"/>
      <c r="J24" s="21"/>
      <c r="K24" s="21"/>
      <c r="L24" s="21"/>
      <c r="M24" s="21"/>
      <c r="N24" s="22"/>
      <c r="O24" s="21"/>
      <c r="P24" s="21"/>
      <c r="Q24" s="21"/>
      <c r="R24" s="22"/>
    </row>
    <row r="25" ht="24.9" customHeight="1" spans="1:18" x14ac:dyDescent="0.25">
      <c r="A25" s="21"/>
      <c r="B25" s="21"/>
      <c r="C25" s="21" t="s">
        <v>23</v>
      </c>
      <c r="D25" s="21"/>
      <c r="E25" s="23">
        <v>10</v>
      </c>
      <c r="F25" s="21"/>
      <c r="G25" s="21">
        <f>SUM(G10:G16)</f>
        <v>10</v>
      </c>
      <c r="H25" s="21"/>
      <c r="I25" s="23">
        <f>E25*G25</f>
        <v>100</v>
      </c>
      <c r="J25" s="21"/>
      <c r="K25" s="21"/>
      <c r="L25" s="21" t="s">
        <v>23</v>
      </c>
      <c r="M25" s="21"/>
      <c r="N25" s="23">
        <v>10</v>
      </c>
      <c r="O25" s="21"/>
      <c r="P25" s="21">
        <f>SUM(P10:P15)</f>
        <v>15</v>
      </c>
      <c r="Q25" s="21"/>
      <c r="R25" s="23">
        <f>N25*P25</f>
        <v>150</v>
      </c>
    </row>
    <row r="26" ht="24.9" customHeight="1" spans="1:18" x14ac:dyDescent="0.25">
      <c r="A26" s="21"/>
      <c r="B26" s="21"/>
      <c r="C26" s="21" t="s">
        <v>24</v>
      </c>
      <c r="D26" s="21"/>
      <c r="E26" s="22"/>
      <c r="F26" s="21"/>
      <c r="H26" s="21"/>
      <c r="I26" s="24">
        <f>SUM(I10:I25)</f>
        <v>1608.8899999999999</v>
      </c>
      <c r="J26" s="21"/>
      <c r="K26" s="21"/>
      <c r="L26" s="21" t="s">
        <v>24</v>
      </c>
      <c r="M26" s="21"/>
      <c r="N26" s="22"/>
      <c r="O26" s="21"/>
      <c r="Q26" s="21"/>
      <c r="R26" s="24">
        <f>SUM(R10:R25)</f>
        <v>2802.3900000000003</v>
      </c>
    </row>
    <row r="27" ht="24.9" customHeight="1" spans="1:18" x14ac:dyDescent="0.25">
      <c r="A27" s="21"/>
      <c r="B27" s="21"/>
      <c r="C27" s="21"/>
      <c r="D27" s="21"/>
      <c r="E27" s="22"/>
      <c r="F27" s="21"/>
      <c r="G27" s="21"/>
      <c r="H27" s="21"/>
      <c r="I27" s="22"/>
      <c r="J27" s="21"/>
      <c r="K27" s="21"/>
      <c r="L27" s="21"/>
      <c r="M27" s="21"/>
      <c r="N27" s="22"/>
      <c r="O27" s="21"/>
      <c r="P27" s="21"/>
      <c r="Q27" s="21"/>
      <c r="R27" s="22"/>
    </row>
    <row r="28" ht="24.75" customHeight="1" spans="1:18" x14ac:dyDescent="0.25">
      <c r="A28" s="21"/>
      <c r="B28" s="21"/>
      <c r="C28" s="21"/>
      <c r="D28" s="21"/>
      <c r="E28" s="22"/>
      <c r="F28" s="21"/>
      <c r="G28" s="21"/>
      <c r="H28" s="21"/>
      <c r="I28" s="22"/>
      <c r="J28" s="21"/>
      <c r="K28" s="21"/>
      <c r="L28" s="21"/>
      <c r="M28" s="21"/>
      <c r="N28" s="22"/>
      <c r="O28" s="21"/>
      <c r="P28" s="21"/>
      <c r="Q28" s="21"/>
      <c r="R28" s="22"/>
    </row>
  </sheetData>
  <mergeCells count="22"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P4:Q4"/>
    <mergeCell ref="A5:I5"/>
    <mergeCell ref="J5:R5"/>
    <mergeCell ref="A6:I6"/>
    <mergeCell ref="J6:R6"/>
    <mergeCell ref="A7:I7"/>
    <mergeCell ref="J7:R7"/>
    <mergeCell ref="A8:I8"/>
    <mergeCell ref="J8:R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AL109"/>
  <sheetViews>
    <sheetView workbookViewId="0" zoomScale="86" zoomScaleNormal="100">
      <selection activeCell="M88" sqref="M88"/>
    </sheetView>
  </sheetViews>
  <sheetFormatPr defaultRowHeight="13.8" outlineLevelRow="0" outlineLevelCol="0" x14ac:dyDescent="0.3" defaultColWidth="9.109375" customHeight="1"/>
  <cols>
    <col min="1" max="1" width="9.33203125" style="1" customWidth="1"/>
    <col min="2" max="2" width="9.109375" style="1" customWidth="1"/>
    <col min="3" max="8" width="9.109375" style="2" customWidth="1"/>
    <col min="9" max="9" width="12.44140625" style="2" customWidth="1"/>
    <col min="10" max="10" width="13.21875" style="2" customWidth="1"/>
    <col min="11" max="11" width="9.109375" style="1" customWidth="1"/>
    <col min="12" max="14" width="9.109375" style="2" customWidth="1"/>
    <col min="15" max="15" width="11.5546875" style="2" customWidth="1"/>
    <col min="16" max="17" width="9.109375" style="2" customWidth="1"/>
    <col min="18" max="18" width="11.5546875" style="2" customWidth="1"/>
    <col min="19" max="19" width="12.5546875" style="2" customWidth="1"/>
    <col min="20" max="20" width="9.109375" style="1" customWidth="1"/>
    <col min="21" max="21" width="9.109375" style="2" customWidth="1"/>
    <col min="22" max="22" width="11.5546875" style="2" customWidth="1"/>
    <col min="23" max="16384" width="9.109375" style="2" customWidth="1"/>
  </cols>
  <sheetData>
    <row r="1" spans="1:19" x14ac:dyDescent="0.25">
      <c r="A1" s="1" t="s">
        <v>25</v>
      </c>
      <c r="I1" s="1" t="s">
        <v>26</v>
      </c>
      <c r="J1" s="1" t="s">
        <v>27</v>
      </c>
      <c r="R1" s="1" t="s">
        <v>26</v>
      </c>
      <c r="S1" s="1" t="s">
        <v>27</v>
      </c>
    </row>
    <row r="3" hidden="1" spans="1:18" x14ac:dyDescent="0.25">
      <c r="A3" s="1">
        <v>1</v>
      </c>
      <c r="C3" s="2" t="s">
        <v>24</v>
      </c>
      <c r="I3" s="25">
        <v>1725.16</v>
      </c>
      <c r="J3" s="25"/>
      <c r="L3" s="2" t="s">
        <v>24</v>
      </c>
      <c r="R3" s="25">
        <v>527.65</v>
      </c>
    </row>
    <row r="4" hidden="1" spans="1:19" x14ac:dyDescent="0.25">
      <c r="A4" s="1">
        <v>2</v>
      </c>
      <c r="C4" s="2" t="s">
        <v>24</v>
      </c>
      <c r="I4" s="25">
        <v>1914.0700000000002</v>
      </c>
      <c r="J4" s="25">
        <v>-3639.23</v>
      </c>
      <c r="L4" s="2" t="s">
        <v>24</v>
      </c>
      <c r="R4" s="25">
        <v>1077.76</v>
      </c>
      <c r="S4" s="25"/>
    </row>
    <row r="5" hidden="1" spans="1:19" x14ac:dyDescent="0.25">
      <c r="A5" s="1">
        <v>3</v>
      </c>
      <c r="C5" s="2" t="s">
        <v>24</v>
      </c>
      <c r="I5" s="25">
        <v>2351.29</v>
      </c>
      <c r="J5" s="25">
        <v>-2351.29</v>
      </c>
      <c r="L5" s="2" t="s">
        <v>24</v>
      </c>
      <c r="R5" s="25">
        <v>0</v>
      </c>
      <c r="S5" s="25">
        <v>-1605.41</v>
      </c>
    </row>
    <row r="6" hidden="1" spans="1:19" x14ac:dyDescent="0.25">
      <c r="A6" s="1">
        <v>4</v>
      </c>
      <c r="C6" s="2" t="s">
        <v>24</v>
      </c>
      <c r="I6" s="25">
        <v>2023.7599999999998</v>
      </c>
      <c r="J6" s="25">
        <v>-2023.76</v>
      </c>
      <c r="L6" s="2" t="s">
        <v>24</v>
      </c>
      <c r="R6" s="25">
        <v>338.4</v>
      </c>
      <c r="S6" s="25"/>
    </row>
    <row r="7" hidden="1" spans="1:19" x14ac:dyDescent="0.25">
      <c r="A7" s="1">
        <v>5</v>
      </c>
      <c r="C7" s="2" t="s">
        <v>24</v>
      </c>
      <c r="I7" s="25">
        <v>1887.8800000000003</v>
      </c>
      <c r="J7" s="25">
        <v>-1887.88</v>
      </c>
      <c r="L7" s="2" t="s">
        <v>24</v>
      </c>
      <c r="R7" s="25">
        <v>963.6100000000001</v>
      </c>
      <c r="S7" s="25">
        <v>-1302.01</v>
      </c>
    </row>
    <row r="8" hidden="1" spans="1:19" x14ac:dyDescent="0.25">
      <c r="A8" s="1">
        <v>6</v>
      </c>
      <c r="C8" s="2" t="s">
        <v>24</v>
      </c>
      <c r="I8" s="25">
        <v>2394.9700000000003</v>
      </c>
      <c r="J8" s="25">
        <v>-2394.97</v>
      </c>
      <c r="L8" s="2" t="s">
        <v>24</v>
      </c>
      <c r="R8" s="25">
        <v>765.1600000000001</v>
      </c>
      <c r="S8" s="25"/>
    </row>
    <row r="9" hidden="1" spans="1:19" x14ac:dyDescent="0.25">
      <c r="A9" s="1">
        <v>7</v>
      </c>
      <c r="C9" s="2" t="s">
        <v>24</v>
      </c>
      <c r="I9" s="25">
        <v>2506.0199999999995</v>
      </c>
      <c r="J9" s="25"/>
      <c r="L9" s="2" t="s">
        <v>24</v>
      </c>
      <c r="R9" s="25">
        <v>698.96</v>
      </c>
      <c r="S9" s="25">
        <v>-1464.12</v>
      </c>
    </row>
    <row r="10" hidden="1" spans="1:19" x14ac:dyDescent="0.25">
      <c r="A10" s="1">
        <v>8</v>
      </c>
      <c r="C10" s="2" t="s">
        <v>24</v>
      </c>
      <c r="I10" s="25">
        <v>2499.6000000000004</v>
      </c>
      <c r="J10" s="25"/>
      <c r="L10" s="2" t="s">
        <v>24</v>
      </c>
      <c r="R10" s="25">
        <v>744.54</v>
      </c>
      <c r="S10" s="25"/>
    </row>
    <row r="11" hidden="1" spans="1:19" x14ac:dyDescent="0.25">
      <c r="A11" s="1">
        <v>9</v>
      </c>
      <c r="C11" s="2" t="s">
        <v>24</v>
      </c>
      <c r="I11" s="25">
        <v>2115.7799999999997</v>
      </c>
      <c r="J11" s="25">
        <v>-7121.4</v>
      </c>
      <c r="L11" s="2" t="s">
        <v>24</v>
      </c>
      <c r="R11" s="25">
        <v>916.5799999999999</v>
      </c>
      <c r="S11" s="25">
        <v>-1661.12</v>
      </c>
    </row>
    <row r="12" hidden="1" spans="1:19" x14ac:dyDescent="0.25">
      <c r="A12" s="1">
        <v>10</v>
      </c>
      <c r="C12" s="2" t="s">
        <v>24</v>
      </c>
      <c r="I12" s="25">
        <v>3537.63</v>
      </c>
      <c r="J12" s="25"/>
      <c r="L12" s="2" t="s">
        <v>24</v>
      </c>
      <c r="R12" s="25">
        <v>974.6300000000001</v>
      </c>
      <c r="S12" s="25"/>
    </row>
    <row r="13" hidden="1" spans="1:19" x14ac:dyDescent="0.25">
      <c r="A13" s="1">
        <v>11</v>
      </c>
      <c r="C13" s="2" t="s">
        <v>24</v>
      </c>
      <c r="I13" s="25">
        <v>2160.2200000000003</v>
      </c>
      <c r="J13" s="25"/>
      <c r="L13" s="2" t="s">
        <v>24</v>
      </c>
      <c r="R13" s="25">
        <v>993.25</v>
      </c>
      <c r="S13" s="25">
        <v>-1967.88</v>
      </c>
    </row>
    <row r="14" hidden="1" spans="1:19" x14ac:dyDescent="0.25">
      <c r="A14" s="1">
        <v>12</v>
      </c>
      <c r="C14" s="2" t="s">
        <v>24</v>
      </c>
      <c r="I14" s="25">
        <v>3034.26</v>
      </c>
      <c r="J14" s="25"/>
      <c r="L14" s="2" t="s">
        <v>24</v>
      </c>
      <c r="R14" s="25">
        <v>727.05</v>
      </c>
      <c r="S14" s="25"/>
    </row>
    <row r="15" hidden="1" spans="1:19" x14ac:dyDescent="0.25">
      <c r="A15" s="1">
        <v>13</v>
      </c>
      <c r="C15" s="2" t="s">
        <v>24</v>
      </c>
      <c r="I15" s="25">
        <v>2469.3199999999997</v>
      </c>
      <c r="J15" s="25">
        <v>-11201.43</v>
      </c>
      <c r="L15" s="2" t="s">
        <v>24</v>
      </c>
      <c r="R15" s="25">
        <v>770.8499999999999</v>
      </c>
      <c r="S15" s="25">
        <v>-1497.9</v>
      </c>
    </row>
    <row r="16" hidden="1" spans="1:19" x14ac:dyDescent="0.25">
      <c r="A16" s="1">
        <v>14</v>
      </c>
      <c r="C16" s="2" t="s">
        <v>24</v>
      </c>
      <c r="I16" s="25">
        <v>1977.6899999999998</v>
      </c>
      <c r="J16" s="25">
        <v>-1977.69</v>
      </c>
      <c r="L16" s="2" t="s">
        <v>24</v>
      </c>
      <c r="R16" s="25">
        <v>854.8299999999999</v>
      </c>
      <c r="S16" s="25"/>
    </row>
    <row r="17" hidden="1" spans="1:19" x14ac:dyDescent="0.25">
      <c r="A17" s="1">
        <v>15</v>
      </c>
      <c r="C17" s="2" t="s">
        <v>24</v>
      </c>
      <c r="I17" s="25">
        <v>3151.7500000000005</v>
      </c>
      <c r="J17" s="25"/>
      <c r="L17" s="2" t="s">
        <v>24</v>
      </c>
      <c r="R17" s="25">
        <v>733.85</v>
      </c>
      <c r="S17" s="25">
        <v>-1588.68</v>
      </c>
    </row>
    <row r="18" hidden="1" spans="1:19" x14ac:dyDescent="0.25">
      <c r="A18" s="1">
        <v>16</v>
      </c>
      <c r="C18" s="2" t="s">
        <v>24</v>
      </c>
      <c r="I18" s="25">
        <v>1679.03</v>
      </c>
      <c r="J18" s="25">
        <v>-4830.78</v>
      </c>
      <c r="L18" s="2" t="s">
        <v>24</v>
      </c>
      <c r="R18" s="25">
        <v>875.49</v>
      </c>
      <c r="S18" s="25"/>
    </row>
    <row r="19" hidden="1" spans="1:19" x14ac:dyDescent="0.25">
      <c r="A19" s="1">
        <v>17</v>
      </c>
      <c r="C19" s="2" t="s">
        <v>24</v>
      </c>
      <c r="I19" s="25">
        <v>2869.9900000000002</v>
      </c>
      <c r="J19" s="25">
        <v>-2869.99</v>
      </c>
      <c r="L19" s="2" t="s">
        <v>24</v>
      </c>
      <c r="R19" s="25">
        <v>870.69</v>
      </c>
      <c r="S19" s="25"/>
    </row>
    <row r="20" hidden="1" spans="1:19" x14ac:dyDescent="0.25">
      <c r="A20" s="1">
        <v>18</v>
      </c>
      <c r="C20" s="2" t="s">
        <v>24</v>
      </c>
      <c r="I20" s="25">
        <v>5024.3</v>
      </c>
      <c r="J20" s="25"/>
      <c r="L20" s="2" t="s">
        <v>24</v>
      </c>
      <c r="R20" s="25">
        <v>1323.09</v>
      </c>
      <c r="S20" s="25"/>
    </row>
    <row r="21" hidden="1" spans="1:19" x14ac:dyDescent="0.25">
      <c r="A21" s="1">
        <v>19</v>
      </c>
      <c r="C21" s="2" t="s">
        <v>24</v>
      </c>
      <c r="I21" s="25">
        <v>2479.53</v>
      </c>
      <c r="J21" s="25">
        <v>-7503.83</v>
      </c>
      <c r="L21" s="2" t="s">
        <v>24</v>
      </c>
      <c r="R21" s="25">
        <v>868.08</v>
      </c>
      <c r="S21" s="25">
        <v>-3937.35</v>
      </c>
    </row>
    <row r="22" hidden="1" spans="1:19" x14ac:dyDescent="0.25">
      <c r="A22" s="1">
        <v>20</v>
      </c>
      <c r="C22" s="2" t="s">
        <v>24</v>
      </c>
      <c r="I22" s="25">
        <v>2022.9599999999998</v>
      </c>
      <c r="J22" s="25"/>
      <c r="L22" s="2" t="s">
        <v>24</v>
      </c>
      <c r="R22" s="25">
        <v>1019.29</v>
      </c>
      <c r="S22" s="25"/>
    </row>
    <row r="23" hidden="1" spans="1:19" x14ac:dyDescent="0.25">
      <c r="A23" s="1">
        <v>21</v>
      </c>
      <c r="C23" s="2" t="s">
        <v>24</v>
      </c>
      <c r="I23" s="25">
        <v>2652.34</v>
      </c>
      <c r="J23" s="25"/>
      <c r="L23" s="2" t="s">
        <v>24</v>
      </c>
      <c r="R23" s="25">
        <v>1191.02</v>
      </c>
      <c r="S23" s="25"/>
    </row>
    <row r="24" hidden="1" spans="1:19" x14ac:dyDescent="0.25">
      <c r="A24" s="1">
        <v>22</v>
      </c>
      <c r="C24" s="2" t="s">
        <v>24</v>
      </c>
      <c r="I24" s="25">
        <v>3483.1799999999994</v>
      </c>
      <c r="J24" s="25">
        <v>-8158.48</v>
      </c>
      <c r="L24" s="2" t="s">
        <v>24</v>
      </c>
      <c r="R24" s="25">
        <v>636.6</v>
      </c>
      <c r="S24" s="25">
        <v>-2843.91</v>
      </c>
    </row>
    <row r="25" hidden="1" spans="1:19" x14ac:dyDescent="0.25">
      <c r="A25" s="1">
        <v>23</v>
      </c>
      <c r="C25" s="2" t="s">
        <v>24</v>
      </c>
      <c r="I25" s="25">
        <v>3094.04</v>
      </c>
      <c r="J25" s="25"/>
      <c r="L25" s="2" t="s">
        <v>24</v>
      </c>
      <c r="R25" s="25">
        <v>933.04</v>
      </c>
      <c r="S25" s="25"/>
    </row>
    <row r="26" hidden="1" spans="1:19" x14ac:dyDescent="0.25">
      <c r="A26" s="1">
        <v>24</v>
      </c>
      <c r="C26" s="2" t="s">
        <v>24</v>
      </c>
      <c r="I26" s="25">
        <v>1873.42</v>
      </c>
      <c r="J26" s="25"/>
      <c r="L26" s="2" t="s">
        <v>24</v>
      </c>
      <c r="R26" s="25">
        <v>842.2</v>
      </c>
      <c r="S26" s="25"/>
    </row>
    <row r="27" hidden="1" spans="1:19" x14ac:dyDescent="0.25">
      <c r="A27" s="1">
        <v>25</v>
      </c>
      <c r="C27" s="2" t="s">
        <v>24</v>
      </c>
      <c r="I27" s="25">
        <v>2372.4999999999995</v>
      </c>
      <c r="J27" s="25"/>
      <c r="L27" s="2" t="s">
        <v>24</v>
      </c>
      <c r="R27" s="25">
        <v>1079.3</v>
      </c>
      <c r="S27" s="25">
        <v>-2854.54</v>
      </c>
    </row>
    <row r="28" hidden="1" spans="1:19" x14ac:dyDescent="0.25">
      <c r="A28" s="1">
        <v>26</v>
      </c>
      <c r="C28" s="2" t="s">
        <v>24</v>
      </c>
      <c r="I28" s="25">
        <v>2374.27</v>
      </c>
      <c r="J28" s="25">
        <v>-9714.23</v>
      </c>
      <c r="L28" s="2" t="s">
        <v>24</v>
      </c>
      <c r="R28" s="25">
        <v>1339.25</v>
      </c>
      <c r="S28" s="25"/>
    </row>
    <row r="29" hidden="1" spans="1:19" x14ac:dyDescent="0.25">
      <c r="A29" s="1">
        <v>27</v>
      </c>
      <c r="C29" s="2" t="s">
        <v>24</v>
      </c>
      <c r="I29" s="25">
        <v>1818.46</v>
      </c>
      <c r="J29" s="25"/>
      <c r="L29" s="2" t="s">
        <v>24</v>
      </c>
      <c r="R29" s="25">
        <v>1142.98</v>
      </c>
      <c r="S29" s="25"/>
    </row>
    <row r="30" hidden="1" spans="1:19" x14ac:dyDescent="0.25">
      <c r="A30" s="1">
        <v>28</v>
      </c>
      <c r="C30" s="2" t="s">
        <v>24</v>
      </c>
      <c r="I30" s="25">
        <v>3281.4500000000003</v>
      </c>
      <c r="J30" s="25"/>
      <c r="L30" s="2" t="s">
        <v>24</v>
      </c>
      <c r="R30" s="25">
        <v>784.44</v>
      </c>
      <c r="S30" s="25">
        <v>-3266.67</v>
      </c>
    </row>
    <row r="31" hidden="1" spans="1:19" x14ac:dyDescent="0.25">
      <c r="A31" s="1">
        <v>29</v>
      </c>
      <c r="C31" s="2" t="s">
        <v>24</v>
      </c>
      <c r="I31" s="25">
        <v>4236.78</v>
      </c>
      <c r="J31" s="25">
        <v>-9336.69</v>
      </c>
      <c r="L31" s="2" t="s">
        <v>24</v>
      </c>
      <c r="R31" s="25">
        <v>2025.4700000000003</v>
      </c>
      <c r="S31" s="25"/>
    </row>
    <row r="32" hidden="1" spans="1:19" x14ac:dyDescent="0.25">
      <c r="A32" s="1">
        <v>30</v>
      </c>
      <c r="C32" s="2" t="s">
        <v>24</v>
      </c>
      <c r="I32" s="25">
        <v>2537.91</v>
      </c>
      <c r="J32" s="25"/>
      <c r="L32" s="2" t="s">
        <v>24</v>
      </c>
      <c r="R32" s="25">
        <v>636.98</v>
      </c>
      <c r="S32" s="25">
        <v>-2662.45</v>
      </c>
    </row>
    <row r="33" hidden="1" spans="1:19" x14ac:dyDescent="0.25">
      <c r="A33" s="1">
        <v>31</v>
      </c>
      <c r="C33" s="2" t="s">
        <v>24</v>
      </c>
      <c r="I33" s="25">
        <v>2799.42</v>
      </c>
      <c r="J33" s="25">
        <v>-5337.33</v>
      </c>
      <c r="L33" s="2" t="s">
        <v>24</v>
      </c>
      <c r="R33" s="25">
        <v>847.16</v>
      </c>
      <c r="S33" s="25"/>
    </row>
    <row r="34" hidden="1" spans="1:19" x14ac:dyDescent="0.25">
      <c r="A34" s="1">
        <v>32</v>
      </c>
      <c r="C34" s="2" t="s">
        <v>24</v>
      </c>
      <c r="I34" s="25">
        <v>2681.22</v>
      </c>
      <c r="J34" s="25"/>
      <c r="L34" s="2" t="s">
        <v>24</v>
      </c>
      <c r="R34" s="25">
        <v>1088.9</v>
      </c>
      <c r="S34" s="25"/>
    </row>
    <row r="35" hidden="1" spans="1:19" x14ac:dyDescent="0.25">
      <c r="A35" s="1">
        <v>33</v>
      </c>
      <c r="C35" s="2" t="s">
        <v>24</v>
      </c>
      <c r="I35" s="25">
        <v>2636.1500000000005</v>
      </c>
      <c r="J35" s="25">
        <v>-5317.37</v>
      </c>
      <c r="L35" s="2" t="s">
        <v>24</v>
      </c>
      <c r="R35" s="25">
        <v>1672.07</v>
      </c>
      <c r="S35" s="25"/>
    </row>
    <row r="36" hidden="1" spans="1:19" x14ac:dyDescent="0.25">
      <c r="A36" s="1">
        <v>34</v>
      </c>
      <c r="C36" s="2" t="s">
        <v>24</v>
      </c>
      <c r="I36" s="25">
        <v>1436.26</v>
      </c>
      <c r="J36" s="25"/>
      <c r="L36" s="2" t="s">
        <v>24</v>
      </c>
      <c r="R36" s="25">
        <v>1166.74</v>
      </c>
      <c r="S36" s="25"/>
    </row>
    <row r="37" hidden="1" spans="1:19" x14ac:dyDescent="0.25">
      <c r="A37" s="1">
        <v>35</v>
      </c>
      <c r="C37" s="2" t="s">
        <v>24</v>
      </c>
      <c r="I37" s="25">
        <v>4203.58</v>
      </c>
      <c r="J37" s="25">
        <v>-5639.84</v>
      </c>
      <c r="L37" s="2" t="s">
        <v>24</v>
      </c>
      <c r="R37" s="25">
        <v>1065.58</v>
      </c>
      <c r="S37" s="25">
        <v>-5843.45</v>
      </c>
    </row>
    <row r="38" hidden="1" spans="1:19" x14ac:dyDescent="0.25">
      <c r="A38" s="1">
        <v>36</v>
      </c>
      <c r="C38" s="2" t="s">
        <v>24</v>
      </c>
      <c r="I38" s="25">
        <v>1959.32</v>
      </c>
      <c r="J38" s="25">
        <v>0</v>
      </c>
      <c r="L38" s="2" t="s">
        <v>24</v>
      </c>
      <c r="R38" s="25">
        <v>836</v>
      </c>
      <c r="S38" s="25">
        <v>-836</v>
      </c>
    </row>
    <row r="39" hidden="1" spans="1:19" x14ac:dyDescent="0.25">
      <c r="A39" s="1">
        <v>37</v>
      </c>
      <c r="C39" s="2" t="s">
        <v>24</v>
      </c>
      <c r="I39" s="25">
        <v>3866.46</v>
      </c>
      <c r="J39" s="25">
        <v>0</v>
      </c>
      <c r="L39" s="2" t="s">
        <v>24</v>
      </c>
      <c r="R39" s="25">
        <v>1683.7</v>
      </c>
      <c r="S39" s="25">
        <v>-1683.7</v>
      </c>
    </row>
    <row r="40" hidden="1" spans="1:19" x14ac:dyDescent="0.25">
      <c r="A40" s="1">
        <v>38</v>
      </c>
      <c r="C40" s="2" t="s">
        <v>24</v>
      </c>
      <c r="I40" s="25">
        <v>1858.75</v>
      </c>
      <c r="J40" s="25">
        <v>-7684.53</v>
      </c>
      <c r="L40" s="2" t="s">
        <v>24</v>
      </c>
      <c r="R40" s="25">
        <v>2001.71</v>
      </c>
      <c r="S40" s="25">
        <v>-2001.71</v>
      </c>
    </row>
    <row r="41" hidden="1" spans="1:19" x14ac:dyDescent="0.25">
      <c r="A41" s="1">
        <v>39</v>
      </c>
      <c r="C41" s="2" t="s">
        <v>24</v>
      </c>
      <c r="I41" s="25">
        <v>3115.3100000000004</v>
      </c>
      <c r="J41" s="25"/>
      <c r="L41" s="2" t="s">
        <v>24</v>
      </c>
      <c r="R41" s="25">
        <v>996.3100000000001</v>
      </c>
      <c r="S41" s="25"/>
    </row>
    <row r="42" hidden="1" spans="1:19" x14ac:dyDescent="0.25">
      <c r="A42" s="1">
        <v>40</v>
      </c>
      <c r="C42" s="2" t="s">
        <v>24</v>
      </c>
      <c r="I42" s="25">
        <v>1653.5600000000004</v>
      </c>
      <c r="J42" s="25">
        <v>-4768.87</v>
      </c>
      <c r="L42" s="2" t="s">
        <v>24</v>
      </c>
      <c r="R42" s="25">
        <v>1200.1200000000001</v>
      </c>
      <c r="S42" s="25">
        <v>-2196.43</v>
      </c>
    </row>
    <row r="43" hidden="1" spans="1:19" x14ac:dyDescent="0.25">
      <c r="A43" s="1">
        <v>41</v>
      </c>
      <c r="C43" s="2" t="s">
        <v>24</v>
      </c>
      <c r="I43" s="25">
        <v>2291.35</v>
      </c>
      <c r="J43" s="25"/>
      <c r="L43" s="2" t="s">
        <v>24</v>
      </c>
      <c r="R43" s="25">
        <v>1390.13</v>
      </c>
      <c r="S43" s="25">
        <v>-1390.13</v>
      </c>
    </row>
    <row r="44" hidden="1" spans="1:19" x14ac:dyDescent="0.25">
      <c r="A44" s="1">
        <v>42</v>
      </c>
      <c r="C44" s="2" t="s">
        <v>24</v>
      </c>
      <c r="I44" s="25">
        <v>2231.32</v>
      </c>
      <c r="J44" s="25">
        <v>-4768.87</v>
      </c>
      <c r="L44" s="2" t="s">
        <v>24</v>
      </c>
      <c r="R44" s="25">
        <v>1213.76</v>
      </c>
      <c r="S44" s="25"/>
    </row>
    <row r="45" hidden="1" spans="1:19" x14ac:dyDescent="0.25">
      <c r="A45" s="1">
        <v>43</v>
      </c>
      <c r="C45" s="2" t="s">
        <v>24</v>
      </c>
      <c r="I45" s="25">
        <v>2421.16</v>
      </c>
      <c r="J45" s="25"/>
      <c r="L45" s="2" t="s">
        <v>24</v>
      </c>
      <c r="R45" s="25">
        <v>1218.81</v>
      </c>
      <c r="S45" s="25">
        <v>-2432.57</v>
      </c>
    </row>
    <row r="46" hidden="1" spans="1:19" x14ac:dyDescent="0.25">
      <c r="A46" s="1">
        <v>44</v>
      </c>
      <c r="C46" s="2" t="s">
        <v>24</v>
      </c>
      <c r="I46" s="25">
        <v>2054.0099999999998</v>
      </c>
      <c r="J46" s="25">
        <v>-4228.97</v>
      </c>
      <c r="L46" s="2" t="s">
        <v>24</v>
      </c>
      <c r="R46" s="25">
        <v>1183.59</v>
      </c>
      <c r="S46" s="25"/>
    </row>
    <row r="47" hidden="1" spans="1:19" x14ac:dyDescent="0.25">
      <c r="A47" s="1">
        <v>45</v>
      </c>
      <c r="C47" s="2" t="s">
        <v>24</v>
      </c>
      <c r="I47" s="25">
        <v>1395.0100000000002</v>
      </c>
      <c r="J47" s="25"/>
      <c r="L47" s="2" t="s">
        <v>24</v>
      </c>
      <c r="R47" s="25">
        <v>1145.3600000000001</v>
      </c>
      <c r="S47" s="25"/>
    </row>
    <row r="48" hidden="1" spans="1:19" x14ac:dyDescent="0.25">
      <c r="A48" s="1">
        <v>46</v>
      </c>
      <c r="C48" s="2" t="s">
        <v>24</v>
      </c>
      <c r="I48" s="25">
        <v>2033.93</v>
      </c>
      <c r="J48" s="25"/>
      <c r="L48" s="2" t="s">
        <v>24</v>
      </c>
      <c r="R48" s="25">
        <v>954.5899999999999</v>
      </c>
      <c r="S48" s="25"/>
    </row>
    <row r="49" hidden="1" spans="1:19" x14ac:dyDescent="0.25">
      <c r="A49" s="1">
        <v>47</v>
      </c>
      <c r="C49" s="2" t="s">
        <v>24</v>
      </c>
      <c r="I49" s="25">
        <v>1592.9899999999998</v>
      </c>
      <c r="J49" s="25"/>
      <c r="L49" s="2" t="s">
        <v>24</v>
      </c>
      <c r="R49" s="25">
        <v>1097.58</v>
      </c>
      <c r="S49" s="25"/>
    </row>
    <row r="50" hidden="1" spans="1:19" x14ac:dyDescent="0.25">
      <c r="A50" s="1">
        <v>48</v>
      </c>
      <c r="C50" s="2" t="s">
        <v>24</v>
      </c>
      <c r="I50" s="25">
        <v>1840.8799999999999</v>
      </c>
      <c r="J50" s="25">
        <v>-6862.81</v>
      </c>
      <c r="L50" s="2" t="s">
        <v>24</v>
      </c>
      <c r="R50" s="25">
        <v>843.25</v>
      </c>
      <c r="S50" s="25">
        <v>-5224.37</v>
      </c>
    </row>
    <row r="51" hidden="1" spans="1:19" x14ac:dyDescent="0.25">
      <c r="A51" s="1">
        <v>49</v>
      </c>
      <c r="C51" s="2" t="s">
        <v>24</v>
      </c>
      <c r="I51" s="25">
        <v>1874.8399999999997</v>
      </c>
      <c r="J51" s="25"/>
      <c r="L51" s="2" t="s">
        <v>24</v>
      </c>
      <c r="R51" s="25">
        <v>514.26</v>
      </c>
      <c r="S51" s="25"/>
    </row>
    <row r="52" hidden="1" spans="1:19" x14ac:dyDescent="0.25">
      <c r="A52" s="1">
        <v>50</v>
      </c>
      <c r="C52" s="2" t="s">
        <v>24</v>
      </c>
      <c r="I52" s="25">
        <v>1787.55</v>
      </c>
      <c r="J52" s="25"/>
      <c r="L52" s="2" t="s">
        <v>24</v>
      </c>
      <c r="R52" s="25">
        <v>1060.51</v>
      </c>
      <c r="S52" s="25"/>
    </row>
    <row r="53" hidden="1" spans="1:19" x14ac:dyDescent="0.25">
      <c r="A53" s="1">
        <v>51</v>
      </c>
      <c r="C53" s="2" t="s">
        <v>24</v>
      </c>
      <c r="I53" s="25">
        <v>2381.98</v>
      </c>
      <c r="J53" s="25"/>
      <c r="L53" s="2" t="s">
        <v>24</v>
      </c>
      <c r="R53" s="25">
        <v>987.55</v>
      </c>
      <c r="S53" s="25"/>
    </row>
    <row r="54" hidden="1" spans="1:19" x14ac:dyDescent="0.25">
      <c r="A54" s="1">
        <v>52</v>
      </c>
      <c r="C54" s="2" t="s">
        <v>24</v>
      </c>
      <c r="I54" s="25">
        <v>1467.54</v>
      </c>
      <c r="J54" s="25">
        <v>-7511.91</v>
      </c>
      <c r="L54" s="2" t="s">
        <v>24</v>
      </c>
      <c r="R54" s="25">
        <v>922.3199999999999</v>
      </c>
      <c r="S54" s="25">
        <v>-3484.64</v>
      </c>
    </row>
    <row r="55" hidden="1" spans="9:19" x14ac:dyDescent="0.25">
      <c r="I55" s="25"/>
      <c r="J55" s="25"/>
      <c r="R55" s="25"/>
      <c r="S55" s="25"/>
    </row>
    <row r="56" hidden="1" spans="9:19" x14ac:dyDescent="0.25">
      <c r="I56" s="25">
        <f>SUM(I3:I55)</f>
        <v>127132.15000000001</v>
      </c>
      <c r="J56" s="25">
        <f>SUM(J3:J55)</f>
        <v>-127132.14999999998</v>
      </c>
      <c r="R56" s="25">
        <f>SUM(R3:R55)</f>
        <v>51745.04</v>
      </c>
      <c r="S56" s="25">
        <f>SUM(S3:S55)</f>
        <v>-51745.04</v>
      </c>
    </row>
    <row r="57" ht="14.4" customHeight="1" hidden="1" spans="10:22" x14ac:dyDescent="0.25">
      <c r="J57" s="26">
        <f>I56+J56</f>
        <v>0</v>
      </c>
      <c r="S57" s="26">
        <f>R56+S56</f>
        <v>0</v>
      </c>
      <c r="V57" s="27">
        <f>J57+S57</f>
        <v>0</v>
      </c>
    </row>
    <row r="58" spans="1:19" x14ac:dyDescent="0.25">
      <c r="A58" s="1">
        <v>2026</v>
      </c>
      <c r="I58" s="1"/>
      <c r="J58" s="1"/>
      <c r="R58" s="1"/>
      <c r="S58" s="1"/>
    </row>
    <row r="59" spans="1:19" x14ac:dyDescent="0.25">
      <c r="A59" s="1">
        <v>1</v>
      </c>
      <c r="C59" s="2" t="s">
        <v>24</v>
      </c>
      <c r="I59" s="25">
        <v>1326.41</v>
      </c>
      <c r="J59" s="25"/>
      <c r="L59" s="2" t="s">
        <v>24</v>
      </c>
      <c r="R59" s="25">
        <v>708.1800000000001</v>
      </c>
      <c r="S59" s="25"/>
    </row>
    <row r="60" spans="1:18" x14ac:dyDescent="0.25">
      <c r="A60" s="1">
        <v>2</v>
      </c>
      <c r="C60" s="2" t="s">
        <v>24</v>
      </c>
      <c r="I60" s="27">
        <v>2225.77</v>
      </c>
      <c r="J60" s="27">
        <v>-3552.18</v>
      </c>
      <c r="L60" s="2" t="s">
        <v>24</v>
      </c>
      <c r="R60" s="27">
        <v>798.63</v>
      </c>
    </row>
    <row r="61" spans="1:19" x14ac:dyDescent="0.25">
      <c r="A61" s="1">
        <v>3</v>
      </c>
      <c r="C61" s="2" t="s">
        <v>24</v>
      </c>
      <c r="I61" s="27">
        <v>1449.58</v>
      </c>
      <c r="J61" s="27"/>
      <c r="L61" s="2" t="s">
        <v>24</v>
      </c>
      <c r="R61" s="27">
        <v>533.7</v>
      </c>
      <c r="S61" s="27"/>
    </row>
    <row r="62" spans="1:20" x14ac:dyDescent="0.25">
      <c r="A62" s="1">
        <v>4</v>
      </c>
      <c r="C62" s="2" t="s">
        <v>24</v>
      </c>
      <c r="I62" s="27">
        <v>2466.2000000000003</v>
      </c>
      <c r="J62" s="27"/>
      <c r="L62" s="2" t="s">
        <v>24</v>
      </c>
      <c r="R62" s="27">
        <v>936.5600000000001</v>
      </c>
      <c r="S62" s="27">
        <v>-2389.14</v>
      </c>
      <c r="T62" s="28">
        <f>R62-R60</f>
        <v>137.93000000000006</v>
      </c>
    </row>
    <row r="63" spans="1:19" x14ac:dyDescent="0.25">
      <c r="A63" s="1">
        <v>5</v>
      </c>
      <c r="C63" s="2" t="s">
        <v>24</v>
      </c>
      <c r="I63" s="27">
        <v>1399.78</v>
      </c>
      <c r="J63" s="27">
        <v>-2849.36</v>
      </c>
      <c r="K63" s="29">
        <v>46115</v>
      </c>
      <c r="L63" s="2" t="s">
        <v>24</v>
      </c>
      <c r="R63" s="27">
        <v>178.82</v>
      </c>
      <c r="S63" s="27"/>
    </row>
    <row r="64" spans="1:19" x14ac:dyDescent="0.25">
      <c r="A64" s="1">
        <v>6</v>
      </c>
      <c r="C64" s="2" t="s">
        <v>24</v>
      </c>
      <c r="I64" s="27">
        <v>1195.7199999999998</v>
      </c>
      <c r="J64" s="27"/>
      <c r="L64" s="2" t="s">
        <v>24</v>
      </c>
      <c r="R64" s="27">
        <v>1190</v>
      </c>
      <c r="S64" s="27"/>
    </row>
    <row r="65" spans="1:19" x14ac:dyDescent="0.25">
      <c r="A65" s="1">
        <v>7</v>
      </c>
      <c r="C65" s="2" t="s">
        <v>24</v>
      </c>
      <c r="I65" s="27">
        <v>3702.9100000000003</v>
      </c>
      <c r="J65" s="27"/>
      <c r="L65" s="2" t="s">
        <v>24</v>
      </c>
      <c r="R65" s="27">
        <v>914.1</v>
      </c>
      <c r="S65" s="27"/>
    </row>
    <row r="66" spans="1:19" x14ac:dyDescent="0.25">
      <c r="A66" s="1">
        <v>8</v>
      </c>
      <c r="C66" s="2" t="s">
        <v>24</v>
      </c>
      <c r="I66" s="27">
        <v>1171.57</v>
      </c>
      <c r="J66" s="27"/>
      <c r="L66" s="2" t="s">
        <v>24</v>
      </c>
      <c r="R66" s="27">
        <v>615.2199999999999</v>
      </c>
      <c r="S66" s="27"/>
    </row>
    <row r="67" spans="1:19" x14ac:dyDescent="0.25">
      <c r="A67" s="1">
        <v>9</v>
      </c>
      <c r="C67" s="2" t="s">
        <v>24</v>
      </c>
      <c r="I67" s="27">
        <v>2388.96</v>
      </c>
      <c r="J67" s="27">
        <v>-10925.36</v>
      </c>
      <c r="L67" s="2" t="s">
        <v>24</v>
      </c>
      <c r="R67" s="27">
        <v>868.8000000000001</v>
      </c>
      <c r="S67" s="27">
        <v>-4354.87</v>
      </c>
    </row>
    <row r="68" spans="1:19" x14ac:dyDescent="0.25">
      <c r="A68" s="1">
        <v>10</v>
      </c>
      <c r="C68" s="2" t="s">
        <v>24</v>
      </c>
      <c r="I68" s="27">
        <v>1466.1899999999998</v>
      </c>
      <c r="J68" s="27"/>
      <c r="L68" s="2" t="s">
        <v>24</v>
      </c>
      <c r="R68" s="27">
        <v>910.47</v>
      </c>
      <c r="S68" s="27"/>
    </row>
    <row r="69" spans="1:20" x14ac:dyDescent="0.25">
      <c r="A69" s="1">
        <v>11</v>
      </c>
      <c r="C69" s="2" t="s">
        <v>24</v>
      </c>
      <c r="I69" s="27">
        <v>2176.83</v>
      </c>
      <c r="J69" s="27">
        <v>-3643.02</v>
      </c>
      <c r="K69" s="29">
        <v>46115</v>
      </c>
      <c r="L69" s="2" t="s">
        <v>24</v>
      </c>
      <c r="R69" s="27">
        <v>1144.2</v>
      </c>
      <c r="S69" s="27">
        <v>-2054.67</v>
      </c>
      <c r="T69" s="29">
        <v>46115</v>
      </c>
    </row>
    <row r="70" spans="1:20" x14ac:dyDescent="0.25">
      <c r="A70" s="1">
        <v>12</v>
      </c>
      <c r="C70" s="2" t="s">
        <v>24</v>
      </c>
      <c r="I70" s="27">
        <v>2166.9199999999996</v>
      </c>
      <c r="J70" s="27">
        <v>-2166.92</v>
      </c>
      <c r="K70" s="29">
        <v>46141</v>
      </c>
      <c r="L70" s="2" t="s">
        <v>24</v>
      </c>
      <c r="R70" s="30">
        <v>754.68</v>
      </c>
      <c r="S70" s="27"/>
      <c r="T70" s="31"/>
    </row>
    <row r="71" spans="1:20" x14ac:dyDescent="0.25">
      <c r="A71" s="1">
        <v>13</v>
      </c>
      <c r="C71" s="2" t="s">
        <v>24</v>
      </c>
      <c r="I71" s="27">
        <v>1924.26</v>
      </c>
      <c r="J71" s="27"/>
      <c r="L71" s="2" t="s">
        <v>24</v>
      </c>
      <c r="R71" s="30">
        <v>1362.76</v>
      </c>
      <c r="S71" s="27">
        <v>-2117.44</v>
      </c>
      <c r="T71" s="32">
        <v>46149</v>
      </c>
    </row>
    <row r="72" spans="1:22" x14ac:dyDescent="0.25">
      <c r="A72" s="33">
        <v>14</v>
      </c>
      <c r="B72" s="33" t="s">
        <v>28</v>
      </c>
      <c r="C72" s="34" t="s">
        <v>24</v>
      </c>
      <c r="D72" s="34"/>
      <c r="E72" s="34"/>
      <c r="F72" s="34"/>
      <c r="G72" s="34"/>
      <c r="H72" s="34"/>
      <c r="I72" s="35">
        <v>1548.29</v>
      </c>
      <c r="J72" s="35">
        <v>-3472.55</v>
      </c>
      <c r="K72" s="36">
        <v>46141</v>
      </c>
      <c r="L72" s="34" t="s">
        <v>24</v>
      </c>
      <c r="M72" s="34"/>
      <c r="N72" s="34"/>
      <c r="O72" s="34"/>
      <c r="P72" s="34"/>
      <c r="Q72" s="34"/>
      <c r="R72" s="35">
        <v>926.5600000000001</v>
      </c>
      <c r="S72" s="35"/>
      <c r="T72" s="33"/>
      <c r="U72" s="34"/>
      <c r="V72" s="34"/>
    </row>
    <row r="73" spans="1:20" x14ac:dyDescent="0.25">
      <c r="A73" s="1">
        <v>15</v>
      </c>
      <c r="C73" s="2" t="s">
        <v>24</v>
      </c>
      <c r="I73" s="27">
        <v>2919.05</v>
      </c>
      <c r="J73" s="27">
        <v>-2919.05</v>
      </c>
      <c r="K73" s="29">
        <v>46149</v>
      </c>
      <c r="L73" s="2" t="s">
        <v>24</v>
      </c>
      <c r="R73" s="27">
        <v>1254.2099999999998</v>
      </c>
      <c r="S73" s="27">
        <v>-2180.77</v>
      </c>
      <c r="T73" s="29">
        <v>46141</v>
      </c>
    </row>
    <row r="74" spans="1:19" x14ac:dyDescent="0.25">
      <c r="A74" s="1">
        <v>16</v>
      </c>
      <c r="C74" s="2" t="s">
        <v>24</v>
      </c>
      <c r="I74" s="27">
        <v>2838.53</v>
      </c>
      <c r="J74" s="27"/>
      <c r="L74" s="2" t="s">
        <v>24</v>
      </c>
      <c r="R74" s="27">
        <v>1072.18</v>
      </c>
      <c r="S74" s="27"/>
    </row>
    <row r="75" spans="1:20" x14ac:dyDescent="0.25">
      <c r="A75" s="1">
        <v>17</v>
      </c>
      <c r="C75" s="2" t="s">
        <v>24</v>
      </c>
      <c r="I75" s="27">
        <v>3572.9</v>
      </c>
      <c r="J75" s="27"/>
      <c r="L75" s="2" t="s">
        <v>24</v>
      </c>
      <c r="R75" s="27">
        <v>1508.5399999999997</v>
      </c>
      <c r="S75" s="27">
        <v>-2580.72</v>
      </c>
      <c r="T75" s="29">
        <v>46149</v>
      </c>
    </row>
    <row r="76" spans="1:19" x14ac:dyDescent="0.25">
      <c r="A76" s="1">
        <v>18</v>
      </c>
      <c r="C76" s="2" t="s">
        <v>24</v>
      </c>
      <c r="I76" s="27">
        <v>3218.0099999999998</v>
      </c>
      <c r="J76" s="27">
        <v>-9629.44</v>
      </c>
      <c r="K76" s="29">
        <v>46179</v>
      </c>
      <c r="L76" s="2" t="s">
        <v>24</v>
      </c>
      <c r="R76" s="27">
        <v>2177.94</v>
      </c>
      <c r="S76" s="27"/>
    </row>
    <row r="77" spans="1:19" x14ac:dyDescent="0.25">
      <c r="A77" s="1">
        <v>19</v>
      </c>
      <c r="C77" s="2" t="s">
        <v>24</v>
      </c>
      <c r="I77" s="27">
        <v>2436.75</v>
      </c>
      <c r="J77" s="27"/>
      <c r="L77" s="2" t="s">
        <v>24</v>
      </c>
      <c r="R77" s="27">
        <v>1021.0400000000001</v>
      </c>
      <c r="S77" s="27"/>
    </row>
    <row r="78" spans="1:20" x14ac:dyDescent="0.25">
      <c r="A78" s="1">
        <v>20</v>
      </c>
      <c r="C78" s="2" t="s">
        <v>24</v>
      </c>
      <c r="I78" s="27">
        <v>1575.94</v>
      </c>
      <c r="J78" s="27">
        <v>-4012.69</v>
      </c>
      <c r="K78" s="29">
        <v>46212</v>
      </c>
      <c r="L78" s="2" t="s">
        <v>24</v>
      </c>
      <c r="R78" s="27">
        <v>842.73</v>
      </c>
      <c r="S78" s="27">
        <v>-4041.71</v>
      </c>
      <c r="T78" s="29">
        <v>46179</v>
      </c>
    </row>
    <row r="79" spans="1:19" x14ac:dyDescent="0.25">
      <c r="A79" s="1">
        <v>21</v>
      </c>
      <c r="C79" s="2" t="s">
        <v>24</v>
      </c>
      <c r="I79" s="27">
        <v>3023.3799999999997</v>
      </c>
      <c r="J79" s="27"/>
      <c r="L79" s="2" t="s">
        <v>24</v>
      </c>
      <c r="R79" s="27">
        <v>1573.6999999999998</v>
      </c>
      <c r="S79" s="27"/>
    </row>
    <row r="80" spans="1:20" x14ac:dyDescent="0.25">
      <c r="A80" s="1">
        <v>22</v>
      </c>
      <c r="C80" s="2" t="s">
        <v>24</v>
      </c>
      <c r="I80" s="27">
        <v>2526.3700000000003</v>
      </c>
      <c r="J80" s="27">
        <v>-5549.75</v>
      </c>
      <c r="K80" s="29">
        <v>46216</v>
      </c>
      <c r="L80" s="2" t="s">
        <v>24</v>
      </c>
      <c r="R80" s="27">
        <v>1370.07</v>
      </c>
      <c r="S80" s="27">
        <v>-2943.77</v>
      </c>
      <c r="T80" s="29">
        <v>46212</v>
      </c>
    </row>
    <row r="81" spans="1:18" x14ac:dyDescent="0.25">
      <c r="A81" s="1">
        <v>23</v>
      </c>
      <c r="C81" s="2" t="s">
        <v>24</v>
      </c>
      <c r="I81" s="27">
        <v>3426.0000000000005</v>
      </c>
      <c r="J81" s="27"/>
      <c r="L81" s="2" t="s">
        <v>24</v>
      </c>
      <c r="R81" s="27">
        <v>1018.72</v>
      </c>
    </row>
    <row r="82" spans="1:38" x14ac:dyDescent="0.25">
      <c r="A82" s="1">
        <v>24</v>
      </c>
      <c r="C82" s="2" t="s">
        <v>24</v>
      </c>
      <c r="I82" s="27">
        <v>921.5600000000001</v>
      </c>
      <c r="J82" s="27"/>
      <c r="L82" s="2" t="s">
        <v>24</v>
      </c>
      <c r="R82" s="27">
        <v>1429.47</v>
      </c>
      <c r="S82" s="1"/>
      <c r="AA82" s="27"/>
      <c r="AB82" s="27"/>
      <c r="AC82" s="1"/>
      <c r="AJ82" s="27"/>
      <c r="AL82" s="1"/>
    </row>
    <row r="83" spans="1:38" x14ac:dyDescent="0.25">
      <c r="A83" s="1">
        <v>25</v>
      </c>
      <c r="C83" s="2" t="s">
        <v>24</v>
      </c>
      <c r="I83" s="27">
        <v>1856.6299999999999</v>
      </c>
      <c r="J83" s="27"/>
      <c r="L83" s="2" t="s">
        <v>24</v>
      </c>
      <c r="R83" s="27">
        <v>1804.5800000000002</v>
      </c>
      <c r="S83" s="1"/>
      <c r="AA83" s="27"/>
      <c r="AB83" s="27"/>
      <c r="AC83" s="1"/>
      <c r="AJ83" s="27"/>
      <c r="AL83" s="1"/>
    </row>
    <row r="84" spans="1:20" x14ac:dyDescent="0.25">
      <c r="A84" s="1">
        <v>26</v>
      </c>
      <c r="C84" s="2" t="s">
        <v>24</v>
      </c>
      <c r="I84" s="27">
        <v>1319.44</v>
      </c>
      <c r="J84" s="27"/>
      <c r="L84" s="2" t="s">
        <v>24</v>
      </c>
      <c r="R84" s="27">
        <v>1752.04</v>
      </c>
      <c r="S84" s="27">
        <v>-6004.81</v>
      </c>
      <c r="T84" s="29">
        <v>46216</v>
      </c>
    </row>
    <row r="85" spans="1:19" x14ac:dyDescent="0.25">
      <c r="A85" s="1">
        <v>27</v>
      </c>
      <c r="C85" s="2" t="s">
        <v>24</v>
      </c>
      <c r="I85" s="27">
        <v>1608.8899999999999</v>
      </c>
      <c r="J85" s="27"/>
      <c r="L85" s="2" t="s">
        <v>24</v>
      </c>
      <c r="R85" s="27">
        <v>2802.3900000000003</v>
      </c>
      <c r="S85" s="27"/>
    </row>
    <row r="86" spans="9:19" x14ac:dyDescent="0.25">
      <c r="I86" s="27"/>
      <c r="J86" s="27"/>
      <c r="R86" s="27"/>
      <c r="S86" s="27"/>
    </row>
    <row r="87" spans="9:19" x14ac:dyDescent="0.25">
      <c r="I87" s="27"/>
      <c r="J87" s="27"/>
      <c r="R87" s="27"/>
      <c r="S87" s="27"/>
    </row>
    <row r="88" spans="9:19" x14ac:dyDescent="0.25">
      <c r="I88" s="27"/>
      <c r="J88" s="27"/>
      <c r="R88" s="27"/>
      <c r="S88" s="27"/>
    </row>
    <row r="89" spans="9:19" x14ac:dyDescent="0.25">
      <c r="I89" s="27"/>
      <c r="J89" s="27"/>
      <c r="R89" s="27"/>
      <c r="S89" s="27"/>
    </row>
    <row r="90" spans="9:19" x14ac:dyDescent="0.25">
      <c r="I90" s="27"/>
      <c r="J90" s="27"/>
      <c r="R90" s="27"/>
      <c r="S90" s="27"/>
    </row>
    <row r="91" spans="9:19" x14ac:dyDescent="0.25">
      <c r="I91" s="27"/>
      <c r="J91" s="27"/>
      <c r="R91" s="27"/>
      <c r="S91" s="27"/>
    </row>
    <row r="92" spans="9:19" x14ac:dyDescent="0.25">
      <c r="I92" s="27"/>
      <c r="J92" s="27"/>
      <c r="R92" s="27"/>
      <c r="S92" s="27"/>
    </row>
    <row r="93" spans="9:19" x14ac:dyDescent="0.25">
      <c r="I93" s="27"/>
      <c r="J93" s="27"/>
      <c r="R93" s="27"/>
      <c r="S93" s="27"/>
    </row>
    <row r="94" spans="9:19" x14ac:dyDescent="0.25">
      <c r="I94" s="27"/>
      <c r="J94" s="27"/>
      <c r="R94" s="27"/>
      <c r="S94" s="27"/>
    </row>
    <row r="95" spans="9:19" x14ac:dyDescent="0.25">
      <c r="I95" s="27"/>
      <c r="J95" s="27"/>
      <c r="R95" s="27"/>
      <c r="S95" s="27"/>
    </row>
    <row r="96" spans="9:19" x14ac:dyDescent="0.25">
      <c r="I96" s="27"/>
      <c r="J96" s="27"/>
      <c r="R96" s="27"/>
      <c r="S96" s="27"/>
    </row>
    <row r="97" spans="9:19" x14ac:dyDescent="0.25">
      <c r="I97" s="27"/>
      <c r="J97" s="27"/>
      <c r="R97" s="27"/>
      <c r="S97" s="27"/>
    </row>
    <row r="98" spans="9:19" x14ac:dyDescent="0.25">
      <c r="I98" s="27"/>
      <c r="J98" s="27"/>
      <c r="R98" s="27"/>
      <c r="S98" s="27"/>
    </row>
    <row r="99" spans="9:19" x14ac:dyDescent="0.25">
      <c r="I99" s="27"/>
      <c r="J99" s="27"/>
      <c r="R99" s="27"/>
      <c r="S99" s="27"/>
    </row>
    <row r="101" spans="9:19" x14ac:dyDescent="0.25">
      <c r="I101" s="27">
        <f>SUM(I59:I98)</f>
        <v>57852.84</v>
      </c>
      <c r="J101" s="27">
        <f>SUM(J59:J99)</f>
        <v>-48720.32000000001</v>
      </c>
      <c r="R101" s="27">
        <f>SUM(R59:R98)</f>
        <v>31470.290000000005</v>
      </c>
      <c r="S101" s="27">
        <f>SUM(S59:S99)</f>
        <v>-28667.9</v>
      </c>
    </row>
    <row r="102" ht="14.4" customHeight="1" spans="10:22" x14ac:dyDescent="0.25">
      <c r="J102" s="26">
        <f>I101+J101+J57</f>
        <v>9132.51999999999</v>
      </c>
      <c r="S102" s="26">
        <f>R101+S101+S57</f>
        <v>2802.390000000003</v>
      </c>
      <c r="V102" s="37">
        <f>J102+S102</f>
        <v>11934.909999999993</v>
      </c>
    </row>
    <row r="103" ht="14.4" customHeight="1" x14ac:dyDescent="0.25"/>
    <row r="105" spans="18:18" x14ac:dyDescent="0.25">
      <c r="R105" s="27">
        <v>0</v>
      </c>
    </row>
    <row r="106" spans="9:18" x14ac:dyDescent="0.25">
      <c r="I106" s="27">
        <v>0</v>
      </c>
      <c r="R106" s="27">
        <v>0</v>
      </c>
    </row>
    <row r="107" spans="9:18" x14ac:dyDescent="0.25">
      <c r="I107" s="35">
        <v>0</v>
      </c>
      <c r="R107" s="27">
        <v>0</v>
      </c>
    </row>
    <row r="108" spans="9:18" x14ac:dyDescent="0.25">
      <c r="I108" s="27">
        <f>SUM(I106:I107)</f>
        <v>0</v>
      </c>
      <c r="R108" s="35">
        <v>0</v>
      </c>
    </row>
    <row r="109" spans="18:18" x14ac:dyDescent="0.25">
      <c r="R109" s="27">
        <f>SUM(R105:R108)</f>
        <v>0</v>
      </c>
    </row>
  </sheetData>
  <conditionalFormatting sqref="J57">
    <cfRule type="cellIs" dxfId="0" priority="8" operator="lessThan">
      <formula>1</formula>
    </cfRule>
    <cfRule type="cellIs" dxfId="1" priority="9" operator="greaterThan">
      <formula>1</formula>
    </cfRule>
  </conditionalFormatting>
  <conditionalFormatting sqref="J102">
    <cfRule type="cellIs" dxfId="2" priority="4" operator="lessThan">
      <formula>1</formula>
    </cfRule>
    <cfRule type="cellIs" dxfId="3" priority="5" operator="greaterThan">
      <formula>1</formula>
    </cfRule>
  </conditionalFormatting>
  <conditionalFormatting sqref="S57">
    <cfRule type="cellIs" dxfId="4" priority="6" operator="lessThan">
      <formula>1</formula>
    </cfRule>
    <cfRule type="cellIs" dxfId="5" priority="7" operator="greaterThan">
      <formula>1</formula>
    </cfRule>
  </conditionalFormatting>
  <conditionalFormatting sqref="S102">
    <cfRule type="cellIs" dxfId="6" priority="2" operator="lessThan">
      <formula>1</formula>
    </cfRule>
    <cfRule type="cellIs" dxfId="7" priority="3" operator="greaterThan">
      <formula>1</formula>
    </cfRule>
  </conditionalFormatting>
  <conditionalFormatting sqref="V102">
    <cfRule type="cellIs" dxfId="8" priority="1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 zoomScale="69" zoomScaleNormal="69">
      <selection activeCell="N12" sqref="N12"/>
    </sheetView>
  </sheetViews>
  <sheetFormatPr defaultRowHeight="13.8" outlineLevelRow="0" outlineLevelCol="0" x14ac:dyDescent="0.3" defaultColWidth="9.109375" customHeight="1"/>
  <cols>
    <col min="1" max="1" width="11.44140625" style="1" customWidth="1"/>
    <col min="2" max="2" width="2.6640625" style="1" customWidth="1"/>
    <col min="3" max="3" width="24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1.44140625" style="1" customWidth="1"/>
    <col min="11" max="11" width="2.6640625" style="1" customWidth="1"/>
    <col min="12" max="12" width="24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6384" width="9.109375" style="2" customWidth="1"/>
  </cols>
  <sheetData>
    <row r="1" ht="24.9" customHeight="1" spans="1:18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46216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46216</v>
      </c>
    </row>
    <row r="2" ht="24.9" customHeight="1" spans="1:18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I1+7</f>
        <v>46223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R1+7</f>
        <v>46223</v>
      </c>
    </row>
    <row r="3" ht="24.9" customHeight="1" spans="1:18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</row>
    <row r="4" ht="24.9" customHeight="1" spans="1:18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29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2026-28</v>
      </c>
    </row>
    <row r="5" ht="24.9" customHeight="1" spans="1:18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</row>
    <row r="6" ht="24.9" customHeight="1" spans="1:18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 t="s">
        <v>11</v>
      </c>
      <c r="K6" s="3"/>
      <c r="L6" s="3"/>
      <c r="M6" s="3"/>
      <c r="N6" s="3"/>
      <c r="O6" s="3"/>
      <c r="P6" s="3"/>
      <c r="Q6" s="3"/>
      <c r="R6" s="3"/>
    </row>
    <row r="7" ht="24.9" customHeight="1" spans="1:18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</row>
    <row r="8" ht="24.9" customHeight="1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4.9" customHeight="1" spans="1:18" s="8" customFormat="1" x14ac:dyDescent="0.25">
      <c r="A9" s="9" t="s">
        <v>14</v>
      </c>
      <c r="B9" s="10"/>
      <c r="C9" s="10" t="s">
        <v>15</v>
      </c>
      <c r="D9" s="10"/>
      <c r="E9" s="10" t="s">
        <v>16</v>
      </c>
      <c r="F9" s="10"/>
      <c r="G9" s="10" t="s">
        <v>17</v>
      </c>
      <c r="H9" s="10"/>
      <c r="I9" s="11" t="s">
        <v>18</v>
      </c>
      <c r="J9" s="9" t="s">
        <v>14</v>
      </c>
      <c r="K9" s="10"/>
      <c r="L9" s="10" t="s">
        <v>15</v>
      </c>
      <c r="M9" s="10"/>
      <c r="N9" s="10" t="s">
        <v>16</v>
      </c>
      <c r="O9" s="10"/>
      <c r="P9" s="10" t="s">
        <v>17</v>
      </c>
      <c r="Q9" s="10"/>
      <c r="R9" s="11" t="s">
        <v>18</v>
      </c>
    </row>
    <row r="10" ht="24.9" customHeight="1" spans="1:18" x14ac:dyDescent="0.25">
      <c r="A10" s="12">
        <v>46211</v>
      </c>
      <c r="B10" s="13"/>
      <c r="C10" s="13" t="s">
        <v>19</v>
      </c>
      <c r="D10" s="13"/>
      <c r="E10" s="14">
        <v>205.84</v>
      </c>
      <c r="F10" s="13"/>
      <c r="G10" s="13">
        <v>6</v>
      </c>
      <c r="H10" s="13"/>
      <c r="I10" s="15">
        <f>E10*G10</f>
        <v>1235.04</v>
      </c>
      <c r="J10" s="12">
        <v>46214</v>
      </c>
      <c r="K10" s="13"/>
      <c r="L10" s="13" t="s">
        <v>19</v>
      </c>
      <c r="M10" s="13"/>
      <c r="N10" s="14">
        <v>205.84</v>
      </c>
      <c r="O10" s="13"/>
      <c r="P10" s="13">
        <v>2</v>
      </c>
      <c r="Q10" s="13"/>
      <c r="R10" s="15">
        <f>N10*P10</f>
        <v>411.68</v>
      </c>
    </row>
    <row r="11" ht="24.9" customHeight="1" spans="1:18" x14ac:dyDescent="0.25">
      <c r="A11" s="12">
        <v>46214</v>
      </c>
      <c r="B11" s="16"/>
      <c r="C11" s="16" t="s">
        <v>19</v>
      </c>
      <c r="D11" s="16"/>
      <c r="E11" s="17">
        <v>205.84</v>
      </c>
      <c r="F11" s="16"/>
      <c r="G11" s="16">
        <v>4</v>
      </c>
      <c r="H11" s="16"/>
      <c r="I11" s="15">
        <f>E11*G11</f>
        <v>823.36</v>
      </c>
      <c r="J11" s="12">
        <v>46214</v>
      </c>
      <c r="K11" s="16"/>
      <c r="L11" s="16" t="s">
        <v>30</v>
      </c>
      <c r="M11" s="16"/>
      <c r="N11" s="17">
        <v>37.21</v>
      </c>
      <c r="O11" s="16"/>
      <c r="P11" s="16">
        <v>1</v>
      </c>
      <c r="Q11" s="16"/>
      <c r="R11" s="15">
        <f>N11*P11</f>
        <v>37.21</v>
      </c>
    </row>
    <row r="12" ht="24.9" customHeight="1" spans="1:18" x14ac:dyDescent="0.25">
      <c r="A12" s="12">
        <v>46214</v>
      </c>
      <c r="B12" s="16"/>
      <c r="C12" s="13" t="s">
        <v>22</v>
      </c>
      <c r="D12" s="16"/>
      <c r="E12" s="17">
        <v>59.42</v>
      </c>
      <c r="F12" s="16"/>
      <c r="G12" s="16">
        <v>3</v>
      </c>
      <c r="H12" s="16"/>
      <c r="I12" s="15">
        <f>E12*G12</f>
        <v>178.26</v>
      </c>
      <c r="J12" s="12"/>
      <c r="K12" s="16"/>
      <c r="L12" s="13"/>
      <c r="M12" s="16"/>
      <c r="N12" s="17"/>
      <c r="O12" s="16"/>
      <c r="P12" s="16"/>
      <c r="Q12" s="16"/>
      <c r="R12" s="15"/>
    </row>
    <row r="13" ht="24.9" customHeight="1" spans="1:18" x14ac:dyDescent="0.25">
      <c r="A13" s="12">
        <v>46214</v>
      </c>
      <c r="B13" s="16"/>
      <c r="C13" s="16" t="s">
        <v>31</v>
      </c>
      <c r="D13" s="16"/>
      <c r="E13" s="17">
        <v>197.58</v>
      </c>
      <c r="F13" s="16"/>
      <c r="G13" s="16">
        <v>2</v>
      </c>
      <c r="H13" s="16"/>
      <c r="I13" s="15">
        <f>E13*G13</f>
        <v>395.16</v>
      </c>
      <c r="J13" s="12"/>
      <c r="K13" s="16"/>
      <c r="L13" s="16"/>
      <c r="M13" s="16"/>
      <c r="N13" s="17"/>
      <c r="O13" s="16"/>
      <c r="P13" s="16"/>
      <c r="Q13" s="16"/>
      <c r="R13" s="15"/>
    </row>
    <row r="14" ht="24.9" customHeight="1" spans="1:18" x14ac:dyDescent="0.25">
      <c r="A14" s="12"/>
      <c r="B14" s="16"/>
      <c r="C14" s="13"/>
      <c r="D14" s="16"/>
      <c r="E14" s="17"/>
      <c r="F14" s="16"/>
      <c r="G14" s="16"/>
      <c r="H14" s="16"/>
      <c r="I14" s="15"/>
      <c r="J14" s="12"/>
      <c r="K14" s="16"/>
      <c r="L14" s="13"/>
      <c r="M14" s="16"/>
      <c r="N14" s="17"/>
      <c r="O14" s="16"/>
      <c r="P14" s="16"/>
      <c r="Q14" s="16"/>
      <c r="R14" s="15"/>
    </row>
    <row r="15" ht="24.9" customHeight="1" spans="1:18" x14ac:dyDescent="0.25">
      <c r="A15" s="12"/>
      <c r="B15" s="16"/>
      <c r="C15" s="16"/>
      <c r="D15" s="16"/>
      <c r="E15" s="17"/>
      <c r="F15" s="16"/>
      <c r="G15" s="16"/>
      <c r="H15" s="16"/>
      <c r="I15" s="15"/>
      <c r="J15" s="12"/>
      <c r="K15" s="16"/>
      <c r="L15" s="16"/>
      <c r="M15" s="16"/>
      <c r="N15" s="17"/>
      <c r="O15" s="16"/>
      <c r="P15" s="16"/>
      <c r="Q15" s="16"/>
      <c r="R15" s="15"/>
    </row>
    <row r="16" ht="24.9" customHeight="1" spans="1:18" x14ac:dyDescent="0.25">
      <c r="A16" s="18"/>
      <c r="B16" s="16"/>
      <c r="C16" s="13"/>
      <c r="D16" s="16"/>
      <c r="E16" s="17"/>
      <c r="F16" s="16"/>
      <c r="G16" s="16"/>
      <c r="H16" s="16"/>
      <c r="I16" s="19"/>
      <c r="J16" s="18"/>
      <c r="K16" s="16"/>
      <c r="L16" s="13"/>
      <c r="M16" s="16"/>
      <c r="N16" s="17"/>
      <c r="O16" s="16"/>
      <c r="P16" s="16"/>
      <c r="Q16" s="16"/>
      <c r="R16" s="19"/>
    </row>
    <row r="17" ht="24.9" customHeight="1" spans="1:18" x14ac:dyDescent="0.25">
      <c r="A17" s="18"/>
      <c r="B17" s="16"/>
      <c r="C17" s="16"/>
      <c r="D17" s="16"/>
      <c r="E17" s="17"/>
      <c r="F17" s="16"/>
      <c r="G17" s="16"/>
      <c r="H17" s="16"/>
      <c r="I17" s="19"/>
      <c r="J17" s="18"/>
      <c r="K17" s="16"/>
      <c r="L17" s="16"/>
      <c r="M17" s="16"/>
      <c r="N17" s="17"/>
      <c r="O17" s="16"/>
      <c r="P17" s="16"/>
      <c r="Q17" s="16"/>
      <c r="R17" s="19"/>
    </row>
    <row r="18" ht="24.9" customHeight="1" spans="1:18" x14ac:dyDescent="0.25">
      <c r="A18" s="18"/>
      <c r="B18" s="16"/>
      <c r="C18" s="13"/>
      <c r="D18" s="16"/>
      <c r="E18" s="17"/>
      <c r="F18" s="16"/>
      <c r="G18" s="16"/>
      <c r="H18" s="16"/>
      <c r="I18" s="19"/>
      <c r="J18" s="18"/>
      <c r="K18" s="16"/>
      <c r="L18" s="13"/>
      <c r="M18" s="16"/>
      <c r="N18" s="17"/>
      <c r="O18" s="16"/>
      <c r="P18" s="16"/>
      <c r="Q18" s="16"/>
      <c r="R18" s="19"/>
    </row>
    <row r="19" ht="24.9" customHeight="1" spans="1:18" x14ac:dyDescent="0.25">
      <c r="A19" s="18"/>
      <c r="B19" s="16"/>
      <c r="C19" s="16"/>
      <c r="D19" s="16"/>
      <c r="E19" s="17"/>
      <c r="F19" s="16"/>
      <c r="G19" s="16"/>
      <c r="H19" s="16"/>
      <c r="I19" s="19"/>
      <c r="J19" s="18"/>
      <c r="K19" s="16"/>
      <c r="L19" s="16"/>
      <c r="M19" s="16"/>
      <c r="N19" s="17"/>
      <c r="O19" s="16"/>
      <c r="P19" s="16"/>
      <c r="Q19" s="16"/>
      <c r="R19" s="19"/>
    </row>
    <row r="20" ht="24.9" customHeight="1" spans="1:18" x14ac:dyDescent="0.25">
      <c r="A20" s="18"/>
      <c r="B20" s="16"/>
      <c r="C20" s="16"/>
      <c r="D20" s="16"/>
      <c r="E20" s="17"/>
      <c r="F20" s="16"/>
      <c r="G20" s="16"/>
      <c r="H20" s="16"/>
      <c r="I20" s="19"/>
      <c r="J20" s="18"/>
      <c r="K20" s="16"/>
      <c r="L20" s="16"/>
      <c r="M20" s="16"/>
      <c r="N20" s="17"/>
      <c r="O20" s="16"/>
      <c r="P20" s="16"/>
      <c r="Q20" s="16"/>
      <c r="R20" s="19"/>
    </row>
    <row r="21" ht="24.9" customHeight="1" spans="1:18" x14ac:dyDescent="0.25">
      <c r="A21" s="18"/>
      <c r="B21" s="16"/>
      <c r="C21" s="16"/>
      <c r="D21" s="16"/>
      <c r="E21" s="17"/>
      <c r="F21" s="16"/>
      <c r="G21" s="16"/>
      <c r="H21" s="16"/>
      <c r="I21" s="19"/>
      <c r="J21" s="18"/>
      <c r="K21" s="16"/>
      <c r="L21" s="16"/>
      <c r="M21" s="16"/>
      <c r="N21" s="17"/>
      <c r="O21" s="16"/>
      <c r="P21" s="16"/>
      <c r="Q21" s="16"/>
      <c r="R21" s="19"/>
    </row>
    <row r="22" ht="24.9" customHeight="1" spans="1:18" x14ac:dyDescent="0.25">
      <c r="A22" s="20"/>
      <c r="B22" s="16"/>
      <c r="C22" s="16"/>
      <c r="D22" s="16"/>
      <c r="E22" s="17"/>
      <c r="F22" s="16"/>
      <c r="G22" s="16"/>
      <c r="H22" s="16"/>
      <c r="I22" s="19"/>
      <c r="J22" s="20"/>
      <c r="K22" s="16"/>
      <c r="L22" s="16"/>
      <c r="M22" s="16"/>
      <c r="N22" s="17"/>
      <c r="O22" s="16"/>
      <c r="P22" s="16"/>
      <c r="Q22" s="16"/>
      <c r="R22" s="19"/>
    </row>
    <row r="23" ht="24.9" customHeight="1" spans="1:18" x14ac:dyDescent="0.25">
      <c r="A23" s="20"/>
      <c r="B23" s="16"/>
      <c r="C23" s="16"/>
      <c r="D23" s="16"/>
      <c r="E23" s="17"/>
      <c r="F23" s="16"/>
      <c r="G23" s="16"/>
      <c r="H23" s="16"/>
      <c r="I23" s="19"/>
      <c r="J23" s="20"/>
      <c r="K23" s="16"/>
      <c r="L23" s="16"/>
      <c r="M23" s="16"/>
      <c r="N23" s="17"/>
      <c r="O23" s="16"/>
      <c r="P23" s="16"/>
      <c r="Q23" s="16"/>
      <c r="R23" s="19"/>
    </row>
    <row r="24" ht="24.9" customHeight="1" spans="1:18" x14ac:dyDescent="0.25">
      <c r="A24" s="21"/>
      <c r="B24" s="21"/>
      <c r="C24" s="21"/>
      <c r="D24" s="21"/>
      <c r="E24" s="22"/>
      <c r="F24" s="21"/>
      <c r="G24" s="21"/>
      <c r="H24" s="21"/>
      <c r="I24" s="22"/>
      <c r="J24" s="21"/>
      <c r="K24" s="21"/>
      <c r="L24" s="21"/>
      <c r="M24" s="21"/>
      <c r="N24" s="22"/>
      <c r="O24" s="21"/>
      <c r="P24" s="21"/>
      <c r="Q24" s="21"/>
      <c r="R24" s="22"/>
    </row>
    <row r="25" ht="24.9" customHeight="1" spans="1:18" x14ac:dyDescent="0.25">
      <c r="A25" s="21"/>
      <c r="B25" s="21"/>
      <c r="C25" s="21" t="s">
        <v>23</v>
      </c>
      <c r="D25" s="21"/>
      <c r="E25" s="23">
        <v>10</v>
      </c>
      <c r="F25" s="21"/>
      <c r="G25" s="21">
        <f>SUM(G10:G16)</f>
        <v>15</v>
      </c>
      <c r="H25" s="21"/>
      <c r="I25" s="23">
        <f>E25*G25</f>
        <v>150</v>
      </c>
      <c r="J25" s="21"/>
      <c r="K25" s="21"/>
      <c r="L25" s="21" t="s">
        <v>23</v>
      </c>
      <c r="M25" s="21"/>
      <c r="N25" s="23">
        <v>10</v>
      </c>
      <c r="O25" s="21"/>
      <c r="P25" s="21">
        <f>SUM(P10:P15)</f>
        <v>3</v>
      </c>
      <c r="Q25" s="21"/>
      <c r="R25" s="23">
        <f>N25*P25</f>
        <v>30</v>
      </c>
    </row>
    <row r="26" ht="24.9" customHeight="1" spans="1:18" x14ac:dyDescent="0.25">
      <c r="A26" s="21"/>
      <c r="B26" s="21"/>
      <c r="C26" s="21" t="s">
        <v>24</v>
      </c>
      <c r="D26" s="21"/>
      <c r="E26" s="22"/>
      <c r="F26" s="21"/>
      <c r="H26" s="21"/>
      <c r="I26" s="24">
        <f>SUM(I10:I25)</f>
        <v>2781.8199999999997</v>
      </c>
      <c r="J26" s="21"/>
      <c r="K26" s="21"/>
      <c r="L26" s="21" t="s">
        <v>24</v>
      </c>
      <c r="M26" s="21"/>
      <c r="N26" s="22"/>
      <c r="O26" s="21"/>
      <c r="Q26" s="21"/>
      <c r="R26" s="24">
        <f>SUM(R10:R25)</f>
        <v>478.89</v>
      </c>
    </row>
    <row r="27" ht="24.9" customHeight="1" spans="1:18" x14ac:dyDescent="0.25">
      <c r="A27" s="21"/>
      <c r="B27" s="21"/>
      <c r="C27" s="21"/>
      <c r="D27" s="21"/>
      <c r="E27" s="22"/>
      <c r="F27" s="21"/>
      <c r="G27" s="21"/>
      <c r="H27" s="21"/>
      <c r="I27" s="22"/>
      <c r="J27" s="21"/>
      <c r="K27" s="21"/>
      <c r="L27" s="21"/>
      <c r="M27" s="21"/>
      <c r="N27" s="22"/>
      <c r="O27" s="21"/>
      <c r="P27" s="21"/>
      <c r="Q27" s="21"/>
      <c r="R27" s="22"/>
    </row>
    <row r="28" ht="24.75" customHeight="1" spans="1:18" x14ac:dyDescent="0.25">
      <c r="A28" s="21"/>
      <c r="B28" s="21"/>
      <c r="C28" s="21"/>
      <c r="D28" s="21"/>
      <c r="E28" s="22"/>
      <c r="F28" s="21"/>
      <c r="G28" s="21"/>
      <c r="H28" s="21"/>
      <c r="I28" s="22"/>
      <c r="J28" s="21"/>
      <c r="K28" s="21"/>
      <c r="L28" s="21"/>
      <c r="M28" s="21"/>
      <c r="N28" s="22"/>
      <c r="O28" s="21"/>
      <c r="P28" s="21"/>
      <c r="Q28" s="21"/>
      <c r="R28" s="22"/>
    </row>
  </sheetData>
  <mergeCells count="22"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P4:Q4"/>
    <mergeCell ref="A5:I5"/>
    <mergeCell ref="J5:R5"/>
    <mergeCell ref="A6:I6"/>
    <mergeCell ref="J6:R6"/>
    <mergeCell ref="A7:I7"/>
    <mergeCell ref="J7:R7"/>
    <mergeCell ref="A8:I8"/>
    <mergeCell ref="J8:R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 zoomScale="69" zoomScaleNormal="69">
      <selection activeCell="I2" sqref="I2"/>
    </sheetView>
  </sheetViews>
  <sheetFormatPr defaultRowHeight="13.8" outlineLevelRow="0" outlineLevelCol="0" x14ac:dyDescent="0.3" defaultColWidth="9.109375" customHeight="1"/>
  <cols>
    <col min="1" max="1" width="11.44140625" style="1" customWidth="1"/>
    <col min="2" max="2" width="2.6640625" style="1" customWidth="1"/>
    <col min="3" max="3" width="24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1.44140625" style="1" customWidth="1"/>
    <col min="11" max="11" width="2.6640625" style="1" customWidth="1"/>
    <col min="12" max="12" width="24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6384" width="9.109375" style="2" customWidth="1"/>
  </cols>
  <sheetData>
    <row r="1" ht="24.9" customHeight="1" spans="1:18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46223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46223</v>
      </c>
    </row>
    <row r="2" ht="24.9" customHeight="1" spans="1:18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I1+7</f>
        <v>46230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R1+7</f>
        <v>46230</v>
      </c>
    </row>
    <row r="3" ht="24.9" customHeight="1" spans="1:18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</row>
    <row r="4" ht="24.9" customHeight="1" spans="1:18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7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2026-29</v>
      </c>
    </row>
    <row r="5" ht="24.9" customHeight="1" spans="1:18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</row>
    <row r="6" ht="24.9" customHeight="1" spans="1:18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 t="s">
        <v>11</v>
      </c>
      <c r="K6" s="3"/>
      <c r="L6" s="3"/>
      <c r="M6" s="3"/>
      <c r="N6" s="3"/>
      <c r="O6" s="3"/>
      <c r="P6" s="3"/>
      <c r="Q6" s="3"/>
      <c r="R6" s="3"/>
    </row>
    <row r="7" ht="24.9" customHeight="1" spans="1:18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</row>
    <row r="8" ht="24.9" customHeight="1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4.9" customHeight="1" spans="1:18" s="8" customFormat="1" x14ac:dyDescent="0.25">
      <c r="A9" s="9" t="s">
        <v>14</v>
      </c>
      <c r="B9" s="10"/>
      <c r="C9" s="10" t="s">
        <v>15</v>
      </c>
      <c r="D9" s="10"/>
      <c r="E9" s="10" t="s">
        <v>16</v>
      </c>
      <c r="F9" s="10"/>
      <c r="G9" s="10" t="s">
        <v>17</v>
      </c>
      <c r="H9" s="10"/>
      <c r="I9" s="11" t="s">
        <v>18</v>
      </c>
      <c r="J9" s="9" t="s">
        <v>14</v>
      </c>
      <c r="K9" s="10"/>
      <c r="L9" s="10" t="s">
        <v>15</v>
      </c>
      <c r="M9" s="10"/>
      <c r="N9" s="10" t="s">
        <v>16</v>
      </c>
      <c r="O9" s="10"/>
      <c r="P9" s="10" t="s">
        <v>17</v>
      </c>
      <c r="Q9" s="10"/>
      <c r="R9" s="11" t="s">
        <v>18</v>
      </c>
    </row>
    <row r="10" ht="24.9" customHeight="1" spans="1:18" x14ac:dyDescent="0.25">
      <c r="A10" s="12"/>
      <c r="B10" s="13"/>
      <c r="C10" s="13" t="s">
        <v>19</v>
      </c>
      <c r="D10" s="13"/>
      <c r="E10" s="14"/>
      <c r="F10" s="13"/>
      <c r="G10" s="13"/>
      <c r="H10" s="13"/>
      <c r="I10" s="15">
        <f>E10*G10</f>
        <v>0</v>
      </c>
      <c r="J10" s="12"/>
      <c r="K10" s="13"/>
      <c r="L10" s="13" t="s">
        <v>19</v>
      </c>
      <c r="M10" s="13"/>
      <c r="N10" s="14"/>
      <c r="O10" s="13"/>
      <c r="P10" s="13"/>
      <c r="Q10" s="13"/>
      <c r="R10" s="15">
        <f>N10*P10</f>
        <v>0</v>
      </c>
    </row>
    <row r="11" ht="24.9" customHeight="1" spans="1:18" x14ac:dyDescent="0.25">
      <c r="A11" s="12"/>
      <c r="B11" s="16"/>
      <c r="C11" s="16" t="s">
        <v>20</v>
      </c>
      <c r="D11" s="16"/>
      <c r="E11" s="17"/>
      <c r="F11" s="16"/>
      <c r="G11" s="16"/>
      <c r="H11" s="16"/>
      <c r="I11" s="15">
        <f>E11*G11</f>
        <v>0</v>
      </c>
      <c r="J11" s="12"/>
      <c r="K11" s="16"/>
      <c r="L11" s="16" t="s">
        <v>19</v>
      </c>
      <c r="M11" s="16"/>
      <c r="N11" s="17"/>
      <c r="O11" s="16"/>
      <c r="P11" s="16"/>
      <c r="Q11" s="16"/>
      <c r="R11" s="15">
        <f>N11*P11</f>
        <v>0</v>
      </c>
    </row>
    <row r="12" ht="24.9" customHeight="1" spans="1:18" x14ac:dyDescent="0.25">
      <c r="A12" s="12"/>
      <c r="B12" s="16"/>
      <c r="C12" s="13" t="s">
        <v>21</v>
      </c>
      <c r="D12" s="16"/>
      <c r="E12" s="17"/>
      <c r="F12" s="16"/>
      <c r="G12" s="16"/>
      <c r="H12" s="16"/>
      <c r="I12" s="15">
        <f>E12*G12</f>
        <v>0</v>
      </c>
      <c r="J12" s="12"/>
      <c r="K12" s="16"/>
      <c r="L12" s="13" t="s">
        <v>22</v>
      </c>
      <c r="M12" s="16"/>
      <c r="N12" s="17"/>
      <c r="O12" s="16"/>
      <c r="P12" s="16"/>
      <c r="Q12" s="16"/>
      <c r="R12" s="15">
        <f>N12*P12</f>
        <v>0</v>
      </c>
    </row>
    <row r="13" ht="24.9" customHeight="1" spans="1:18" x14ac:dyDescent="0.25">
      <c r="A13" s="12"/>
      <c r="B13" s="16"/>
      <c r="C13" s="16" t="s">
        <v>19</v>
      </c>
      <c r="D13" s="16"/>
      <c r="E13" s="17"/>
      <c r="F13" s="16"/>
      <c r="G13" s="16"/>
      <c r="H13" s="16"/>
      <c r="I13" s="15">
        <f>E13*G13</f>
        <v>0</v>
      </c>
      <c r="J13" s="12"/>
      <c r="K13" s="16"/>
      <c r="L13" s="16"/>
      <c r="M13" s="16"/>
      <c r="N13" s="17"/>
      <c r="O13" s="16"/>
      <c r="P13" s="16"/>
      <c r="Q13" s="16"/>
      <c r="R13" s="15"/>
    </row>
    <row r="14" ht="24.9" customHeight="1" spans="1:18" x14ac:dyDescent="0.25">
      <c r="A14" s="12"/>
      <c r="B14" s="16"/>
      <c r="C14" s="13" t="s">
        <v>22</v>
      </c>
      <c r="D14" s="16"/>
      <c r="E14" s="17"/>
      <c r="F14" s="16"/>
      <c r="G14" s="16"/>
      <c r="H14" s="16"/>
      <c r="I14" s="15">
        <f>E14*G14</f>
        <v>0</v>
      </c>
      <c r="J14" s="12"/>
      <c r="K14" s="16"/>
      <c r="L14" s="13"/>
      <c r="M14" s="16"/>
      <c r="N14" s="17"/>
      <c r="O14" s="16"/>
      <c r="P14" s="16"/>
      <c r="Q14" s="16"/>
      <c r="R14" s="15"/>
    </row>
    <row r="15" ht="24.9" customHeight="1" spans="1:18" x14ac:dyDescent="0.25">
      <c r="A15" s="12"/>
      <c r="B15" s="16"/>
      <c r="C15" s="16"/>
      <c r="D15" s="16"/>
      <c r="E15" s="17"/>
      <c r="F15" s="16"/>
      <c r="G15" s="16"/>
      <c r="H15" s="16"/>
      <c r="I15" s="15"/>
      <c r="J15" s="12"/>
      <c r="K15" s="16"/>
      <c r="L15" s="16"/>
      <c r="M15" s="16"/>
      <c r="N15" s="17"/>
      <c r="O15" s="16"/>
      <c r="P15" s="16"/>
      <c r="Q15" s="16"/>
      <c r="R15" s="15"/>
    </row>
    <row r="16" ht="24.9" customHeight="1" spans="1:18" x14ac:dyDescent="0.25">
      <c r="A16" s="18"/>
      <c r="B16" s="16"/>
      <c r="C16" s="13"/>
      <c r="D16" s="16"/>
      <c r="E16" s="17"/>
      <c r="F16" s="16"/>
      <c r="G16" s="16"/>
      <c r="H16" s="16"/>
      <c r="I16" s="19"/>
      <c r="J16" s="18"/>
      <c r="K16" s="16"/>
      <c r="L16" s="13"/>
      <c r="M16" s="16"/>
      <c r="N16" s="17"/>
      <c r="O16" s="16"/>
      <c r="P16" s="16"/>
      <c r="Q16" s="16"/>
      <c r="R16" s="19"/>
    </row>
    <row r="17" ht="24.9" customHeight="1" spans="1:18" x14ac:dyDescent="0.25">
      <c r="A17" s="18"/>
      <c r="B17" s="16"/>
      <c r="C17" s="16"/>
      <c r="D17" s="16"/>
      <c r="E17" s="17"/>
      <c r="F17" s="16"/>
      <c r="G17" s="16"/>
      <c r="H17" s="16"/>
      <c r="I17" s="19"/>
      <c r="J17" s="18"/>
      <c r="K17" s="16"/>
      <c r="L17" s="16"/>
      <c r="M17" s="16"/>
      <c r="N17" s="17"/>
      <c r="O17" s="16"/>
      <c r="P17" s="16"/>
      <c r="Q17" s="16"/>
      <c r="R17" s="19"/>
    </row>
    <row r="18" ht="24.9" customHeight="1" spans="1:18" x14ac:dyDescent="0.25">
      <c r="A18" s="18"/>
      <c r="B18" s="16"/>
      <c r="C18" s="13"/>
      <c r="D18" s="16"/>
      <c r="E18" s="17"/>
      <c r="F18" s="16"/>
      <c r="G18" s="16"/>
      <c r="H18" s="16"/>
      <c r="I18" s="19"/>
      <c r="J18" s="18"/>
      <c r="K18" s="16"/>
      <c r="L18" s="13"/>
      <c r="M18" s="16"/>
      <c r="N18" s="17"/>
      <c r="O18" s="16"/>
      <c r="P18" s="16"/>
      <c r="Q18" s="16"/>
      <c r="R18" s="19"/>
    </row>
    <row r="19" ht="24.9" customHeight="1" spans="1:18" x14ac:dyDescent="0.25">
      <c r="A19" s="18"/>
      <c r="B19" s="16"/>
      <c r="C19" s="16"/>
      <c r="D19" s="16"/>
      <c r="E19" s="17"/>
      <c r="F19" s="16"/>
      <c r="G19" s="16"/>
      <c r="H19" s="16"/>
      <c r="I19" s="19"/>
      <c r="J19" s="18"/>
      <c r="K19" s="16"/>
      <c r="L19" s="16"/>
      <c r="M19" s="16"/>
      <c r="N19" s="17"/>
      <c r="O19" s="16"/>
      <c r="P19" s="16"/>
      <c r="Q19" s="16"/>
      <c r="R19" s="19"/>
    </row>
    <row r="20" ht="24.9" customHeight="1" spans="1:18" x14ac:dyDescent="0.25">
      <c r="A20" s="18"/>
      <c r="B20" s="16"/>
      <c r="C20" s="16"/>
      <c r="D20" s="16"/>
      <c r="E20" s="17"/>
      <c r="F20" s="16"/>
      <c r="G20" s="16"/>
      <c r="H20" s="16"/>
      <c r="I20" s="19"/>
      <c r="J20" s="18"/>
      <c r="K20" s="16"/>
      <c r="L20" s="16"/>
      <c r="M20" s="16"/>
      <c r="N20" s="17"/>
      <c r="O20" s="16"/>
      <c r="P20" s="16"/>
      <c r="Q20" s="16"/>
      <c r="R20" s="19"/>
    </row>
    <row r="21" ht="24.9" customHeight="1" spans="1:18" x14ac:dyDescent="0.25">
      <c r="A21" s="18"/>
      <c r="B21" s="16"/>
      <c r="C21" s="16"/>
      <c r="D21" s="16"/>
      <c r="E21" s="17"/>
      <c r="F21" s="16"/>
      <c r="G21" s="16"/>
      <c r="H21" s="16"/>
      <c r="I21" s="19"/>
      <c r="J21" s="18"/>
      <c r="K21" s="16"/>
      <c r="L21" s="16"/>
      <c r="M21" s="16"/>
      <c r="N21" s="17"/>
      <c r="O21" s="16"/>
      <c r="P21" s="16"/>
      <c r="Q21" s="16"/>
      <c r="R21" s="19"/>
    </row>
    <row r="22" ht="24.9" customHeight="1" spans="1:18" x14ac:dyDescent="0.25">
      <c r="A22" s="20"/>
      <c r="B22" s="16"/>
      <c r="C22" s="16"/>
      <c r="D22" s="16"/>
      <c r="E22" s="17"/>
      <c r="F22" s="16"/>
      <c r="G22" s="16"/>
      <c r="H22" s="16"/>
      <c r="I22" s="19"/>
      <c r="J22" s="20"/>
      <c r="K22" s="16"/>
      <c r="L22" s="16"/>
      <c r="M22" s="16"/>
      <c r="N22" s="17"/>
      <c r="O22" s="16"/>
      <c r="P22" s="16"/>
      <c r="Q22" s="16"/>
      <c r="R22" s="19"/>
    </row>
    <row r="23" ht="24.9" customHeight="1" spans="1:18" x14ac:dyDescent="0.25">
      <c r="A23" s="20"/>
      <c r="B23" s="16"/>
      <c r="C23" s="16"/>
      <c r="D23" s="16"/>
      <c r="E23" s="17"/>
      <c r="F23" s="16"/>
      <c r="G23" s="16"/>
      <c r="H23" s="16"/>
      <c r="I23" s="19"/>
      <c r="J23" s="20"/>
      <c r="K23" s="16"/>
      <c r="L23" s="16"/>
      <c r="M23" s="16"/>
      <c r="N23" s="17"/>
      <c r="O23" s="16"/>
      <c r="P23" s="16"/>
      <c r="Q23" s="16"/>
      <c r="R23" s="19"/>
    </row>
    <row r="24" ht="24.9" customHeight="1" spans="1:18" x14ac:dyDescent="0.25">
      <c r="A24" s="21"/>
      <c r="B24" s="21"/>
      <c r="C24" s="21"/>
      <c r="D24" s="21"/>
      <c r="E24" s="22"/>
      <c r="F24" s="21"/>
      <c r="G24" s="21"/>
      <c r="H24" s="21"/>
      <c r="I24" s="22"/>
      <c r="J24" s="21"/>
      <c r="K24" s="21"/>
      <c r="L24" s="21"/>
      <c r="M24" s="21"/>
      <c r="N24" s="22"/>
      <c r="O24" s="21"/>
      <c r="P24" s="21"/>
      <c r="Q24" s="21"/>
      <c r="R24" s="22"/>
    </row>
    <row r="25" ht="24.9" customHeight="1" spans="1:18" x14ac:dyDescent="0.25">
      <c r="A25" s="21"/>
      <c r="B25" s="21"/>
      <c r="C25" s="21" t="s">
        <v>23</v>
      </c>
      <c r="D25" s="21"/>
      <c r="E25" s="23">
        <v>10</v>
      </c>
      <c r="F25" s="21"/>
      <c r="G25" s="21">
        <f>SUM(G10:G16)</f>
        <v>0</v>
      </c>
      <c r="H25" s="21"/>
      <c r="I25" s="23">
        <f>E25*G25</f>
        <v>0</v>
      </c>
      <c r="J25" s="21"/>
      <c r="K25" s="21"/>
      <c r="L25" s="21" t="s">
        <v>23</v>
      </c>
      <c r="M25" s="21"/>
      <c r="N25" s="23">
        <v>10</v>
      </c>
      <c r="O25" s="21"/>
      <c r="P25" s="21">
        <f>SUM(P10:P15)</f>
        <v>0</v>
      </c>
      <c r="Q25" s="21"/>
      <c r="R25" s="23">
        <f>N25*P25</f>
        <v>0</v>
      </c>
    </row>
    <row r="26" ht="24.9" customHeight="1" spans="1:18" x14ac:dyDescent="0.25">
      <c r="A26" s="21"/>
      <c r="B26" s="21"/>
      <c r="C26" s="21" t="s">
        <v>24</v>
      </c>
      <c r="D26" s="21"/>
      <c r="E26" s="22"/>
      <c r="F26" s="21"/>
      <c r="H26" s="21"/>
      <c r="I26" s="24">
        <f>SUM(I10:I25)</f>
        <v>0</v>
      </c>
      <c r="J26" s="21"/>
      <c r="K26" s="21"/>
      <c r="L26" s="21" t="s">
        <v>24</v>
      </c>
      <c r="M26" s="21"/>
      <c r="N26" s="22"/>
      <c r="O26" s="21"/>
      <c r="Q26" s="21"/>
      <c r="R26" s="24">
        <f>SUM(R10:R25)</f>
        <v>0</v>
      </c>
    </row>
    <row r="27" ht="24.9" customHeight="1" spans="1:18" x14ac:dyDescent="0.25">
      <c r="A27" s="21"/>
      <c r="B27" s="21"/>
      <c r="C27" s="21"/>
      <c r="D27" s="21"/>
      <c r="E27" s="22"/>
      <c r="F27" s="21"/>
      <c r="G27" s="21"/>
      <c r="H27" s="21"/>
      <c r="I27" s="22"/>
      <c r="J27" s="21"/>
      <c r="K27" s="21"/>
      <c r="L27" s="21"/>
      <c r="M27" s="21"/>
      <c r="N27" s="22"/>
      <c r="O27" s="21"/>
      <c r="P27" s="21"/>
      <c r="Q27" s="21"/>
      <c r="R27" s="22"/>
    </row>
    <row r="28" ht="24.75" customHeight="1" spans="1:18" x14ac:dyDescent="0.25">
      <c r="A28" s="21"/>
      <c r="B28" s="21"/>
      <c r="C28" s="21"/>
      <c r="D28" s="21"/>
      <c r="E28" s="22"/>
      <c r="F28" s="21"/>
      <c r="G28" s="21"/>
      <c r="H28" s="21"/>
      <c r="I28" s="22"/>
      <c r="J28" s="21"/>
      <c r="K28" s="21"/>
      <c r="L28" s="21"/>
      <c r="M28" s="21"/>
      <c r="N28" s="22"/>
      <c r="O28" s="21"/>
      <c r="P28" s="21"/>
      <c r="Q28" s="21"/>
      <c r="R28" s="22"/>
    </row>
  </sheetData>
  <mergeCells count="22"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P4:Q4"/>
    <mergeCell ref="A5:I5"/>
    <mergeCell ref="J5:R5"/>
    <mergeCell ref="A6:I6"/>
    <mergeCell ref="J6:R6"/>
    <mergeCell ref="A7:I7"/>
    <mergeCell ref="J7:R7"/>
    <mergeCell ref="A8:I8"/>
    <mergeCell ref="J8:R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(29)</vt:lpstr>
      <vt:lpstr>Payments</vt:lpstr>
      <vt:lpstr>Week (28)</vt:lpstr>
      <vt:lpstr>Week (27)</vt:lpstr>
      <vt:lpstr>Week (32)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2026-07-11T20:02:12Z</cp:lastPrinted>
  <dcterms:created xsi:type="dcterms:W3CDTF">2025-12-06T19:52:33Z</dcterms:created>
  <dcterms:modified xsi:type="dcterms:W3CDTF">2026-08-10T21:01:24Z</dcterms:modified>
</cp:coreProperties>
</file>