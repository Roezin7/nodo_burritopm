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 activeTab="1"/>
  </bookViews>
  <sheets>
    <sheet sheetId="6" name="Week (29)" state="visible" r:id="rId4"/>
    <sheet sheetId="5" name="Shipping" state="visible" r:id="rId5"/>
    <sheet sheetId="4" name="Week (28)" state="visible" r:id="rId6"/>
    <sheet sheetId="3" name="Week (27)" state="visible" r:id="rId7"/>
    <sheet sheetId="1" name="Week (32)" state="visible" r:id="rId8"/>
  </sheets>
  <definedNames>
    <definedName name="_xlnm.Print_Area" localSheetId="1">'Shipping'!$A1:$BL46</definedName>
  </definedNames>
  <calcPr calcId="171027" fullCalcOnLoad="1"/>
</workbook>
</file>

<file path=xl/sharedStrings.xml><?xml version="1.0" encoding="utf-8"?>
<sst xmlns="http://schemas.openxmlformats.org/spreadsheetml/2006/main" count="486" uniqueCount="113">
  <si>
    <t>DESCRIPTION</t>
  </si>
  <si>
    <t>ORDER</t>
  </si>
  <si>
    <t>COST</t>
  </si>
  <si>
    <t>SELLING PRICE</t>
  </si>
  <si>
    <t>BPM-1</t>
  </si>
  <si>
    <t>BPM-2</t>
  </si>
  <si>
    <t>BPM-3</t>
  </si>
  <si>
    <t>BPM-4</t>
  </si>
  <si>
    <t>BPM-5</t>
  </si>
  <si>
    <t>BPM-6</t>
  </si>
  <si>
    <t>BPM-7</t>
  </si>
  <si>
    <t>BPM-8</t>
  </si>
  <si>
    <t>BPM-9</t>
  </si>
  <si>
    <t>BPM-10</t>
  </si>
  <si>
    <t>BPM-11</t>
  </si>
  <si>
    <t>BPM-12</t>
  </si>
  <si>
    <t>BPM-13</t>
  </si>
  <si>
    <t>BPM-14</t>
  </si>
  <si>
    <t>BPM-15</t>
  </si>
  <si>
    <t>BPM-16</t>
  </si>
  <si>
    <t>LBT-1</t>
  </si>
  <si>
    <t>LBT-5</t>
  </si>
  <si>
    <t>LBT-6</t>
  </si>
  <si>
    <t>LBT-8</t>
  </si>
  <si>
    <t>LOMBARD</t>
  </si>
  <si>
    <t>NAPERVILLE I</t>
  </si>
  <si>
    <t>CAROL STREAM</t>
  </si>
  <si>
    <t>LISLE</t>
  </si>
  <si>
    <t>GLENDALE H</t>
  </si>
  <si>
    <t>WEST CHICAGO</t>
  </si>
  <si>
    <t>BATAVIA</t>
  </si>
  <si>
    <t>ALGONQUIN</t>
  </si>
  <si>
    <t>NAPERVILLE II</t>
  </si>
  <si>
    <t>ROLLING M</t>
  </si>
  <si>
    <t>SCHAUMBURG</t>
  </si>
  <si>
    <t>CRYSTAL L</t>
  </si>
  <si>
    <t>LAKE ZUR</t>
  </si>
  <si>
    <t>PLAINFIELD</t>
  </si>
  <si>
    <t>FRANKFORT</t>
  </si>
  <si>
    <t>NEW</t>
  </si>
  <si>
    <t>INITIAL INV.</t>
  </si>
  <si>
    <t>NEW ORDER</t>
  </si>
  <si>
    <t>SOLD</t>
  </si>
  <si>
    <t>FINAL INV.</t>
  </si>
  <si>
    <t xml:space="preserve">COST </t>
  </si>
  <si>
    <t>USAGE</t>
  </si>
  <si>
    <t>RESERVES MADE IN ADVANCE AND KEEP ON HOLD</t>
  </si>
  <si>
    <t>SABERT BASE THREE COMP</t>
  </si>
  <si>
    <t>SABERT LIDS THREE COMP</t>
  </si>
  <si>
    <t>DINNER NAPKIN</t>
  </si>
  <si>
    <t>TORTA - 8X6 32oz</t>
  </si>
  <si>
    <t>CLEAR CUP 24oz</t>
  </si>
  <si>
    <t>CLEAR CUP 12oz</t>
  </si>
  <si>
    <t>LIDS 16oz 24oz</t>
  </si>
  <si>
    <t>CUP HOLDER</t>
  </si>
  <si>
    <t>STRAWS WRAPPED BLACK</t>
  </si>
  <si>
    <t>PORTION CUP 1.5oz</t>
  </si>
  <si>
    <t>PORTION LID 2oz</t>
  </si>
  <si>
    <t>KIT FORK &amp; KNIFE HVY</t>
  </si>
  <si>
    <t>FORK HD PLASTIC</t>
  </si>
  <si>
    <t>SPOON PLASTIC</t>
  </si>
  <si>
    <t>T-SHIRT BAG</t>
  </si>
  <si>
    <t>2oz PORTION CUP</t>
  </si>
  <si>
    <t>XL NITRILE GLOVES</t>
  </si>
  <si>
    <t>MD VINYL GLOVES</t>
  </si>
  <si>
    <t>FOIL STD 12X1000</t>
  </si>
  <si>
    <t>THERMAL PAPER ROLL 3 1/8"</t>
  </si>
  <si>
    <t>DELI CONTAINER 32OZ CLEAR</t>
  </si>
  <si>
    <t>WAX PAPER 10X10</t>
  </si>
  <si>
    <t>BAGS #8 CRAFT PAPER</t>
  </si>
  <si>
    <t>SOAP 4-1</t>
  </si>
  <si>
    <t>OVEN &amp; GRILL 4-1</t>
  </si>
  <si>
    <t>BAGS TRASH</t>
  </si>
  <si>
    <t>EVAPORATED MILK</t>
  </si>
  <si>
    <t>CONDENSED MILK</t>
  </si>
  <si>
    <t>COCO LOPEZ</t>
  </si>
  <si>
    <t>GARLIC SALT</t>
  </si>
  <si>
    <t>BLUE TAPE</t>
  </si>
  <si>
    <t>MARKERS</t>
  </si>
  <si>
    <t>CLEAR TAPE</t>
  </si>
  <si>
    <t>TRAPOS AMARILLOS</t>
  </si>
  <si>
    <t>ARBOL BLEND</t>
  </si>
  <si>
    <t>RED SAUCE BLEND</t>
  </si>
  <si>
    <t>GREEN SAUCE BLEND</t>
  </si>
  <si>
    <t>HABANERO BLEND</t>
  </si>
  <si>
    <t xml:space="preserve">MOLE BLEND </t>
  </si>
  <si>
    <t>RANCHERO BLEND</t>
  </si>
  <si>
    <t>POBLANO BLEND</t>
  </si>
  <si>
    <t>CARNITAS BLEND</t>
  </si>
  <si>
    <t>RICE BLEND</t>
  </si>
  <si>
    <t>MANGO</t>
  </si>
  <si>
    <t>CUCUMBER LEMON</t>
  </si>
  <si>
    <t>JAMAICA</t>
  </si>
  <si>
    <t>TAPATIOS THREE COMPARTMENT</t>
  </si>
  <si>
    <t>TAPATIOS ONE COMPARTMENT</t>
  </si>
  <si>
    <t>TAPATIOS SUIZO</t>
  </si>
  <si>
    <t>FRIED ICE CREAM</t>
  </si>
  <si>
    <t>CUPS 12 BLACK</t>
  </si>
  <si>
    <t>RICE FLOUR</t>
  </si>
  <si>
    <t>TOTALS</t>
  </si>
  <si>
    <t>DISPOSABLES</t>
  </si>
  <si>
    <t>TOTAL</t>
  </si>
  <si>
    <t>LOMB</t>
  </si>
  <si>
    <t>NAP ONE</t>
  </si>
  <si>
    <t xml:space="preserve">GLENDALE </t>
  </si>
  <si>
    <t>WEST</t>
  </si>
  <si>
    <t>ALGO</t>
  </si>
  <si>
    <t>OGDEN</t>
  </si>
  <si>
    <t>ROLLING</t>
  </si>
  <si>
    <t>NAPERVILLE ONE</t>
  </si>
  <si>
    <t>NAPERVILLE OGDEN</t>
  </si>
  <si>
    <t>GLENDALE HEIGHTS</t>
  </si>
  <si>
    <t>ROLLING MEADOWS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</si>
</sst>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(#,##0.00);_(&quot;$&quot;* &quot;-&quot;??_);_(@_)"/>
  </numFmts>
  <fonts count="18" x14ac:knownFonts="1">
    <font>
      <color theme="1"/>
      <family val="2"/>
      <scheme val="minor"/>
      <sz val="11"/>
      <name val="Calibri"/>
    </font>
    <font>
      <b/>
      <family val="2"/>
      <scheme val="minor"/>
      <sz val="10"/>
      <name val="Calibri"/>
    </font>
    <font>
      <family val="2"/>
      <scheme val="minor"/>
      <sz val="10"/>
      <name val="Calibri"/>
    </font>
    <font>
      <b/>
      <family val="2"/>
      <scheme val="minor"/>
      <sz val="8"/>
      <name val="Calibri"/>
    </font>
    <font>
      <family val="2"/>
      <scheme val="minor"/>
      <sz val="8"/>
      <name val="Calibri"/>
    </font>
    <font>
      <family val="2"/>
      <scheme val="minor"/>
      <sz val="7"/>
      <name val="Calibri"/>
    </font>
    <font>
      <b/>
      <color theme="8"/>
      <family val="2"/>
      <scheme val="minor"/>
      <sz val="8"/>
      <name val="Calibri"/>
    </font>
    <font>
      <b/>
      <family val="2"/>
      <scheme val="minor"/>
      <sz val="12"/>
      <name val="Calibri"/>
    </font>
    <font>
      <b/>
      <family val="2"/>
      <scheme val="minor"/>
      <sz val="18"/>
      <name val="Calibri"/>
    </font>
    <font>
      <b/>
      <family val="2"/>
      <scheme val="minor"/>
      <sz val="26"/>
      <name val="Calibri"/>
    </font>
    <font>
      <b/>
      <family val="2"/>
      <scheme val="minor"/>
      <sz val="30"/>
      <name val="Calibri"/>
    </font>
    <font>
      <b/>
      <u/>
      <family val="2"/>
      <scheme val="minor"/>
      <sz val="48"/>
      <name val="Calibri"/>
    </font>
    <font>
      <b/>
      <family val="2"/>
      <scheme val="minor"/>
      <sz val="24"/>
      <name val="Calibri"/>
    </font>
    <font>
      <b/>
      <family val="2"/>
      <scheme val="minor"/>
      <sz val="48"/>
      <name val="Calibri"/>
    </font>
    <font>
      <b/>
      <family val="2"/>
      <scheme val="minor"/>
      <sz val="40"/>
      <name val="Calibri"/>
    </font>
    <font>
      <b/>
      <u/>
      <family val="2"/>
      <scheme val="minor"/>
      <sz val="30"/>
      <name val="Calibri"/>
    </font>
    <font>
      <b/>
      <family val="2"/>
      <scheme val="minor"/>
      <sz val="32"/>
      <name val="Calibri"/>
    </font>
    <font>
      <b/>
      <family val="2"/>
      <scheme val="minor"/>
      <sz val="3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3" fillId="2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4" fillId="0" borderId="0" xfId="0" applyFont="1"/>
    <xf numFmtId="0" fontId="3" fillId="2" borderId="8" xfId="0" applyFont="1" applyFill="1" applyBorder="1" applyAlignment="1">
      <alignment horizontal="center" vertical="center"/>
    </xf>
    <xf numFmtId="0" fontId="3" fillId="0" borderId="0" xfId="0" applyFont="1"/>
    <xf numFmtId="164" fontId="3" fillId="2" borderId="8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5" fillId="2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0" xfId="0" applyFont="1"/>
    <xf numFmtId="164" fontId="5" fillId="4" borderId="8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/>
    </xf>
    <xf numFmtId="164" fontId="4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4" fillId="3" borderId="10" xfId="0" applyNumberFormat="1" applyFont="1" applyFill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5" borderId="14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wrapText="1"/>
    </xf>
    <xf numFmtId="0" fontId="10" fillId="0" borderId="15" xfId="0" applyFont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3" fillId="0" borderId="0" xfId="0" applyFont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6" fillId="0" borderId="0" xfId="0" applyFont="1"/>
    <xf numFmtId="0" fontId="17" fillId="0" borderId="7" xfId="0" applyFont="1" applyBorder="1" applyAlignment="1">
      <alignment horizontal="center" vertical="center"/>
    </xf>
    <xf numFmtId="0" fontId="17" fillId="0" borderId="0" xfId="0" applyFont="1"/>
    <xf numFmtId="0" fontId="17" fillId="0" borderId="18" xfId="0" applyFont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3" xfId="0" applyFont="1" applyBorder="1"/>
    <xf numFmtId="0" fontId="17" fillId="5" borderId="1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55"/>
  <sheetViews>
    <sheetView workbookViewId="0" zoomScale="72" zoomScaleNormal="72">
      <pane xSplit="1" topLeftCell="H1" activePane="topRight" state="frozen"/>
      <selection pane="topRight" activeCell="I4" sqref="I4"/>
    </sheetView>
  </sheetViews>
  <sheetFormatPr defaultRowHeight="13.8" outlineLevelRow="0" outlineLevelCol="0" x14ac:dyDescent="0.3" defaultColWidth="9.109375" customHeight="1"/>
  <cols>
    <col min="1" max="1" width="30.77734375" style="1" customWidth="1"/>
    <col min="2" max="2" width="3.33203125" style="2" customWidth="1"/>
    <col min="3" max="3" width="14.77734375" style="1" customWidth="1"/>
    <col min="4" max="4" width="3.33203125" style="3" customWidth="1"/>
    <col min="5" max="5" width="14.77734375" style="4" customWidth="1"/>
    <col min="6" max="6" width="3.33203125" style="3" customWidth="1"/>
    <col min="7" max="7" width="14.77734375" style="4" customWidth="1"/>
    <col min="8" max="8" width="3.33203125" style="2" customWidth="1"/>
    <col min="9" max="9" width="7.77734375" style="5" customWidth="1"/>
    <col min="10" max="10" width="3.33203125" style="2" customWidth="1"/>
    <col min="11" max="11" width="7.77734375" style="5" customWidth="1"/>
    <col min="12" max="12" width="3.33203125" style="2" customWidth="1"/>
    <col min="13" max="13" width="7.77734375" style="5" customWidth="1"/>
    <col min="14" max="14" width="3.33203125" style="2" customWidth="1"/>
    <col min="15" max="15" width="7.77734375" style="5" customWidth="1"/>
    <col min="16" max="16" width="3.33203125" style="2" customWidth="1"/>
    <col min="17" max="17" width="7.77734375" style="5" customWidth="1"/>
    <col min="18" max="18" width="3.33203125" style="2" customWidth="1"/>
    <col min="19" max="19" width="7.77734375" style="5" customWidth="1"/>
    <col min="20" max="20" width="3.33203125" style="2" customWidth="1"/>
    <col min="21" max="21" width="7.77734375" style="5" customWidth="1"/>
    <col min="22" max="22" width="3.33203125" style="2" customWidth="1"/>
    <col min="23" max="23" width="7.77734375" style="5" customWidth="1"/>
    <col min="24" max="24" width="3.33203125" style="2" customWidth="1"/>
    <col min="25" max="25" width="7.77734375" style="5" customWidth="1"/>
    <col min="26" max="26" width="3.33203125" style="2" customWidth="1"/>
    <col min="27" max="27" width="7.77734375" style="5" customWidth="1"/>
    <col min="28" max="28" width="3.33203125" style="2" customWidth="1"/>
    <col min="29" max="29" width="7.77734375" style="5" customWidth="1"/>
    <col min="30" max="30" width="3.33203125" style="2" hidden="1" customWidth="1"/>
    <col min="31" max="31" width="7.77734375" style="5" hidden="1" customWidth="1"/>
    <col min="32" max="32" width="3.33203125" style="2" hidden="1" customWidth="1"/>
    <col min="33" max="33" width="7.77734375" style="5" hidden="1" customWidth="1"/>
    <col min="34" max="34" width="3.33203125" style="2" hidden="1" customWidth="1"/>
    <col min="35" max="35" width="7.77734375" style="5" hidden="1" customWidth="1"/>
    <col min="36" max="36" width="3.33203125" style="2" hidden="1" customWidth="1"/>
    <col min="37" max="37" width="7.77734375" style="5" hidden="1" customWidth="1"/>
    <col min="38" max="38" width="3.33203125" style="2" hidden="1" customWidth="1"/>
    <col min="39" max="39" width="7.77734375" style="5" hidden="1" customWidth="1"/>
    <col min="40" max="40" width="3.33203125" style="2" customWidth="1"/>
    <col min="41" max="41" width="7.77734375" style="5" customWidth="1"/>
    <col min="42" max="42" width="3.33203125" style="2" customWidth="1"/>
    <col min="43" max="43" width="7.77734375" style="5" customWidth="1"/>
    <col min="44" max="44" width="3.33203125" style="2" customWidth="1"/>
    <col min="45" max="45" width="7.77734375" style="5" customWidth="1"/>
    <col min="46" max="46" width="3.33203125" style="2" customWidth="1"/>
    <col min="47" max="47" width="7.77734375" style="5" customWidth="1"/>
    <col min="48" max="48" width="3.33203125" style="2" customWidth="1"/>
    <col min="49" max="49" width="3.77734375" style="2" customWidth="1"/>
    <col min="50" max="50" width="8.77734375" style="5" customWidth="1"/>
    <col min="51" max="51" width="3.33203125" style="2" customWidth="1"/>
    <col min="52" max="52" width="3.77734375" style="2" customWidth="1"/>
    <col min="53" max="53" width="8.77734375" style="5" customWidth="1"/>
    <col min="54" max="54" width="3.33203125" style="2" customWidth="1"/>
    <col min="55" max="55" width="3.77734375" style="2" customWidth="1"/>
    <col min="56" max="56" width="8.77734375" style="5" customWidth="1"/>
    <col min="57" max="57" width="3.33203125" style="2" customWidth="1"/>
    <col min="58" max="58" width="3.77734375" style="2" customWidth="1"/>
    <col min="59" max="59" width="8.77734375" style="5" customWidth="1"/>
    <col min="60" max="60" width="3.33203125" style="2" customWidth="1"/>
    <col min="61" max="61" width="3.77734375" style="2" customWidth="1"/>
    <col min="62" max="62" width="8.77734375" style="5" customWidth="1"/>
    <col min="63" max="63" width="3.33203125" style="2" customWidth="1"/>
    <col min="64" max="64" width="3.77734375" style="2" customWidth="1"/>
    <col min="65" max="65" width="8.77734375" style="5" customWidth="1"/>
    <col min="66" max="66" width="3.33203125" style="2" customWidth="1"/>
    <col min="67" max="67" width="3.77734375" style="2" customWidth="1"/>
    <col min="68" max="68" width="8.77734375" style="5" customWidth="1"/>
    <col min="69" max="69" width="3.33203125" style="2" customWidth="1"/>
    <col min="70" max="70" width="3.77734375" style="2" customWidth="1"/>
    <col min="71" max="71" width="8.77734375" style="5" customWidth="1"/>
    <col min="72" max="72" width="3.33203125" style="2" customWidth="1"/>
    <col min="73" max="73" width="3.77734375" style="2" customWidth="1"/>
    <col min="74" max="74" width="8.77734375" style="5" customWidth="1"/>
    <col min="75" max="75" width="3.33203125" style="2" customWidth="1"/>
    <col min="76" max="76" width="3.77734375" style="2" customWidth="1"/>
    <col min="77" max="77" width="8.77734375" style="5" customWidth="1"/>
    <col min="78" max="78" width="3.33203125" style="2" customWidth="1"/>
    <col min="79" max="79" width="3.77734375" style="2" customWidth="1"/>
    <col min="80" max="80" width="8.77734375" style="5" customWidth="1"/>
    <col min="81" max="81" width="3.33203125" style="2" hidden="1" customWidth="1"/>
    <col min="82" max="82" width="3.77734375" style="2" hidden="1" customWidth="1"/>
    <col min="83" max="83" width="8.77734375" style="5" hidden="1" customWidth="1"/>
    <col min="84" max="84" width="3.33203125" style="2" hidden="1" customWidth="1"/>
    <col min="85" max="85" width="3.77734375" style="2" hidden="1" customWidth="1"/>
    <col min="86" max="86" width="8.77734375" style="5" hidden="1" customWidth="1"/>
    <col min="87" max="87" width="3.33203125" style="2" hidden="1" customWidth="1"/>
    <col min="88" max="88" width="3.77734375" style="2" hidden="1" customWidth="1"/>
    <col min="89" max="89" width="8.77734375" style="5" hidden="1" customWidth="1"/>
    <col min="90" max="90" width="3.33203125" style="2" hidden="1" customWidth="1"/>
    <col min="91" max="91" width="3.77734375" style="2" hidden="1" customWidth="1"/>
    <col min="92" max="92" width="8.77734375" style="5" hidden="1" customWidth="1"/>
    <col min="93" max="93" width="3.33203125" style="2" hidden="1" customWidth="1"/>
    <col min="94" max="94" width="3.77734375" style="2" hidden="1" customWidth="1"/>
    <col min="95" max="95" width="8.77734375" style="5" hidden="1" customWidth="1"/>
    <col min="96" max="96" width="3.33203125" style="2" customWidth="1"/>
    <col min="97" max="97" width="3.77734375" style="2" customWidth="1"/>
    <col min="98" max="98" width="8.77734375" style="5" customWidth="1"/>
    <col min="99" max="99" width="3.33203125" style="2" customWidth="1"/>
    <col min="100" max="100" width="3.77734375" style="2" customWidth="1"/>
    <col min="101" max="101" width="8.77734375" style="5" customWidth="1"/>
    <col min="102" max="102" width="3.33203125" style="2" customWidth="1"/>
    <col min="103" max="103" width="3.77734375" style="2" customWidth="1"/>
    <col min="104" max="104" width="8.77734375" style="5" customWidth="1"/>
    <col min="105" max="105" width="3.33203125" style="2" customWidth="1"/>
    <col min="106" max="106" width="3.77734375" style="2" customWidth="1"/>
    <col min="107" max="107" width="8.77734375" style="5" customWidth="1"/>
    <col min="108" max="108" width="3.33203125" style="2" customWidth="1"/>
    <col min="109" max="109" width="11.77734375" style="6" customWidth="1"/>
    <col min="110" max="110" width="3.33203125" style="2" customWidth="1"/>
    <col min="111" max="111" width="11.77734375" style="6" customWidth="1"/>
    <col min="112" max="112" width="3.33203125" style="2" customWidth="1"/>
    <col min="113" max="113" width="11.77734375" style="6" customWidth="1"/>
    <col min="114" max="114" width="3.33203125" style="2" customWidth="1"/>
    <col min="115" max="115" width="11.77734375" style="6" customWidth="1"/>
    <col min="116" max="116" width="3.33203125" style="2" customWidth="1"/>
    <col min="117" max="117" width="13.77734375" style="7" customWidth="1"/>
    <col min="118" max="118" width="3.33203125" style="2" customWidth="1"/>
    <col min="119" max="119" width="13.77734375" style="8" customWidth="1"/>
    <col min="120" max="120" width="3.33203125" style="2" customWidth="1"/>
    <col min="121" max="121" width="13.77734375" style="7" customWidth="1"/>
    <col min="122" max="122" width="3.33203125" style="2" customWidth="1"/>
    <col min="123" max="123" width="7.88671875" style="6" customWidth="1"/>
    <col min="124" max="124" width="3.33203125" style="2" customWidth="1"/>
    <col min="125" max="125" width="7.88671875" style="6" customWidth="1"/>
    <col min="126" max="126" width="3.33203125" style="2" customWidth="1"/>
    <col min="127" max="127" width="13.77734375" style="6" customWidth="1"/>
    <col min="128" max="128" width="3.33203125" style="2" customWidth="1"/>
    <col min="129" max="129" width="13.77734375" style="6" customWidth="1"/>
    <col min="130" max="16384" width="9.109375" style="2" customWidth="1"/>
  </cols>
  <sheetData>
    <row r="1" ht="18" customHeight="1" spans="1:129" s="1" customFormat="1" x14ac:dyDescent="0.25">
      <c r="A1" s="9" t="s">
        <v>0</v>
      </c>
      <c r="B1" s="10"/>
      <c r="C1" s="11" t="s">
        <v>1</v>
      </c>
      <c r="D1" s="12"/>
      <c r="E1" s="13" t="s">
        <v>2</v>
      </c>
      <c r="F1" s="12"/>
      <c r="G1" s="14" t="s">
        <v>3</v>
      </c>
      <c r="H1" s="15"/>
      <c r="I1" s="16" t="s">
        <v>4</v>
      </c>
      <c r="J1" s="12"/>
      <c r="K1" s="16" t="s">
        <v>5</v>
      </c>
      <c r="L1" s="12"/>
      <c r="M1" s="16" t="s">
        <v>6</v>
      </c>
      <c r="N1" s="12"/>
      <c r="O1" s="16" t="s">
        <v>7</v>
      </c>
      <c r="P1" s="12"/>
      <c r="Q1" s="16" t="s">
        <v>8</v>
      </c>
      <c r="R1" s="12"/>
      <c r="S1" s="16" t="s">
        <v>9</v>
      </c>
      <c r="T1" s="12"/>
      <c r="U1" s="16" t="s">
        <v>10</v>
      </c>
      <c r="V1" s="12"/>
      <c r="W1" s="16" t="s">
        <v>11</v>
      </c>
      <c r="X1" s="12"/>
      <c r="Y1" s="16" t="s">
        <v>12</v>
      </c>
      <c r="Z1" s="12"/>
      <c r="AA1" s="16" t="s">
        <v>13</v>
      </c>
      <c r="AB1" s="12"/>
      <c r="AC1" s="16" t="s">
        <v>14</v>
      </c>
      <c r="AD1" s="12"/>
      <c r="AE1" s="16" t="s">
        <v>15</v>
      </c>
      <c r="AF1" s="17"/>
      <c r="AG1" s="16" t="s">
        <v>16</v>
      </c>
      <c r="AH1" s="12"/>
      <c r="AI1" s="16" t="s">
        <v>17</v>
      </c>
      <c r="AJ1" s="17"/>
      <c r="AK1" s="16" t="s">
        <v>18</v>
      </c>
      <c r="AL1" s="12"/>
      <c r="AM1" s="16" t="s">
        <v>19</v>
      </c>
      <c r="AN1" s="17"/>
      <c r="AO1" s="16" t="s">
        <v>20</v>
      </c>
      <c r="AP1" s="17"/>
      <c r="AQ1" s="16" t="s">
        <v>21</v>
      </c>
      <c r="AR1" s="17"/>
      <c r="AS1" s="16" t="s">
        <v>22</v>
      </c>
      <c r="AT1" s="17"/>
      <c r="AU1" s="18" t="s">
        <v>23</v>
      </c>
      <c r="AV1" s="17"/>
      <c r="AW1" s="19" t="s">
        <v>24</v>
      </c>
      <c r="AX1" s="19"/>
      <c r="AY1" s="17"/>
      <c r="AZ1" s="19" t="s">
        <v>25</v>
      </c>
      <c r="BA1" s="19"/>
      <c r="BB1" s="17"/>
      <c r="BC1" s="19" t="s">
        <v>26</v>
      </c>
      <c r="BD1" s="19"/>
      <c r="BE1" s="17"/>
      <c r="BF1" s="19" t="s">
        <v>27</v>
      </c>
      <c r="BG1" s="19"/>
      <c r="BH1" s="17"/>
      <c r="BI1" s="19" t="s">
        <v>28</v>
      </c>
      <c r="BJ1" s="19"/>
      <c r="BK1" s="17"/>
      <c r="BL1" s="19" t="s">
        <v>29</v>
      </c>
      <c r="BM1" s="19"/>
      <c r="BN1" s="17"/>
      <c r="BO1" s="19" t="s">
        <v>30</v>
      </c>
      <c r="BP1" s="19"/>
      <c r="BQ1" s="17"/>
      <c r="BR1" s="19" t="s">
        <v>31</v>
      </c>
      <c r="BS1" s="19"/>
      <c r="BT1" s="17"/>
      <c r="BU1" s="19" t="s">
        <v>32</v>
      </c>
      <c r="BV1" s="19"/>
      <c r="BW1" s="17"/>
      <c r="BX1" s="21" t="s">
        <v>33</v>
      </c>
      <c r="BY1" s="21"/>
      <c r="BZ1" s="17"/>
      <c r="CA1" s="19" t="s">
        <v>34</v>
      </c>
      <c r="CB1" s="19"/>
      <c r="CC1" s="17"/>
      <c r="CD1" s="21" t="s">
        <v>35</v>
      </c>
      <c r="CE1" s="21"/>
      <c r="CF1" s="17"/>
      <c r="CG1" s="21" t="s">
        <v>36</v>
      </c>
      <c r="CH1" s="21"/>
      <c r="CI1" s="17"/>
      <c r="CJ1" s="21" t="s">
        <v>37</v>
      </c>
      <c r="CK1" s="21"/>
      <c r="CL1" s="17"/>
      <c r="CM1" s="21" t="s">
        <v>38</v>
      </c>
      <c r="CN1" s="21"/>
      <c r="CO1" s="17"/>
      <c r="CP1" s="21" t="s">
        <v>39</v>
      </c>
      <c r="CQ1" s="21"/>
      <c r="CR1" s="17"/>
      <c r="CS1" s="21" t="s">
        <v>20</v>
      </c>
      <c r="CT1" s="21"/>
      <c r="CU1" s="17"/>
      <c r="CV1" s="21" t="s">
        <v>21</v>
      </c>
      <c r="CW1" s="21"/>
      <c r="CX1" s="17"/>
      <c r="CY1" s="21" t="s">
        <v>22</v>
      </c>
      <c r="CZ1" s="21"/>
      <c r="DA1" s="17"/>
      <c r="DB1" s="21" t="s">
        <v>23</v>
      </c>
      <c r="DC1" s="21"/>
      <c r="DD1" s="17"/>
      <c r="DE1" s="18" t="s">
        <v>40</v>
      </c>
      <c r="DF1" s="17"/>
      <c r="DG1" s="16" t="s">
        <v>41</v>
      </c>
      <c r="DH1" s="17"/>
      <c r="DI1" s="16" t="s">
        <v>42</v>
      </c>
      <c r="DJ1" s="17"/>
      <c r="DK1" s="23" t="s">
        <v>43</v>
      </c>
      <c r="DL1" s="17"/>
      <c r="DM1" s="24" t="s">
        <v>44</v>
      </c>
      <c r="DN1" s="17"/>
      <c r="DO1" s="23" t="s">
        <v>45</v>
      </c>
      <c r="DP1" s="17"/>
      <c r="DQ1" s="24" t="s">
        <v>3</v>
      </c>
      <c r="DR1" s="17"/>
      <c r="DS1" s="25">
        <f>DU3*DS3</f>
        <v>0</v>
      </c>
      <c r="DT1" s="25"/>
      <c r="DU1" s="25"/>
      <c r="DV1" s="25"/>
      <c r="DW1" s="25"/>
      <c r="DX1" s="25"/>
      <c r="DY1" s="25"/>
    </row>
    <row r="2" ht="12" customHeight="1" spans="1:129" x14ac:dyDescent="0.25">
      <c r="A2" s="26" t="s">
        <v>47</v>
      </c>
      <c r="B2" s="27"/>
      <c r="C2" s="28"/>
      <c r="D2" s="29"/>
      <c r="E2" s="28">
        <v>54</v>
      </c>
      <c r="F2" s="29"/>
      <c r="G2" s="28">
        <v>62.1</v>
      </c>
      <c r="H2" s="8"/>
      <c r="I2" s="30">
        <v>1</v>
      </c>
      <c r="J2" s="8"/>
      <c r="K2" s="30">
        <v>4</v>
      </c>
      <c r="L2" s="8"/>
      <c r="M2" s="30">
        <v>2</v>
      </c>
      <c r="N2" s="8"/>
      <c r="O2" s="30">
        <v>3</v>
      </c>
      <c r="P2" s="8"/>
      <c r="Q2" s="30">
        <v>1</v>
      </c>
      <c r="R2" s="8"/>
      <c r="S2" s="30">
        <v>2</v>
      </c>
      <c r="T2" s="8"/>
      <c r="U2" s="30">
        <v>2</v>
      </c>
      <c r="V2" s="8"/>
      <c r="W2" s="30">
        <v>3</v>
      </c>
      <c r="X2" s="8"/>
      <c r="Y2" s="30">
        <v>1</v>
      </c>
      <c r="Z2" s="8"/>
      <c r="AA2" s="30">
        <v>1</v>
      </c>
      <c r="AB2" s="8"/>
      <c r="AC2" s="30">
        <v>1</v>
      </c>
      <c r="AD2" s="8"/>
      <c r="AE2" s="30">
        <v>3</v>
      </c>
      <c r="AG2" s="30"/>
      <c r="AH2" s="8"/>
      <c r="AI2" s="30"/>
      <c r="AJ2" s="8"/>
      <c r="AK2" s="30"/>
      <c r="AL2" s="8"/>
      <c r="AM2" s="30"/>
      <c r="AN2" s="8"/>
      <c r="AO2" s="30"/>
      <c r="AP2" s="8"/>
      <c r="AQ2" s="30"/>
      <c r="AR2" s="8"/>
      <c r="AS2" s="30"/>
      <c r="AT2" s="8"/>
      <c r="AU2" s="30"/>
      <c r="AV2" s="8"/>
      <c r="AW2" s="31"/>
      <c r="AX2" s="32">
        <f>AW2*G2</f>
        <v>62.1</v>
      </c>
      <c r="AY2" s="33"/>
      <c r="AZ2" s="31">
        <f>K2</f>
        <v>4</v>
      </c>
      <c r="BA2" s="32">
        <f>AZ2*G2</f>
        <v>248.4</v>
      </c>
      <c r="BB2" s="33"/>
      <c r="BC2" s="31">
        <f>M2</f>
        <v>2</v>
      </c>
      <c r="BD2" s="32">
        <f>BC2*G2</f>
        <v>124.2</v>
      </c>
      <c r="BE2" s="33"/>
      <c r="BF2" s="31">
        <f>O2</f>
        <v>3</v>
      </c>
      <c r="BG2" s="32">
        <f>BF2*G2</f>
        <v>186.3</v>
      </c>
      <c r="BH2" s="33"/>
      <c r="BI2" s="31">
        <f>Q2</f>
        <v>1</v>
      </c>
      <c r="BJ2" s="32">
        <f>BI2*G2</f>
        <v>62.1</v>
      </c>
      <c r="BK2" s="33"/>
      <c r="BL2" s="31">
        <f>S2</f>
        <v>2</v>
      </c>
      <c r="BM2" s="32">
        <f>BL2*G2</f>
        <v>124.2</v>
      </c>
      <c r="BN2" s="33"/>
      <c r="BO2" s="31">
        <f>U2</f>
        <v>2</v>
      </c>
      <c r="BP2" s="32">
        <f>BO2*G2</f>
        <v>124.2</v>
      </c>
      <c r="BQ2" s="33"/>
      <c r="BR2" s="31">
        <f>W2</f>
        <v>3</v>
      </c>
      <c r="BS2" s="32">
        <f>BR2*G2</f>
        <v>186.3</v>
      </c>
      <c r="BT2" s="33"/>
      <c r="BU2" s="31">
        <f>Y2</f>
        <v>1</v>
      </c>
      <c r="BV2" s="32">
        <f>BU2*G2</f>
        <v>62.1</v>
      </c>
      <c r="BW2" s="33"/>
      <c r="BX2" s="31">
        <f>AA2</f>
        <v>1</v>
      </c>
      <c r="BY2" s="32">
        <f>BX2*G2</f>
        <v>62.1</v>
      </c>
      <c r="BZ2" s="33"/>
      <c r="CA2" s="31">
        <f>AC2</f>
        <v>1</v>
      </c>
      <c r="CB2" s="32">
        <f>CA2*G2</f>
        <v>62.1</v>
      </c>
      <c r="CC2" s="33"/>
      <c r="CD2" s="31">
        <f>AE2</f>
        <v>3</v>
      </c>
      <c r="CE2" s="32">
        <f>CD2*G2</f>
        <v>186.3</v>
      </c>
      <c r="CF2" s="33"/>
      <c r="CG2" s="34">
        <f>AG2</f>
        <v>0</v>
      </c>
      <c r="CH2" s="32">
        <f>CG2*G2</f>
        <v>0</v>
      </c>
      <c r="CI2" s="33"/>
      <c r="CJ2" s="34">
        <f>AI2</f>
        <v>0</v>
      </c>
      <c r="CK2" s="32">
        <f>CJ2*G2</f>
        <v>0</v>
      </c>
      <c r="CL2" s="33"/>
      <c r="CM2" s="34">
        <f>AK2</f>
        <v>0</v>
      </c>
      <c r="CN2" s="32">
        <f>CM2*G2</f>
        <v>0</v>
      </c>
      <c r="CO2" s="33"/>
      <c r="CP2" s="34">
        <f t="shared" ref="CP2:CP53" si="0">AM2</f>
        <v>0</v>
      </c>
      <c r="CQ2" s="32">
        <f t="shared" ref="CQ2:CQ53" si="1">CP2*G2</f>
        <v>0</v>
      </c>
      <c r="CR2" s="33"/>
      <c r="CS2" s="34">
        <f>AO2</f>
        <v>0</v>
      </c>
      <c r="CT2" s="32">
        <f>CS2*G2</f>
        <v>0</v>
      </c>
      <c r="CU2" s="33"/>
      <c r="CV2" s="31">
        <f>AQ2</f>
        <v>0</v>
      </c>
      <c r="CW2" s="32">
        <f>CV2*G2</f>
        <v>0</v>
      </c>
      <c r="CX2" s="33"/>
      <c r="CY2" s="31">
        <f>AS2</f>
        <v>0</v>
      </c>
      <c r="CZ2" s="32">
        <f>CY2*G2</f>
        <v>0</v>
      </c>
      <c r="DA2" s="33"/>
      <c r="DB2" s="31">
        <f>AU2</f>
        <v>0</v>
      </c>
      <c r="DC2" s="32">
        <f>DB2*G2</f>
        <v>0</v>
      </c>
      <c r="DD2" s="8"/>
      <c r="DE2" s="35">
        <v>177</v>
      </c>
      <c r="DF2" s="27">
        <f>DE2*G2</f>
        <v>0</v>
      </c>
      <c r="DG2" s="36"/>
      <c r="DH2" s="27"/>
      <c r="DI2" s="36">
        <f>SUM(I2:AV2)</f>
        <v>24</v>
      </c>
      <c r="DJ2" s="27"/>
      <c r="DK2" s="37">
        <f>DE2+DG2-DI2</f>
        <v>153</v>
      </c>
      <c r="DL2" s="27"/>
      <c r="DM2" s="38">
        <f>E2*DK2</f>
        <v>8262</v>
      </c>
      <c r="DN2" s="27"/>
      <c r="DO2" s="39" t="e">
        <f t="shared" ref="DO2:DO53" si="2">DK2/DI2</f>
        <v>#DIV/0!</v>
      </c>
      <c r="DP2" s="27"/>
      <c r="DQ2" s="38">
        <f>G2*DK2</f>
        <v>9501.3</v>
      </c>
      <c r="DR2" s="27"/>
      <c r="DS2" s="25"/>
      <c r="DT2" s="25"/>
      <c r="DU2" s="25"/>
      <c r="DV2" s="25"/>
      <c r="DW2" s="25"/>
      <c r="DX2" s="25"/>
      <c r="DY2" s="25"/>
    </row>
    <row r="3" ht="12" customHeight="1" spans="1:129" x14ac:dyDescent="0.25">
      <c r="A3" s="41" t="s">
        <v>48</v>
      </c>
      <c r="B3" s="42"/>
      <c r="C3" s="43"/>
      <c r="D3" s="44"/>
      <c r="E3" s="45">
        <v>36.93</v>
      </c>
      <c r="F3" s="44"/>
      <c r="G3" s="45">
        <v>42.47</v>
      </c>
      <c r="I3" s="46">
        <v>3</v>
      </c>
      <c r="J3" s="47"/>
      <c r="K3" s="46">
        <v>6</v>
      </c>
      <c r="L3" s="47"/>
      <c r="M3" s="46">
        <v>5</v>
      </c>
      <c r="N3" s="47"/>
      <c r="O3" s="46">
        <v>5</v>
      </c>
      <c r="P3" s="47"/>
      <c r="Q3" s="46">
        <v>3</v>
      </c>
      <c r="R3" s="47"/>
      <c r="S3" s="46">
        <v>4</v>
      </c>
      <c r="T3" s="47"/>
      <c r="U3" s="46">
        <v>4</v>
      </c>
      <c r="V3" s="47"/>
      <c r="W3" s="46">
        <v>6</v>
      </c>
      <c r="X3" s="47"/>
      <c r="Y3" s="46">
        <v>4</v>
      </c>
      <c r="Z3" s="47"/>
      <c r="AA3" s="46">
        <v>2</v>
      </c>
      <c r="AB3" s="47"/>
      <c r="AC3" s="46">
        <v>3</v>
      </c>
      <c r="AD3" s="47"/>
      <c r="AE3" s="46">
        <v>5</v>
      </c>
      <c r="AF3" s="48"/>
      <c r="AG3" s="46"/>
      <c r="AH3" s="47"/>
      <c r="AI3" s="46"/>
      <c r="AJ3" s="47"/>
      <c r="AK3" s="46"/>
      <c r="AL3" s="47"/>
      <c r="AM3" s="46"/>
      <c r="AN3" s="47"/>
      <c r="AO3" s="46"/>
      <c r="AP3" s="47"/>
      <c r="AQ3" s="46"/>
      <c r="AR3" s="47"/>
      <c r="AS3" s="46"/>
      <c r="AT3" s="47"/>
      <c r="AU3" s="46"/>
      <c r="AV3" s="47"/>
      <c r="AW3" s="31"/>
      <c r="AX3" s="49">
        <f>AW3*G3</f>
        <v>127.41</v>
      </c>
      <c r="AY3" s="50"/>
      <c r="AZ3" s="31">
        <f>K3</f>
        <v>6</v>
      </c>
      <c r="BA3" s="49">
        <f>AZ3*G3</f>
        <v>254.82</v>
      </c>
      <c r="BB3" s="50"/>
      <c r="BC3" s="31">
        <f>M3</f>
        <v>5</v>
      </c>
      <c r="BD3" s="49">
        <f>BC3*G3</f>
        <v>212.35</v>
      </c>
      <c r="BE3" s="50"/>
      <c r="BF3" s="31">
        <f>O3</f>
        <v>5</v>
      </c>
      <c r="BG3" s="49">
        <f>BF3*G3</f>
        <v>212.35</v>
      </c>
      <c r="BH3" s="50"/>
      <c r="BI3" s="31">
        <f>Q3</f>
        <v>3</v>
      </c>
      <c r="BJ3" s="49">
        <f>BI3*G3</f>
        <v>127.41</v>
      </c>
      <c r="BK3" s="50"/>
      <c r="BL3" s="31">
        <f>S3</f>
        <v>4</v>
      </c>
      <c r="BM3" s="49">
        <f>BL3*G3</f>
        <v>169.88</v>
      </c>
      <c r="BN3" s="50"/>
      <c r="BO3" s="31">
        <f>U3</f>
        <v>4</v>
      </c>
      <c r="BP3" s="49">
        <f>BO3*G3</f>
        <v>169.88</v>
      </c>
      <c r="BQ3" s="50"/>
      <c r="BR3" s="31">
        <f>W3</f>
        <v>6</v>
      </c>
      <c r="BS3" s="49">
        <f>BR3*G3</f>
        <v>254.82</v>
      </c>
      <c r="BT3" s="50"/>
      <c r="BU3" s="31">
        <f>Y3</f>
        <v>4</v>
      </c>
      <c r="BV3" s="49">
        <f>BU3*G3</f>
        <v>169.88</v>
      </c>
      <c r="BW3" s="50"/>
      <c r="BX3" s="31">
        <f>AA3</f>
        <v>2</v>
      </c>
      <c r="BY3" s="49">
        <f>BX3*G3</f>
        <v>84.94</v>
      </c>
      <c r="BZ3" s="50"/>
      <c r="CA3" s="31">
        <f>AC3</f>
        <v>3</v>
      </c>
      <c r="CB3" s="49">
        <f>CA3*G3</f>
        <v>127.41</v>
      </c>
      <c r="CC3" s="50"/>
      <c r="CD3" s="31">
        <f>AE3</f>
        <v>5</v>
      </c>
      <c r="CE3" s="49">
        <f>CD3*G3</f>
        <v>212.35</v>
      </c>
      <c r="CF3" s="50"/>
      <c r="CG3" s="34">
        <f>AG3</f>
        <v>0</v>
      </c>
      <c r="CH3" s="49">
        <f>CG3*G3</f>
        <v>0</v>
      </c>
      <c r="CI3" s="50"/>
      <c r="CJ3" s="34">
        <f>AI3</f>
        <v>0</v>
      </c>
      <c r="CK3" s="49">
        <f>CJ3*G3</f>
        <v>0</v>
      </c>
      <c r="CL3" s="50"/>
      <c r="CM3" s="34">
        <f>AK3</f>
        <v>0</v>
      </c>
      <c r="CN3" s="49">
        <f>CM3*G3</f>
        <v>0</v>
      </c>
      <c r="CO3" s="50"/>
      <c r="CP3" s="34">
        <f t="shared" si="0"/>
        <v>0</v>
      </c>
      <c r="CQ3" s="49">
        <f t="shared" si="1"/>
        <v>0</v>
      </c>
      <c r="CR3" s="50"/>
      <c r="CS3" s="34">
        <f>AO3</f>
        <v>0</v>
      </c>
      <c r="CT3" s="49">
        <f>CS3*G3</f>
        <v>0</v>
      </c>
      <c r="CU3" s="50"/>
      <c r="CV3" s="31">
        <f>AQ3</f>
        <v>0</v>
      </c>
      <c r="CW3" s="49">
        <f>CV3*G3</f>
        <v>0</v>
      </c>
      <c r="CX3" s="50"/>
      <c r="CY3" s="31">
        <f>AS3</f>
        <v>0</v>
      </c>
      <c r="CZ3" s="49">
        <f>CY3*G3</f>
        <v>0</v>
      </c>
      <c r="DA3" s="50"/>
      <c r="DB3" s="31">
        <f>AU3</f>
        <v>0</v>
      </c>
      <c r="DC3" s="49">
        <f>DB3*G3</f>
        <v>0</v>
      </c>
      <c r="DD3" s="47"/>
      <c r="DE3" s="51">
        <v>178</v>
      </c>
      <c r="DF3" s="52">
        <f>DE3*G3</f>
        <v>0</v>
      </c>
      <c r="DG3" s="53"/>
      <c r="DH3" s="52"/>
      <c r="DI3" s="53">
        <f>SUM(I3:AV3)</f>
        <v>50</v>
      </c>
      <c r="DJ3" s="52"/>
      <c r="DK3" s="54">
        <f>DE3+DG3-DI3</f>
        <v>128</v>
      </c>
      <c r="DL3" s="52"/>
      <c r="DM3" s="55">
        <f>E3*DK3</f>
        <v>4727.04</v>
      </c>
      <c r="DN3" s="52"/>
      <c r="DO3" s="56" t="e">
        <f t="shared" si="2"/>
        <v>#DIV/0!</v>
      </c>
      <c r="DP3" s="52"/>
      <c r="DQ3" s="55">
        <f>G3*DK3</f>
        <v>5436.16</v>
      </c>
      <c r="DR3" s="52"/>
      <c r="DS3" s="25"/>
      <c r="DT3" s="25"/>
      <c r="DU3" s="25"/>
      <c r="DV3" s="25"/>
      <c r="DW3" s="25"/>
      <c r="DX3" s="25"/>
      <c r="DY3" s="25"/>
    </row>
    <row r="4" ht="12" customHeight="1" spans="1:129" x14ac:dyDescent="0.25">
      <c r="A4" s="58" t="s">
        <v>49</v>
      </c>
      <c r="B4" s="42"/>
      <c r="C4" s="59"/>
      <c r="D4" s="44"/>
      <c r="E4" s="60">
        <v>29.95</v>
      </c>
      <c r="F4" s="44"/>
      <c r="G4" s="61">
        <v>35.94</v>
      </c>
      <c r="I4" s="62">
        <v>1</v>
      </c>
      <c r="J4" s="63"/>
      <c r="K4" s="64">
        <v>2</v>
      </c>
      <c r="L4" s="3"/>
      <c r="M4" s="62">
        <v>2</v>
      </c>
      <c r="N4" s="3"/>
      <c r="O4" s="64">
        <v>2</v>
      </c>
      <c r="P4" s="3"/>
      <c r="Q4" s="62">
        <v>1</v>
      </c>
      <c r="R4" s="3"/>
      <c r="S4" s="64">
        <v>1</v>
      </c>
      <c r="T4" s="3"/>
      <c r="U4" s="62">
        <v>1</v>
      </c>
      <c r="V4" s="3"/>
      <c r="W4" s="64">
        <v>2</v>
      </c>
      <c r="X4" s="3"/>
      <c r="Y4" s="62">
        <v>1</v>
      </c>
      <c r="Z4" s="3"/>
      <c r="AA4" s="64">
        <v>1</v>
      </c>
      <c r="AB4" s="3"/>
      <c r="AC4" s="62">
        <v>1</v>
      </c>
      <c r="AD4" s="3"/>
      <c r="AE4" s="64">
        <v>2</v>
      </c>
      <c r="AF4" s="3"/>
      <c r="AG4" s="62"/>
      <c r="AH4" s="3"/>
      <c r="AI4" s="64"/>
      <c r="AJ4" s="3"/>
      <c r="AK4" s="62"/>
      <c r="AL4" s="3"/>
      <c r="AM4" s="64"/>
      <c r="AN4" s="3"/>
      <c r="AO4" s="62"/>
      <c r="AP4" s="3"/>
      <c r="AQ4" s="64"/>
      <c r="AR4" s="3"/>
      <c r="AS4" s="62"/>
      <c r="AT4" s="3"/>
      <c r="AU4" s="64"/>
      <c r="AW4" s="34"/>
      <c r="AX4" s="65">
        <f>AW4*G4</f>
        <v>35.94</v>
      </c>
      <c r="AY4" s="66"/>
      <c r="AZ4" s="34">
        <f>K4</f>
        <v>2</v>
      </c>
      <c r="BA4" s="67">
        <f>AZ4*G4</f>
        <v>71.88</v>
      </c>
      <c r="BB4" s="66"/>
      <c r="BC4" s="34">
        <f>M4</f>
        <v>2</v>
      </c>
      <c r="BD4" s="65">
        <f>BC4*G4</f>
        <v>71.88</v>
      </c>
      <c r="BE4" s="66"/>
      <c r="BF4" s="34">
        <f>O4</f>
        <v>2</v>
      </c>
      <c r="BG4" s="67">
        <f>BF4*G4</f>
        <v>71.88</v>
      </c>
      <c r="BH4" s="66"/>
      <c r="BI4" s="34">
        <f>Q4</f>
        <v>1</v>
      </c>
      <c r="BJ4" s="65">
        <f>BI4*G4</f>
        <v>35.94</v>
      </c>
      <c r="BK4" s="66"/>
      <c r="BL4" s="34">
        <f>S4</f>
        <v>1</v>
      </c>
      <c r="BM4" s="67">
        <f>BL4*G4</f>
        <v>35.94</v>
      </c>
      <c r="BN4" s="66"/>
      <c r="BO4" s="34">
        <f>U4</f>
        <v>1</v>
      </c>
      <c r="BP4" s="65">
        <f>BO4*G4</f>
        <v>35.94</v>
      </c>
      <c r="BQ4" s="66"/>
      <c r="BR4" s="34">
        <f>W4</f>
        <v>2</v>
      </c>
      <c r="BS4" s="67">
        <f>BR4*G4</f>
        <v>71.88</v>
      </c>
      <c r="BT4" s="66"/>
      <c r="BU4" s="34">
        <f>Y4</f>
        <v>1</v>
      </c>
      <c r="BV4" s="65">
        <f>BU4*G4</f>
        <v>35.94</v>
      </c>
      <c r="BW4" s="66"/>
      <c r="BX4" s="34">
        <f>AA4</f>
        <v>1</v>
      </c>
      <c r="BY4" s="67">
        <f>BX4*G4</f>
        <v>35.94</v>
      </c>
      <c r="BZ4" s="66"/>
      <c r="CA4" s="34">
        <f>AC4</f>
        <v>1</v>
      </c>
      <c r="CB4" s="65">
        <f>CA4*G4</f>
        <v>35.94</v>
      </c>
      <c r="CC4" s="66"/>
      <c r="CD4" s="34">
        <f>AE4</f>
        <v>2</v>
      </c>
      <c r="CE4" s="67">
        <f>CD4*G4</f>
        <v>71.88</v>
      </c>
      <c r="CF4" s="66"/>
      <c r="CG4" s="34">
        <f>AG4</f>
        <v>0</v>
      </c>
      <c r="CH4" s="67">
        <f>CG4*G4</f>
        <v>0</v>
      </c>
      <c r="CI4" s="66"/>
      <c r="CJ4" s="34">
        <f>AI4</f>
        <v>0</v>
      </c>
      <c r="CK4" s="67">
        <f>CJ4*G4</f>
        <v>0</v>
      </c>
      <c r="CL4" s="66"/>
      <c r="CM4" s="34">
        <f>AK4</f>
        <v>0</v>
      </c>
      <c r="CN4" s="67">
        <f>CM4*G4</f>
        <v>0</v>
      </c>
      <c r="CO4" s="66"/>
      <c r="CP4" s="34">
        <f t="shared" si="0"/>
        <v>0</v>
      </c>
      <c r="CQ4" s="67">
        <f t="shared" si="1"/>
        <v>0</v>
      </c>
      <c r="CR4" s="66"/>
      <c r="CS4" s="34">
        <f>AO4</f>
        <v>0</v>
      </c>
      <c r="CT4" s="65">
        <f>CS4*G4</f>
        <v>0</v>
      </c>
      <c r="CU4" s="66"/>
      <c r="CV4" s="34">
        <f>AQ4</f>
        <v>0</v>
      </c>
      <c r="CW4" s="67">
        <f>CV4*G4</f>
        <v>0</v>
      </c>
      <c r="CX4" s="66"/>
      <c r="CY4" s="34">
        <f>AS4</f>
        <v>0</v>
      </c>
      <c r="CZ4" s="65">
        <f>CY4*G4</f>
        <v>0</v>
      </c>
      <c r="DA4" s="66"/>
      <c r="DB4" s="34">
        <f>AU4</f>
        <v>0</v>
      </c>
      <c r="DC4" s="67">
        <f>DB4*G4</f>
        <v>0</v>
      </c>
      <c r="DE4" s="68">
        <v>707</v>
      </c>
      <c r="DF4" s="42">
        <f>DE4*G4</f>
        <v>0</v>
      </c>
      <c r="DG4" s="69"/>
      <c r="DH4" s="42"/>
      <c r="DI4" s="70">
        <f>SUM(I4:AV4)</f>
        <v>17</v>
      </c>
      <c r="DJ4" s="42"/>
      <c r="DK4" s="70">
        <f>DE4+DG4-DI4</f>
        <v>690</v>
      </c>
      <c r="DL4" s="42"/>
      <c r="DM4" s="71">
        <f>E4*DK4</f>
        <v>20665.5</v>
      </c>
      <c r="DN4" s="42"/>
      <c r="DO4" s="72">
        <f t="shared" si="2"/>
        <v>35.61904761904762</v>
      </c>
      <c r="DP4" s="42"/>
      <c r="DQ4" s="71">
        <f>G4*DK4</f>
        <v>24798.6</v>
      </c>
      <c r="DR4" s="42"/>
      <c r="DS4" s="69"/>
      <c r="DT4" s="42"/>
      <c r="DU4" s="71">
        <v>0</v>
      </c>
      <c r="DV4" s="42"/>
      <c r="DW4" s="73">
        <f>DU4*1.2</f>
        <v>0</v>
      </c>
      <c r="DX4" s="42"/>
      <c r="DY4" s="71">
        <f>DU4*DS4</f>
        <v>0</v>
      </c>
    </row>
    <row r="5" ht="12" customHeight="1" spans="1:129" x14ac:dyDescent="0.25">
      <c r="A5" s="74" t="s">
        <v>50</v>
      </c>
      <c r="B5" s="42"/>
      <c r="C5" s="75"/>
      <c r="D5" s="44"/>
      <c r="E5" s="60">
        <v>23</v>
      </c>
      <c r="F5" s="44"/>
      <c r="G5" s="61">
        <v>27.6</v>
      </c>
      <c r="I5" s="62"/>
      <c r="J5" s="63"/>
      <c r="K5" s="64">
        <v>1</v>
      </c>
      <c r="L5" s="3"/>
      <c r="M5" s="62"/>
      <c r="N5" s="3"/>
      <c r="O5" s="64"/>
      <c r="P5" s="3"/>
      <c r="Q5" s="62"/>
      <c r="R5" s="3"/>
      <c r="S5" s="64"/>
      <c r="T5" s="3"/>
      <c r="U5" s="62"/>
      <c r="V5" s="3"/>
      <c r="W5" s="64">
        <v>1</v>
      </c>
      <c r="X5" s="3"/>
      <c r="Y5" s="62">
        <v>1</v>
      </c>
      <c r="Z5" s="3"/>
      <c r="AA5" s="64"/>
      <c r="AB5" s="3"/>
      <c r="AC5" s="62"/>
      <c r="AD5" s="3"/>
      <c r="AE5" s="64">
        <v>1</v>
      </c>
      <c r="AF5" s="3"/>
      <c r="AG5" s="62"/>
      <c r="AH5" s="3"/>
      <c r="AI5" s="64"/>
      <c r="AJ5" s="3"/>
      <c r="AK5" s="62"/>
      <c r="AL5" s="3"/>
      <c r="AM5" s="64"/>
      <c r="AN5" s="3"/>
      <c r="AO5" s="62"/>
      <c r="AP5" s="3"/>
      <c r="AQ5" s="64"/>
      <c r="AR5" s="3"/>
      <c r="AS5" s="62"/>
      <c r="AT5" s="3"/>
      <c r="AU5" s="64"/>
      <c r="AW5" s="34"/>
      <c r="AX5" s="65">
        <f>AW5*G5</f>
        <v>0</v>
      </c>
      <c r="AY5" s="66"/>
      <c r="AZ5" s="31">
        <f>K5</f>
        <v>1</v>
      </c>
      <c r="BA5" s="67">
        <f>AZ5*G5</f>
        <v>27.6</v>
      </c>
      <c r="BB5" s="66"/>
      <c r="BC5" s="31">
        <f>M5</f>
        <v>0</v>
      </c>
      <c r="BD5" s="65">
        <f>BC5*G5</f>
        <v>0</v>
      </c>
      <c r="BE5" s="66"/>
      <c r="BF5" s="31">
        <f>O5</f>
        <v>0</v>
      </c>
      <c r="BG5" s="67">
        <f>BF5*G5</f>
        <v>0</v>
      </c>
      <c r="BH5" s="66"/>
      <c r="BI5" s="31">
        <f>Q5</f>
        <v>0</v>
      </c>
      <c r="BJ5" s="65">
        <f>BI5*G5</f>
        <v>0</v>
      </c>
      <c r="BK5" s="66"/>
      <c r="BL5" s="31">
        <f>S5</f>
        <v>0</v>
      </c>
      <c r="BM5" s="67">
        <f>BL5*G5</f>
        <v>0</v>
      </c>
      <c r="BN5" s="66"/>
      <c r="BO5" s="31">
        <f>U5</f>
        <v>0</v>
      </c>
      <c r="BP5" s="65">
        <f>BO5*G5</f>
        <v>0</v>
      </c>
      <c r="BQ5" s="66"/>
      <c r="BR5" s="31">
        <f>W5</f>
        <v>1</v>
      </c>
      <c r="BS5" s="67">
        <f>BR5*G5</f>
        <v>27.6</v>
      </c>
      <c r="BT5" s="66"/>
      <c r="BU5" s="31">
        <f>Y5</f>
        <v>1</v>
      </c>
      <c r="BV5" s="65">
        <f>BU5*G5</f>
        <v>27.6</v>
      </c>
      <c r="BW5" s="66"/>
      <c r="BX5" s="31">
        <f>AA5</f>
        <v>0</v>
      </c>
      <c r="BY5" s="67">
        <f>BX5*G5</f>
        <v>0</v>
      </c>
      <c r="BZ5" s="66"/>
      <c r="CA5" s="31">
        <f>AC5</f>
        <v>0</v>
      </c>
      <c r="CB5" s="65">
        <f>CA5*G5</f>
        <v>0</v>
      </c>
      <c r="CC5" s="66"/>
      <c r="CD5" s="31">
        <f>AE5</f>
        <v>1</v>
      </c>
      <c r="CE5" s="67">
        <f>CD5*G5</f>
        <v>27.6</v>
      </c>
      <c r="CF5" s="66"/>
      <c r="CG5" s="34">
        <f>AG5</f>
        <v>0</v>
      </c>
      <c r="CH5" s="67">
        <f>CG5*G5</f>
        <v>0</v>
      </c>
      <c r="CI5" s="66"/>
      <c r="CJ5" s="34">
        <f>AI5</f>
        <v>0</v>
      </c>
      <c r="CK5" s="67">
        <f>CJ5*G5</f>
        <v>0</v>
      </c>
      <c r="CL5" s="66"/>
      <c r="CM5" s="34">
        <f>AK5</f>
        <v>0</v>
      </c>
      <c r="CN5" s="67">
        <f>CM5*G5</f>
        <v>0</v>
      </c>
      <c r="CO5" s="66"/>
      <c r="CP5" s="34">
        <f t="shared" si="0"/>
        <v>0</v>
      </c>
      <c r="CQ5" s="67">
        <f t="shared" si="1"/>
        <v>0</v>
      </c>
      <c r="CR5" s="66"/>
      <c r="CS5" s="34">
        <f>AO5</f>
        <v>0</v>
      </c>
      <c r="CT5" s="65">
        <f>CS5*G5</f>
        <v>0</v>
      </c>
      <c r="CU5" s="66"/>
      <c r="CV5" s="31">
        <f>AQ5</f>
        <v>0</v>
      </c>
      <c r="CW5" s="67">
        <f>CV5*G5</f>
        <v>0</v>
      </c>
      <c r="CX5" s="66"/>
      <c r="CY5" s="31">
        <f>AS5</f>
        <v>0</v>
      </c>
      <c r="CZ5" s="65">
        <f>CY5*G5</f>
        <v>0</v>
      </c>
      <c r="DA5" s="66"/>
      <c r="DB5" s="31">
        <f>AU5</f>
        <v>0</v>
      </c>
      <c r="DC5" s="67">
        <f>DB5*G5</f>
        <v>0</v>
      </c>
      <c r="DE5" s="76">
        <v>616</v>
      </c>
      <c r="DF5" s="42">
        <f>DE5*G5</f>
        <v>0</v>
      </c>
      <c r="DG5" s="69"/>
      <c r="DH5" s="42"/>
      <c r="DI5" s="70">
        <f>SUM(I5:AV5)</f>
        <v>4</v>
      </c>
      <c r="DJ5" s="42"/>
      <c r="DK5" s="70">
        <f>DE5+DG5-DI5</f>
        <v>612</v>
      </c>
      <c r="DL5" s="42"/>
      <c r="DM5" s="71">
        <f>E5*DK5</f>
        <v>14076</v>
      </c>
      <c r="DN5" s="42"/>
      <c r="DO5" s="72">
        <f t="shared" si="2"/>
        <v>16.902439024390244</v>
      </c>
      <c r="DP5" s="42"/>
      <c r="DQ5" s="71">
        <f>G5*DK5</f>
        <v>16891.2</v>
      </c>
      <c r="DR5" s="42"/>
      <c r="DS5" s="69">
        <v>600</v>
      </c>
      <c r="DT5" s="42"/>
      <c r="DU5" s="71">
        <v>28.75</v>
      </c>
      <c r="DV5" s="42"/>
      <c r="DW5" s="73">
        <f>DU5*1.2</f>
        <v>34.5</v>
      </c>
      <c r="DX5" s="42"/>
      <c r="DY5" s="71">
        <f>DU5*DS5</f>
        <v>17250</v>
      </c>
    </row>
    <row r="6" ht="12" customHeight="1" spans="1:129" x14ac:dyDescent="0.25">
      <c r="A6" s="77" t="s">
        <v>51</v>
      </c>
      <c r="B6" s="42"/>
      <c r="C6" s="75"/>
      <c r="D6" s="44"/>
      <c r="E6" s="60">
        <v>38.95</v>
      </c>
      <c r="F6" s="44"/>
      <c r="G6" s="61">
        <v>46.74</v>
      </c>
      <c r="I6" s="62">
        <v>1</v>
      </c>
      <c r="J6" s="63"/>
      <c r="K6" s="64">
        <v>1</v>
      </c>
      <c r="L6" s="3"/>
      <c r="M6" s="62">
        <v>1</v>
      </c>
      <c r="N6" s="3"/>
      <c r="O6" s="64">
        <v>1</v>
      </c>
      <c r="P6" s="3"/>
      <c r="Q6" s="62">
        <v>1</v>
      </c>
      <c r="R6" s="3"/>
      <c r="S6" s="64"/>
      <c r="T6" s="3"/>
      <c r="U6" s="62"/>
      <c r="V6" s="3"/>
      <c r="W6" s="64">
        <v>1</v>
      </c>
      <c r="X6" s="3"/>
      <c r="Y6" s="62">
        <v>1</v>
      </c>
      <c r="Z6" s="3"/>
      <c r="AA6" s="64">
        <v>1</v>
      </c>
      <c r="AB6" s="3"/>
      <c r="AC6" s="62">
        <v>1</v>
      </c>
      <c r="AD6" s="3"/>
      <c r="AE6" s="64">
        <v>1</v>
      </c>
      <c r="AF6" s="3"/>
      <c r="AG6" s="62"/>
      <c r="AH6" s="3"/>
      <c r="AI6" s="64"/>
      <c r="AJ6" s="3"/>
      <c r="AK6" s="62"/>
      <c r="AL6" s="3"/>
      <c r="AM6" s="64"/>
      <c r="AN6" s="3"/>
      <c r="AO6" s="62"/>
      <c r="AP6" s="3"/>
      <c r="AQ6" s="64"/>
      <c r="AR6" s="3"/>
      <c r="AS6" s="62"/>
      <c r="AT6" s="3"/>
      <c r="AU6" s="64"/>
      <c r="AW6" s="34"/>
      <c r="AX6" s="65">
        <f>AW6*G6</f>
        <v>46.74</v>
      </c>
      <c r="AY6" s="66"/>
      <c r="AZ6" s="31">
        <f>K6</f>
        <v>1</v>
      </c>
      <c r="BA6" s="67">
        <f>AZ6*G6</f>
        <v>46.74</v>
      </c>
      <c r="BB6" s="66"/>
      <c r="BC6" s="31">
        <f>M6</f>
        <v>1</v>
      </c>
      <c r="BD6" s="65">
        <f>BC6*G6</f>
        <v>46.74</v>
      </c>
      <c r="BE6" s="66"/>
      <c r="BF6" s="31">
        <f>O6</f>
        <v>1</v>
      </c>
      <c r="BG6" s="67">
        <f>BF6*G6</f>
        <v>46.74</v>
      </c>
      <c r="BH6" s="66"/>
      <c r="BI6" s="31">
        <f>Q6</f>
        <v>1</v>
      </c>
      <c r="BJ6" s="65">
        <f>BI6*G6</f>
        <v>46.74</v>
      </c>
      <c r="BK6" s="66"/>
      <c r="BL6" s="31">
        <f>S6</f>
        <v>0</v>
      </c>
      <c r="BM6" s="67">
        <f>BL6*G6</f>
        <v>0</v>
      </c>
      <c r="BN6" s="66"/>
      <c r="BO6" s="31">
        <f>U6</f>
        <v>0</v>
      </c>
      <c r="BP6" s="65">
        <f>BO6*G6</f>
        <v>0</v>
      </c>
      <c r="BQ6" s="66"/>
      <c r="BR6" s="31">
        <f>W6</f>
        <v>1</v>
      </c>
      <c r="BS6" s="67">
        <f>BR6*G6</f>
        <v>46.74</v>
      </c>
      <c r="BT6" s="66"/>
      <c r="BU6" s="31">
        <f>Y6</f>
        <v>1</v>
      </c>
      <c r="BV6" s="65">
        <f>BU6*G6</f>
        <v>46.74</v>
      </c>
      <c r="BW6" s="66"/>
      <c r="BX6" s="31">
        <f>AA6</f>
        <v>1</v>
      </c>
      <c r="BY6" s="67">
        <f>BX6*G6</f>
        <v>46.74</v>
      </c>
      <c r="BZ6" s="66"/>
      <c r="CA6" s="31">
        <f>AC6</f>
        <v>1</v>
      </c>
      <c r="CB6" s="65">
        <f>CA6*G6</f>
        <v>46.74</v>
      </c>
      <c r="CC6" s="66"/>
      <c r="CD6" s="31">
        <f>AE6</f>
        <v>1</v>
      </c>
      <c r="CE6" s="67">
        <f>CD6*G6</f>
        <v>46.74</v>
      </c>
      <c r="CF6" s="66"/>
      <c r="CG6" s="34">
        <f>AG6</f>
        <v>0</v>
      </c>
      <c r="CH6" s="67">
        <f>CG6*G6</f>
        <v>0</v>
      </c>
      <c r="CI6" s="66"/>
      <c r="CJ6" s="34">
        <f>AI6</f>
        <v>0</v>
      </c>
      <c r="CK6" s="67">
        <f>CJ6*G6</f>
        <v>0</v>
      </c>
      <c r="CL6" s="66"/>
      <c r="CM6" s="34">
        <f>AK6</f>
        <v>0</v>
      </c>
      <c r="CN6" s="67">
        <f>CM6*G6</f>
        <v>0</v>
      </c>
      <c r="CO6" s="66"/>
      <c r="CP6" s="34">
        <f t="shared" si="0"/>
        <v>0</v>
      </c>
      <c r="CQ6" s="67">
        <f t="shared" si="1"/>
        <v>0</v>
      </c>
      <c r="CR6" s="66"/>
      <c r="CS6" s="34">
        <f>AO6</f>
        <v>0</v>
      </c>
      <c r="CT6" s="65">
        <f>CS6*G6</f>
        <v>0</v>
      </c>
      <c r="CU6" s="66"/>
      <c r="CV6" s="31">
        <f>AQ6</f>
        <v>0</v>
      </c>
      <c r="CW6" s="67">
        <f>CV6*G6</f>
        <v>0</v>
      </c>
      <c r="CX6" s="66"/>
      <c r="CY6" s="31">
        <f>AS6</f>
        <v>0</v>
      </c>
      <c r="CZ6" s="65">
        <f>CY6*G6</f>
        <v>0</v>
      </c>
      <c r="DA6" s="66"/>
      <c r="DB6" s="31">
        <f>AU6</f>
        <v>0</v>
      </c>
      <c r="DC6" s="67">
        <f>DB6*G6</f>
        <v>0</v>
      </c>
      <c r="DE6" s="76">
        <v>184</v>
      </c>
      <c r="DF6" s="42">
        <f>DE6*G6</f>
        <v>0</v>
      </c>
      <c r="DG6" s="69"/>
      <c r="DH6" s="42"/>
      <c r="DI6" s="70">
        <f>SUM(I6:AV6)</f>
        <v>10</v>
      </c>
      <c r="DJ6" s="42"/>
      <c r="DK6" s="70">
        <f>DE6+DG6-DI6</f>
        <v>174</v>
      </c>
      <c r="DL6" s="42"/>
      <c r="DM6" s="71">
        <f>E6*DK6</f>
        <v>6777.3</v>
      </c>
      <c r="DN6" s="42"/>
      <c r="DO6" s="72">
        <f t="shared" si="2"/>
        <v>16</v>
      </c>
      <c r="DP6" s="42"/>
      <c r="DQ6" s="71">
        <f>G6*DK6</f>
        <v>8132.76</v>
      </c>
      <c r="DR6" s="42"/>
      <c r="DS6" s="69"/>
      <c r="DT6" s="42"/>
      <c r="DU6" s="71">
        <v>0</v>
      </c>
      <c r="DV6" s="42"/>
      <c r="DW6" s="73">
        <f>DU6*1.2</f>
        <v>0</v>
      </c>
      <c r="DX6" s="42"/>
      <c r="DY6" s="71">
        <f>DU6*DS6</f>
        <v>0</v>
      </c>
    </row>
    <row r="7" ht="12" customHeight="1" spans="1:129" x14ac:dyDescent="0.25">
      <c r="A7" s="74" t="s">
        <v>52</v>
      </c>
      <c r="B7" s="42"/>
      <c r="C7" s="75"/>
      <c r="D7" s="44"/>
      <c r="E7" s="60">
        <v>44.95</v>
      </c>
      <c r="F7" s="44"/>
      <c r="G7" s="61">
        <v>53.94</v>
      </c>
      <c r="I7" s="62"/>
      <c r="J7" s="63"/>
      <c r="K7" s="64">
        <v>1</v>
      </c>
      <c r="L7" s="3"/>
      <c r="M7" s="62"/>
      <c r="N7" s="3"/>
      <c r="O7" s="64"/>
      <c r="P7" s="3"/>
      <c r="Q7" s="62"/>
      <c r="R7" s="3"/>
      <c r="S7" s="64"/>
      <c r="T7" s="3"/>
      <c r="U7" s="62">
        <v>1</v>
      </c>
      <c r="V7" s="3"/>
      <c r="W7" s="64"/>
      <c r="X7" s="3"/>
      <c r="Y7" s="62">
        <v>1</v>
      </c>
      <c r="Z7" s="3"/>
      <c r="AA7" s="64"/>
      <c r="AB7" s="3"/>
      <c r="AC7" s="62">
        <v>1</v>
      </c>
      <c r="AD7" s="3"/>
      <c r="AE7" s="64">
        <v>1</v>
      </c>
      <c r="AF7" s="3"/>
      <c r="AG7" s="62"/>
      <c r="AH7" s="3"/>
      <c r="AI7" s="64"/>
      <c r="AJ7" s="3"/>
      <c r="AK7" s="62"/>
      <c r="AL7" s="3"/>
      <c r="AM7" s="64"/>
      <c r="AN7" s="3"/>
      <c r="AO7" s="62"/>
      <c r="AP7" s="3"/>
      <c r="AQ7" s="64"/>
      <c r="AR7" s="3"/>
      <c r="AS7" s="62"/>
      <c r="AT7" s="3"/>
      <c r="AU7" s="64"/>
      <c r="AW7" s="34"/>
      <c r="AX7" s="65">
        <f>AW7*G7</f>
        <v>0</v>
      </c>
      <c r="AY7" s="66"/>
      <c r="AZ7" s="31">
        <f>K7</f>
        <v>1</v>
      </c>
      <c r="BA7" s="67">
        <f>AZ7*G7</f>
        <v>53.94</v>
      </c>
      <c r="BB7" s="66"/>
      <c r="BC7" s="31">
        <f>M7</f>
        <v>0</v>
      </c>
      <c r="BD7" s="65">
        <f>BC7*G7</f>
        <v>0</v>
      </c>
      <c r="BE7" s="66"/>
      <c r="BF7" s="31">
        <f>O7</f>
        <v>0</v>
      </c>
      <c r="BG7" s="67">
        <f>BF7*G7</f>
        <v>0</v>
      </c>
      <c r="BH7" s="66"/>
      <c r="BI7" s="31">
        <f>Q7</f>
        <v>0</v>
      </c>
      <c r="BJ7" s="65">
        <f>BI7*G7</f>
        <v>0</v>
      </c>
      <c r="BK7" s="66"/>
      <c r="BL7" s="31">
        <f>S7</f>
        <v>0</v>
      </c>
      <c r="BM7" s="67">
        <f>BL7*G7</f>
        <v>0</v>
      </c>
      <c r="BN7" s="66"/>
      <c r="BO7" s="31">
        <f>U7</f>
        <v>1</v>
      </c>
      <c r="BP7" s="65">
        <f>BO7*G7</f>
        <v>53.94</v>
      </c>
      <c r="BQ7" s="66"/>
      <c r="BR7" s="31">
        <f>W7</f>
        <v>0</v>
      </c>
      <c r="BS7" s="67">
        <f>BR7*G7</f>
        <v>0</v>
      </c>
      <c r="BT7" s="66"/>
      <c r="BU7" s="31">
        <f>Y7</f>
        <v>1</v>
      </c>
      <c r="BV7" s="65">
        <f>BU7*G7</f>
        <v>53.94</v>
      </c>
      <c r="BW7" s="66"/>
      <c r="BX7" s="31">
        <f>AA7</f>
        <v>0</v>
      </c>
      <c r="BY7" s="67">
        <f>BX7*G7</f>
        <v>0</v>
      </c>
      <c r="BZ7" s="66"/>
      <c r="CA7" s="31">
        <f>AC7</f>
        <v>1</v>
      </c>
      <c r="CB7" s="65">
        <f>CA7*G7</f>
        <v>53.94</v>
      </c>
      <c r="CC7" s="66"/>
      <c r="CD7" s="31">
        <f>AE7</f>
        <v>1</v>
      </c>
      <c r="CE7" s="67">
        <f>CD7*G7</f>
        <v>53.94</v>
      </c>
      <c r="CF7" s="66"/>
      <c r="CG7" s="34">
        <f>AG7</f>
        <v>0</v>
      </c>
      <c r="CH7" s="67">
        <f>CG7*G7</f>
        <v>0</v>
      </c>
      <c r="CI7" s="66"/>
      <c r="CJ7" s="34">
        <f>AI7</f>
        <v>0</v>
      </c>
      <c r="CK7" s="67">
        <f>CJ7*G7</f>
        <v>0</v>
      </c>
      <c r="CL7" s="66"/>
      <c r="CM7" s="34">
        <f>AK7</f>
        <v>0</v>
      </c>
      <c r="CN7" s="67">
        <f>CM7*G7</f>
        <v>0</v>
      </c>
      <c r="CO7" s="66"/>
      <c r="CP7" s="34">
        <f t="shared" si="0"/>
        <v>0</v>
      </c>
      <c r="CQ7" s="67">
        <f t="shared" si="1"/>
        <v>0</v>
      </c>
      <c r="CR7" s="66"/>
      <c r="CS7" s="34">
        <f>AO7</f>
        <v>0</v>
      </c>
      <c r="CT7" s="65">
        <f>CS7*G7</f>
        <v>0</v>
      </c>
      <c r="CU7" s="66"/>
      <c r="CV7" s="31">
        <f>AQ7</f>
        <v>0</v>
      </c>
      <c r="CW7" s="67">
        <f>CV7*G7</f>
        <v>0</v>
      </c>
      <c r="CX7" s="66"/>
      <c r="CY7" s="31">
        <f>AS7</f>
        <v>0</v>
      </c>
      <c r="CZ7" s="65">
        <f>CY7*G7</f>
        <v>0</v>
      </c>
      <c r="DA7" s="66"/>
      <c r="DB7" s="31">
        <f>AU7</f>
        <v>0</v>
      </c>
      <c r="DC7" s="67">
        <f>DB7*G7</f>
        <v>0</v>
      </c>
      <c r="DE7" s="76">
        <v>51</v>
      </c>
      <c r="DF7" s="42">
        <f>DE7*G7</f>
        <v>0</v>
      </c>
      <c r="DG7" s="69"/>
      <c r="DH7" s="42"/>
      <c r="DI7" s="70">
        <f>SUM(I7:AV7)</f>
        <v>5</v>
      </c>
      <c r="DJ7" s="42"/>
      <c r="DK7" s="70">
        <f>DE7+DG7-DI7</f>
        <v>46</v>
      </c>
      <c r="DL7" s="42"/>
      <c r="DM7" s="71">
        <f>E7*DK7</f>
        <v>2067.7</v>
      </c>
      <c r="DN7" s="42"/>
      <c r="DO7" s="72">
        <f t="shared" si="2"/>
        <v>9.833333333333334</v>
      </c>
      <c r="DP7" s="42"/>
      <c r="DQ7" s="71">
        <f>G7*DK7</f>
        <v>2481.24</v>
      </c>
      <c r="DR7" s="42"/>
      <c r="DS7" s="69"/>
      <c r="DT7" s="42"/>
      <c r="DU7" s="71">
        <v>0</v>
      </c>
      <c r="DV7" s="42"/>
      <c r="DW7" s="73">
        <f>DU7*1.2</f>
        <v>0</v>
      </c>
      <c r="DX7" s="42"/>
      <c r="DY7" s="71">
        <f>DU7*DS7</f>
        <v>0</v>
      </c>
    </row>
    <row r="8" ht="12" customHeight="1" spans="1:129" x14ac:dyDescent="0.25">
      <c r="A8" s="77" t="s">
        <v>53</v>
      </c>
      <c r="B8" s="42"/>
      <c r="C8" s="75"/>
      <c r="D8" s="44"/>
      <c r="E8" s="60">
        <v>18.25</v>
      </c>
      <c r="F8" s="44"/>
      <c r="G8" s="61">
        <v>21.9</v>
      </c>
      <c r="I8" s="62"/>
      <c r="J8" s="63"/>
      <c r="K8" s="64"/>
      <c r="L8" s="3"/>
      <c r="M8" s="62">
        <v>1</v>
      </c>
      <c r="N8" s="3"/>
      <c r="O8" s="64"/>
      <c r="P8" s="3"/>
      <c r="Q8" s="62"/>
      <c r="R8" s="3"/>
      <c r="S8" s="64"/>
      <c r="T8" s="3"/>
      <c r="U8" s="62"/>
      <c r="V8" s="3"/>
      <c r="W8" s="64"/>
      <c r="X8" s="3"/>
      <c r="Y8" s="62">
        <v>1</v>
      </c>
      <c r="Z8" s="3"/>
      <c r="AA8" s="64"/>
      <c r="AB8" s="3"/>
      <c r="AC8" s="62"/>
      <c r="AD8" s="3"/>
      <c r="AE8" s="64">
        <v>1</v>
      </c>
      <c r="AF8" s="3"/>
      <c r="AG8" s="62"/>
      <c r="AH8" s="3"/>
      <c r="AI8" s="64"/>
      <c r="AJ8" s="3"/>
      <c r="AK8" s="62"/>
      <c r="AL8" s="3"/>
      <c r="AM8" s="64"/>
      <c r="AN8" s="3"/>
      <c r="AO8" s="62"/>
      <c r="AP8" s="3"/>
      <c r="AQ8" s="64"/>
      <c r="AR8" s="3"/>
      <c r="AS8" s="62"/>
      <c r="AT8" s="3"/>
      <c r="AU8" s="64"/>
      <c r="AW8" s="34"/>
      <c r="AX8" s="65">
        <f>AW8*G8</f>
        <v>0</v>
      </c>
      <c r="AY8" s="66"/>
      <c r="AZ8" s="31">
        <f>K8</f>
        <v>0</v>
      </c>
      <c r="BA8" s="67">
        <f>AZ8*G8</f>
        <v>0</v>
      </c>
      <c r="BB8" s="66"/>
      <c r="BC8" s="31">
        <f>M8</f>
        <v>1</v>
      </c>
      <c r="BD8" s="65">
        <f>BC8*G8</f>
        <v>21.9</v>
      </c>
      <c r="BE8" s="66"/>
      <c r="BF8" s="31">
        <f>O8</f>
        <v>0</v>
      </c>
      <c r="BG8" s="67">
        <f>BF8*G8</f>
        <v>0</v>
      </c>
      <c r="BH8" s="66"/>
      <c r="BI8" s="31">
        <f>Q8</f>
        <v>0</v>
      </c>
      <c r="BJ8" s="65">
        <f>BI8*G8</f>
        <v>0</v>
      </c>
      <c r="BK8" s="66"/>
      <c r="BL8" s="31">
        <f>S8</f>
        <v>0</v>
      </c>
      <c r="BM8" s="67">
        <f>BL8*G8</f>
        <v>0</v>
      </c>
      <c r="BN8" s="66"/>
      <c r="BO8" s="31">
        <f>U8</f>
        <v>0</v>
      </c>
      <c r="BP8" s="65">
        <f>BO8*G8</f>
        <v>0</v>
      </c>
      <c r="BQ8" s="66"/>
      <c r="BR8" s="31">
        <f>W8</f>
        <v>0</v>
      </c>
      <c r="BS8" s="67">
        <f>BR8*G8</f>
        <v>0</v>
      </c>
      <c r="BT8" s="66"/>
      <c r="BU8" s="31">
        <f>Y8</f>
        <v>1</v>
      </c>
      <c r="BV8" s="65">
        <f>BU8*G8</f>
        <v>21.9</v>
      </c>
      <c r="BW8" s="66"/>
      <c r="BX8" s="31">
        <f>AA8</f>
        <v>0</v>
      </c>
      <c r="BY8" s="67">
        <f>BX8*G8</f>
        <v>0</v>
      </c>
      <c r="BZ8" s="66"/>
      <c r="CA8" s="31">
        <f>AC8</f>
        <v>0</v>
      </c>
      <c r="CB8" s="65">
        <f>CA8*G8</f>
        <v>0</v>
      </c>
      <c r="CC8" s="66"/>
      <c r="CD8" s="31">
        <f>AE8</f>
        <v>1</v>
      </c>
      <c r="CE8" s="67">
        <f>CD8*G8</f>
        <v>21.9</v>
      </c>
      <c r="CF8" s="66"/>
      <c r="CG8" s="34">
        <f>AG8</f>
        <v>0</v>
      </c>
      <c r="CH8" s="67">
        <f>CG8*G8</f>
        <v>0</v>
      </c>
      <c r="CI8" s="66"/>
      <c r="CJ8" s="34">
        <f>AI8</f>
        <v>0</v>
      </c>
      <c r="CK8" s="67">
        <f>CJ8*G8</f>
        <v>0</v>
      </c>
      <c r="CL8" s="66"/>
      <c r="CM8" s="34">
        <f>AK8</f>
        <v>0</v>
      </c>
      <c r="CN8" s="67">
        <f>CM8*G8</f>
        <v>0</v>
      </c>
      <c r="CO8" s="66"/>
      <c r="CP8" s="34">
        <f t="shared" si="0"/>
        <v>0</v>
      </c>
      <c r="CQ8" s="67">
        <f t="shared" si="1"/>
        <v>0</v>
      </c>
      <c r="CR8" s="66"/>
      <c r="CS8" s="34">
        <f>AO8</f>
        <v>0</v>
      </c>
      <c r="CT8" s="65">
        <f>CS8*G8</f>
        <v>0</v>
      </c>
      <c r="CU8" s="66"/>
      <c r="CV8" s="31">
        <f>AQ8</f>
        <v>0</v>
      </c>
      <c r="CW8" s="67">
        <f>CV8*G8</f>
        <v>0</v>
      </c>
      <c r="CX8" s="66"/>
      <c r="CY8" s="31">
        <f>AS8</f>
        <v>0</v>
      </c>
      <c r="CZ8" s="65">
        <f>CY8*G8</f>
        <v>0</v>
      </c>
      <c r="DA8" s="66"/>
      <c r="DB8" s="31">
        <f>AU8</f>
        <v>0</v>
      </c>
      <c r="DC8" s="67">
        <f>DB8*G8</f>
        <v>0</v>
      </c>
      <c r="DE8" s="76">
        <v>85</v>
      </c>
      <c r="DF8" s="42">
        <f>DE8*G8</f>
        <v>0</v>
      </c>
      <c r="DG8" s="69"/>
      <c r="DH8" s="42"/>
      <c r="DI8" s="70">
        <f>SUM(I8:AV8)</f>
        <v>3</v>
      </c>
      <c r="DJ8" s="42"/>
      <c r="DK8" s="70">
        <f>DE8+DG8-DI8</f>
        <v>82</v>
      </c>
      <c r="DL8" s="42"/>
      <c r="DM8" s="71">
        <f>E8*DK8</f>
        <v>1496.5</v>
      </c>
      <c r="DN8" s="42"/>
      <c r="DO8" s="72">
        <f t="shared" si="2"/>
        <v>21</v>
      </c>
      <c r="DP8" s="42"/>
      <c r="DQ8" s="71">
        <f>G8*DK8</f>
        <v>1795.8</v>
      </c>
      <c r="DR8" s="42"/>
      <c r="DS8" s="69"/>
      <c r="DT8" s="42"/>
      <c r="DU8" s="71">
        <v>0</v>
      </c>
      <c r="DV8" s="42"/>
      <c r="DW8" s="73">
        <f>DU8*1.2</f>
        <v>0</v>
      </c>
      <c r="DX8" s="42"/>
      <c r="DY8" s="71">
        <f>DU8*DS8</f>
        <v>0</v>
      </c>
    </row>
    <row r="9" ht="12" customHeight="1" spans="1:129" x14ac:dyDescent="0.25">
      <c r="A9" s="74" t="s">
        <v>54</v>
      </c>
      <c r="B9" s="42"/>
      <c r="C9" s="75"/>
      <c r="D9" s="44"/>
      <c r="E9" s="78">
        <v>29.95</v>
      </c>
      <c r="F9" s="44"/>
      <c r="G9" s="61">
        <v>35.94</v>
      </c>
      <c r="I9" s="62"/>
      <c r="J9" s="63"/>
      <c r="K9" s="64"/>
      <c r="L9" s="3"/>
      <c r="M9" s="62"/>
      <c r="N9" s="3"/>
      <c r="O9" s="64"/>
      <c r="P9" s="3"/>
      <c r="Q9" s="62"/>
      <c r="R9" s="3"/>
      <c r="S9" s="64"/>
      <c r="T9" s="3"/>
      <c r="U9" s="62"/>
      <c r="V9" s="3"/>
      <c r="W9" s="64"/>
      <c r="X9" s="3"/>
      <c r="Y9" s="62"/>
      <c r="Z9" s="3"/>
      <c r="AA9" s="64"/>
      <c r="AB9" s="3"/>
      <c r="AC9" s="62"/>
      <c r="AD9" s="3"/>
      <c r="AE9" s="64"/>
      <c r="AF9" s="3"/>
      <c r="AG9" s="62"/>
      <c r="AH9" s="3"/>
      <c r="AI9" s="64"/>
      <c r="AJ9" s="3"/>
      <c r="AK9" s="62"/>
      <c r="AL9" s="3"/>
      <c r="AM9" s="64"/>
      <c r="AN9" s="3"/>
      <c r="AO9" s="62"/>
      <c r="AP9" s="3"/>
      <c r="AQ9" s="64"/>
      <c r="AR9" s="3"/>
      <c r="AS9" s="62"/>
      <c r="AT9" s="3"/>
      <c r="AU9" s="64"/>
      <c r="AW9" s="34"/>
      <c r="AX9" s="65">
        <f>AW9*G9</f>
        <v>0</v>
      </c>
      <c r="AY9" s="66"/>
      <c r="AZ9" s="31">
        <f>K9</f>
        <v>0</v>
      </c>
      <c r="BA9" s="67">
        <f>AZ9*G9</f>
        <v>0</v>
      </c>
      <c r="BB9" s="66"/>
      <c r="BC9" s="31">
        <f>M9</f>
        <v>0</v>
      </c>
      <c r="BD9" s="65">
        <f>BC9*G9</f>
        <v>0</v>
      </c>
      <c r="BE9" s="66"/>
      <c r="BF9" s="31">
        <f>O9</f>
        <v>0</v>
      </c>
      <c r="BG9" s="67">
        <f>BF9*G9</f>
        <v>0</v>
      </c>
      <c r="BH9" s="66"/>
      <c r="BI9" s="31">
        <f>Q9</f>
        <v>0</v>
      </c>
      <c r="BJ9" s="65">
        <f>BI9*G9</f>
        <v>0</v>
      </c>
      <c r="BK9" s="66"/>
      <c r="BL9" s="31">
        <f>S9</f>
        <v>0</v>
      </c>
      <c r="BM9" s="67">
        <f>BL9*G9</f>
        <v>0</v>
      </c>
      <c r="BN9" s="66"/>
      <c r="BO9" s="31">
        <f>U9</f>
        <v>0</v>
      </c>
      <c r="BP9" s="65">
        <f>BO9*G9</f>
        <v>0</v>
      </c>
      <c r="BQ9" s="66"/>
      <c r="BR9" s="31">
        <f>W9</f>
        <v>0</v>
      </c>
      <c r="BS9" s="67">
        <f>BR9*G9</f>
        <v>0</v>
      </c>
      <c r="BT9" s="66"/>
      <c r="BU9" s="31">
        <f>Y9</f>
        <v>0</v>
      </c>
      <c r="BV9" s="65">
        <f>BU9*G9</f>
        <v>0</v>
      </c>
      <c r="BW9" s="66"/>
      <c r="BX9" s="31">
        <f>AA9</f>
        <v>0</v>
      </c>
      <c r="BY9" s="67">
        <f>BX9*G9</f>
        <v>0</v>
      </c>
      <c r="BZ9" s="66"/>
      <c r="CA9" s="31">
        <f>AC9</f>
        <v>0</v>
      </c>
      <c r="CB9" s="65">
        <f>CA9*G9</f>
        <v>0</v>
      </c>
      <c r="CC9" s="66"/>
      <c r="CD9" s="31">
        <f>AE9</f>
        <v>0</v>
      </c>
      <c r="CE9" s="67">
        <f>CD9*G9</f>
        <v>0</v>
      </c>
      <c r="CF9" s="66"/>
      <c r="CG9" s="34">
        <f>AG9</f>
        <v>0</v>
      </c>
      <c r="CH9" s="67">
        <f>CG9*G9</f>
        <v>0</v>
      </c>
      <c r="CI9" s="66"/>
      <c r="CJ9" s="34">
        <f>AI9</f>
        <v>0</v>
      </c>
      <c r="CK9" s="67">
        <f>CJ9*G9</f>
        <v>0</v>
      </c>
      <c r="CL9" s="66"/>
      <c r="CM9" s="34">
        <f>AK9</f>
        <v>0</v>
      </c>
      <c r="CN9" s="67">
        <f>CM9*G9</f>
        <v>0</v>
      </c>
      <c r="CO9" s="66"/>
      <c r="CP9" s="34">
        <f t="shared" si="0"/>
        <v>0</v>
      </c>
      <c r="CQ9" s="67">
        <f t="shared" si="1"/>
        <v>0</v>
      </c>
      <c r="CR9" s="66"/>
      <c r="CS9" s="34">
        <f>AO9</f>
        <v>0</v>
      </c>
      <c r="CT9" s="65">
        <f>CS9*G9</f>
        <v>0</v>
      </c>
      <c r="CU9" s="66"/>
      <c r="CV9" s="31">
        <f>AQ9</f>
        <v>0</v>
      </c>
      <c r="CW9" s="67">
        <f>CV9*G9</f>
        <v>0</v>
      </c>
      <c r="CX9" s="66"/>
      <c r="CY9" s="31">
        <f>AS9</f>
        <v>0</v>
      </c>
      <c r="CZ9" s="65">
        <f>CY9*G9</f>
        <v>0</v>
      </c>
      <c r="DA9" s="66"/>
      <c r="DB9" s="31">
        <f>AU9</f>
        <v>0</v>
      </c>
      <c r="DC9" s="67">
        <f>DB9*G9</f>
        <v>0</v>
      </c>
      <c r="DE9" s="76">
        <v>32</v>
      </c>
      <c r="DF9" s="42">
        <f>DE9*G9</f>
        <v>0</v>
      </c>
      <c r="DG9" s="69"/>
      <c r="DH9" s="42"/>
      <c r="DI9" s="70">
        <f>SUM(I9:AV9)</f>
        <v>0</v>
      </c>
      <c r="DJ9" s="42"/>
      <c r="DK9" s="70">
        <f>DE9+DG9-DI9</f>
        <v>32</v>
      </c>
      <c r="DL9" s="42"/>
      <c r="DM9" s="71">
        <f>E9*DK9</f>
        <v>958.4</v>
      </c>
      <c r="DN9" s="42"/>
      <c r="DO9" s="72">
        <f t="shared" si="2"/>
        <v>35</v>
      </c>
      <c r="DP9" s="42"/>
      <c r="DQ9" s="71">
        <f>G9*DK9</f>
        <v>1150.08</v>
      </c>
      <c r="DR9" s="42"/>
      <c r="DS9" s="69"/>
      <c r="DT9" s="42"/>
      <c r="DU9" s="71">
        <v>0</v>
      </c>
      <c r="DV9" s="42"/>
      <c r="DW9" s="73">
        <f>DU9*1.2</f>
        <v>0</v>
      </c>
      <c r="DX9" s="42"/>
      <c r="DY9" s="71">
        <f>DU9*DS9</f>
        <v>0</v>
      </c>
    </row>
    <row r="10" ht="12" customHeight="1" spans="1:129" x14ac:dyDescent="0.25">
      <c r="A10" s="77" t="s">
        <v>55</v>
      </c>
      <c r="B10" s="42"/>
      <c r="C10" s="75"/>
      <c r="D10" s="44"/>
      <c r="E10" s="78">
        <v>22.95</v>
      </c>
      <c r="F10" s="44"/>
      <c r="G10" s="61">
        <v>27.54</v>
      </c>
      <c r="I10" s="62">
        <v>1</v>
      </c>
      <c r="J10" s="63"/>
      <c r="K10" s="64">
        <v>3</v>
      </c>
      <c r="L10" s="3"/>
      <c r="M10" s="62">
        <v>2</v>
      </c>
      <c r="N10" s="3"/>
      <c r="O10" s="64">
        <v>2</v>
      </c>
      <c r="P10" s="3"/>
      <c r="Q10" s="62">
        <v>1</v>
      </c>
      <c r="R10" s="3"/>
      <c r="S10" s="64">
        <v>1</v>
      </c>
      <c r="T10" s="3"/>
      <c r="U10" s="62">
        <v>2</v>
      </c>
      <c r="V10" s="3"/>
      <c r="W10" s="64">
        <v>2</v>
      </c>
      <c r="X10" s="3"/>
      <c r="Y10" s="62">
        <v>1</v>
      </c>
      <c r="Z10" s="3"/>
      <c r="AA10" s="64">
        <v>1</v>
      </c>
      <c r="AB10" s="3"/>
      <c r="AC10" s="62">
        <v>1</v>
      </c>
      <c r="AD10" s="3"/>
      <c r="AE10" s="64">
        <v>3</v>
      </c>
      <c r="AF10" s="3"/>
      <c r="AG10" s="62"/>
      <c r="AH10" s="3"/>
      <c r="AI10" s="64"/>
      <c r="AJ10" s="3"/>
      <c r="AK10" s="62"/>
      <c r="AL10" s="3"/>
      <c r="AM10" s="64"/>
      <c r="AN10" s="3"/>
      <c r="AO10" s="62"/>
      <c r="AP10" s="3"/>
      <c r="AQ10" s="64"/>
      <c r="AR10" s="3"/>
      <c r="AS10" s="62"/>
      <c r="AT10" s="3"/>
      <c r="AU10" s="64"/>
      <c r="AW10" s="34"/>
      <c r="AX10" s="65">
        <f>AW10*G10</f>
        <v>27.54</v>
      </c>
      <c r="AY10" s="66"/>
      <c r="AZ10" s="31">
        <f>K10</f>
        <v>3</v>
      </c>
      <c r="BA10" s="67">
        <f>AZ10*G10</f>
        <v>82.62</v>
      </c>
      <c r="BB10" s="66"/>
      <c r="BC10" s="31">
        <f>M10</f>
        <v>2</v>
      </c>
      <c r="BD10" s="65">
        <f>BC10*G10</f>
        <v>55.08</v>
      </c>
      <c r="BE10" s="66"/>
      <c r="BF10" s="31">
        <f>O10</f>
        <v>2</v>
      </c>
      <c r="BG10" s="67">
        <f>BF10*G10</f>
        <v>55.08</v>
      </c>
      <c r="BH10" s="66"/>
      <c r="BI10" s="31">
        <f>Q10</f>
        <v>1</v>
      </c>
      <c r="BJ10" s="65">
        <f>BI10*G10</f>
        <v>27.54</v>
      </c>
      <c r="BK10" s="66"/>
      <c r="BL10" s="31">
        <f>S10</f>
        <v>1</v>
      </c>
      <c r="BM10" s="67">
        <f>BL10*G10</f>
        <v>27.54</v>
      </c>
      <c r="BN10" s="66"/>
      <c r="BO10" s="31">
        <f>U10</f>
        <v>2</v>
      </c>
      <c r="BP10" s="65">
        <f>BO10*G10</f>
        <v>55.08</v>
      </c>
      <c r="BQ10" s="66"/>
      <c r="BR10" s="31">
        <f>W10</f>
        <v>2</v>
      </c>
      <c r="BS10" s="67">
        <f>BR10*G10</f>
        <v>55.08</v>
      </c>
      <c r="BT10" s="66"/>
      <c r="BU10" s="31">
        <f>Y10</f>
        <v>1</v>
      </c>
      <c r="BV10" s="65">
        <f>BU10*G10</f>
        <v>27.54</v>
      </c>
      <c r="BW10" s="66"/>
      <c r="BX10" s="31">
        <f>AA10</f>
        <v>1</v>
      </c>
      <c r="BY10" s="67">
        <f>BX10*G10</f>
        <v>27.54</v>
      </c>
      <c r="BZ10" s="66"/>
      <c r="CA10" s="31">
        <f>AC10</f>
        <v>1</v>
      </c>
      <c r="CB10" s="65">
        <f>CA10*G10</f>
        <v>27.54</v>
      </c>
      <c r="CC10" s="66"/>
      <c r="CD10" s="31">
        <f>AE10</f>
        <v>3</v>
      </c>
      <c r="CE10" s="67">
        <f>CD10*G10</f>
        <v>82.62</v>
      </c>
      <c r="CF10" s="66"/>
      <c r="CG10" s="34">
        <f>AG10</f>
        <v>0</v>
      </c>
      <c r="CH10" s="67">
        <f>CG10*G10</f>
        <v>0</v>
      </c>
      <c r="CI10" s="66"/>
      <c r="CJ10" s="34">
        <f>AI10</f>
        <v>0</v>
      </c>
      <c r="CK10" s="67">
        <f>CJ10*G10</f>
        <v>0</v>
      </c>
      <c r="CL10" s="66"/>
      <c r="CM10" s="34">
        <f>AK10</f>
        <v>0</v>
      </c>
      <c r="CN10" s="67">
        <f>CM10*G10</f>
        <v>0</v>
      </c>
      <c r="CO10" s="66"/>
      <c r="CP10" s="34">
        <f t="shared" si="0"/>
        <v>0</v>
      </c>
      <c r="CQ10" s="67">
        <f t="shared" si="1"/>
        <v>0</v>
      </c>
      <c r="CR10" s="66"/>
      <c r="CS10" s="34">
        <f>AO10</f>
        <v>0</v>
      </c>
      <c r="CT10" s="65">
        <f>CS10*G10</f>
        <v>0</v>
      </c>
      <c r="CU10" s="66"/>
      <c r="CV10" s="31">
        <f>AQ10</f>
        <v>0</v>
      </c>
      <c r="CW10" s="67">
        <f>CV10*G10</f>
        <v>0</v>
      </c>
      <c r="CX10" s="66"/>
      <c r="CY10" s="31">
        <f>AS10</f>
        <v>0</v>
      </c>
      <c r="CZ10" s="65">
        <f>CY10*G10</f>
        <v>0</v>
      </c>
      <c r="DA10" s="66"/>
      <c r="DB10" s="31">
        <f>AU10</f>
        <v>0</v>
      </c>
      <c r="DC10" s="67">
        <f>DB10*G10</f>
        <v>0</v>
      </c>
      <c r="DE10" s="76">
        <v>92</v>
      </c>
      <c r="DF10" s="42">
        <f>DE10*G10</f>
        <v>0</v>
      </c>
      <c r="DG10" s="69"/>
      <c r="DH10" s="42"/>
      <c r="DI10" s="70">
        <f>SUM(I10:AV10)</f>
        <v>20</v>
      </c>
      <c r="DJ10" s="42"/>
      <c r="DK10" s="70">
        <f>DE10+DG10-DI10</f>
        <v>72</v>
      </c>
      <c r="DL10" s="42"/>
      <c r="DM10" s="71">
        <f>E10*DK10</f>
        <v>1652.4</v>
      </c>
      <c r="DN10" s="42"/>
      <c r="DO10" s="72">
        <f t="shared" si="2"/>
        <v>31.333333333333332</v>
      </c>
      <c r="DP10" s="42"/>
      <c r="DQ10" s="71">
        <f>G10*DK10</f>
        <v>1982.88</v>
      </c>
      <c r="DR10" s="42"/>
      <c r="DS10" s="69"/>
      <c r="DT10" s="42"/>
      <c r="DU10" s="71">
        <v>0</v>
      </c>
      <c r="DV10" s="42"/>
      <c r="DW10" s="73">
        <f>DU10*1.2</f>
        <v>0</v>
      </c>
      <c r="DX10" s="42"/>
      <c r="DY10" s="71">
        <f>DU10*DS10</f>
        <v>0</v>
      </c>
    </row>
    <row r="11" ht="12" customHeight="1" spans="1:129" x14ac:dyDescent="0.25">
      <c r="A11" s="74" t="s">
        <v>56</v>
      </c>
      <c r="B11" s="42"/>
      <c r="C11" s="75"/>
      <c r="D11" s="44"/>
      <c r="E11" s="78">
        <v>21.99</v>
      </c>
      <c r="F11" s="44"/>
      <c r="G11" s="61">
        <v>26.39</v>
      </c>
      <c r="I11" s="62">
        <v>1</v>
      </c>
      <c r="J11" s="63"/>
      <c r="K11" s="64">
        <v>3</v>
      </c>
      <c r="L11" s="3"/>
      <c r="M11" s="62">
        <v>2</v>
      </c>
      <c r="N11" s="3"/>
      <c r="O11" s="64">
        <v>2</v>
      </c>
      <c r="P11" s="3"/>
      <c r="Q11" s="62">
        <v>1</v>
      </c>
      <c r="R11" s="3"/>
      <c r="S11" s="64">
        <v>1</v>
      </c>
      <c r="T11" s="3"/>
      <c r="U11" s="62">
        <v>2</v>
      </c>
      <c r="V11" s="3"/>
      <c r="W11" s="64">
        <v>2</v>
      </c>
      <c r="X11" s="3"/>
      <c r="Y11" s="62">
        <v>1</v>
      </c>
      <c r="Z11" s="3"/>
      <c r="AA11" s="64">
        <v>1</v>
      </c>
      <c r="AB11" s="3"/>
      <c r="AC11" s="62">
        <v>2</v>
      </c>
      <c r="AD11" s="3"/>
      <c r="AE11" s="64">
        <v>2</v>
      </c>
      <c r="AF11" s="3"/>
      <c r="AG11" s="62"/>
      <c r="AH11" s="3"/>
      <c r="AI11" s="64"/>
      <c r="AJ11" s="3"/>
      <c r="AK11" s="62"/>
      <c r="AL11" s="3"/>
      <c r="AM11" s="64"/>
      <c r="AN11" s="3"/>
      <c r="AO11" s="62"/>
      <c r="AP11" s="3"/>
      <c r="AQ11" s="64"/>
      <c r="AR11" s="3"/>
      <c r="AS11" s="62"/>
      <c r="AT11" s="3"/>
      <c r="AU11" s="64"/>
      <c r="AW11" s="34"/>
      <c r="AX11" s="65">
        <f>AW11*G11</f>
        <v>26.39</v>
      </c>
      <c r="AY11" s="66"/>
      <c r="AZ11" s="31">
        <f>K11</f>
        <v>3</v>
      </c>
      <c r="BA11" s="67">
        <f>AZ11*G11</f>
        <v>79.17</v>
      </c>
      <c r="BB11" s="66"/>
      <c r="BC11" s="31">
        <f>M11</f>
        <v>2</v>
      </c>
      <c r="BD11" s="65">
        <f>BC11*G11</f>
        <v>52.78</v>
      </c>
      <c r="BE11" s="66"/>
      <c r="BF11" s="31">
        <f>O11</f>
        <v>2</v>
      </c>
      <c r="BG11" s="67">
        <f>BF11*G11</f>
        <v>52.78</v>
      </c>
      <c r="BH11" s="66"/>
      <c r="BI11" s="31">
        <f>Q11</f>
        <v>1</v>
      </c>
      <c r="BJ11" s="65">
        <f>BI11*G11</f>
        <v>26.39</v>
      </c>
      <c r="BK11" s="66"/>
      <c r="BL11" s="31">
        <f>S11</f>
        <v>1</v>
      </c>
      <c r="BM11" s="67">
        <f>BL11*G11</f>
        <v>26.39</v>
      </c>
      <c r="BN11" s="66"/>
      <c r="BO11" s="31">
        <f>U11</f>
        <v>2</v>
      </c>
      <c r="BP11" s="65">
        <f>BO11*G11</f>
        <v>52.78</v>
      </c>
      <c r="BQ11" s="66"/>
      <c r="BR11" s="31">
        <f>W11</f>
        <v>2</v>
      </c>
      <c r="BS11" s="67">
        <f>BR11*G11</f>
        <v>52.78</v>
      </c>
      <c r="BT11" s="66"/>
      <c r="BU11" s="31">
        <f>Y11</f>
        <v>1</v>
      </c>
      <c r="BV11" s="65">
        <f>BU11*G11</f>
        <v>26.39</v>
      </c>
      <c r="BW11" s="66"/>
      <c r="BX11" s="31">
        <f>AA11</f>
        <v>1</v>
      </c>
      <c r="BY11" s="67">
        <f>BX11*G11</f>
        <v>26.39</v>
      </c>
      <c r="BZ11" s="66"/>
      <c r="CA11" s="31">
        <f>AC11</f>
        <v>2</v>
      </c>
      <c r="CB11" s="65">
        <f>CA11*G11</f>
        <v>52.78</v>
      </c>
      <c r="CC11" s="66"/>
      <c r="CD11" s="31">
        <f>AE11</f>
        <v>2</v>
      </c>
      <c r="CE11" s="67">
        <f>CD11*G11</f>
        <v>52.78</v>
      </c>
      <c r="CF11" s="66"/>
      <c r="CG11" s="34">
        <f>AG11</f>
        <v>0</v>
      </c>
      <c r="CH11" s="67">
        <f>CG11*G11</f>
        <v>0</v>
      </c>
      <c r="CI11" s="66"/>
      <c r="CJ11" s="34">
        <f>AI11</f>
        <v>0</v>
      </c>
      <c r="CK11" s="67">
        <f>CJ11*G11</f>
        <v>0</v>
      </c>
      <c r="CL11" s="66"/>
      <c r="CM11" s="34">
        <f>AK11</f>
        <v>0</v>
      </c>
      <c r="CN11" s="67">
        <f>CM11*G11</f>
        <v>0</v>
      </c>
      <c r="CO11" s="66"/>
      <c r="CP11" s="34">
        <f t="shared" si="0"/>
        <v>0</v>
      </c>
      <c r="CQ11" s="67">
        <f t="shared" si="1"/>
        <v>0</v>
      </c>
      <c r="CR11" s="66"/>
      <c r="CS11" s="34">
        <f>AO11</f>
        <v>0</v>
      </c>
      <c r="CT11" s="65">
        <f>CS11*G11</f>
        <v>0</v>
      </c>
      <c r="CU11" s="66"/>
      <c r="CV11" s="31">
        <f>AQ11</f>
        <v>0</v>
      </c>
      <c r="CW11" s="67">
        <f>CV11*G11</f>
        <v>0</v>
      </c>
      <c r="CX11" s="66"/>
      <c r="CY11" s="31">
        <f>AS11</f>
        <v>0</v>
      </c>
      <c r="CZ11" s="65">
        <f>CY11*G11</f>
        <v>0</v>
      </c>
      <c r="DA11" s="66"/>
      <c r="DB11" s="31">
        <f>AU11</f>
        <v>0</v>
      </c>
      <c r="DC11" s="67">
        <f>DB11*G11</f>
        <v>0</v>
      </c>
      <c r="DE11" s="76">
        <v>314</v>
      </c>
      <c r="DF11" s="42">
        <f>DE11*G11</f>
        <v>0</v>
      </c>
      <c r="DG11" s="69"/>
      <c r="DH11" s="42"/>
      <c r="DI11" s="70">
        <f>SUM(I11:AV11)</f>
        <v>20</v>
      </c>
      <c r="DJ11" s="42"/>
      <c r="DK11" s="70">
        <f>DE11+DG11-DI11</f>
        <v>294</v>
      </c>
      <c r="DL11" s="42"/>
      <c r="DM11" s="71">
        <f>E11*DK11</f>
        <v>6465.06</v>
      </c>
      <c r="DN11" s="42"/>
      <c r="DO11" s="72">
        <f t="shared" si="2"/>
        <v>21.3125</v>
      </c>
      <c r="DP11" s="42"/>
      <c r="DQ11" s="71">
        <f>G11*DK11</f>
        <v>7758.66</v>
      </c>
      <c r="DR11" s="42"/>
      <c r="DS11" s="69"/>
      <c r="DT11" s="42"/>
      <c r="DU11" s="71">
        <v>0</v>
      </c>
      <c r="DV11" s="42"/>
      <c r="DW11" s="73">
        <f>DU11*1.2</f>
        <v>0</v>
      </c>
      <c r="DX11" s="42"/>
      <c r="DY11" s="71">
        <f>DU11*DS11</f>
        <v>0</v>
      </c>
    </row>
    <row r="12" ht="12" customHeight="1" spans="1:129" x14ac:dyDescent="0.25">
      <c r="A12" s="77" t="s">
        <v>57</v>
      </c>
      <c r="B12" s="42"/>
      <c r="C12" s="75"/>
      <c r="D12" s="44"/>
      <c r="E12" s="78">
        <v>18.745</v>
      </c>
      <c r="F12" s="44"/>
      <c r="G12" s="61">
        <v>22.49</v>
      </c>
      <c r="I12" s="62">
        <v>1</v>
      </c>
      <c r="J12" s="63"/>
      <c r="K12" s="64">
        <v>1</v>
      </c>
      <c r="L12" s="3"/>
      <c r="M12" s="62">
        <v>2</v>
      </c>
      <c r="N12" s="3"/>
      <c r="O12" s="64">
        <v>1</v>
      </c>
      <c r="P12" s="3"/>
      <c r="Q12" s="62"/>
      <c r="R12" s="3"/>
      <c r="S12" s="64"/>
      <c r="T12" s="3"/>
      <c r="U12" s="62"/>
      <c r="V12" s="3"/>
      <c r="W12" s="64"/>
      <c r="X12" s="3"/>
      <c r="Y12" s="62"/>
      <c r="Z12" s="3"/>
      <c r="AA12" s="64">
        <v>1</v>
      </c>
      <c r="AB12" s="3"/>
      <c r="AC12" s="62"/>
      <c r="AD12" s="3"/>
      <c r="AE12" s="64">
        <v>2</v>
      </c>
      <c r="AF12" s="3"/>
      <c r="AG12" s="62"/>
      <c r="AH12" s="3"/>
      <c r="AI12" s="64"/>
      <c r="AJ12" s="3"/>
      <c r="AK12" s="62"/>
      <c r="AL12" s="3"/>
      <c r="AM12" s="64"/>
      <c r="AN12" s="3"/>
      <c r="AO12" s="62"/>
      <c r="AP12" s="3"/>
      <c r="AQ12" s="64"/>
      <c r="AR12" s="3"/>
      <c r="AS12" s="62"/>
      <c r="AT12" s="3"/>
      <c r="AU12" s="64"/>
      <c r="AW12" s="34"/>
      <c r="AX12" s="65">
        <f>AW12*G12</f>
        <v>22.49</v>
      </c>
      <c r="AY12" s="66"/>
      <c r="AZ12" s="31">
        <f>K12</f>
        <v>1</v>
      </c>
      <c r="BA12" s="67">
        <f>AZ12*G12</f>
        <v>22.49</v>
      </c>
      <c r="BB12" s="66"/>
      <c r="BC12" s="31">
        <f>M12</f>
        <v>2</v>
      </c>
      <c r="BD12" s="65">
        <f>BC12*G12</f>
        <v>44.98</v>
      </c>
      <c r="BE12" s="66"/>
      <c r="BF12" s="31">
        <f>O12</f>
        <v>1</v>
      </c>
      <c r="BG12" s="67">
        <f>BF12*G12</f>
        <v>22.49</v>
      </c>
      <c r="BH12" s="66"/>
      <c r="BI12" s="31">
        <f>Q12</f>
        <v>0</v>
      </c>
      <c r="BJ12" s="65">
        <f>BI12*G12</f>
        <v>0</v>
      </c>
      <c r="BK12" s="66"/>
      <c r="BL12" s="31">
        <f>S12</f>
        <v>0</v>
      </c>
      <c r="BM12" s="67">
        <f>BL12*G12</f>
        <v>0</v>
      </c>
      <c r="BN12" s="66"/>
      <c r="BO12" s="31">
        <f>U12</f>
        <v>0</v>
      </c>
      <c r="BP12" s="65">
        <f>BO12*G12</f>
        <v>0</v>
      </c>
      <c r="BQ12" s="66"/>
      <c r="BR12" s="31">
        <f>W12</f>
        <v>0</v>
      </c>
      <c r="BS12" s="67">
        <f>BR12*G12</f>
        <v>0</v>
      </c>
      <c r="BT12" s="66"/>
      <c r="BU12" s="31">
        <f>Y12</f>
        <v>0</v>
      </c>
      <c r="BV12" s="65">
        <f>BU12*G12</f>
        <v>0</v>
      </c>
      <c r="BW12" s="66"/>
      <c r="BX12" s="31">
        <f>AA12</f>
        <v>1</v>
      </c>
      <c r="BY12" s="67">
        <f>BX12*G12</f>
        <v>22.49</v>
      </c>
      <c r="BZ12" s="66"/>
      <c r="CA12" s="31">
        <f>AC12</f>
        <v>0</v>
      </c>
      <c r="CB12" s="65">
        <f>CA12*G12</f>
        <v>0</v>
      </c>
      <c r="CC12" s="66"/>
      <c r="CD12" s="31">
        <f>AE12</f>
        <v>2</v>
      </c>
      <c r="CE12" s="67">
        <f>CD12*G12</f>
        <v>44.98</v>
      </c>
      <c r="CF12" s="66"/>
      <c r="CG12" s="34">
        <f>AG12</f>
        <v>0</v>
      </c>
      <c r="CH12" s="67">
        <f>CG12*G12</f>
        <v>0</v>
      </c>
      <c r="CI12" s="66"/>
      <c r="CJ12" s="34">
        <f>AI12</f>
        <v>0</v>
      </c>
      <c r="CK12" s="67">
        <f>CJ12*G12</f>
        <v>0</v>
      </c>
      <c r="CL12" s="66"/>
      <c r="CM12" s="34">
        <f>AK12</f>
        <v>0</v>
      </c>
      <c r="CN12" s="67">
        <f>CM12*G12</f>
        <v>0</v>
      </c>
      <c r="CO12" s="66"/>
      <c r="CP12" s="34">
        <f t="shared" si="0"/>
        <v>0</v>
      </c>
      <c r="CQ12" s="67">
        <f t="shared" si="1"/>
        <v>0</v>
      </c>
      <c r="CR12" s="66"/>
      <c r="CS12" s="34">
        <f>AO12</f>
        <v>0</v>
      </c>
      <c r="CT12" s="65">
        <f>CS12*G12</f>
        <v>0</v>
      </c>
      <c r="CU12" s="66"/>
      <c r="CV12" s="31">
        <f>AQ12</f>
        <v>0</v>
      </c>
      <c r="CW12" s="67">
        <f>CV12*G12</f>
        <v>0</v>
      </c>
      <c r="CX12" s="66"/>
      <c r="CY12" s="31">
        <f>AS12</f>
        <v>0</v>
      </c>
      <c r="CZ12" s="65">
        <f>CY12*G12</f>
        <v>0</v>
      </c>
      <c r="DA12" s="66"/>
      <c r="DB12" s="31">
        <f>AU12</f>
        <v>0</v>
      </c>
      <c r="DC12" s="67">
        <f>DB12*G12</f>
        <v>0</v>
      </c>
      <c r="DE12" s="76">
        <v>446</v>
      </c>
      <c r="DF12" s="42">
        <f>DE12*G12</f>
        <v>0</v>
      </c>
      <c r="DG12" s="69"/>
      <c r="DH12" s="42"/>
      <c r="DI12" s="70">
        <f>SUM(I12:AV12)</f>
        <v>8</v>
      </c>
      <c r="DJ12" s="42"/>
      <c r="DK12" s="70">
        <f>DE12+DG12-DI12</f>
        <v>438</v>
      </c>
      <c r="DL12" s="42"/>
      <c r="DM12" s="71">
        <f>E12*DK12</f>
        <v>8210.31</v>
      </c>
      <c r="DN12" s="42"/>
      <c r="DO12" s="72">
        <f t="shared" si="2"/>
        <v>31.733333333333334</v>
      </c>
      <c r="DP12" s="42"/>
      <c r="DQ12" s="71">
        <f>G12*DK12</f>
        <v>9850.62</v>
      </c>
      <c r="DR12" s="42"/>
      <c r="DS12" s="69"/>
      <c r="DT12" s="42"/>
      <c r="DU12" s="71">
        <v>0</v>
      </c>
      <c r="DV12" s="42"/>
      <c r="DW12" s="73">
        <f>DU12*1.2</f>
        <v>0</v>
      </c>
      <c r="DX12" s="42"/>
      <c r="DY12" s="71">
        <f>DU12*DS12</f>
        <v>0</v>
      </c>
    </row>
    <row r="13" ht="12" customHeight="1" spans="1:129" x14ac:dyDescent="0.25">
      <c r="A13" s="74" t="s">
        <v>58</v>
      </c>
      <c r="B13" s="27"/>
      <c r="C13" s="75"/>
      <c r="D13" s="29"/>
      <c r="E13" s="78">
        <v>27.5</v>
      </c>
      <c r="F13" s="29"/>
      <c r="G13" s="61">
        <v>33</v>
      </c>
      <c r="H13" s="8"/>
      <c r="I13" s="62"/>
      <c r="J13" s="63"/>
      <c r="K13" s="64"/>
      <c r="L13" s="3"/>
      <c r="M13" s="62">
        <v>1</v>
      </c>
      <c r="N13" s="3"/>
      <c r="O13" s="64"/>
      <c r="P13" s="3"/>
      <c r="Q13" s="62"/>
      <c r="R13" s="3"/>
      <c r="S13" s="64"/>
      <c r="T13" s="3"/>
      <c r="U13" s="62">
        <v>1</v>
      </c>
      <c r="V13" s="3"/>
      <c r="W13" s="64"/>
      <c r="X13" s="3"/>
      <c r="Y13" s="62">
        <v>1</v>
      </c>
      <c r="Z13" s="3"/>
      <c r="AA13" s="64"/>
      <c r="AB13" s="3"/>
      <c r="AC13" s="62">
        <v>1</v>
      </c>
      <c r="AD13" s="3"/>
      <c r="AE13" s="64">
        <v>2</v>
      </c>
      <c r="AF13" s="3"/>
      <c r="AG13" s="62"/>
      <c r="AH13" s="3"/>
      <c r="AI13" s="64"/>
      <c r="AJ13" s="3"/>
      <c r="AK13" s="62"/>
      <c r="AL13" s="3"/>
      <c r="AM13" s="64"/>
      <c r="AN13" s="3"/>
      <c r="AO13" s="62"/>
      <c r="AP13" s="3"/>
      <c r="AQ13" s="64"/>
      <c r="AR13" s="3"/>
      <c r="AS13" s="62"/>
      <c r="AT13" s="3"/>
      <c r="AU13" s="64"/>
      <c r="AW13" s="34"/>
      <c r="AX13" s="65">
        <f>AW13*G13</f>
        <v>0</v>
      </c>
      <c r="AY13" s="66"/>
      <c r="AZ13" s="31">
        <f>K13</f>
        <v>0</v>
      </c>
      <c r="BA13" s="67">
        <f>AZ13*G13</f>
        <v>0</v>
      </c>
      <c r="BB13" s="66"/>
      <c r="BC13" s="31">
        <f>M13</f>
        <v>1</v>
      </c>
      <c r="BD13" s="65">
        <f>BC13*G13</f>
        <v>33</v>
      </c>
      <c r="BE13" s="66"/>
      <c r="BF13" s="31">
        <f>O13</f>
        <v>0</v>
      </c>
      <c r="BG13" s="67">
        <f>BF13*G13</f>
        <v>0</v>
      </c>
      <c r="BH13" s="66"/>
      <c r="BI13" s="31">
        <f>Q13</f>
        <v>0</v>
      </c>
      <c r="BJ13" s="65">
        <f>BI13*G13</f>
        <v>0</v>
      </c>
      <c r="BK13" s="66"/>
      <c r="BL13" s="31">
        <f>S13</f>
        <v>0</v>
      </c>
      <c r="BM13" s="67">
        <f>BL13*G13</f>
        <v>0</v>
      </c>
      <c r="BN13" s="66"/>
      <c r="BO13" s="31">
        <f>U13</f>
        <v>1</v>
      </c>
      <c r="BP13" s="65">
        <f>BO13*G13</f>
        <v>33</v>
      </c>
      <c r="BQ13" s="66"/>
      <c r="BR13" s="31">
        <f>W13</f>
        <v>0</v>
      </c>
      <c r="BS13" s="67">
        <f>BR13*G13</f>
        <v>0</v>
      </c>
      <c r="BT13" s="66"/>
      <c r="BU13" s="31">
        <f>Y13</f>
        <v>1</v>
      </c>
      <c r="BV13" s="65">
        <f>BU13*G13</f>
        <v>33</v>
      </c>
      <c r="BW13" s="66"/>
      <c r="BX13" s="31">
        <f>AA13</f>
        <v>0</v>
      </c>
      <c r="BY13" s="67">
        <f>BX13*G13</f>
        <v>0</v>
      </c>
      <c r="BZ13" s="66"/>
      <c r="CA13" s="31">
        <f>AC13</f>
        <v>1</v>
      </c>
      <c r="CB13" s="65">
        <f>CA13*G13</f>
        <v>33</v>
      </c>
      <c r="CC13" s="66"/>
      <c r="CD13" s="31">
        <f>AE13</f>
        <v>2</v>
      </c>
      <c r="CE13" s="67">
        <f>CD13*G13</f>
        <v>66</v>
      </c>
      <c r="CF13" s="66"/>
      <c r="CG13" s="34">
        <f>AG13</f>
        <v>0</v>
      </c>
      <c r="CH13" s="67">
        <f>CG13*G13</f>
        <v>0</v>
      </c>
      <c r="CI13" s="66"/>
      <c r="CJ13" s="34">
        <f>AI13</f>
        <v>0</v>
      </c>
      <c r="CK13" s="67">
        <f>CJ13*G13</f>
        <v>0</v>
      </c>
      <c r="CL13" s="66"/>
      <c r="CM13" s="34">
        <f>AK13</f>
        <v>0</v>
      </c>
      <c r="CN13" s="67">
        <f>CM13*G13</f>
        <v>0</v>
      </c>
      <c r="CO13" s="66"/>
      <c r="CP13" s="34">
        <f t="shared" si="0"/>
        <v>0</v>
      </c>
      <c r="CQ13" s="67">
        <f t="shared" si="1"/>
        <v>0</v>
      </c>
      <c r="CR13" s="66"/>
      <c r="CS13" s="34">
        <f>AO13</f>
        <v>0</v>
      </c>
      <c r="CT13" s="65">
        <f>CS13*G13</f>
        <v>0</v>
      </c>
      <c r="CU13" s="66"/>
      <c r="CV13" s="31">
        <f>AQ13</f>
        <v>0</v>
      </c>
      <c r="CW13" s="67">
        <f>CV13*G13</f>
        <v>0</v>
      </c>
      <c r="CX13" s="66"/>
      <c r="CY13" s="31">
        <f>AS13</f>
        <v>0</v>
      </c>
      <c r="CZ13" s="65">
        <f>CY13*G13</f>
        <v>0</v>
      </c>
      <c r="DA13" s="66"/>
      <c r="DB13" s="31">
        <f>AU13</f>
        <v>0</v>
      </c>
      <c r="DC13" s="67">
        <f>DB13*G13</f>
        <v>0</v>
      </c>
      <c r="DE13" s="76">
        <v>280</v>
      </c>
      <c r="DF13" s="42">
        <f>DE13*G13</f>
        <v>0</v>
      </c>
      <c r="DG13" s="69"/>
      <c r="DH13" s="42"/>
      <c r="DI13" s="70">
        <f>SUM(I13:AV13)</f>
        <v>6</v>
      </c>
      <c r="DJ13" s="42"/>
      <c r="DK13" s="70">
        <f>DE13+DG13-DI13</f>
        <v>274</v>
      </c>
      <c r="DL13" s="42"/>
      <c r="DM13" s="71">
        <f>E13*DK13</f>
        <v>7535</v>
      </c>
      <c r="DN13" s="42"/>
      <c r="DO13" s="72">
        <f t="shared" si="2"/>
        <v>36.5</v>
      </c>
      <c r="DP13" s="42"/>
      <c r="DQ13" s="71">
        <f>G13*DK13</f>
        <v>9042</v>
      </c>
      <c r="DR13" s="42"/>
      <c r="DS13" s="69"/>
      <c r="DT13" s="42"/>
      <c r="DU13" s="71">
        <v>0</v>
      </c>
      <c r="DV13" s="42"/>
      <c r="DW13" s="73">
        <f>DU13*1.2</f>
        <v>0</v>
      </c>
      <c r="DX13" s="42"/>
      <c r="DY13" s="71">
        <f>DU13*DS13</f>
        <v>0</v>
      </c>
    </row>
    <row r="14" ht="12" customHeight="1" spans="1:129" x14ac:dyDescent="0.25">
      <c r="A14" s="58" t="s">
        <v>59</v>
      </c>
      <c r="B14" s="42"/>
      <c r="C14" s="75"/>
      <c r="D14" s="44"/>
      <c r="E14" s="78">
        <v>11.07</v>
      </c>
      <c r="F14" s="44"/>
      <c r="G14" s="61">
        <v>13.28</v>
      </c>
      <c r="I14" s="62"/>
      <c r="J14" s="63"/>
      <c r="K14" s="64"/>
      <c r="L14" s="3"/>
      <c r="M14" s="62"/>
      <c r="N14" s="3"/>
      <c r="O14" s="64"/>
      <c r="P14" s="3"/>
      <c r="Q14" s="62"/>
      <c r="R14" s="3"/>
      <c r="S14" s="64"/>
      <c r="T14" s="3"/>
      <c r="U14" s="62">
        <v>1</v>
      </c>
      <c r="V14" s="3"/>
      <c r="W14" s="64"/>
      <c r="X14" s="3"/>
      <c r="Y14" s="62"/>
      <c r="Z14" s="3"/>
      <c r="AA14" s="64"/>
      <c r="AB14" s="3"/>
      <c r="AC14" s="62">
        <v>1</v>
      </c>
      <c r="AD14" s="3"/>
      <c r="AE14" s="64">
        <v>1</v>
      </c>
      <c r="AF14" s="3"/>
      <c r="AG14" s="62"/>
      <c r="AH14" s="3"/>
      <c r="AI14" s="64"/>
      <c r="AJ14" s="3"/>
      <c r="AK14" s="62"/>
      <c r="AL14" s="3"/>
      <c r="AM14" s="64"/>
      <c r="AN14" s="3"/>
      <c r="AO14" s="62"/>
      <c r="AP14" s="3"/>
      <c r="AQ14" s="64"/>
      <c r="AR14" s="3"/>
      <c r="AS14" s="62"/>
      <c r="AT14" s="3"/>
      <c r="AU14" s="64"/>
      <c r="AW14" s="34"/>
      <c r="AX14" s="65">
        <f>AW14*G14</f>
        <v>0</v>
      </c>
      <c r="AY14" s="66"/>
      <c r="AZ14" s="31">
        <f>K14</f>
        <v>0</v>
      </c>
      <c r="BA14" s="67">
        <f>AZ14*G14</f>
        <v>0</v>
      </c>
      <c r="BB14" s="66"/>
      <c r="BC14" s="31">
        <f>M14</f>
        <v>0</v>
      </c>
      <c r="BD14" s="65">
        <f>BC14*G14</f>
        <v>0</v>
      </c>
      <c r="BE14" s="66"/>
      <c r="BF14" s="31">
        <f>O14</f>
        <v>0</v>
      </c>
      <c r="BG14" s="67">
        <f>BF14*G14</f>
        <v>0</v>
      </c>
      <c r="BH14" s="66"/>
      <c r="BI14" s="31">
        <f>Q14</f>
        <v>0</v>
      </c>
      <c r="BJ14" s="65">
        <f>BI14*G14</f>
        <v>0</v>
      </c>
      <c r="BK14" s="66"/>
      <c r="BL14" s="31">
        <f>S14</f>
        <v>0</v>
      </c>
      <c r="BM14" s="67">
        <f>BL14*G14</f>
        <v>0</v>
      </c>
      <c r="BN14" s="66"/>
      <c r="BO14" s="31">
        <f>U14</f>
        <v>1</v>
      </c>
      <c r="BP14" s="65">
        <f>BO14*G14</f>
        <v>13.28</v>
      </c>
      <c r="BQ14" s="66"/>
      <c r="BR14" s="31">
        <f>W14</f>
        <v>0</v>
      </c>
      <c r="BS14" s="67">
        <f>BR14*G14</f>
        <v>0</v>
      </c>
      <c r="BT14" s="66"/>
      <c r="BU14" s="31">
        <f>Y14</f>
        <v>0</v>
      </c>
      <c r="BV14" s="65">
        <f>BU14*G14</f>
        <v>0</v>
      </c>
      <c r="BW14" s="66"/>
      <c r="BX14" s="31">
        <f>AA14</f>
        <v>0</v>
      </c>
      <c r="BY14" s="67">
        <f>BX14*G14</f>
        <v>0</v>
      </c>
      <c r="BZ14" s="66"/>
      <c r="CA14" s="31">
        <f>AC14</f>
        <v>1</v>
      </c>
      <c r="CB14" s="65">
        <f>CA14*G14</f>
        <v>13.28</v>
      </c>
      <c r="CC14" s="66"/>
      <c r="CD14" s="31">
        <f>AE14</f>
        <v>1</v>
      </c>
      <c r="CE14" s="67">
        <f>CD14*G14</f>
        <v>13.28</v>
      </c>
      <c r="CF14" s="66"/>
      <c r="CG14" s="34">
        <f>AG14</f>
        <v>0</v>
      </c>
      <c r="CH14" s="67">
        <f>CG14*G14</f>
        <v>0</v>
      </c>
      <c r="CI14" s="66"/>
      <c r="CJ14" s="34">
        <f>AI14</f>
        <v>0</v>
      </c>
      <c r="CK14" s="67">
        <f>CJ14*G14</f>
        <v>0</v>
      </c>
      <c r="CL14" s="66"/>
      <c r="CM14" s="34">
        <f>AK14</f>
        <v>0</v>
      </c>
      <c r="CN14" s="67">
        <f>CM14*G14</f>
        <v>0</v>
      </c>
      <c r="CO14" s="66"/>
      <c r="CP14" s="34">
        <f t="shared" si="0"/>
        <v>0</v>
      </c>
      <c r="CQ14" s="67">
        <f t="shared" si="1"/>
        <v>0</v>
      </c>
      <c r="CR14" s="66"/>
      <c r="CS14" s="34">
        <f>AO14</f>
        <v>0</v>
      </c>
      <c r="CT14" s="65">
        <f>CS14*G14</f>
        <v>0</v>
      </c>
      <c r="CU14" s="66"/>
      <c r="CV14" s="31">
        <f>AQ14</f>
        <v>0</v>
      </c>
      <c r="CW14" s="67">
        <f>CV14*G14</f>
        <v>0</v>
      </c>
      <c r="CX14" s="66"/>
      <c r="CY14" s="31">
        <f>AS14</f>
        <v>0</v>
      </c>
      <c r="CZ14" s="65">
        <f>CY14*G14</f>
        <v>0</v>
      </c>
      <c r="DA14" s="66"/>
      <c r="DB14" s="31">
        <f>AU14</f>
        <v>0</v>
      </c>
      <c r="DC14" s="67">
        <f>DB14*G14</f>
        <v>0</v>
      </c>
      <c r="DE14" s="76">
        <v>92</v>
      </c>
      <c r="DF14" s="42">
        <f>DE14*G14</f>
        <v>0</v>
      </c>
      <c r="DG14" s="69"/>
      <c r="DH14" s="42"/>
      <c r="DI14" s="70">
        <f>SUM(I14:AV14)</f>
        <v>3</v>
      </c>
      <c r="DJ14" s="42"/>
      <c r="DK14" s="70">
        <f>DE14+DG14-DI14</f>
        <v>89</v>
      </c>
      <c r="DL14" s="42"/>
      <c r="DM14" s="71">
        <f>E14*DK14</f>
        <v>985.23</v>
      </c>
      <c r="DN14" s="42"/>
      <c r="DO14" s="72">
        <f t="shared" si="2"/>
        <v>11.333333333333334</v>
      </c>
      <c r="DP14" s="42"/>
      <c r="DQ14" s="71">
        <f>G14*DK14</f>
        <v>1181.92</v>
      </c>
      <c r="DR14" s="42"/>
      <c r="DS14" s="69"/>
      <c r="DT14" s="42"/>
      <c r="DU14" s="71">
        <v>0</v>
      </c>
      <c r="DV14" s="42"/>
      <c r="DW14" s="73">
        <f>DU14*1.2</f>
        <v>0</v>
      </c>
      <c r="DX14" s="42"/>
      <c r="DY14" s="71">
        <f>DU14*DS14</f>
        <v>0</v>
      </c>
    </row>
    <row r="15" ht="12" customHeight="1" spans="1:129" x14ac:dyDescent="0.25">
      <c r="A15" s="79" t="s">
        <v>60</v>
      </c>
      <c r="B15" s="42"/>
      <c r="C15" s="75"/>
      <c r="D15" s="44"/>
      <c r="E15" s="78">
        <v>13.03</v>
      </c>
      <c r="F15" s="44"/>
      <c r="G15" s="61">
        <v>15.64</v>
      </c>
      <c r="I15" s="62">
        <v>1</v>
      </c>
      <c r="J15" s="63"/>
      <c r="K15" s="64">
        <v>1</v>
      </c>
      <c r="L15" s="3"/>
      <c r="M15" s="62">
        <v>1</v>
      </c>
      <c r="N15" s="3"/>
      <c r="O15" s="64">
        <v>1</v>
      </c>
      <c r="P15" s="3"/>
      <c r="Q15" s="62"/>
      <c r="R15" s="3"/>
      <c r="S15" s="64">
        <v>1</v>
      </c>
      <c r="T15" s="3"/>
      <c r="U15" s="62"/>
      <c r="V15" s="3"/>
      <c r="W15" s="64">
        <v>1</v>
      </c>
      <c r="X15" s="3"/>
      <c r="Y15" s="62">
        <v>1</v>
      </c>
      <c r="Z15" s="3"/>
      <c r="AA15" s="64"/>
      <c r="AB15" s="3"/>
      <c r="AC15" s="62">
        <v>1</v>
      </c>
      <c r="AD15" s="3"/>
      <c r="AE15" s="64">
        <v>1</v>
      </c>
      <c r="AF15" s="3"/>
      <c r="AG15" s="62"/>
      <c r="AH15" s="3"/>
      <c r="AI15" s="64"/>
      <c r="AJ15" s="3"/>
      <c r="AK15" s="62"/>
      <c r="AL15" s="3"/>
      <c r="AM15" s="64"/>
      <c r="AN15" s="3"/>
      <c r="AO15" s="62"/>
      <c r="AP15" s="3"/>
      <c r="AQ15" s="64"/>
      <c r="AR15" s="3"/>
      <c r="AS15" s="62"/>
      <c r="AT15" s="3"/>
      <c r="AU15" s="64"/>
      <c r="AW15" s="34"/>
      <c r="AX15" s="65">
        <f>AW15*G15</f>
        <v>15.64</v>
      </c>
      <c r="AY15" s="66"/>
      <c r="AZ15" s="31">
        <f>K15</f>
        <v>1</v>
      </c>
      <c r="BA15" s="67">
        <f>AZ15*G15</f>
        <v>15.64</v>
      </c>
      <c r="BB15" s="66"/>
      <c r="BC15" s="31">
        <f>M15</f>
        <v>1</v>
      </c>
      <c r="BD15" s="65">
        <f>BC15*G15</f>
        <v>15.64</v>
      </c>
      <c r="BE15" s="66"/>
      <c r="BF15" s="31">
        <f>O15</f>
        <v>1</v>
      </c>
      <c r="BG15" s="67">
        <f>BF15*G15</f>
        <v>15.64</v>
      </c>
      <c r="BH15" s="66"/>
      <c r="BI15" s="31">
        <f>Q15</f>
        <v>0</v>
      </c>
      <c r="BJ15" s="65">
        <f>BI15*G15</f>
        <v>0</v>
      </c>
      <c r="BK15" s="66"/>
      <c r="BL15" s="31">
        <f>S15</f>
        <v>1</v>
      </c>
      <c r="BM15" s="67">
        <f>BL15*G15</f>
        <v>15.64</v>
      </c>
      <c r="BN15" s="66"/>
      <c r="BO15" s="31">
        <f>U15</f>
        <v>0</v>
      </c>
      <c r="BP15" s="65">
        <f>BO15*G15</f>
        <v>0</v>
      </c>
      <c r="BQ15" s="66"/>
      <c r="BR15" s="31">
        <f>W15</f>
        <v>1</v>
      </c>
      <c r="BS15" s="67">
        <f>BR15*G15</f>
        <v>15.64</v>
      </c>
      <c r="BT15" s="66"/>
      <c r="BU15" s="31">
        <f>Y15</f>
        <v>1</v>
      </c>
      <c r="BV15" s="65">
        <f>BU15*G15</f>
        <v>15.64</v>
      </c>
      <c r="BW15" s="66"/>
      <c r="BX15" s="31">
        <f>AA15</f>
        <v>0</v>
      </c>
      <c r="BY15" s="67">
        <f>BX15*G15</f>
        <v>0</v>
      </c>
      <c r="BZ15" s="66"/>
      <c r="CA15" s="31">
        <f>AC15</f>
        <v>1</v>
      </c>
      <c r="CB15" s="65">
        <f>CA15*G15</f>
        <v>15.64</v>
      </c>
      <c r="CC15" s="66"/>
      <c r="CD15" s="31">
        <f>AE15</f>
        <v>1</v>
      </c>
      <c r="CE15" s="67">
        <f>CD15*G15</f>
        <v>15.64</v>
      </c>
      <c r="CF15" s="66"/>
      <c r="CG15" s="34">
        <f>AG15</f>
        <v>0</v>
      </c>
      <c r="CH15" s="67">
        <f>CG15*G15</f>
        <v>0</v>
      </c>
      <c r="CI15" s="66"/>
      <c r="CJ15" s="34">
        <f>AI15</f>
        <v>0</v>
      </c>
      <c r="CK15" s="67">
        <f>CJ15*G15</f>
        <v>0</v>
      </c>
      <c r="CL15" s="66"/>
      <c r="CM15" s="34">
        <f>AK15</f>
        <v>0</v>
      </c>
      <c r="CN15" s="67">
        <f>CM15*G15</f>
        <v>0</v>
      </c>
      <c r="CO15" s="66"/>
      <c r="CP15" s="34">
        <f t="shared" si="0"/>
        <v>0</v>
      </c>
      <c r="CQ15" s="67">
        <f t="shared" si="1"/>
        <v>0</v>
      </c>
      <c r="CR15" s="66"/>
      <c r="CS15" s="34">
        <f>AO15</f>
        <v>0</v>
      </c>
      <c r="CT15" s="65">
        <f>CS15*G15</f>
        <v>0</v>
      </c>
      <c r="CU15" s="66"/>
      <c r="CV15" s="31">
        <f>AQ15</f>
        <v>0</v>
      </c>
      <c r="CW15" s="67">
        <f>CV15*G15</f>
        <v>0</v>
      </c>
      <c r="CX15" s="66"/>
      <c r="CY15" s="31">
        <f>AS15</f>
        <v>0</v>
      </c>
      <c r="CZ15" s="65">
        <f>CY15*G15</f>
        <v>0</v>
      </c>
      <c r="DA15" s="66"/>
      <c r="DB15" s="31">
        <f>AU15</f>
        <v>0</v>
      </c>
      <c r="DC15" s="67">
        <f>DB15*G15</f>
        <v>0</v>
      </c>
      <c r="DE15" s="76">
        <v>38</v>
      </c>
      <c r="DF15" s="42">
        <f>DE15*G15</f>
        <v>0</v>
      </c>
      <c r="DG15" s="69"/>
      <c r="DH15" s="42"/>
      <c r="DI15" s="70">
        <f>SUM(I15:AV15)</f>
        <v>9</v>
      </c>
      <c r="DJ15" s="42"/>
      <c r="DK15" s="70">
        <f>DE15+DG15-DI15</f>
        <v>29</v>
      </c>
      <c r="DL15" s="42"/>
      <c r="DM15" s="71">
        <f>E15*DK15</f>
        <v>377.87</v>
      </c>
      <c r="DN15" s="42"/>
      <c r="DO15" s="72">
        <f t="shared" si="2"/>
        <v>15</v>
      </c>
      <c r="DP15" s="42"/>
      <c r="DQ15" s="71">
        <f>G15*DK15</f>
        <v>453.56</v>
      </c>
      <c r="DR15" s="42"/>
      <c r="DS15" s="69"/>
      <c r="DT15" s="42"/>
      <c r="DU15" s="71">
        <v>0</v>
      </c>
      <c r="DV15" s="42"/>
      <c r="DW15" s="73">
        <f>DU15*1.2</f>
        <v>0</v>
      </c>
      <c r="DX15" s="42"/>
      <c r="DY15" s="71">
        <f>DU15*DS15</f>
        <v>0</v>
      </c>
    </row>
    <row r="16" ht="12.45" customHeight="1" spans="1:129" x14ac:dyDescent="0.25">
      <c r="A16" s="77" t="s">
        <v>61</v>
      </c>
      <c r="B16" s="42"/>
      <c r="C16" s="75"/>
      <c r="D16" s="44"/>
      <c r="E16" s="78">
        <v>18.95</v>
      </c>
      <c r="F16" s="44"/>
      <c r="G16" s="61">
        <v>22.74</v>
      </c>
      <c r="I16" s="62"/>
      <c r="J16" s="63"/>
      <c r="K16" s="64">
        <v>1</v>
      </c>
      <c r="L16" s="3"/>
      <c r="M16" s="62"/>
      <c r="N16" s="3"/>
      <c r="O16" s="64"/>
      <c r="P16" s="3"/>
      <c r="Q16" s="62"/>
      <c r="R16" s="3"/>
      <c r="S16" s="64"/>
      <c r="T16" s="3"/>
      <c r="U16" s="62"/>
      <c r="V16" s="3"/>
      <c r="W16" s="64"/>
      <c r="X16" s="3"/>
      <c r="Y16" s="62"/>
      <c r="Z16" s="3"/>
      <c r="AA16" s="64"/>
      <c r="AB16" s="3"/>
      <c r="AC16" s="62"/>
      <c r="AD16" s="3"/>
      <c r="AE16" s="64">
        <v>1</v>
      </c>
      <c r="AF16" s="3"/>
      <c r="AG16" s="62"/>
      <c r="AH16" s="3"/>
      <c r="AI16" s="64"/>
      <c r="AJ16" s="3"/>
      <c r="AK16" s="62"/>
      <c r="AL16" s="3"/>
      <c r="AM16" s="64"/>
      <c r="AN16" s="3"/>
      <c r="AO16" s="62"/>
      <c r="AP16" s="3"/>
      <c r="AQ16" s="64"/>
      <c r="AR16" s="3"/>
      <c r="AS16" s="62"/>
      <c r="AT16" s="3"/>
      <c r="AU16" s="64"/>
      <c r="AW16" s="34"/>
      <c r="AX16" s="65">
        <f>AW16*G16</f>
        <v>0</v>
      </c>
      <c r="AY16" s="66"/>
      <c r="AZ16" s="31">
        <f>K16</f>
        <v>1</v>
      </c>
      <c r="BA16" s="67">
        <f>AZ16*G16</f>
        <v>22.74</v>
      </c>
      <c r="BB16" s="66"/>
      <c r="BC16" s="31">
        <f>M16</f>
        <v>0</v>
      </c>
      <c r="BD16" s="65">
        <f>BC16*G16</f>
        <v>0</v>
      </c>
      <c r="BE16" s="66"/>
      <c r="BF16" s="31">
        <f>O16</f>
        <v>0</v>
      </c>
      <c r="BG16" s="67">
        <f>BF16*G16</f>
        <v>0</v>
      </c>
      <c r="BH16" s="66"/>
      <c r="BI16" s="31">
        <f>Q16</f>
        <v>0</v>
      </c>
      <c r="BJ16" s="65">
        <f>BI16*G16</f>
        <v>0</v>
      </c>
      <c r="BK16" s="66"/>
      <c r="BL16" s="31">
        <f>S16</f>
        <v>0</v>
      </c>
      <c r="BM16" s="67">
        <f>BL16*G16</f>
        <v>0</v>
      </c>
      <c r="BN16" s="66"/>
      <c r="BO16" s="31">
        <f>U16</f>
        <v>0</v>
      </c>
      <c r="BP16" s="65">
        <f>BO16*G16</f>
        <v>0</v>
      </c>
      <c r="BQ16" s="66"/>
      <c r="BR16" s="31">
        <f>W16</f>
        <v>0</v>
      </c>
      <c r="BS16" s="67">
        <f>BR16*G16</f>
        <v>0</v>
      </c>
      <c r="BT16" s="66"/>
      <c r="BU16" s="31">
        <f>Y16</f>
        <v>0</v>
      </c>
      <c r="BV16" s="65">
        <f>BU16*G16</f>
        <v>0</v>
      </c>
      <c r="BW16" s="66"/>
      <c r="BX16" s="31">
        <f>AA16</f>
        <v>0</v>
      </c>
      <c r="BY16" s="67">
        <f>BX16*G16</f>
        <v>0</v>
      </c>
      <c r="BZ16" s="66"/>
      <c r="CA16" s="31">
        <f>AC16</f>
        <v>0</v>
      </c>
      <c r="CB16" s="65">
        <f>CA16*G16</f>
        <v>0</v>
      </c>
      <c r="CC16" s="66"/>
      <c r="CD16" s="31">
        <f>AE16</f>
        <v>1</v>
      </c>
      <c r="CE16" s="67">
        <f>CD16*G16</f>
        <v>22.74</v>
      </c>
      <c r="CF16" s="66"/>
      <c r="CG16" s="34">
        <f>AG16</f>
        <v>0</v>
      </c>
      <c r="CH16" s="67">
        <f>CG16*G16</f>
        <v>0</v>
      </c>
      <c r="CI16" s="66"/>
      <c r="CJ16" s="34">
        <f>AI16</f>
        <v>0</v>
      </c>
      <c r="CK16" s="67">
        <f>CJ16*G16</f>
        <v>0</v>
      </c>
      <c r="CL16" s="66"/>
      <c r="CM16" s="34">
        <f>AK16</f>
        <v>0</v>
      </c>
      <c r="CN16" s="67">
        <f>CM16*G16</f>
        <v>0</v>
      </c>
      <c r="CO16" s="66"/>
      <c r="CP16" s="34">
        <f t="shared" si="0"/>
        <v>0</v>
      </c>
      <c r="CQ16" s="67">
        <f t="shared" si="1"/>
        <v>0</v>
      </c>
      <c r="CR16" s="66"/>
      <c r="CS16" s="34">
        <f>AO16</f>
        <v>0</v>
      </c>
      <c r="CT16" s="65">
        <f>CS16*G16</f>
        <v>0</v>
      </c>
      <c r="CU16" s="66"/>
      <c r="CV16" s="31">
        <f>AQ16</f>
        <v>0</v>
      </c>
      <c r="CW16" s="67">
        <f>CV16*G16</f>
        <v>0</v>
      </c>
      <c r="CX16" s="66"/>
      <c r="CY16" s="31">
        <f>AS16</f>
        <v>0</v>
      </c>
      <c r="CZ16" s="65">
        <f>CY16*G16</f>
        <v>0</v>
      </c>
      <c r="DA16" s="66"/>
      <c r="DB16" s="31">
        <f>AU16</f>
        <v>0</v>
      </c>
      <c r="DC16" s="67">
        <f>DB16*G16</f>
        <v>0</v>
      </c>
      <c r="DE16" s="76">
        <v>36</v>
      </c>
      <c r="DF16" s="42">
        <f>DE16*G16</f>
        <v>0</v>
      </c>
      <c r="DG16" s="69"/>
      <c r="DH16" s="42"/>
      <c r="DI16" s="70">
        <f>SUM(I16:AV16)</f>
        <v>2</v>
      </c>
      <c r="DJ16" s="42"/>
      <c r="DK16" s="70">
        <f>DE16+DG16-DI16</f>
        <v>34</v>
      </c>
      <c r="DL16" s="42"/>
      <c r="DM16" s="71">
        <f>E16*DK16</f>
        <v>644.3</v>
      </c>
      <c r="DN16" s="42"/>
      <c r="DO16" s="72">
        <f t="shared" si="2"/>
        <v>7.285714285714286</v>
      </c>
      <c r="DP16" s="42"/>
      <c r="DQ16" s="71">
        <f>G16*DK16</f>
        <v>773.16</v>
      </c>
      <c r="DR16" s="42"/>
      <c r="DS16" s="69"/>
      <c r="DT16" s="42"/>
      <c r="DU16" s="71">
        <v>0</v>
      </c>
      <c r="DV16" s="42"/>
      <c r="DW16" s="73">
        <f>DU16*1.2</f>
        <v>0</v>
      </c>
      <c r="DX16" s="42"/>
      <c r="DY16" s="71">
        <f>DU16*DS16</f>
        <v>0</v>
      </c>
    </row>
    <row r="17" ht="12" customHeight="1" spans="1:129" x14ac:dyDescent="0.25">
      <c r="A17" s="74" t="s">
        <v>62</v>
      </c>
      <c r="B17" s="42"/>
      <c r="C17" s="75"/>
      <c r="D17" s="44"/>
      <c r="E17" s="78">
        <v>22.95</v>
      </c>
      <c r="F17" s="44"/>
      <c r="G17" s="61">
        <v>27.54</v>
      </c>
      <c r="I17" s="62">
        <v>1</v>
      </c>
      <c r="J17" s="63"/>
      <c r="K17" s="64">
        <v>2</v>
      </c>
      <c r="L17" s="3"/>
      <c r="M17" s="62">
        <v>2</v>
      </c>
      <c r="N17" s="3"/>
      <c r="O17" s="64">
        <v>2</v>
      </c>
      <c r="P17" s="3"/>
      <c r="Q17" s="62">
        <v>1</v>
      </c>
      <c r="R17" s="3"/>
      <c r="S17" s="64">
        <v>1</v>
      </c>
      <c r="T17" s="3"/>
      <c r="U17" s="62">
        <v>1</v>
      </c>
      <c r="V17" s="3"/>
      <c r="W17" s="64">
        <v>2</v>
      </c>
      <c r="X17" s="3"/>
      <c r="Y17" s="62">
        <v>1</v>
      </c>
      <c r="Z17" s="3"/>
      <c r="AA17" s="64">
        <v>1</v>
      </c>
      <c r="AB17" s="3"/>
      <c r="AC17" s="62">
        <v>2</v>
      </c>
      <c r="AD17" s="3"/>
      <c r="AE17" s="64">
        <v>2</v>
      </c>
      <c r="AF17" s="3"/>
      <c r="AG17" s="62"/>
      <c r="AH17" s="3"/>
      <c r="AI17" s="64"/>
      <c r="AJ17" s="3"/>
      <c r="AK17" s="62"/>
      <c r="AL17" s="3"/>
      <c r="AM17" s="64"/>
      <c r="AN17" s="3"/>
      <c r="AO17" s="62"/>
      <c r="AP17" s="3"/>
      <c r="AQ17" s="64"/>
      <c r="AR17" s="3"/>
      <c r="AS17" s="62"/>
      <c r="AT17" s="3"/>
      <c r="AU17" s="64"/>
      <c r="AW17" s="34"/>
      <c r="AX17" s="65">
        <f>AW17*G17</f>
        <v>27.54</v>
      </c>
      <c r="AY17" s="66"/>
      <c r="AZ17" s="31">
        <f>K17</f>
        <v>2</v>
      </c>
      <c r="BA17" s="67">
        <f>AZ17*G17</f>
        <v>55.08</v>
      </c>
      <c r="BB17" s="66"/>
      <c r="BC17" s="31">
        <f>M17</f>
        <v>2</v>
      </c>
      <c r="BD17" s="65">
        <f>BC17*G17</f>
        <v>55.08</v>
      </c>
      <c r="BE17" s="66"/>
      <c r="BF17" s="31">
        <f>O17</f>
        <v>2</v>
      </c>
      <c r="BG17" s="67">
        <f>BF17*G17</f>
        <v>55.08</v>
      </c>
      <c r="BH17" s="66"/>
      <c r="BI17" s="31">
        <f>Q17</f>
        <v>1</v>
      </c>
      <c r="BJ17" s="65">
        <f>BI17*G17</f>
        <v>27.54</v>
      </c>
      <c r="BK17" s="66"/>
      <c r="BL17" s="31">
        <f>S17</f>
        <v>1</v>
      </c>
      <c r="BM17" s="67">
        <f>BL17*G17</f>
        <v>27.54</v>
      </c>
      <c r="BN17" s="66"/>
      <c r="BO17" s="31">
        <f>U17</f>
        <v>1</v>
      </c>
      <c r="BP17" s="65">
        <f>BO17*G17</f>
        <v>27.54</v>
      </c>
      <c r="BQ17" s="66"/>
      <c r="BR17" s="31">
        <f>W17</f>
        <v>2</v>
      </c>
      <c r="BS17" s="67">
        <f>BR17*G17</f>
        <v>55.08</v>
      </c>
      <c r="BT17" s="66"/>
      <c r="BU17" s="31">
        <f>Y17</f>
        <v>1</v>
      </c>
      <c r="BV17" s="65">
        <f>BU17*G17</f>
        <v>27.54</v>
      </c>
      <c r="BW17" s="66"/>
      <c r="BX17" s="31">
        <f>AA17</f>
        <v>1</v>
      </c>
      <c r="BY17" s="67">
        <f>BX17*G17</f>
        <v>27.54</v>
      </c>
      <c r="BZ17" s="66"/>
      <c r="CA17" s="31">
        <f>AC17</f>
        <v>2</v>
      </c>
      <c r="CB17" s="65">
        <f>CA17*G17</f>
        <v>55.08</v>
      </c>
      <c r="CC17" s="66"/>
      <c r="CD17" s="31">
        <f>AE17</f>
        <v>2</v>
      </c>
      <c r="CE17" s="67">
        <f>CD17*G17</f>
        <v>55.08</v>
      </c>
      <c r="CF17" s="66"/>
      <c r="CG17" s="34">
        <f>AG17</f>
        <v>0</v>
      </c>
      <c r="CH17" s="67">
        <f>CG17*G17</f>
        <v>0</v>
      </c>
      <c r="CI17" s="66"/>
      <c r="CJ17" s="34">
        <f>AI17</f>
        <v>0</v>
      </c>
      <c r="CK17" s="67">
        <f>CJ17*G17</f>
        <v>0</v>
      </c>
      <c r="CL17" s="66"/>
      <c r="CM17" s="34">
        <f>AK17</f>
        <v>0</v>
      </c>
      <c r="CN17" s="67">
        <f>CM17*G17</f>
        <v>0</v>
      </c>
      <c r="CO17" s="66"/>
      <c r="CP17" s="34">
        <f t="shared" si="0"/>
        <v>0</v>
      </c>
      <c r="CQ17" s="67">
        <f t="shared" si="1"/>
        <v>0</v>
      </c>
      <c r="CR17" s="66"/>
      <c r="CS17" s="34">
        <f>AO17</f>
        <v>0</v>
      </c>
      <c r="CT17" s="65">
        <f>CS17*G17</f>
        <v>0</v>
      </c>
      <c r="CU17" s="66"/>
      <c r="CV17" s="31">
        <f>AQ17</f>
        <v>0</v>
      </c>
      <c r="CW17" s="67">
        <f>CV17*G17</f>
        <v>0</v>
      </c>
      <c r="CX17" s="66"/>
      <c r="CY17" s="31">
        <f>AS17</f>
        <v>0</v>
      </c>
      <c r="CZ17" s="65">
        <f>CY17*G17</f>
        <v>0</v>
      </c>
      <c r="DA17" s="66"/>
      <c r="DB17" s="31">
        <f>AU17</f>
        <v>0</v>
      </c>
      <c r="DC17" s="67">
        <f>DB17*G17</f>
        <v>0</v>
      </c>
      <c r="DE17" s="76">
        <v>78</v>
      </c>
      <c r="DF17" s="42">
        <f>DE17*G17</f>
        <v>0</v>
      </c>
      <c r="DG17" s="69"/>
      <c r="DH17" s="42"/>
      <c r="DI17" s="70">
        <f>SUM(I17:AV17)</f>
        <v>18</v>
      </c>
      <c r="DJ17" s="42"/>
      <c r="DK17" s="70">
        <f>DE17+DG17-DI17</f>
        <v>60</v>
      </c>
      <c r="DL17" s="42"/>
      <c r="DM17" s="71">
        <f>E17*DK17</f>
        <v>1377</v>
      </c>
      <c r="DN17" s="42"/>
      <c r="DO17" s="72">
        <f t="shared" si="2"/>
        <v>26.333333333333332</v>
      </c>
      <c r="DP17" s="42"/>
      <c r="DQ17" s="71">
        <f>G17*DK17</f>
        <v>1652.4</v>
      </c>
      <c r="DR17" s="42"/>
      <c r="DS17" s="69"/>
      <c r="DT17" s="42"/>
      <c r="DU17" s="71">
        <v>0</v>
      </c>
      <c r="DV17" s="42"/>
      <c r="DW17" s="73">
        <f>DU17*1.2</f>
        <v>0</v>
      </c>
      <c r="DX17" s="42"/>
      <c r="DY17" s="71">
        <f>DU17*DS17</f>
        <v>0</v>
      </c>
    </row>
    <row r="18" ht="12" customHeight="1" spans="1:129" x14ac:dyDescent="0.25">
      <c r="A18" s="77" t="s">
        <v>63</v>
      </c>
      <c r="B18" s="42"/>
      <c r="C18" s="75"/>
      <c r="D18" s="44"/>
      <c r="E18" s="78">
        <v>33.95</v>
      </c>
      <c r="F18" s="44"/>
      <c r="G18" s="61">
        <v>40.74</v>
      </c>
      <c r="I18" s="62"/>
      <c r="J18" s="63"/>
      <c r="K18" s="64"/>
      <c r="L18" s="3"/>
      <c r="M18" s="62"/>
      <c r="N18" s="3"/>
      <c r="O18" s="64"/>
      <c r="P18" s="3"/>
      <c r="Q18" s="62"/>
      <c r="R18" s="3"/>
      <c r="S18" s="64"/>
      <c r="T18" s="3"/>
      <c r="U18" s="62"/>
      <c r="V18" s="3"/>
      <c r="W18" s="64"/>
      <c r="X18" s="3"/>
      <c r="Y18" s="62"/>
      <c r="Z18" s="3"/>
      <c r="AA18" s="64"/>
      <c r="AB18" s="3"/>
      <c r="AC18" s="62"/>
      <c r="AD18" s="3"/>
      <c r="AE18" s="64"/>
      <c r="AF18" s="3"/>
      <c r="AG18" s="62"/>
      <c r="AH18" s="3"/>
      <c r="AI18" s="64"/>
      <c r="AJ18" s="3"/>
      <c r="AK18" s="62"/>
      <c r="AL18" s="3"/>
      <c r="AM18" s="64"/>
      <c r="AN18" s="3"/>
      <c r="AO18" s="62"/>
      <c r="AP18" s="3"/>
      <c r="AQ18" s="64">
        <v>1</v>
      </c>
      <c r="AR18" s="3"/>
      <c r="AS18" s="62"/>
      <c r="AT18" s="3"/>
      <c r="AU18" s="64"/>
      <c r="AW18" s="34"/>
      <c r="AX18" s="65">
        <f>AW18*G18</f>
        <v>0</v>
      </c>
      <c r="AY18" s="66"/>
      <c r="AZ18" s="31">
        <f>K18</f>
        <v>0</v>
      </c>
      <c r="BA18" s="67">
        <f>AZ18*G18</f>
        <v>0</v>
      </c>
      <c r="BB18" s="66"/>
      <c r="BC18" s="31">
        <f>M18</f>
        <v>0</v>
      </c>
      <c r="BD18" s="65">
        <f>BC18*G18</f>
        <v>0</v>
      </c>
      <c r="BE18" s="66"/>
      <c r="BF18" s="31">
        <f>O18</f>
        <v>0</v>
      </c>
      <c r="BG18" s="67">
        <f>BF18*G18</f>
        <v>0</v>
      </c>
      <c r="BH18" s="66"/>
      <c r="BI18" s="31">
        <f>Q18</f>
        <v>0</v>
      </c>
      <c r="BJ18" s="65">
        <f>BI18*G18</f>
        <v>0</v>
      </c>
      <c r="BK18" s="66"/>
      <c r="BL18" s="31">
        <f>S18</f>
        <v>0</v>
      </c>
      <c r="BM18" s="67">
        <f>BL18*G18</f>
        <v>0</v>
      </c>
      <c r="BN18" s="66"/>
      <c r="BO18" s="31">
        <f>U18</f>
        <v>0</v>
      </c>
      <c r="BP18" s="65">
        <f>BO18*G18</f>
        <v>0</v>
      </c>
      <c r="BQ18" s="66"/>
      <c r="BR18" s="31">
        <f>W18</f>
        <v>0</v>
      </c>
      <c r="BS18" s="67">
        <f>BR18*G18</f>
        <v>0</v>
      </c>
      <c r="BT18" s="66"/>
      <c r="BU18" s="31">
        <f>Y18</f>
        <v>0</v>
      </c>
      <c r="BV18" s="65">
        <f>BU18*G18</f>
        <v>0</v>
      </c>
      <c r="BW18" s="66"/>
      <c r="BX18" s="31">
        <f>AA18</f>
        <v>0</v>
      </c>
      <c r="BY18" s="67">
        <f>BX18*G18</f>
        <v>0</v>
      </c>
      <c r="BZ18" s="66"/>
      <c r="CA18" s="31">
        <f>AC18</f>
        <v>0</v>
      </c>
      <c r="CB18" s="65">
        <f>CA18*G18</f>
        <v>0</v>
      </c>
      <c r="CC18" s="66"/>
      <c r="CD18" s="31">
        <f>AE18</f>
        <v>0</v>
      </c>
      <c r="CE18" s="67">
        <f>CD18*G18</f>
        <v>0</v>
      </c>
      <c r="CF18" s="66"/>
      <c r="CG18" s="34">
        <f>AG18</f>
        <v>0</v>
      </c>
      <c r="CH18" s="67">
        <f>CG18*G18</f>
        <v>0</v>
      </c>
      <c r="CI18" s="66"/>
      <c r="CJ18" s="34">
        <f>AI18</f>
        <v>0</v>
      </c>
      <c r="CK18" s="67">
        <f>CJ18*G18</f>
        <v>0</v>
      </c>
      <c r="CL18" s="66"/>
      <c r="CM18" s="34">
        <f>AK18</f>
        <v>0</v>
      </c>
      <c r="CN18" s="67">
        <f>CM18*G18</f>
        <v>0</v>
      </c>
      <c r="CO18" s="66"/>
      <c r="CP18" s="34">
        <f t="shared" si="0"/>
        <v>0</v>
      </c>
      <c r="CQ18" s="67">
        <f t="shared" si="1"/>
        <v>0</v>
      </c>
      <c r="CR18" s="66"/>
      <c r="CS18" s="34">
        <f>AO18</f>
        <v>0</v>
      </c>
      <c r="CT18" s="65">
        <f>CS18*G18</f>
        <v>0</v>
      </c>
      <c r="CU18" s="66"/>
      <c r="CV18" s="31">
        <f>AQ18</f>
        <v>1</v>
      </c>
      <c r="CW18" s="67">
        <f>CV18*G18</f>
        <v>40.74</v>
      </c>
      <c r="CX18" s="66"/>
      <c r="CY18" s="31">
        <f>AS18</f>
        <v>0</v>
      </c>
      <c r="CZ18" s="65">
        <f>CY18*G18</f>
        <v>0</v>
      </c>
      <c r="DA18" s="66"/>
      <c r="DB18" s="31">
        <f>AU18</f>
        <v>0</v>
      </c>
      <c r="DC18" s="67">
        <f>DB18*G18</f>
        <v>0</v>
      </c>
      <c r="DE18" s="76">
        <v>309</v>
      </c>
      <c r="DF18" s="42">
        <f>DE18*G18</f>
        <v>0</v>
      </c>
      <c r="DG18" s="69"/>
      <c r="DH18" s="42"/>
      <c r="DI18" s="70">
        <f>SUM(I18:AV18)</f>
        <v>1</v>
      </c>
      <c r="DJ18" s="42"/>
      <c r="DK18" s="70">
        <f>DE18+DG18-DI18</f>
        <v>308</v>
      </c>
      <c r="DL18" s="42"/>
      <c r="DM18" s="71">
        <f>E18*DK18</f>
        <v>10456.6</v>
      </c>
      <c r="DN18" s="42"/>
      <c r="DO18" s="72">
        <f t="shared" si="2"/>
        <v>26.23076923076923</v>
      </c>
      <c r="DP18" s="42"/>
      <c r="DQ18" s="71">
        <f>G18*DK18</f>
        <v>12547.92</v>
      </c>
      <c r="DR18" s="42"/>
      <c r="DS18" s="69"/>
      <c r="DT18" s="42"/>
      <c r="DU18" s="71">
        <v>0</v>
      </c>
      <c r="DV18" s="42"/>
      <c r="DW18" s="73">
        <f>DU18*1.2</f>
        <v>0</v>
      </c>
      <c r="DX18" s="42"/>
      <c r="DY18" s="71">
        <f>DU18*DS18</f>
        <v>0</v>
      </c>
    </row>
    <row r="19" ht="12" customHeight="1" spans="1:129" x14ac:dyDescent="0.25">
      <c r="A19" s="74" t="s">
        <v>64</v>
      </c>
      <c r="B19" s="42"/>
      <c r="C19" s="75"/>
      <c r="D19" s="44"/>
      <c r="E19" s="78">
        <v>15.85</v>
      </c>
      <c r="F19" s="44"/>
      <c r="G19" s="61">
        <v>19.02</v>
      </c>
      <c r="I19" s="62"/>
      <c r="J19" s="63"/>
      <c r="K19" s="64"/>
      <c r="L19" s="3"/>
      <c r="M19" s="62">
        <v>1</v>
      </c>
      <c r="N19" s="3"/>
      <c r="O19" s="64">
        <v>1</v>
      </c>
      <c r="P19" s="3"/>
      <c r="Q19" s="62"/>
      <c r="R19" s="3"/>
      <c r="S19" s="64">
        <v>1</v>
      </c>
      <c r="T19" s="3"/>
      <c r="U19" s="62"/>
      <c r="V19" s="3"/>
      <c r="W19" s="64"/>
      <c r="X19" s="3"/>
      <c r="Y19" s="62"/>
      <c r="Z19" s="3"/>
      <c r="AA19" s="64"/>
      <c r="AB19" s="3"/>
      <c r="AC19" s="62"/>
      <c r="AD19" s="3"/>
      <c r="AE19" s="64">
        <v>1</v>
      </c>
      <c r="AF19" s="3"/>
      <c r="AG19" s="62"/>
      <c r="AH19" s="3"/>
      <c r="AI19" s="64"/>
      <c r="AJ19" s="3"/>
      <c r="AK19" s="62"/>
      <c r="AL19" s="3"/>
      <c r="AM19" s="64"/>
      <c r="AN19" s="3"/>
      <c r="AO19" s="62"/>
      <c r="AP19" s="3"/>
      <c r="AQ19" s="64"/>
      <c r="AR19" s="3"/>
      <c r="AS19" s="62"/>
      <c r="AT19" s="3"/>
      <c r="AU19" s="64"/>
      <c r="AW19" s="34"/>
      <c r="AX19" s="65">
        <f>AW19*G19</f>
        <v>0</v>
      </c>
      <c r="AY19" s="66"/>
      <c r="AZ19" s="31">
        <f>K19</f>
        <v>0</v>
      </c>
      <c r="BA19" s="67">
        <f>AZ19*G19</f>
        <v>0</v>
      </c>
      <c r="BB19" s="66"/>
      <c r="BC19" s="31">
        <f>M19</f>
        <v>1</v>
      </c>
      <c r="BD19" s="65">
        <f>BC19*G19</f>
        <v>19.02</v>
      </c>
      <c r="BE19" s="66"/>
      <c r="BF19" s="31">
        <f>O19</f>
        <v>1</v>
      </c>
      <c r="BG19" s="67">
        <f>BF19*G19</f>
        <v>19.02</v>
      </c>
      <c r="BH19" s="66"/>
      <c r="BI19" s="31">
        <f>Q19</f>
        <v>0</v>
      </c>
      <c r="BJ19" s="65">
        <f>BI19*G19</f>
        <v>0</v>
      </c>
      <c r="BK19" s="66"/>
      <c r="BL19" s="31">
        <f>S19</f>
        <v>1</v>
      </c>
      <c r="BM19" s="67">
        <f>BL19*G19</f>
        <v>19.02</v>
      </c>
      <c r="BN19" s="66"/>
      <c r="BO19" s="31">
        <f>U19</f>
        <v>0</v>
      </c>
      <c r="BP19" s="65">
        <f>BO19*G19</f>
        <v>0</v>
      </c>
      <c r="BQ19" s="66"/>
      <c r="BR19" s="31">
        <f>W19</f>
        <v>0</v>
      </c>
      <c r="BS19" s="67">
        <f>BR19*G19</f>
        <v>0</v>
      </c>
      <c r="BT19" s="66"/>
      <c r="BU19" s="31">
        <f>Y19</f>
        <v>0</v>
      </c>
      <c r="BV19" s="65">
        <f>BU19*G19</f>
        <v>0</v>
      </c>
      <c r="BW19" s="66"/>
      <c r="BX19" s="31">
        <f>AA19</f>
        <v>0</v>
      </c>
      <c r="BY19" s="67">
        <f>BX19*G19</f>
        <v>0</v>
      </c>
      <c r="BZ19" s="66"/>
      <c r="CA19" s="31">
        <f>AC19</f>
        <v>0</v>
      </c>
      <c r="CB19" s="65">
        <f>CA19*G19</f>
        <v>0</v>
      </c>
      <c r="CC19" s="66"/>
      <c r="CD19" s="31">
        <f>AE19</f>
        <v>1</v>
      </c>
      <c r="CE19" s="67">
        <f>CD19*G19</f>
        <v>19.02</v>
      </c>
      <c r="CF19" s="66"/>
      <c r="CG19" s="34">
        <f>AG19</f>
        <v>0</v>
      </c>
      <c r="CH19" s="67">
        <f>CG19*G19</f>
        <v>0</v>
      </c>
      <c r="CI19" s="66"/>
      <c r="CJ19" s="34">
        <f>AI19</f>
        <v>0</v>
      </c>
      <c r="CK19" s="67">
        <f>CJ19*G19</f>
        <v>0</v>
      </c>
      <c r="CL19" s="66"/>
      <c r="CM19" s="34">
        <f>AK19</f>
        <v>0</v>
      </c>
      <c r="CN19" s="67">
        <f>CM19*G19</f>
        <v>0</v>
      </c>
      <c r="CO19" s="66"/>
      <c r="CP19" s="34">
        <f t="shared" si="0"/>
        <v>0</v>
      </c>
      <c r="CQ19" s="67">
        <f t="shared" si="1"/>
        <v>0</v>
      </c>
      <c r="CR19" s="66"/>
      <c r="CS19" s="34">
        <f>AO19</f>
        <v>0</v>
      </c>
      <c r="CT19" s="65">
        <f>CS19*G19</f>
        <v>0</v>
      </c>
      <c r="CU19" s="66"/>
      <c r="CV19" s="31">
        <f>AQ19</f>
        <v>0</v>
      </c>
      <c r="CW19" s="67">
        <f>CV19*G19</f>
        <v>0</v>
      </c>
      <c r="CX19" s="66"/>
      <c r="CY19" s="31">
        <f>AS19</f>
        <v>0</v>
      </c>
      <c r="CZ19" s="65">
        <f>CY19*G19</f>
        <v>0</v>
      </c>
      <c r="DA19" s="66"/>
      <c r="DB19" s="31">
        <f>AU19</f>
        <v>0</v>
      </c>
      <c r="DC19" s="67">
        <f>DB19*G19</f>
        <v>0</v>
      </c>
      <c r="DE19" s="76">
        <v>35</v>
      </c>
      <c r="DF19" s="42">
        <f>DE19*G19</f>
        <v>0</v>
      </c>
      <c r="DG19" s="69"/>
      <c r="DH19" s="42"/>
      <c r="DI19" s="70">
        <f>SUM(I19:AV19)</f>
        <v>4</v>
      </c>
      <c r="DJ19" s="42"/>
      <c r="DK19" s="70">
        <f>DE19+DG19-DI19</f>
        <v>31</v>
      </c>
      <c r="DL19" s="42"/>
      <c r="DM19" s="71">
        <f>E19*DK19</f>
        <v>491.35</v>
      </c>
      <c r="DN19" s="42"/>
      <c r="DO19" s="72">
        <f t="shared" si="2"/>
        <v>12</v>
      </c>
      <c r="DP19" s="42"/>
      <c r="DQ19" s="71">
        <f>G19*DK19</f>
        <v>589.62</v>
      </c>
      <c r="DR19" s="42"/>
      <c r="DS19" s="69"/>
      <c r="DT19" s="42"/>
      <c r="DU19" s="71">
        <v>0</v>
      </c>
      <c r="DV19" s="42"/>
      <c r="DW19" s="73">
        <f>DU19*1.2</f>
        <v>0</v>
      </c>
      <c r="DX19" s="42"/>
      <c r="DY19" s="71">
        <f>DU19*DS19</f>
        <v>0</v>
      </c>
    </row>
    <row r="20" ht="12" customHeight="1" spans="1:129" x14ac:dyDescent="0.25">
      <c r="A20" s="77" t="s">
        <v>65</v>
      </c>
      <c r="B20" s="42"/>
      <c r="C20" s="75"/>
      <c r="D20" s="44"/>
      <c r="E20" s="78">
        <v>21.95</v>
      </c>
      <c r="F20" s="44"/>
      <c r="G20" s="61">
        <v>26.34</v>
      </c>
      <c r="I20" s="62"/>
      <c r="J20" s="63"/>
      <c r="K20" s="64">
        <v>1</v>
      </c>
      <c r="L20" s="3"/>
      <c r="M20" s="62">
        <v>1</v>
      </c>
      <c r="N20" s="3"/>
      <c r="O20" s="64">
        <v>1</v>
      </c>
      <c r="P20" s="3"/>
      <c r="Q20" s="62">
        <v>1</v>
      </c>
      <c r="R20" s="3"/>
      <c r="S20" s="64"/>
      <c r="T20" s="3"/>
      <c r="U20" s="62">
        <v>1</v>
      </c>
      <c r="V20" s="3"/>
      <c r="W20" s="64">
        <v>1</v>
      </c>
      <c r="X20" s="3"/>
      <c r="Y20" s="62">
        <v>1</v>
      </c>
      <c r="Z20" s="3"/>
      <c r="AA20" s="64"/>
      <c r="AB20" s="3"/>
      <c r="AC20" s="62">
        <v>1</v>
      </c>
      <c r="AD20" s="3"/>
      <c r="AE20" s="64">
        <v>2</v>
      </c>
      <c r="AF20" s="3"/>
      <c r="AG20" s="62"/>
      <c r="AH20" s="3"/>
      <c r="AI20" s="64"/>
      <c r="AJ20" s="3"/>
      <c r="AK20" s="62"/>
      <c r="AL20" s="3"/>
      <c r="AM20" s="64"/>
      <c r="AN20" s="3"/>
      <c r="AO20" s="62">
        <v>7</v>
      </c>
      <c r="AP20" s="3"/>
      <c r="AQ20" s="64"/>
      <c r="AR20" s="3"/>
      <c r="AS20" s="62"/>
      <c r="AT20" s="3"/>
      <c r="AU20" s="64"/>
      <c r="AW20" s="34"/>
      <c r="AX20" s="65">
        <f>AW20*G20</f>
        <v>0</v>
      </c>
      <c r="AY20" s="66"/>
      <c r="AZ20" s="31">
        <f>K20</f>
        <v>1</v>
      </c>
      <c r="BA20" s="67">
        <f>AZ20*G20</f>
        <v>26.34</v>
      </c>
      <c r="BB20" s="66"/>
      <c r="BC20" s="31">
        <f>M20</f>
        <v>1</v>
      </c>
      <c r="BD20" s="65">
        <f>BC20*G20</f>
        <v>26.34</v>
      </c>
      <c r="BE20" s="66"/>
      <c r="BF20" s="31">
        <f>O20</f>
        <v>1</v>
      </c>
      <c r="BG20" s="67">
        <f>BF20*G20</f>
        <v>26.34</v>
      </c>
      <c r="BH20" s="66"/>
      <c r="BI20" s="31">
        <f>Q20</f>
        <v>1</v>
      </c>
      <c r="BJ20" s="65">
        <f>BI20*G20</f>
        <v>26.34</v>
      </c>
      <c r="BK20" s="66"/>
      <c r="BL20" s="31">
        <f>S20</f>
        <v>0</v>
      </c>
      <c r="BM20" s="67">
        <f>BL20*G20</f>
        <v>0</v>
      </c>
      <c r="BN20" s="66"/>
      <c r="BO20" s="31">
        <f>U20</f>
        <v>1</v>
      </c>
      <c r="BP20" s="65">
        <f>BO20*G20</f>
        <v>26.34</v>
      </c>
      <c r="BQ20" s="66"/>
      <c r="BR20" s="31">
        <f>W20</f>
        <v>1</v>
      </c>
      <c r="BS20" s="67">
        <f>BR20*G20</f>
        <v>26.34</v>
      </c>
      <c r="BT20" s="66"/>
      <c r="BU20" s="31">
        <f>Y20</f>
        <v>1</v>
      </c>
      <c r="BV20" s="65">
        <f>BU20*G20</f>
        <v>26.34</v>
      </c>
      <c r="BW20" s="66"/>
      <c r="BX20" s="31">
        <f>AA20</f>
        <v>0</v>
      </c>
      <c r="BY20" s="67">
        <f>BX20*G20</f>
        <v>0</v>
      </c>
      <c r="BZ20" s="66"/>
      <c r="CA20" s="31">
        <f>AC20</f>
        <v>1</v>
      </c>
      <c r="CB20" s="65">
        <f>CA20*G20</f>
        <v>26.34</v>
      </c>
      <c r="CC20" s="66"/>
      <c r="CD20" s="31">
        <f>AE20</f>
        <v>2</v>
      </c>
      <c r="CE20" s="67">
        <f>CD20*G20</f>
        <v>52.68</v>
      </c>
      <c r="CF20" s="66"/>
      <c r="CG20" s="34">
        <f>AG20</f>
        <v>0</v>
      </c>
      <c r="CH20" s="67">
        <f>CG20*G20</f>
        <v>0</v>
      </c>
      <c r="CI20" s="66"/>
      <c r="CJ20" s="34">
        <f>AI20</f>
        <v>0</v>
      </c>
      <c r="CK20" s="67">
        <f>CJ20*G20</f>
        <v>0</v>
      </c>
      <c r="CL20" s="66"/>
      <c r="CM20" s="34">
        <f>AK20</f>
        <v>0</v>
      </c>
      <c r="CN20" s="67">
        <f>CM20*G20</f>
        <v>0</v>
      </c>
      <c r="CO20" s="66"/>
      <c r="CP20" s="34">
        <f t="shared" si="0"/>
        <v>0</v>
      </c>
      <c r="CQ20" s="67">
        <f t="shared" si="1"/>
        <v>0</v>
      </c>
      <c r="CR20" s="66"/>
      <c r="CS20" s="34">
        <f>AO20</f>
        <v>7</v>
      </c>
      <c r="CT20" s="65">
        <f>CS20*G20</f>
        <v>184.38</v>
      </c>
      <c r="CU20" s="66"/>
      <c r="CV20" s="31">
        <f>AQ20</f>
        <v>0</v>
      </c>
      <c r="CW20" s="67">
        <f>CV20*G20</f>
        <v>0</v>
      </c>
      <c r="CX20" s="66"/>
      <c r="CY20" s="31">
        <f>AS20</f>
        <v>0</v>
      </c>
      <c r="CZ20" s="65">
        <f>CY20*G20</f>
        <v>0</v>
      </c>
      <c r="DA20" s="66"/>
      <c r="DB20" s="31">
        <f>AU20</f>
        <v>0</v>
      </c>
      <c r="DC20" s="67">
        <f>DB20*G20</f>
        <v>0</v>
      </c>
      <c r="DE20" s="76">
        <v>1685</v>
      </c>
      <c r="DF20" s="42">
        <f>DE20*G20</f>
        <v>0</v>
      </c>
      <c r="DG20" s="69"/>
      <c r="DH20" s="42"/>
      <c r="DI20" s="70">
        <f>SUM(I20:AV20)</f>
        <v>17</v>
      </c>
      <c r="DJ20" s="42"/>
      <c r="DK20" s="70">
        <f>DE20+DG20-DI20</f>
        <v>1668</v>
      </c>
      <c r="DL20" s="42"/>
      <c r="DM20" s="71">
        <f>E20*DK20</f>
        <v>36612.6</v>
      </c>
      <c r="DN20" s="42"/>
      <c r="DO20" s="72">
        <f t="shared" si="2"/>
        <v>249</v>
      </c>
      <c r="DP20" s="42"/>
      <c r="DQ20" s="71">
        <f>G20*DK20</f>
        <v>43935.12</v>
      </c>
      <c r="DR20" s="42"/>
      <c r="DS20" s="69">
        <v>486</v>
      </c>
      <c r="DT20" s="42"/>
      <c r="DU20" s="71">
        <v>23.95</v>
      </c>
      <c r="DV20" s="42"/>
      <c r="DW20" s="73">
        <f>DU20*1.2</f>
        <v>28.74</v>
      </c>
      <c r="DX20" s="42"/>
      <c r="DY20" s="71">
        <f>DU20*DS20</f>
        <v>11639.7</v>
      </c>
    </row>
    <row r="21" ht="12" customHeight="1" spans="1:129" x14ac:dyDescent="0.25">
      <c r="A21" s="74" t="s">
        <v>66</v>
      </c>
      <c r="B21" s="42"/>
      <c r="C21" s="75"/>
      <c r="D21" s="44"/>
      <c r="E21" s="78">
        <v>33.5</v>
      </c>
      <c r="F21" s="44"/>
      <c r="G21" s="61">
        <v>40.2</v>
      </c>
      <c r="I21" s="62"/>
      <c r="J21" s="63"/>
      <c r="K21" s="64"/>
      <c r="L21" s="3"/>
      <c r="M21" s="62">
        <v>1</v>
      </c>
      <c r="N21" s="3"/>
      <c r="O21" s="64"/>
      <c r="P21" s="3"/>
      <c r="Q21" s="62"/>
      <c r="R21" s="3"/>
      <c r="S21" s="64"/>
      <c r="T21" s="3"/>
      <c r="U21" s="62"/>
      <c r="V21" s="3"/>
      <c r="W21" s="64"/>
      <c r="X21" s="3"/>
      <c r="Y21" s="62"/>
      <c r="Z21" s="3"/>
      <c r="AA21" s="64"/>
      <c r="AB21" s="3"/>
      <c r="AC21" s="62"/>
      <c r="AD21" s="3"/>
      <c r="AE21" s="64">
        <v>1</v>
      </c>
      <c r="AF21" s="3"/>
      <c r="AG21" s="62"/>
      <c r="AH21" s="3"/>
      <c r="AI21" s="64"/>
      <c r="AJ21" s="3"/>
      <c r="AK21" s="62"/>
      <c r="AL21" s="3"/>
      <c r="AM21" s="64"/>
      <c r="AN21" s="3"/>
      <c r="AO21" s="62"/>
      <c r="AP21" s="3"/>
      <c r="AQ21" s="64">
        <v>1</v>
      </c>
      <c r="AR21" s="3"/>
      <c r="AS21" s="62"/>
      <c r="AT21" s="3"/>
      <c r="AU21" s="64"/>
      <c r="AW21" s="34"/>
      <c r="AX21" s="65">
        <f>AW21*G21</f>
        <v>0</v>
      </c>
      <c r="AY21" s="66"/>
      <c r="AZ21" s="31">
        <f>K21</f>
        <v>0</v>
      </c>
      <c r="BA21" s="67">
        <f>AZ21*G21</f>
        <v>0</v>
      </c>
      <c r="BB21" s="66"/>
      <c r="BC21" s="31">
        <f>M21</f>
        <v>1</v>
      </c>
      <c r="BD21" s="65">
        <f>BC21*G21</f>
        <v>40.2</v>
      </c>
      <c r="BE21" s="66"/>
      <c r="BF21" s="31">
        <f>O21</f>
        <v>0</v>
      </c>
      <c r="BG21" s="67">
        <f>BF21*G21</f>
        <v>0</v>
      </c>
      <c r="BH21" s="66"/>
      <c r="BI21" s="31">
        <f>Q21</f>
        <v>0</v>
      </c>
      <c r="BJ21" s="65">
        <f>BI21*G21</f>
        <v>0</v>
      </c>
      <c r="BK21" s="66"/>
      <c r="BL21" s="31">
        <f>S21</f>
        <v>0</v>
      </c>
      <c r="BM21" s="67">
        <f>BL21*G21</f>
        <v>0</v>
      </c>
      <c r="BN21" s="66"/>
      <c r="BO21" s="31">
        <f>U21</f>
        <v>0</v>
      </c>
      <c r="BP21" s="65">
        <f>BO21*G21</f>
        <v>0</v>
      </c>
      <c r="BQ21" s="66"/>
      <c r="BR21" s="31">
        <f>W21</f>
        <v>0</v>
      </c>
      <c r="BS21" s="67">
        <f>BR21*G21</f>
        <v>0</v>
      </c>
      <c r="BT21" s="66"/>
      <c r="BU21" s="31">
        <f>Y21</f>
        <v>0</v>
      </c>
      <c r="BV21" s="65">
        <f>BU21*G21</f>
        <v>0</v>
      </c>
      <c r="BW21" s="66"/>
      <c r="BX21" s="31">
        <f>AA21</f>
        <v>0</v>
      </c>
      <c r="BY21" s="67">
        <f>BX21*G21</f>
        <v>0</v>
      </c>
      <c r="BZ21" s="66"/>
      <c r="CA21" s="31">
        <f>AC21</f>
        <v>0</v>
      </c>
      <c r="CB21" s="65">
        <f>CA21*G21</f>
        <v>0</v>
      </c>
      <c r="CC21" s="66"/>
      <c r="CD21" s="31">
        <f>AE21</f>
        <v>1</v>
      </c>
      <c r="CE21" s="67">
        <f>CD21*G21</f>
        <v>40.2</v>
      </c>
      <c r="CF21" s="66"/>
      <c r="CG21" s="34">
        <f>AG21</f>
        <v>0</v>
      </c>
      <c r="CH21" s="67">
        <f>CG21*G21</f>
        <v>0</v>
      </c>
      <c r="CI21" s="66"/>
      <c r="CJ21" s="34">
        <f>AI21</f>
        <v>0</v>
      </c>
      <c r="CK21" s="67">
        <f>CJ21*G21</f>
        <v>0</v>
      </c>
      <c r="CL21" s="66"/>
      <c r="CM21" s="34">
        <f>AK21</f>
        <v>0</v>
      </c>
      <c r="CN21" s="67">
        <f>CM21*G21</f>
        <v>0</v>
      </c>
      <c r="CO21" s="66"/>
      <c r="CP21" s="34">
        <f t="shared" si="0"/>
        <v>0</v>
      </c>
      <c r="CQ21" s="67">
        <f t="shared" si="1"/>
        <v>0</v>
      </c>
      <c r="CR21" s="66"/>
      <c r="CS21" s="34">
        <f>AO21</f>
        <v>0</v>
      </c>
      <c r="CT21" s="65">
        <f>CS21*G21</f>
        <v>0</v>
      </c>
      <c r="CU21" s="66"/>
      <c r="CV21" s="31">
        <f>AQ21</f>
        <v>1</v>
      </c>
      <c r="CW21" s="67">
        <f>CV21*G21</f>
        <v>40.2</v>
      </c>
      <c r="CX21" s="66"/>
      <c r="CY21" s="31">
        <f>AS21</f>
        <v>0</v>
      </c>
      <c r="CZ21" s="65">
        <f>CY21*G21</f>
        <v>0</v>
      </c>
      <c r="DA21" s="66"/>
      <c r="DB21" s="31">
        <f>AU21</f>
        <v>0</v>
      </c>
      <c r="DC21" s="67">
        <f>DB21*G21</f>
        <v>0</v>
      </c>
      <c r="DE21" s="76">
        <v>50</v>
      </c>
      <c r="DF21" s="42">
        <f>DE21*G21</f>
        <v>0</v>
      </c>
      <c r="DG21" s="69"/>
      <c r="DH21" s="42"/>
      <c r="DI21" s="70">
        <f>SUM(I21:AV21)</f>
        <v>3</v>
      </c>
      <c r="DJ21" s="42"/>
      <c r="DK21" s="70">
        <f>DE21+DG21-DI21</f>
        <v>47</v>
      </c>
      <c r="DL21" s="42"/>
      <c r="DM21" s="71">
        <f>E21*DK21</f>
        <v>1574.5</v>
      </c>
      <c r="DN21" s="42"/>
      <c r="DO21" s="72">
        <f t="shared" si="2"/>
        <v>60</v>
      </c>
      <c r="DP21" s="42"/>
      <c r="DQ21" s="71">
        <f>G21*DK21</f>
        <v>1889.4</v>
      </c>
      <c r="DR21" s="42"/>
      <c r="DS21" s="69">
        <v>90</v>
      </c>
      <c r="DT21" s="42"/>
      <c r="DU21" s="71">
        <v>39.95</v>
      </c>
      <c r="DV21" s="42"/>
      <c r="DW21" s="73">
        <f>DU21*1.2</f>
        <v>47.94</v>
      </c>
      <c r="DX21" s="42"/>
      <c r="DY21" s="71">
        <f>DU21*DS21</f>
        <v>3595.5</v>
      </c>
    </row>
    <row r="22" ht="12.45" customHeight="1" spans="1:129" x14ac:dyDescent="0.25">
      <c r="A22" s="77" t="s">
        <v>67</v>
      </c>
      <c r="B22" s="42"/>
      <c r="C22" s="75"/>
      <c r="D22" s="44"/>
      <c r="E22" s="78">
        <v>35.71</v>
      </c>
      <c r="F22" s="44"/>
      <c r="G22" s="61">
        <v>42.85</v>
      </c>
      <c r="I22" s="62"/>
      <c r="J22" s="63"/>
      <c r="K22" s="64"/>
      <c r="L22" s="3"/>
      <c r="M22" s="62"/>
      <c r="N22" s="3"/>
      <c r="O22" s="64"/>
      <c r="P22" s="3"/>
      <c r="Q22" s="62"/>
      <c r="R22" s="3"/>
      <c r="S22" s="64"/>
      <c r="T22" s="3"/>
      <c r="U22" s="62"/>
      <c r="V22" s="3"/>
      <c r="W22" s="64"/>
      <c r="X22" s="3"/>
      <c r="Y22" s="62"/>
      <c r="Z22" s="3"/>
      <c r="AA22" s="64"/>
      <c r="AB22" s="3"/>
      <c r="AC22" s="62"/>
      <c r="AD22" s="3"/>
      <c r="AE22" s="64">
        <v>1</v>
      </c>
      <c r="AF22" s="3"/>
      <c r="AG22" s="62"/>
      <c r="AH22" s="3"/>
      <c r="AI22" s="64"/>
      <c r="AJ22" s="3"/>
      <c r="AK22" s="62"/>
      <c r="AL22" s="3"/>
      <c r="AM22" s="64"/>
      <c r="AN22" s="3"/>
      <c r="AO22" s="62"/>
      <c r="AP22" s="3"/>
      <c r="AQ22" s="64"/>
      <c r="AR22" s="3"/>
      <c r="AS22" s="62"/>
      <c r="AT22" s="3"/>
      <c r="AU22" s="64"/>
      <c r="AW22" s="34"/>
      <c r="AX22" s="65">
        <f>AW22*G22</f>
        <v>0</v>
      </c>
      <c r="AY22" s="66"/>
      <c r="AZ22" s="31">
        <f>K22</f>
        <v>0</v>
      </c>
      <c r="BA22" s="67">
        <f>AZ22*G22</f>
        <v>0</v>
      </c>
      <c r="BB22" s="66"/>
      <c r="BC22" s="31">
        <f>M22</f>
        <v>0</v>
      </c>
      <c r="BD22" s="65">
        <f>BC22*G22</f>
        <v>0</v>
      </c>
      <c r="BE22" s="66"/>
      <c r="BF22" s="31">
        <f>O22</f>
        <v>0</v>
      </c>
      <c r="BG22" s="67">
        <f>BF22*G22</f>
        <v>0</v>
      </c>
      <c r="BH22" s="66"/>
      <c r="BI22" s="31">
        <f>Q22</f>
        <v>0</v>
      </c>
      <c r="BJ22" s="65">
        <f>BI22*G22</f>
        <v>0</v>
      </c>
      <c r="BK22" s="66"/>
      <c r="BL22" s="31">
        <f>S22</f>
        <v>0</v>
      </c>
      <c r="BM22" s="67">
        <f>BL22*G22</f>
        <v>0</v>
      </c>
      <c r="BN22" s="66"/>
      <c r="BO22" s="31">
        <f>U22</f>
        <v>0</v>
      </c>
      <c r="BP22" s="65">
        <f>BO22*G22</f>
        <v>0</v>
      </c>
      <c r="BQ22" s="66"/>
      <c r="BR22" s="31">
        <f>W22</f>
        <v>0</v>
      </c>
      <c r="BS22" s="67">
        <f>BR22*G22</f>
        <v>0</v>
      </c>
      <c r="BT22" s="66"/>
      <c r="BU22" s="31">
        <f>Y22</f>
        <v>0</v>
      </c>
      <c r="BV22" s="65">
        <f>BU22*G22</f>
        <v>0</v>
      </c>
      <c r="BW22" s="66"/>
      <c r="BX22" s="31">
        <f>AA22</f>
        <v>0</v>
      </c>
      <c r="BY22" s="67">
        <f>BX22*G22</f>
        <v>0</v>
      </c>
      <c r="BZ22" s="66"/>
      <c r="CA22" s="31">
        <f>AC22</f>
        <v>0</v>
      </c>
      <c r="CB22" s="65">
        <f>CA22*G22</f>
        <v>0</v>
      </c>
      <c r="CC22" s="66"/>
      <c r="CD22" s="31">
        <f>AE22</f>
        <v>1</v>
      </c>
      <c r="CE22" s="67">
        <f>CD22*G22</f>
        <v>42.85</v>
      </c>
      <c r="CF22" s="66"/>
      <c r="CG22" s="34">
        <f>AG22</f>
        <v>0</v>
      </c>
      <c r="CH22" s="67">
        <f>CG22*G22</f>
        <v>0</v>
      </c>
      <c r="CI22" s="66"/>
      <c r="CJ22" s="34">
        <f>AI22</f>
        <v>0</v>
      </c>
      <c r="CK22" s="67">
        <f>CJ22*G22</f>
        <v>0</v>
      </c>
      <c r="CL22" s="66"/>
      <c r="CM22" s="34">
        <f>AK22</f>
        <v>0</v>
      </c>
      <c r="CN22" s="67">
        <f>CM22*G22</f>
        <v>0</v>
      </c>
      <c r="CO22" s="66"/>
      <c r="CP22" s="34">
        <f t="shared" si="0"/>
        <v>0</v>
      </c>
      <c r="CQ22" s="67">
        <f t="shared" si="1"/>
        <v>0</v>
      </c>
      <c r="CR22" s="66"/>
      <c r="CS22" s="34">
        <f>AO22</f>
        <v>0</v>
      </c>
      <c r="CT22" s="65">
        <f>CS22*G22</f>
        <v>0</v>
      </c>
      <c r="CU22" s="66"/>
      <c r="CV22" s="31">
        <f>AQ22</f>
        <v>0</v>
      </c>
      <c r="CW22" s="67">
        <f>CV22*G22</f>
        <v>0</v>
      </c>
      <c r="CX22" s="66"/>
      <c r="CY22" s="31">
        <f>AS22</f>
        <v>0</v>
      </c>
      <c r="CZ22" s="65">
        <f>CY22*G22</f>
        <v>0</v>
      </c>
      <c r="DA22" s="66"/>
      <c r="DB22" s="31">
        <f>AU22</f>
        <v>0</v>
      </c>
      <c r="DC22" s="67">
        <f>DB22*G22</f>
        <v>0</v>
      </c>
      <c r="DE22" s="76">
        <v>11</v>
      </c>
      <c r="DF22" s="42">
        <f>DE22*G22</f>
        <v>0</v>
      </c>
      <c r="DG22" s="69"/>
      <c r="DH22" s="42"/>
      <c r="DI22" s="70">
        <f>SUM(I22:AV22)</f>
        <v>1</v>
      </c>
      <c r="DJ22" s="42"/>
      <c r="DK22" s="70">
        <f>DE22+DG22-DI22</f>
        <v>10</v>
      </c>
      <c r="DL22" s="42"/>
      <c r="DM22" s="71">
        <f>E22*DK22</f>
        <v>357.1</v>
      </c>
      <c r="DN22" s="42"/>
      <c r="DO22" s="72">
        <f t="shared" si="2"/>
        <v>12</v>
      </c>
      <c r="DP22" s="42"/>
      <c r="DQ22" s="71">
        <f>G22*DK22</f>
        <v>428.5</v>
      </c>
      <c r="DR22" s="42"/>
      <c r="DS22" s="69"/>
      <c r="DT22" s="42"/>
      <c r="DU22" s="71">
        <v>0</v>
      </c>
      <c r="DV22" s="42"/>
      <c r="DW22" s="73">
        <f>DU22*1.2</f>
        <v>0</v>
      </c>
      <c r="DX22" s="42"/>
      <c r="DY22" s="71">
        <f>DU22*DS22</f>
        <v>0</v>
      </c>
    </row>
    <row r="23" ht="12" customHeight="1" spans="1:129" x14ac:dyDescent="0.25">
      <c r="A23" s="74" t="s">
        <v>68</v>
      </c>
      <c r="B23" s="42"/>
      <c r="C23" s="75"/>
      <c r="D23" s="44"/>
      <c r="E23" s="78">
        <v>77.2</v>
      </c>
      <c r="F23" s="44"/>
      <c r="G23" s="61">
        <v>96.5</v>
      </c>
      <c r="I23" s="62">
        <v>1</v>
      </c>
      <c r="J23" s="63"/>
      <c r="K23" s="64"/>
      <c r="L23" s="3"/>
      <c r="M23" s="62"/>
      <c r="N23" s="3"/>
      <c r="O23" s="64"/>
      <c r="P23" s="3"/>
      <c r="Q23" s="62"/>
      <c r="R23" s="3"/>
      <c r="S23" s="64"/>
      <c r="T23" s="3"/>
      <c r="U23" s="62"/>
      <c r="V23" s="3"/>
      <c r="W23" s="64"/>
      <c r="X23" s="3"/>
      <c r="Y23" s="62">
        <v>1</v>
      </c>
      <c r="Z23" s="3"/>
      <c r="AA23" s="64"/>
      <c r="AB23" s="3"/>
      <c r="AC23" s="62"/>
      <c r="AD23" s="3"/>
      <c r="AE23" s="64">
        <v>1</v>
      </c>
      <c r="AF23" s="3"/>
      <c r="AG23" s="62"/>
      <c r="AH23" s="3"/>
      <c r="AI23" s="64"/>
      <c r="AJ23" s="3"/>
      <c r="AK23" s="62"/>
      <c r="AL23" s="3"/>
      <c r="AM23" s="64"/>
      <c r="AN23" s="3"/>
      <c r="AO23" s="62"/>
      <c r="AP23" s="3"/>
      <c r="AQ23" s="64"/>
      <c r="AR23" s="3"/>
      <c r="AS23" s="62"/>
      <c r="AT23" s="3"/>
      <c r="AU23" s="64"/>
      <c r="AW23" s="34"/>
      <c r="AX23" s="65">
        <f>AW23*G23</f>
        <v>96.5</v>
      </c>
      <c r="AY23" s="66"/>
      <c r="AZ23" s="31">
        <f>K23</f>
        <v>0</v>
      </c>
      <c r="BA23" s="67">
        <f>AZ23*G23</f>
        <v>0</v>
      </c>
      <c r="BB23" s="66"/>
      <c r="BC23" s="31">
        <f>M23</f>
        <v>0</v>
      </c>
      <c r="BD23" s="65">
        <f>BC23*G23</f>
        <v>0</v>
      </c>
      <c r="BE23" s="66"/>
      <c r="BF23" s="31">
        <f>O23</f>
        <v>0</v>
      </c>
      <c r="BG23" s="67">
        <f>BF23*G23</f>
        <v>0</v>
      </c>
      <c r="BH23" s="66"/>
      <c r="BI23" s="31">
        <f>Q23</f>
        <v>0</v>
      </c>
      <c r="BJ23" s="65">
        <f>BI23*G23</f>
        <v>0</v>
      </c>
      <c r="BK23" s="66"/>
      <c r="BL23" s="31">
        <f>S23</f>
        <v>0</v>
      </c>
      <c r="BM23" s="67">
        <f>BL23*G23</f>
        <v>0</v>
      </c>
      <c r="BN23" s="66"/>
      <c r="BO23" s="31">
        <f>U23</f>
        <v>0</v>
      </c>
      <c r="BP23" s="65">
        <f>BO23*G23</f>
        <v>0</v>
      </c>
      <c r="BQ23" s="66"/>
      <c r="BR23" s="31">
        <f>W23</f>
        <v>0</v>
      </c>
      <c r="BS23" s="67">
        <f>BR23*G23</f>
        <v>0</v>
      </c>
      <c r="BT23" s="66"/>
      <c r="BU23" s="31">
        <f>Y23</f>
        <v>1</v>
      </c>
      <c r="BV23" s="65">
        <f>BU23*G23</f>
        <v>96.5</v>
      </c>
      <c r="BW23" s="66"/>
      <c r="BX23" s="31">
        <f>AA23</f>
        <v>0</v>
      </c>
      <c r="BY23" s="67">
        <f>BX23*G23</f>
        <v>0</v>
      </c>
      <c r="BZ23" s="66"/>
      <c r="CA23" s="31">
        <f>AC23</f>
        <v>0</v>
      </c>
      <c r="CB23" s="65">
        <f>CA23*G23</f>
        <v>0</v>
      </c>
      <c r="CC23" s="66"/>
      <c r="CD23" s="31">
        <f>AE23</f>
        <v>1</v>
      </c>
      <c r="CE23" s="67">
        <f>CD23*G23</f>
        <v>96.5</v>
      </c>
      <c r="CF23" s="66"/>
      <c r="CG23" s="34">
        <f>AG23</f>
        <v>0</v>
      </c>
      <c r="CH23" s="67">
        <f>CG23*G23</f>
        <v>0</v>
      </c>
      <c r="CI23" s="66"/>
      <c r="CJ23" s="34">
        <f>AI23</f>
        <v>0</v>
      </c>
      <c r="CK23" s="67">
        <f>CJ23*G23</f>
        <v>0</v>
      </c>
      <c r="CL23" s="66"/>
      <c r="CM23" s="34">
        <f>AK23</f>
        <v>0</v>
      </c>
      <c r="CN23" s="67">
        <f>CM23*G23</f>
        <v>0</v>
      </c>
      <c r="CO23" s="66"/>
      <c r="CP23" s="34">
        <f t="shared" si="0"/>
        <v>0</v>
      </c>
      <c r="CQ23" s="67">
        <f t="shared" si="1"/>
        <v>0</v>
      </c>
      <c r="CR23" s="66"/>
      <c r="CS23" s="34">
        <f>AO23</f>
        <v>0</v>
      </c>
      <c r="CT23" s="65">
        <f>CS23*G23</f>
        <v>0</v>
      </c>
      <c r="CU23" s="66"/>
      <c r="CV23" s="31">
        <f>AQ23</f>
        <v>0</v>
      </c>
      <c r="CW23" s="67">
        <f>CV23*G23</f>
        <v>0</v>
      </c>
      <c r="CX23" s="66"/>
      <c r="CY23" s="31">
        <f>AS23</f>
        <v>0</v>
      </c>
      <c r="CZ23" s="65">
        <f>CY23*G23</f>
        <v>0</v>
      </c>
      <c r="DA23" s="66"/>
      <c r="DB23" s="31">
        <f>AU23</f>
        <v>0</v>
      </c>
      <c r="DC23" s="67">
        <f>DB23*G23</f>
        <v>0</v>
      </c>
      <c r="DE23" s="76">
        <v>149</v>
      </c>
      <c r="DF23" s="42">
        <f>DE23*G23</f>
        <v>0</v>
      </c>
      <c r="DG23" s="69"/>
      <c r="DH23" s="42"/>
      <c r="DI23" s="70">
        <f>SUM(I23:AV23)</f>
        <v>3</v>
      </c>
      <c r="DJ23" s="42"/>
      <c r="DK23" s="70">
        <f>DE23+DG23-DI23</f>
        <v>146</v>
      </c>
      <c r="DL23" s="42"/>
      <c r="DM23" s="71">
        <f>E23*DK23</f>
        <v>11271.2</v>
      </c>
      <c r="DN23" s="42"/>
      <c r="DO23" s="72" t="e">
        <f t="shared" si="2"/>
        <v>#DIV/0!</v>
      </c>
      <c r="DP23" s="42"/>
      <c r="DQ23" s="71">
        <f>G23*DK23</f>
        <v>14089</v>
      </c>
      <c r="DR23" s="42"/>
      <c r="DS23" s="69"/>
      <c r="DT23" s="42"/>
      <c r="DU23" s="71">
        <v>0</v>
      </c>
      <c r="DV23" s="42"/>
      <c r="DW23" s="73">
        <f>DU23*1.2</f>
        <v>0</v>
      </c>
      <c r="DX23" s="42"/>
      <c r="DY23" s="71">
        <f>DU23*DS23</f>
        <v>0</v>
      </c>
    </row>
    <row r="24" ht="12" customHeight="1" spans="1:129" x14ac:dyDescent="0.25">
      <c r="A24" s="77" t="s">
        <v>69</v>
      </c>
      <c r="B24" s="42"/>
      <c r="C24" s="75"/>
      <c r="D24" s="44"/>
      <c r="E24" s="78">
        <v>13.8</v>
      </c>
      <c r="F24" s="44"/>
      <c r="G24" s="61">
        <v>16.56</v>
      </c>
      <c r="I24" s="62">
        <v>1</v>
      </c>
      <c r="J24" s="63"/>
      <c r="K24" s="64">
        <v>3</v>
      </c>
      <c r="L24" s="3"/>
      <c r="M24" s="62">
        <v>2</v>
      </c>
      <c r="N24" s="3"/>
      <c r="O24" s="64">
        <v>2</v>
      </c>
      <c r="P24" s="3"/>
      <c r="Q24" s="62">
        <v>1</v>
      </c>
      <c r="R24" s="3"/>
      <c r="S24" s="64">
        <v>1</v>
      </c>
      <c r="T24" s="3"/>
      <c r="U24" s="62">
        <v>2</v>
      </c>
      <c r="V24" s="3"/>
      <c r="W24" s="64">
        <v>2</v>
      </c>
      <c r="X24" s="3"/>
      <c r="Y24" s="62">
        <v>2</v>
      </c>
      <c r="Z24" s="3"/>
      <c r="AA24" s="64">
        <v>1</v>
      </c>
      <c r="AB24" s="3"/>
      <c r="AC24" s="62">
        <v>2</v>
      </c>
      <c r="AD24" s="3"/>
      <c r="AE24" s="64">
        <v>3</v>
      </c>
      <c r="AF24" s="3"/>
      <c r="AG24" s="62"/>
      <c r="AH24" s="3"/>
      <c r="AI24" s="64"/>
      <c r="AJ24" s="3"/>
      <c r="AK24" s="62"/>
      <c r="AL24" s="3"/>
      <c r="AM24" s="64"/>
      <c r="AN24" s="3"/>
      <c r="AO24" s="62"/>
      <c r="AP24" s="3"/>
      <c r="AQ24" s="64"/>
      <c r="AR24" s="3"/>
      <c r="AS24" s="62"/>
      <c r="AT24" s="3"/>
      <c r="AU24" s="64"/>
      <c r="AW24" s="34"/>
      <c r="AX24" s="65">
        <f>AW24*G24</f>
        <v>16.56</v>
      </c>
      <c r="AY24" s="66"/>
      <c r="AZ24" s="31">
        <f>K24</f>
        <v>3</v>
      </c>
      <c r="BA24" s="67">
        <f>AZ24*G24</f>
        <v>49.68</v>
      </c>
      <c r="BB24" s="66"/>
      <c r="BC24" s="31">
        <f>M24</f>
        <v>2</v>
      </c>
      <c r="BD24" s="65">
        <f>BC24*G24</f>
        <v>33.12</v>
      </c>
      <c r="BE24" s="66"/>
      <c r="BF24" s="31">
        <f>O24</f>
        <v>2</v>
      </c>
      <c r="BG24" s="67">
        <f>BF24*G24</f>
        <v>33.12</v>
      </c>
      <c r="BH24" s="66"/>
      <c r="BI24" s="31">
        <f>Q24</f>
        <v>1</v>
      </c>
      <c r="BJ24" s="65">
        <f>BI24*G24</f>
        <v>16.56</v>
      </c>
      <c r="BK24" s="66"/>
      <c r="BL24" s="31">
        <f>S24</f>
        <v>1</v>
      </c>
      <c r="BM24" s="67">
        <f>BL24*G24</f>
        <v>16.56</v>
      </c>
      <c r="BN24" s="66"/>
      <c r="BO24" s="31">
        <f>U24</f>
        <v>2</v>
      </c>
      <c r="BP24" s="65">
        <f>BO24*G24</f>
        <v>33.12</v>
      </c>
      <c r="BQ24" s="66"/>
      <c r="BR24" s="31">
        <f>W24</f>
        <v>2</v>
      </c>
      <c r="BS24" s="67">
        <f>BR24*G24</f>
        <v>33.12</v>
      </c>
      <c r="BT24" s="66"/>
      <c r="BU24" s="31">
        <f>Y24</f>
        <v>2</v>
      </c>
      <c r="BV24" s="65">
        <f>BU24*G24</f>
        <v>33.12</v>
      </c>
      <c r="BW24" s="66"/>
      <c r="BX24" s="31">
        <f>AA24</f>
        <v>1</v>
      </c>
      <c r="BY24" s="67">
        <f>BX24*G24</f>
        <v>16.56</v>
      </c>
      <c r="BZ24" s="66"/>
      <c r="CA24" s="31">
        <f>AC24</f>
        <v>2</v>
      </c>
      <c r="CB24" s="65">
        <f>CA24*G24</f>
        <v>33.12</v>
      </c>
      <c r="CC24" s="66"/>
      <c r="CD24" s="31">
        <f>AE24</f>
        <v>3</v>
      </c>
      <c r="CE24" s="67">
        <f>CD24*G24</f>
        <v>49.68</v>
      </c>
      <c r="CF24" s="66"/>
      <c r="CG24" s="34">
        <f>AG24</f>
        <v>0</v>
      </c>
      <c r="CH24" s="67">
        <f>CG24*G24</f>
        <v>0</v>
      </c>
      <c r="CI24" s="66"/>
      <c r="CJ24" s="34">
        <f>AI24</f>
        <v>0</v>
      </c>
      <c r="CK24" s="67">
        <f>CJ24*G24</f>
        <v>0</v>
      </c>
      <c r="CL24" s="66"/>
      <c r="CM24" s="34">
        <f>AK24</f>
        <v>0</v>
      </c>
      <c r="CN24" s="67">
        <f>CM24*G24</f>
        <v>0</v>
      </c>
      <c r="CO24" s="66"/>
      <c r="CP24" s="34">
        <f t="shared" si="0"/>
        <v>0</v>
      </c>
      <c r="CQ24" s="67">
        <f t="shared" si="1"/>
        <v>0</v>
      </c>
      <c r="CR24" s="66"/>
      <c r="CS24" s="34">
        <f>AO24</f>
        <v>0</v>
      </c>
      <c r="CT24" s="65">
        <f>CS24*G24</f>
        <v>0</v>
      </c>
      <c r="CU24" s="66"/>
      <c r="CV24" s="31">
        <f>AQ24</f>
        <v>0</v>
      </c>
      <c r="CW24" s="67">
        <f>CV24*G24</f>
        <v>0</v>
      </c>
      <c r="CX24" s="66"/>
      <c r="CY24" s="31">
        <f>AS24</f>
        <v>0</v>
      </c>
      <c r="CZ24" s="65">
        <f>CY24*G24</f>
        <v>0</v>
      </c>
      <c r="DA24" s="66"/>
      <c r="DB24" s="31">
        <f>AU24</f>
        <v>0</v>
      </c>
      <c r="DC24" s="67">
        <f>DB24*G24</f>
        <v>0</v>
      </c>
      <c r="DE24" s="76">
        <v>536</v>
      </c>
      <c r="DF24" s="42">
        <f>DE24*G24</f>
        <v>0</v>
      </c>
      <c r="DG24" s="69"/>
      <c r="DH24" s="42"/>
      <c r="DI24" s="70">
        <f>SUM(I24:AV24)</f>
        <v>22</v>
      </c>
      <c r="DJ24" s="42"/>
      <c r="DK24" s="70">
        <f>DE24+DG24-DI24</f>
        <v>514</v>
      </c>
      <c r="DL24" s="42"/>
      <c r="DM24" s="71">
        <f>E24*DK24</f>
        <v>7093.2</v>
      </c>
      <c r="DN24" s="42"/>
      <c r="DO24" s="72">
        <f t="shared" si="2"/>
        <v>33.35294117647059</v>
      </c>
      <c r="DP24" s="42"/>
      <c r="DQ24" s="71">
        <f>G24*DK24</f>
        <v>8511.84</v>
      </c>
      <c r="DR24" s="42"/>
      <c r="DS24" s="69"/>
      <c r="DT24" s="42"/>
      <c r="DU24" s="71">
        <v>0</v>
      </c>
      <c r="DV24" s="42"/>
      <c r="DW24" s="73">
        <f>DU24*1.2</f>
        <v>0</v>
      </c>
      <c r="DX24" s="42"/>
      <c r="DY24" s="71">
        <f>DU24*DS24</f>
        <v>0</v>
      </c>
    </row>
    <row r="25" ht="12" customHeight="1" spans="1:129" x14ac:dyDescent="0.25">
      <c r="A25" s="74" t="s">
        <v>70</v>
      </c>
      <c r="B25" s="42"/>
      <c r="C25" s="75"/>
      <c r="D25" s="44"/>
      <c r="E25" s="78">
        <v>27.99</v>
      </c>
      <c r="F25" s="44"/>
      <c r="G25" s="61">
        <v>33.59</v>
      </c>
      <c r="I25" s="62">
        <v>2</v>
      </c>
      <c r="J25" s="63"/>
      <c r="K25" s="64">
        <v>3</v>
      </c>
      <c r="L25" s="3"/>
      <c r="M25" s="62">
        <v>1</v>
      </c>
      <c r="N25" s="3"/>
      <c r="O25" s="64">
        <v>3</v>
      </c>
      <c r="P25" s="3"/>
      <c r="Q25" s="62">
        <v>1</v>
      </c>
      <c r="R25" s="3"/>
      <c r="S25" s="64">
        <v>1</v>
      </c>
      <c r="T25" s="3"/>
      <c r="U25" s="62">
        <v>1</v>
      </c>
      <c r="V25" s="3"/>
      <c r="W25" s="64">
        <v>1</v>
      </c>
      <c r="X25" s="3"/>
      <c r="Y25" s="62">
        <v>1</v>
      </c>
      <c r="Z25" s="3"/>
      <c r="AA25" s="64">
        <v>1</v>
      </c>
      <c r="AB25" s="3"/>
      <c r="AC25" s="62">
        <v>1</v>
      </c>
      <c r="AD25" s="3"/>
      <c r="AE25" s="64">
        <v>1</v>
      </c>
      <c r="AF25" s="3"/>
      <c r="AG25" s="62"/>
      <c r="AH25" s="3"/>
      <c r="AI25" s="64"/>
      <c r="AJ25" s="3"/>
      <c r="AK25" s="62"/>
      <c r="AL25" s="3"/>
      <c r="AM25" s="64"/>
      <c r="AN25" s="3"/>
      <c r="AO25" s="62"/>
      <c r="AP25" s="3"/>
      <c r="AQ25" s="64"/>
      <c r="AR25" s="3"/>
      <c r="AS25" s="62"/>
      <c r="AT25" s="3"/>
      <c r="AU25" s="64"/>
      <c r="AW25" s="34"/>
      <c r="AX25" s="65">
        <f>AW25*G25</f>
        <v>67.18</v>
      </c>
      <c r="AY25" s="66"/>
      <c r="AZ25" s="31">
        <f>K25</f>
        <v>3</v>
      </c>
      <c r="BA25" s="67">
        <f>AZ25*G25</f>
        <v>100.77</v>
      </c>
      <c r="BB25" s="66"/>
      <c r="BC25" s="31">
        <f>M25</f>
        <v>1</v>
      </c>
      <c r="BD25" s="65">
        <f>BC25*G25</f>
        <v>33.59</v>
      </c>
      <c r="BE25" s="66"/>
      <c r="BF25" s="31">
        <f>O25</f>
        <v>3</v>
      </c>
      <c r="BG25" s="67">
        <f>BF25*G25</f>
        <v>100.77</v>
      </c>
      <c r="BH25" s="66"/>
      <c r="BI25" s="31">
        <f>Q25</f>
        <v>1</v>
      </c>
      <c r="BJ25" s="65">
        <f>BI25*G25</f>
        <v>33.59</v>
      </c>
      <c r="BK25" s="66"/>
      <c r="BL25" s="31">
        <f>S25</f>
        <v>1</v>
      </c>
      <c r="BM25" s="67">
        <f>BL25*G25</f>
        <v>33.59</v>
      </c>
      <c r="BN25" s="66"/>
      <c r="BO25" s="31">
        <f>U25</f>
        <v>1</v>
      </c>
      <c r="BP25" s="65">
        <f>BO25*G25</f>
        <v>33.59</v>
      </c>
      <c r="BQ25" s="66"/>
      <c r="BR25" s="31">
        <f>W25</f>
        <v>1</v>
      </c>
      <c r="BS25" s="67">
        <f>BR25*G25</f>
        <v>33.59</v>
      </c>
      <c r="BT25" s="66"/>
      <c r="BU25" s="31">
        <f>Y25</f>
        <v>1</v>
      </c>
      <c r="BV25" s="65">
        <f>BU25*G25</f>
        <v>33.59</v>
      </c>
      <c r="BW25" s="66"/>
      <c r="BX25" s="31">
        <f>AA25</f>
        <v>1</v>
      </c>
      <c r="BY25" s="67">
        <f>BX25*G25</f>
        <v>33.59</v>
      </c>
      <c r="BZ25" s="66"/>
      <c r="CA25" s="31">
        <f>AC25</f>
        <v>1</v>
      </c>
      <c r="CB25" s="65">
        <f>CA25*G25</f>
        <v>33.59</v>
      </c>
      <c r="CC25" s="66"/>
      <c r="CD25" s="31">
        <f>AE25</f>
        <v>1</v>
      </c>
      <c r="CE25" s="67">
        <f>CD25*G25</f>
        <v>33.59</v>
      </c>
      <c r="CF25" s="66"/>
      <c r="CG25" s="34">
        <f>AG25</f>
        <v>0</v>
      </c>
      <c r="CH25" s="67">
        <f>CG25*G25</f>
        <v>0</v>
      </c>
      <c r="CI25" s="66"/>
      <c r="CJ25" s="34">
        <f>AI25</f>
        <v>0</v>
      </c>
      <c r="CK25" s="67">
        <f>CJ25*G25</f>
        <v>0</v>
      </c>
      <c r="CL25" s="66"/>
      <c r="CM25" s="34">
        <f>AK25</f>
        <v>0</v>
      </c>
      <c r="CN25" s="67">
        <f>CM25*G25</f>
        <v>0</v>
      </c>
      <c r="CO25" s="66"/>
      <c r="CP25" s="34">
        <f t="shared" si="0"/>
        <v>0</v>
      </c>
      <c r="CQ25" s="67">
        <f t="shared" si="1"/>
        <v>0</v>
      </c>
      <c r="CR25" s="66"/>
      <c r="CS25" s="34">
        <f>AO25</f>
        <v>0</v>
      </c>
      <c r="CT25" s="65">
        <f>CS25*G25</f>
        <v>0</v>
      </c>
      <c r="CU25" s="66"/>
      <c r="CV25" s="31">
        <f>AQ25</f>
        <v>0</v>
      </c>
      <c r="CW25" s="67">
        <f>CV25*G25</f>
        <v>0</v>
      </c>
      <c r="CX25" s="66"/>
      <c r="CY25" s="31">
        <f>AS25</f>
        <v>0</v>
      </c>
      <c r="CZ25" s="65">
        <f>CY25*G25</f>
        <v>0</v>
      </c>
      <c r="DA25" s="66"/>
      <c r="DB25" s="31">
        <f>AU25</f>
        <v>0</v>
      </c>
      <c r="DC25" s="67">
        <f>DB25*G25</f>
        <v>0</v>
      </c>
      <c r="DE25" s="76">
        <v>48</v>
      </c>
      <c r="DF25" s="42">
        <f>DE25*G25</f>
        <v>0</v>
      </c>
      <c r="DG25" s="69"/>
      <c r="DH25" s="42"/>
      <c r="DI25" s="70">
        <f>SUM(I25:AV25)</f>
        <v>17</v>
      </c>
      <c r="DJ25" s="42"/>
      <c r="DK25" s="70">
        <f>DE25+DG25-DI25</f>
        <v>31</v>
      </c>
      <c r="DL25" s="42"/>
      <c r="DM25" s="71">
        <f>E25*DK25</f>
        <v>867.69</v>
      </c>
      <c r="DN25" s="42"/>
      <c r="DO25" s="72">
        <f t="shared" si="2"/>
        <v>4.315789473684211</v>
      </c>
      <c r="DP25" s="42"/>
      <c r="DQ25" s="71">
        <f>G25*DK25</f>
        <v>1041.29</v>
      </c>
      <c r="DR25" s="42"/>
      <c r="DS25" s="69"/>
      <c r="DT25" s="42"/>
      <c r="DU25" s="71">
        <v>0</v>
      </c>
      <c r="DV25" s="42"/>
      <c r="DW25" s="73">
        <f>DU25*1.2</f>
        <v>0</v>
      </c>
      <c r="DX25" s="42"/>
      <c r="DY25" s="71">
        <f>DU25*DS25</f>
        <v>0</v>
      </c>
    </row>
    <row r="26" ht="12" customHeight="1" spans="1:129" x14ac:dyDescent="0.25">
      <c r="A26" s="77" t="s">
        <v>71</v>
      </c>
      <c r="B26" s="42"/>
      <c r="C26" s="75"/>
      <c r="D26" s="44"/>
      <c r="E26" s="78">
        <v>32.99</v>
      </c>
      <c r="F26" s="44"/>
      <c r="G26" s="61">
        <v>39.59</v>
      </c>
      <c r="I26" s="62">
        <v>1</v>
      </c>
      <c r="J26" s="63"/>
      <c r="K26" s="64">
        <v>1</v>
      </c>
      <c r="L26" s="3"/>
      <c r="M26" s="62">
        <v>1</v>
      </c>
      <c r="N26" s="3"/>
      <c r="O26" s="64">
        <v>1</v>
      </c>
      <c r="P26" s="3"/>
      <c r="Q26" s="62">
        <v>1</v>
      </c>
      <c r="R26" s="3"/>
      <c r="S26" s="64">
        <v>1</v>
      </c>
      <c r="T26" s="3"/>
      <c r="U26" s="62"/>
      <c r="V26" s="3"/>
      <c r="W26" s="64">
        <v>1</v>
      </c>
      <c r="X26" s="3"/>
      <c r="Y26" s="62">
        <v>1</v>
      </c>
      <c r="Z26" s="3"/>
      <c r="AA26" s="64">
        <v>1</v>
      </c>
      <c r="AB26" s="3"/>
      <c r="AC26" s="62">
        <v>1</v>
      </c>
      <c r="AD26" s="3"/>
      <c r="AE26" s="64">
        <v>1</v>
      </c>
      <c r="AF26" s="3"/>
      <c r="AG26" s="62"/>
      <c r="AH26" s="3"/>
      <c r="AI26" s="64"/>
      <c r="AJ26" s="3"/>
      <c r="AK26" s="62"/>
      <c r="AL26" s="3"/>
      <c r="AM26" s="64"/>
      <c r="AN26" s="3"/>
      <c r="AO26" s="62"/>
      <c r="AP26" s="3"/>
      <c r="AQ26" s="64"/>
      <c r="AR26" s="3"/>
      <c r="AS26" s="62"/>
      <c r="AT26" s="3"/>
      <c r="AU26" s="64"/>
      <c r="AW26" s="34"/>
      <c r="AX26" s="65">
        <f>AW26*G26</f>
        <v>39.59</v>
      </c>
      <c r="AY26" s="66"/>
      <c r="AZ26" s="31">
        <f>K26</f>
        <v>1</v>
      </c>
      <c r="BA26" s="67">
        <f>AZ26*G26</f>
        <v>39.59</v>
      </c>
      <c r="BB26" s="66"/>
      <c r="BC26" s="31">
        <f>M26</f>
        <v>1</v>
      </c>
      <c r="BD26" s="65">
        <f>BC26*G26</f>
        <v>39.59</v>
      </c>
      <c r="BE26" s="66"/>
      <c r="BF26" s="31">
        <f>O26</f>
        <v>1</v>
      </c>
      <c r="BG26" s="67">
        <f>BF26*G26</f>
        <v>39.59</v>
      </c>
      <c r="BH26" s="66"/>
      <c r="BI26" s="31">
        <f>Q26</f>
        <v>1</v>
      </c>
      <c r="BJ26" s="65">
        <f>BI26*G26</f>
        <v>39.59</v>
      </c>
      <c r="BK26" s="66"/>
      <c r="BL26" s="31">
        <f>S26</f>
        <v>1</v>
      </c>
      <c r="BM26" s="67">
        <f>BL26*G26</f>
        <v>39.59</v>
      </c>
      <c r="BN26" s="66"/>
      <c r="BO26" s="31">
        <f>U26</f>
        <v>0</v>
      </c>
      <c r="BP26" s="65">
        <f>BO26*G26</f>
        <v>0</v>
      </c>
      <c r="BQ26" s="66"/>
      <c r="BR26" s="31">
        <f>W26</f>
        <v>1</v>
      </c>
      <c r="BS26" s="67">
        <f>BR26*G26</f>
        <v>39.59</v>
      </c>
      <c r="BT26" s="66"/>
      <c r="BU26" s="31">
        <f>Y26</f>
        <v>1</v>
      </c>
      <c r="BV26" s="65">
        <f>BU26*G26</f>
        <v>39.59</v>
      </c>
      <c r="BW26" s="66"/>
      <c r="BX26" s="31">
        <f>AA26</f>
        <v>1</v>
      </c>
      <c r="BY26" s="67">
        <f>BX26*G26</f>
        <v>39.59</v>
      </c>
      <c r="BZ26" s="66"/>
      <c r="CA26" s="31">
        <f>AC26</f>
        <v>1</v>
      </c>
      <c r="CB26" s="65">
        <f>CA26*G26</f>
        <v>39.59</v>
      </c>
      <c r="CC26" s="66"/>
      <c r="CD26" s="31">
        <f>AE26</f>
        <v>1</v>
      </c>
      <c r="CE26" s="67">
        <f>CD26*G26</f>
        <v>39.59</v>
      </c>
      <c r="CF26" s="66"/>
      <c r="CG26" s="34">
        <f>AG26</f>
        <v>0</v>
      </c>
      <c r="CH26" s="67">
        <f>CG26*G26</f>
        <v>0</v>
      </c>
      <c r="CI26" s="66"/>
      <c r="CJ26" s="34">
        <f>AI26</f>
        <v>0</v>
      </c>
      <c r="CK26" s="67">
        <f>CJ26*G26</f>
        <v>0</v>
      </c>
      <c r="CL26" s="66"/>
      <c r="CM26" s="34">
        <f>AK26</f>
        <v>0</v>
      </c>
      <c r="CN26" s="67">
        <f>CM26*G26</f>
        <v>0</v>
      </c>
      <c r="CO26" s="66"/>
      <c r="CP26" s="34">
        <f t="shared" si="0"/>
        <v>0</v>
      </c>
      <c r="CQ26" s="67">
        <f t="shared" si="1"/>
        <v>0</v>
      </c>
      <c r="CR26" s="66"/>
      <c r="CS26" s="34">
        <f>AO26</f>
        <v>0</v>
      </c>
      <c r="CT26" s="65">
        <f>CS26*G26</f>
        <v>0</v>
      </c>
      <c r="CU26" s="66"/>
      <c r="CV26" s="31">
        <f>AQ26</f>
        <v>0</v>
      </c>
      <c r="CW26" s="67">
        <f>CV26*G26</f>
        <v>0</v>
      </c>
      <c r="CX26" s="66"/>
      <c r="CY26" s="31">
        <f>AS26</f>
        <v>0</v>
      </c>
      <c r="CZ26" s="65">
        <f>CY26*G26</f>
        <v>0</v>
      </c>
      <c r="DA26" s="66"/>
      <c r="DB26" s="31">
        <f>AU26</f>
        <v>0</v>
      </c>
      <c r="DC26" s="67">
        <f>DB26*G26</f>
        <v>0</v>
      </c>
      <c r="DE26" s="76">
        <v>82</v>
      </c>
      <c r="DF26" s="42">
        <f>DE26*G26</f>
        <v>0</v>
      </c>
      <c r="DG26" s="69"/>
      <c r="DH26" s="42"/>
      <c r="DI26" s="70">
        <f>SUM(I26:AV26)</f>
        <v>11</v>
      </c>
      <c r="DJ26" s="42"/>
      <c r="DK26" s="70">
        <f>DE26+DG26-DI26</f>
        <v>71</v>
      </c>
      <c r="DL26" s="42"/>
      <c r="DM26" s="71">
        <f>E26*DK26</f>
        <v>2342.29</v>
      </c>
      <c r="DN26" s="42"/>
      <c r="DO26" s="72">
        <f t="shared" si="2"/>
        <v>12.5</v>
      </c>
      <c r="DP26" s="42"/>
      <c r="DQ26" s="71">
        <f>G26*DK26</f>
        <v>2810.89</v>
      </c>
      <c r="DR26" s="42"/>
      <c r="DS26" s="69"/>
      <c r="DT26" s="42"/>
      <c r="DU26" s="71">
        <v>0</v>
      </c>
      <c r="DV26" s="42"/>
      <c r="DW26" s="73">
        <f>DU26*1.2</f>
        <v>0</v>
      </c>
      <c r="DX26" s="42"/>
      <c r="DY26" s="71">
        <f>DU26*DS26</f>
        <v>0</v>
      </c>
    </row>
    <row r="27" ht="12" customHeight="1" spans="1:129" x14ac:dyDescent="0.25">
      <c r="A27" s="74" t="s">
        <v>72</v>
      </c>
      <c r="B27" s="42"/>
      <c r="C27" s="75"/>
      <c r="D27" s="44"/>
      <c r="E27" s="78">
        <v>23.05</v>
      </c>
      <c r="F27" s="44"/>
      <c r="G27" s="61">
        <v>27.66</v>
      </c>
      <c r="I27" s="62"/>
      <c r="J27" s="63"/>
      <c r="K27" s="64">
        <v>1</v>
      </c>
      <c r="L27" s="3"/>
      <c r="M27" s="62"/>
      <c r="N27" s="3"/>
      <c r="O27" s="64">
        <v>1</v>
      </c>
      <c r="P27" s="3"/>
      <c r="Q27" s="62"/>
      <c r="R27" s="3"/>
      <c r="S27" s="64">
        <v>1</v>
      </c>
      <c r="T27" s="3"/>
      <c r="U27" s="62"/>
      <c r="V27" s="3"/>
      <c r="W27" s="64">
        <v>1</v>
      </c>
      <c r="X27" s="3"/>
      <c r="Y27" s="62"/>
      <c r="Z27" s="3"/>
      <c r="AA27" s="64"/>
      <c r="AB27" s="3"/>
      <c r="AC27" s="62"/>
      <c r="AD27" s="3"/>
      <c r="AE27" s="64">
        <v>1</v>
      </c>
      <c r="AF27" s="3"/>
      <c r="AG27" s="62"/>
      <c r="AH27" s="3"/>
      <c r="AI27" s="64"/>
      <c r="AJ27" s="3"/>
      <c r="AK27" s="62"/>
      <c r="AL27" s="3"/>
      <c r="AM27" s="64"/>
      <c r="AN27" s="3"/>
      <c r="AO27" s="62"/>
      <c r="AP27" s="3"/>
      <c r="AQ27" s="64"/>
      <c r="AR27" s="3"/>
      <c r="AS27" s="62"/>
      <c r="AT27" s="3"/>
      <c r="AU27" s="64"/>
      <c r="AW27" s="34"/>
      <c r="AX27" s="65">
        <f>AW27*G27</f>
        <v>0</v>
      </c>
      <c r="AY27" s="66"/>
      <c r="AZ27" s="31">
        <f>K27</f>
        <v>1</v>
      </c>
      <c r="BA27" s="67">
        <f>AZ27*G27</f>
        <v>27.66</v>
      </c>
      <c r="BB27" s="66"/>
      <c r="BC27" s="31">
        <f>M27</f>
        <v>0</v>
      </c>
      <c r="BD27" s="65">
        <f>BC27*G27</f>
        <v>0</v>
      </c>
      <c r="BE27" s="66"/>
      <c r="BF27" s="31">
        <f>O27</f>
        <v>1</v>
      </c>
      <c r="BG27" s="67">
        <f>BF27*G27</f>
        <v>27.66</v>
      </c>
      <c r="BH27" s="66"/>
      <c r="BI27" s="31">
        <f>Q27</f>
        <v>0</v>
      </c>
      <c r="BJ27" s="65">
        <f>BI27*G27</f>
        <v>0</v>
      </c>
      <c r="BK27" s="66"/>
      <c r="BL27" s="31">
        <f>S27</f>
        <v>1</v>
      </c>
      <c r="BM27" s="67">
        <f>BL27*G27</f>
        <v>27.66</v>
      </c>
      <c r="BN27" s="66"/>
      <c r="BO27" s="31">
        <f>U27</f>
        <v>0</v>
      </c>
      <c r="BP27" s="65">
        <f>BO27*G27</f>
        <v>0</v>
      </c>
      <c r="BQ27" s="66"/>
      <c r="BR27" s="31">
        <f>W27</f>
        <v>1</v>
      </c>
      <c r="BS27" s="67">
        <f>BR27*G27</f>
        <v>27.66</v>
      </c>
      <c r="BT27" s="66"/>
      <c r="BU27" s="31">
        <f>Y27</f>
        <v>0</v>
      </c>
      <c r="BV27" s="65">
        <f>BU27*G27</f>
        <v>0</v>
      </c>
      <c r="BW27" s="66"/>
      <c r="BX27" s="31">
        <f>AA27</f>
        <v>0</v>
      </c>
      <c r="BY27" s="67">
        <f>BX27*G27</f>
        <v>0</v>
      </c>
      <c r="BZ27" s="66"/>
      <c r="CA27" s="31">
        <f>AC27</f>
        <v>0</v>
      </c>
      <c r="CB27" s="65">
        <f>CA27*G27</f>
        <v>0</v>
      </c>
      <c r="CC27" s="66"/>
      <c r="CD27" s="31">
        <f>AE27</f>
        <v>1</v>
      </c>
      <c r="CE27" s="67">
        <f>CD27*G27</f>
        <v>27.66</v>
      </c>
      <c r="CF27" s="66"/>
      <c r="CG27" s="34">
        <f>AG27</f>
        <v>0</v>
      </c>
      <c r="CH27" s="67">
        <f>CG27*G27</f>
        <v>0</v>
      </c>
      <c r="CI27" s="66"/>
      <c r="CJ27" s="34">
        <f>AI27</f>
        <v>0</v>
      </c>
      <c r="CK27" s="67">
        <f>CJ27*G27</f>
        <v>0</v>
      </c>
      <c r="CL27" s="66"/>
      <c r="CM27" s="34">
        <f>AK27</f>
        <v>0</v>
      </c>
      <c r="CN27" s="67">
        <f>CM27*G27</f>
        <v>0</v>
      </c>
      <c r="CO27" s="66"/>
      <c r="CP27" s="34">
        <f t="shared" si="0"/>
        <v>0</v>
      </c>
      <c r="CQ27" s="67">
        <f t="shared" si="1"/>
        <v>0</v>
      </c>
      <c r="CR27" s="66"/>
      <c r="CS27" s="34">
        <f>AO27</f>
        <v>0</v>
      </c>
      <c r="CT27" s="65">
        <f>CS27*G27</f>
        <v>0</v>
      </c>
      <c r="CU27" s="66"/>
      <c r="CV27" s="31">
        <f>AQ27</f>
        <v>0</v>
      </c>
      <c r="CW27" s="67">
        <f>CV27*G27</f>
        <v>0</v>
      </c>
      <c r="CX27" s="66"/>
      <c r="CY27" s="31">
        <f>AS27</f>
        <v>0</v>
      </c>
      <c r="CZ27" s="65">
        <f>CY27*G27</f>
        <v>0</v>
      </c>
      <c r="DA27" s="66"/>
      <c r="DB27" s="31">
        <f>AU27</f>
        <v>0</v>
      </c>
      <c r="DC27" s="67">
        <f>DB27*G27</f>
        <v>0</v>
      </c>
      <c r="DE27" s="76">
        <v>124</v>
      </c>
      <c r="DF27" s="42">
        <f>DE27*G27</f>
        <v>0</v>
      </c>
      <c r="DG27" s="69"/>
      <c r="DH27" s="42"/>
      <c r="DI27" s="70">
        <f>SUM(I27:AV27)</f>
        <v>5</v>
      </c>
      <c r="DJ27" s="42"/>
      <c r="DK27" s="70">
        <f>DE27+DG27-DI27</f>
        <v>119</v>
      </c>
      <c r="DL27" s="42"/>
      <c r="DM27" s="71">
        <f>E27*DK27</f>
        <v>2742.95</v>
      </c>
      <c r="DN27" s="42"/>
      <c r="DO27" s="72">
        <f t="shared" si="2"/>
        <v>27.6</v>
      </c>
      <c r="DP27" s="42"/>
      <c r="DQ27" s="71">
        <f>G27*DK27</f>
        <v>3291.54</v>
      </c>
      <c r="DR27" s="42"/>
      <c r="DS27" s="69"/>
      <c r="DT27" s="42"/>
      <c r="DU27" s="71">
        <v>0</v>
      </c>
      <c r="DV27" s="42"/>
      <c r="DW27" s="73">
        <f>DU27*1.2</f>
        <v>0</v>
      </c>
      <c r="DX27" s="42"/>
      <c r="DY27" s="71">
        <f>DU27*DS27</f>
        <v>0</v>
      </c>
    </row>
    <row r="28" ht="12" customHeight="1" spans="1:129" x14ac:dyDescent="0.25">
      <c r="A28" s="77" t="s">
        <v>73</v>
      </c>
      <c r="B28" s="42"/>
      <c r="C28" s="75"/>
      <c r="D28" s="44"/>
      <c r="E28" s="78">
        <v>26.11</v>
      </c>
      <c r="F28" s="44"/>
      <c r="G28" s="61">
        <v>31.33</v>
      </c>
      <c r="I28" s="62"/>
      <c r="J28" s="63"/>
      <c r="K28" s="64">
        <v>3</v>
      </c>
      <c r="L28" s="3"/>
      <c r="M28" s="62">
        <v>2</v>
      </c>
      <c r="N28" s="3"/>
      <c r="O28" s="64">
        <v>3</v>
      </c>
      <c r="P28" s="3"/>
      <c r="Q28" s="62">
        <v>1</v>
      </c>
      <c r="R28" s="3"/>
      <c r="S28" s="64">
        <v>2</v>
      </c>
      <c r="T28" s="3"/>
      <c r="U28" s="62">
        <v>1</v>
      </c>
      <c r="V28" s="3"/>
      <c r="W28" s="64">
        <v>3</v>
      </c>
      <c r="X28" s="3"/>
      <c r="Y28" s="62">
        <v>1</v>
      </c>
      <c r="Z28" s="3"/>
      <c r="AA28" s="64">
        <v>1</v>
      </c>
      <c r="AB28" s="3"/>
      <c r="AC28" s="62">
        <v>2</v>
      </c>
      <c r="AD28" s="3"/>
      <c r="AE28" s="64">
        <v>2</v>
      </c>
      <c r="AF28" s="3"/>
      <c r="AG28" s="62"/>
      <c r="AH28" s="3"/>
      <c r="AI28" s="64"/>
      <c r="AJ28" s="3"/>
      <c r="AK28" s="62"/>
      <c r="AL28" s="3"/>
      <c r="AM28" s="64"/>
      <c r="AN28" s="3"/>
      <c r="AO28" s="62"/>
      <c r="AP28" s="3"/>
      <c r="AQ28" s="64"/>
      <c r="AR28" s="3"/>
      <c r="AS28" s="62"/>
      <c r="AT28" s="3"/>
      <c r="AU28" s="64"/>
      <c r="AW28" s="34"/>
      <c r="AX28" s="65">
        <f>AW28*G28</f>
        <v>0</v>
      </c>
      <c r="AY28" s="66"/>
      <c r="AZ28" s="31">
        <f>K28</f>
        <v>3</v>
      </c>
      <c r="BA28" s="67">
        <f>AZ28*G28</f>
        <v>93.99</v>
      </c>
      <c r="BB28" s="66"/>
      <c r="BC28" s="31">
        <f>M28</f>
        <v>2</v>
      </c>
      <c r="BD28" s="65">
        <f>BC28*G28</f>
        <v>62.66</v>
      </c>
      <c r="BE28" s="66"/>
      <c r="BF28" s="31">
        <f>O28</f>
        <v>3</v>
      </c>
      <c r="BG28" s="67">
        <f>BF28*G28</f>
        <v>93.99</v>
      </c>
      <c r="BH28" s="66"/>
      <c r="BI28" s="31">
        <f>Q28</f>
        <v>1</v>
      </c>
      <c r="BJ28" s="65">
        <f>BI28*G28</f>
        <v>31.33</v>
      </c>
      <c r="BK28" s="66"/>
      <c r="BL28" s="31">
        <f>S28</f>
        <v>2</v>
      </c>
      <c r="BM28" s="67">
        <f>BL28*G28</f>
        <v>62.66</v>
      </c>
      <c r="BN28" s="66"/>
      <c r="BO28" s="31">
        <f>U28</f>
        <v>1</v>
      </c>
      <c r="BP28" s="65">
        <f>BO28*G28</f>
        <v>31.33</v>
      </c>
      <c r="BQ28" s="66"/>
      <c r="BR28" s="31">
        <f>W28</f>
        <v>3</v>
      </c>
      <c r="BS28" s="67">
        <f>BR28*G28</f>
        <v>93.99</v>
      </c>
      <c r="BT28" s="66"/>
      <c r="BU28" s="31">
        <f>Y28</f>
        <v>1</v>
      </c>
      <c r="BV28" s="65">
        <f>BU28*G28</f>
        <v>31.33</v>
      </c>
      <c r="BW28" s="66"/>
      <c r="BX28" s="31">
        <f>AA28</f>
        <v>1</v>
      </c>
      <c r="BY28" s="67">
        <f>BX28*G28</f>
        <v>31.33</v>
      </c>
      <c r="BZ28" s="66"/>
      <c r="CA28" s="31">
        <f>AC28</f>
        <v>2</v>
      </c>
      <c r="CB28" s="65">
        <f>CA28*G28</f>
        <v>62.66</v>
      </c>
      <c r="CC28" s="66"/>
      <c r="CD28" s="31">
        <f>AE28</f>
        <v>2</v>
      </c>
      <c r="CE28" s="67">
        <f>CD28*G28</f>
        <v>62.66</v>
      </c>
      <c r="CF28" s="66"/>
      <c r="CG28" s="34">
        <f>AG28</f>
        <v>0</v>
      </c>
      <c r="CH28" s="67">
        <f>CG28*G28</f>
        <v>0</v>
      </c>
      <c r="CI28" s="66"/>
      <c r="CJ28" s="34">
        <f>AI28</f>
        <v>0</v>
      </c>
      <c r="CK28" s="67">
        <f>CJ28*G28</f>
        <v>0</v>
      </c>
      <c r="CL28" s="66"/>
      <c r="CM28" s="34">
        <f>AK28</f>
        <v>0</v>
      </c>
      <c r="CN28" s="67">
        <f>CM28*G28</f>
        <v>0</v>
      </c>
      <c r="CO28" s="66"/>
      <c r="CP28" s="34">
        <f t="shared" si="0"/>
        <v>0</v>
      </c>
      <c r="CQ28" s="67">
        <f t="shared" si="1"/>
        <v>0</v>
      </c>
      <c r="CR28" s="66"/>
      <c r="CS28" s="34">
        <f>AO28</f>
        <v>0</v>
      </c>
      <c r="CT28" s="65">
        <f>CS28*G28</f>
        <v>0</v>
      </c>
      <c r="CU28" s="66"/>
      <c r="CV28" s="31">
        <f>AQ28</f>
        <v>0</v>
      </c>
      <c r="CW28" s="67">
        <f>CV28*G28</f>
        <v>0</v>
      </c>
      <c r="CX28" s="66"/>
      <c r="CY28" s="31">
        <f>AS28</f>
        <v>0</v>
      </c>
      <c r="CZ28" s="65">
        <f>CY28*G28</f>
        <v>0</v>
      </c>
      <c r="DA28" s="66"/>
      <c r="DB28" s="31">
        <f>AU28</f>
        <v>0</v>
      </c>
      <c r="DC28" s="67">
        <f>DB28*G28</f>
        <v>0</v>
      </c>
      <c r="DE28" s="76">
        <v>206</v>
      </c>
      <c r="DF28" s="42">
        <f>DE28*G28</f>
        <v>0</v>
      </c>
      <c r="DG28" s="69"/>
      <c r="DH28" s="42"/>
      <c r="DI28" s="70">
        <f>SUM(I28:AV28)</f>
        <v>21</v>
      </c>
      <c r="DJ28" s="42"/>
      <c r="DK28" s="70">
        <f>DE28+DG28-DI28</f>
        <v>185</v>
      </c>
      <c r="DL28" s="42"/>
      <c r="DM28" s="71">
        <f>E28*DK28</f>
        <v>4830.35</v>
      </c>
      <c r="DN28" s="42"/>
      <c r="DO28" s="72">
        <f t="shared" si="2"/>
        <v>1.15</v>
      </c>
      <c r="DP28" s="42"/>
      <c r="DQ28" s="71">
        <f>G28*DK28</f>
        <v>5796.05</v>
      </c>
      <c r="DR28" s="42"/>
      <c r="DS28" s="69"/>
      <c r="DT28" s="42"/>
      <c r="DU28" s="71">
        <v>0</v>
      </c>
      <c r="DV28" s="42"/>
      <c r="DW28" s="73">
        <f>DU28*1.2</f>
        <v>0</v>
      </c>
      <c r="DX28" s="42"/>
      <c r="DY28" s="71">
        <f>DU28*DS28</f>
        <v>0</v>
      </c>
    </row>
    <row r="29" ht="12" customHeight="1" spans="1:129" x14ac:dyDescent="0.25">
      <c r="A29" s="79" t="s">
        <v>74</v>
      </c>
      <c r="B29" s="42"/>
      <c r="C29" s="75"/>
      <c r="D29" s="44"/>
      <c r="E29" s="78">
        <v>42.24</v>
      </c>
      <c r="F29" s="44"/>
      <c r="G29" s="61">
        <v>50.69</v>
      </c>
      <c r="I29" s="62"/>
      <c r="J29" s="63"/>
      <c r="K29" s="64">
        <v>1</v>
      </c>
      <c r="L29" s="3"/>
      <c r="M29" s="62"/>
      <c r="N29" s="3"/>
      <c r="O29" s="64">
        <v>1</v>
      </c>
      <c r="P29" s="3"/>
      <c r="Q29" s="62">
        <v>1</v>
      </c>
      <c r="R29" s="3"/>
      <c r="S29" s="64">
        <v>1</v>
      </c>
      <c r="T29" s="3"/>
      <c r="U29" s="62"/>
      <c r="V29" s="3"/>
      <c r="W29" s="64">
        <v>1</v>
      </c>
      <c r="X29" s="3"/>
      <c r="Y29" s="62">
        <v>1</v>
      </c>
      <c r="Z29" s="3"/>
      <c r="AA29" s="64"/>
      <c r="AB29" s="3"/>
      <c r="AC29" s="62">
        <v>1</v>
      </c>
      <c r="AD29" s="3"/>
      <c r="AE29" s="64">
        <v>1</v>
      </c>
      <c r="AF29" s="3"/>
      <c r="AG29" s="62"/>
      <c r="AH29" s="3"/>
      <c r="AI29" s="64"/>
      <c r="AJ29" s="3"/>
      <c r="AK29" s="62"/>
      <c r="AL29" s="3"/>
      <c r="AM29" s="64"/>
      <c r="AN29" s="3"/>
      <c r="AO29" s="62"/>
      <c r="AP29" s="3"/>
      <c r="AQ29" s="64"/>
      <c r="AR29" s="3"/>
      <c r="AS29" s="62"/>
      <c r="AT29" s="3"/>
      <c r="AU29" s="64"/>
      <c r="AW29" s="34"/>
      <c r="AX29" s="65">
        <f>AW29*G29</f>
        <v>0</v>
      </c>
      <c r="AY29" s="66"/>
      <c r="AZ29" s="31">
        <f>K29</f>
        <v>1</v>
      </c>
      <c r="BA29" s="67">
        <f>AZ29*G29</f>
        <v>50.69</v>
      </c>
      <c r="BB29" s="66"/>
      <c r="BC29" s="31">
        <f>M29</f>
        <v>0</v>
      </c>
      <c r="BD29" s="65">
        <f>BC29*G29</f>
        <v>0</v>
      </c>
      <c r="BE29" s="66"/>
      <c r="BF29" s="31">
        <f>O29</f>
        <v>1</v>
      </c>
      <c r="BG29" s="67">
        <f>BF29*G29</f>
        <v>50.69</v>
      </c>
      <c r="BH29" s="66"/>
      <c r="BI29" s="31">
        <f>Q29</f>
        <v>1</v>
      </c>
      <c r="BJ29" s="65">
        <f>BI29*G29</f>
        <v>50.69</v>
      </c>
      <c r="BK29" s="66"/>
      <c r="BL29" s="31">
        <f>S29</f>
        <v>1</v>
      </c>
      <c r="BM29" s="67">
        <f>BL29*G29</f>
        <v>50.69</v>
      </c>
      <c r="BN29" s="66"/>
      <c r="BO29" s="31">
        <f>U29</f>
        <v>0</v>
      </c>
      <c r="BP29" s="65">
        <f>BO29*G29</f>
        <v>0</v>
      </c>
      <c r="BQ29" s="66"/>
      <c r="BR29" s="31">
        <f>W29</f>
        <v>1</v>
      </c>
      <c r="BS29" s="67">
        <f>BR29*G29</f>
        <v>50.69</v>
      </c>
      <c r="BT29" s="66"/>
      <c r="BU29" s="31">
        <f>Y29</f>
        <v>1</v>
      </c>
      <c r="BV29" s="65">
        <f>BU29*G29</f>
        <v>50.69</v>
      </c>
      <c r="BW29" s="66"/>
      <c r="BX29" s="31">
        <f>AA29</f>
        <v>0</v>
      </c>
      <c r="BY29" s="67">
        <f>BX29*G29</f>
        <v>0</v>
      </c>
      <c r="BZ29" s="66"/>
      <c r="CA29" s="31">
        <f>AC29</f>
        <v>1</v>
      </c>
      <c r="CB29" s="65">
        <f>CA29*G29</f>
        <v>50.69</v>
      </c>
      <c r="CC29" s="66"/>
      <c r="CD29" s="31">
        <f>AE29</f>
        <v>1</v>
      </c>
      <c r="CE29" s="67">
        <f>CD29*G29</f>
        <v>50.69</v>
      </c>
      <c r="CF29" s="66"/>
      <c r="CG29" s="34">
        <f>AG29</f>
        <v>0</v>
      </c>
      <c r="CH29" s="67">
        <f>CG29*G29</f>
        <v>0</v>
      </c>
      <c r="CI29" s="66"/>
      <c r="CJ29" s="34">
        <f>AI29</f>
        <v>0</v>
      </c>
      <c r="CK29" s="67">
        <f>CJ29*G29</f>
        <v>0</v>
      </c>
      <c r="CL29" s="66"/>
      <c r="CM29" s="34">
        <f>AK29</f>
        <v>0</v>
      </c>
      <c r="CN29" s="67">
        <f>CM29*G29</f>
        <v>0</v>
      </c>
      <c r="CO29" s="66"/>
      <c r="CP29" s="34">
        <f t="shared" si="0"/>
        <v>0</v>
      </c>
      <c r="CQ29" s="67">
        <f t="shared" si="1"/>
        <v>0</v>
      </c>
      <c r="CR29" s="66"/>
      <c r="CS29" s="34">
        <f>AO29</f>
        <v>0</v>
      </c>
      <c r="CT29" s="65">
        <f>CS29*G29</f>
        <v>0</v>
      </c>
      <c r="CU29" s="66"/>
      <c r="CV29" s="31">
        <f>AQ29</f>
        <v>0</v>
      </c>
      <c r="CW29" s="67">
        <f>CV29*G29</f>
        <v>0</v>
      </c>
      <c r="CX29" s="66"/>
      <c r="CY29" s="31">
        <f>AS29</f>
        <v>0</v>
      </c>
      <c r="CZ29" s="65">
        <f>CY29*G29</f>
        <v>0</v>
      </c>
      <c r="DA29" s="66"/>
      <c r="DB29" s="31">
        <f>AU29</f>
        <v>0</v>
      </c>
      <c r="DC29" s="67">
        <f>DB29*G29</f>
        <v>0</v>
      </c>
      <c r="DE29" s="76">
        <v>60</v>
      </c>
      <c r="DF29" s="42">
        <f>DE29*G29</f>
        <v>0</v>
      </c>
      <c r="DG29" s="69"/>
      <c r="DH29" s="42"/>
      <c r="DI29" s="70">
        <f>SUM(I29:AV29)</f>
        <v>8</v>
      </c>
      <c r="DJ29" s="42"/>
      <c r="DK29" s="70">
        <f>DE29+DG29-DI29</f>
        <v>52</v>
      </c>
      <c r="DL29" s="42"/>
      <c r="DM29" s="71">
        <f>E29*DK29</f>
        <v>2196.48</v>
      </c>
      <c r="DN29" s="42"/>
      <c r="DO29" s="72">
        <f t="shared" si="2"/>
        <v>11.833333333333334</v>
      </c>
      <c r="DP29" s="42"/>
      <c r="DQ29" s="71">
        <f>G29*DK29</f>
        <v>2635.88</v>
      </c>
      <c r="DR29" s="42"/>
      <c r="DS29" s="69"/>
      <c r="DT29" s="42"/>
      <c r="DU29" s="71">
        <v>0</v>
      </c>
      <c r="DV29" s="42"/>
      <c r="DW29" s="73">
        <f>DU29*1.2</f>
        <v>0</v>
      </c>
      <c r="DX29" s="42"/>
      <c r="DY29" s="71">
        <f>DU29*DS29</f>
        <v>0</v>
      </c>
    </row>
    <row r="30" ht="12" customHeight="1" spans="1:129" x14ac:dyDescent="0.25">
      <c r="A30" s="77" t="s">
        <v>75</v>
      </c>
      <c r="B30" s="42"/>
      <c r="C30" s="75"/>
      <c r="D30" s="44"/>
      <c r="E30" s="78">
        <v>81.95</v>
      </c>
      <c r="F30" s="44"/>
      <c r="G30" s="61">
        <v>90.83</v>
      </c>
      <c r="I30" s="62"/>
      <c r="J30" s="63"/>
      <c r="K30" s="64">
        <v>1</v>
      </c>
      <c r="L30" s="3"/>
      <c r="M30" s="62"/>
      <c r="N30" s="3"/>
      <c r="O30" s="64">
        <v>1</v>
      </c>
      <c r="P30" s="3"/>
      <c r="Q30" s="62"/>
      <c r="R30" s="3"/>
      <c r="S30" s="64">
        <v>1</v>
      </c>
      <c r="T30" s="3"/>
      <c r="U30" s="62">
        <v>1</v>
      </c>
      <c r="V30" s="3"/>
      <c r="W30" s="64"/>
      <c r="X30" s="3"/>
      <c r="Y30" s="62">
        <v>1</v>
      </c>
      <c r="Z30" s="3"/>
      <c r="AA30" s="64"/>
      <c r="AB30" s="3"/>
      <c r="AC30" s="62"/>
      <c r="AD30" s="3"/>
      <c r="AE30" s="64">
        <v>1</v>
      </c>
      <c r="AF30" s="3"/>
      <c r="AG30" s="62"/>
      <c r="AH30" s="3"/>
      <c r="AI30" s="64"/>
      <c r="AJ30" s="3"/>
      <c r="AK30" s="62"/>
      <c r="AL30" s="3"/>
      <c r="AM30" s="64"/>
      <c r="AN30" s="3"/>
      <c r="AO30" s="62">
        <v>1</v>
      </c>
      <c r="AP30" s="3"/>
      <c r="AQ30" s="64"/>
      <c r="AR30" s="3"/>
      <c r="AS30" s="62"/>
      <c r="AT30" s="3"/>
      <c r="AU30" s="64"/>
      <c r="AW30" s="34"/>
      <c r="AX30" s="65">
        <f>AW30*G30</f>
        <v>0</v>
      </c>
      <c r="AY30" s="66"/>
      <c r="AZ30" s="31">
        <f>K30</f>
        <v>1</v>
      </c>
      <c r="BA30" s="67">
        <f>AZ30*G30</f>
        <v>90.83</v>
      </c>
      <c r="BB30" s="66"/>
      <c r="BC30" s="31">
        <f>M30</f>
        <v>0</v>
      </c>
      <c r="BD30" s="65">
        <f>BC30*G30</f>
        <v>0</v>
      </c>
      <c r="BE30" s="66"/>
      <c r="BF30" s="31">
        <f>O30</f>
        <v>1</v>
      </c>
      <c r="BG30" s="67">
        <f>BF30*G30</f>
        <v>90.83</v>
      </c>
      <c r="BH30" s="66"/>
      <c r="BI30" s="31">
        <f>Q30</f>
        <v>0</v>
      </c>
      <c r="BJ30" s="65">
        <f>BI30*G30</f>
        <v>0</v>
      </c>
      <c r="BK30" s="66"/>
      <c r="BL30" s="31">
        <f>S30</f>
        <v>1</v>
      </c>
      <c r="BM30" s="67">
        <f>BL30*G30</f>
        <v>90.83</v>
      </c>
      <c r="BN30" s="66"/>
      <c r="BO30" s="31">
        <f>U30</f>
        <v>1</v>
      </c>
      <c r="BP30" s="65">
        <f>BO30*G30</f>
        <v>90.83</v>
      </c>
      <c r="BQ30" s="66"/>
      <c r="BR30" s="31">
        <f>W30</f>
        <v>0</v>
      </c>
      <c r="BS30" s="67">
        <f>BR30*G30</f>
        <v>0</v>
      </c>
      <c r="BT30" s="66"/>
      <c r="BU30" s="31">
        <f>Y30</f>
        <v>1</v>
      </c>
      <c r="BV30" s="65">
        <f>BU30*G30</f>
        <v>90.83</v>
      </c>
      <c r="BW30" s="66"/>
      <c r="BX30" s="31">
        <f>AA30</f>
        <v>0</v>
      </c>
      <c r="BY30" s="67">
        <f>BX30*G30</f>
        <v>0</v>
      </c>
      <c r="BZ30" s="66"/>
      <c r="CA30" s="31">
        <f>AC30</f>
        <v>0</v>
      </c>
      <c r="CB30" s="65">
        <f>CA30*G30</f>
        <v>0</v>
      </c>
      <c r="CC30" s="66"/>
      <c r="CD30" s="31">
        <f>AE30</f>
        <v>1</v>
      </c>
      <c r="CE30" s="67">
        <f>CD30*G30</f>
        <v>90.83</v>
      </c>
      <c r="CF30" s="66"/>
      <c r="CG30" s="34">
        <f>AG30</f>
        <v>0</v>
      </c>
      <c r="CH30" s="67">
        <f>CG30*G30</f>
        <v>0</v>
      </c>
      <c r="CI30" s="66"/>
      <c r="CJ30" s="34">
        <f>AI30</f>
        <v>0</v>
      </c>
      <c r="CK30" s="67">
        <f>CJ30*G30</f>
        <v>0</v>
      </c>
      <c r="CL30" s="66"/>
      <c r="CM30" s="34">
        <f>AK30</f>
        <v>0</v>
      </c>
      <c r="CN30" s="67">
        <f>CM30*G30</f>
        <v>0</v>
      </c>
      <c r="CO30" s="66"/>
      <c r="CP30" s="34">
        <f t="shared" si="0"/>
        <v>0</v>
      </c>
      <c r="CQ30" s="67">
        <f t="shared" si="1"/>
        <v>0</v>
      </c>
      <c r="CR30" s="66"/>
      <c r="CS30" s="34">
        <f>AO30</f>
        <v>1</v>
      </c>
      <c r="CT30" s="65">
        <f>CS30*G30</f>
        <v>90.83</v>
      </c>
      <c r="CU30" s="66"/>
      <c r="CV30" s="31">
        <f>AQ30</f>
        <v>0</v>
      </c>
      <c r="CW30" s="67">
        <f>CV30*G30</f>
        <v>0</v>
      </c>
      <c r="CX30" s="66"/>
      <c r="CY30" s="31">
        <f>AS30</f>
        <v>0</v>
      </c>
      <c r="CZ30" s="65">
        <f>CY30*G30</f>
        <v>0</v>
      </c>
      <c r="DA30" s="66"/>
      <c r="DB30" s="31">
        <f>AU30</f>
        <v>0</v>
      </c>
      <c r="DC30" s="67">
        <f>DB30*G30</f>
        <v>0</v>
      </c>
      <c r="DE30" s="76">
        <v>27</v>
      </c>
      <c r="DF30" s="42">
        <f>DE30*G30</f>
        <v>0</v>
      </c>
      <c r="DG30" s="69"/>
      <c r="DH30" s="42"/>
      <c r="DI30" s="70">
        <f>SUM(I30:AV30)</f>
        <v>7</v>
      </c>
      <c r="DJ30" s="42"/>
      <c r="DK30" s="70">
        <f>DE30+DG30-DI30</f>
        <v>20</v>
      </c>
      <c r="DL30" s="42"/>
      <c r="DM30" s="71">
        <f>E30*DK30</f>
        <v>1639</v>
      </c>
      <c r="DN30" s="42"/>
      <c r="DO30" s="72">
        <f t="shared" si="2"/>
        <v>0.8333333333333334</v>
      </c>
      <c r="DP30" s="42"/>
      <c r="DQ30" s="71">
        <f>G30*DK30</f>
        <v>1816.6</v>
      </c>
      <c r="DR30" s="42"/>
      <c r="DS30" s="69"/>
      <c r="DT30" s="42"/>
      <c r="DU30" s="71">
        <v>0</v>
      </c>
      <c r="DV30" s="42"/>
      <c r="DW30" s="73">
        <f>DU30*1.2</f>
        <v>0</v>
      </c>
      <c r="DX30" s="42"/>
      <c r="DY30" s="71">
        <f>DU30*DS30</f>
        <v>0</v>
      </c>
    </row>
    <row r="31" ht="12" customHeight="1" spans="1:129" x14ac:dyDescent="0.25">
      <c r="A31" s="74" t="s">
        <v>76</v>
      </c>
      <c r="B31" s="42"/>
      <c r="C31" s="75"/>
      <c r="D31" s="44"/>
      <c r="E31" s="78">
        <v>5</v>
      </c>
      <c r="F31" s="44"/>
      <c r="G31" s="61">
        <v>6</v>
      </c>
      <c r="I31" s="62"/>
      <c r="J31" s="63"/>
      <c r="K31" s="64">
        <v>1</v>
      </c>
      <c r="L31" s="3"/>
      <c r="M31" s="62"/>
      <c r="N31" s="3"/>
      <c r="O31" s="64"/>
      <c r="P31" s="3"/>
      <c r="Q31" s="62">
        <v>1</v>
      </c>
      <c r="R31" s="3"/>
      <c r="S31" s="64"/>
      <c r="T31" s="3"/>
      <c r="U31" s="62"/>
      <c r="V31" s="3"/>
      <c r="W31" s="64"/>
      <c r="X31" s="3"/>
      <c r="Y31" s="62"/>
      <c r="Z31" s="3"/>
      <c r="AA31" s="64"/>
      <c r="AB31" s="3"/>
      <c r="AC31" s="62"/>
      <c r="AD31" s="3"/>
      <c r="AE31" s="64">
        <v>1</v>
      </c>
      <c r="AF31" s="3"/>
      <c r="AG31" s="62"/>
      <c r="AH31" s="3"/>
      <c r="AI31" s="64"/>
      <c r="AJ31" s="3"/>
      <c r="AK31" s="62"/>
      <c r="AL31" s="3"/>
      <c r="AM31" s="64"/>
      <c r="AN31" s="3"/>
      <c r="AO31" s="62"/>
      <c r="AP31" s="3"/>
      <c r="AQ31" s="64"/>
      <c r="AR31" s="3"/>
      <c r="AS31" s="62"/>
      <c r="AT31" s="3"/>
      <c r="AU31" s="64"/>
      <c r="AW31" s="34"/>
      <c r="AX31" s="65">
        <f>AW31*G31</f>
        <v>0</v>
      </c>
      <c r="AY31" s="66"/>
      <c r="AZ31" s="31">
        <f>K31</f>
        <v>1</v>
      </c>
      <c r="BA31" s="67">
        <f>AZ31*G31</f>
        <v>6</v>
      </c>
      <c r="BB31" s="66"/>
      <c r="BC31" s="31">
        <f>M31</f>
        <v>0</v>
      </c>
      <c r="BD31" s="65">
        <f>BC31*G31</f>
        <v>0</v>
      </c>
      <c r="BE31" s="66"/>
      <c r="BF31" s="31">
        <f>O31</f>
        <v>0</v>
      </c>
      <c r="BG31" s="67">
        <f>BF31*G31</f>
        <v>0</v>
      </c>
      <c r="BH31" s="66"/>
      <c r="BI31" s="31">
        <f>Q31</f>
        <v>1</v>
      </c>
      <c r="BJ31" s="65">
        <f>BI31*G31</f>
        <v>6</v>
      </c>
      <c r="BK31" s="66"/>
      <c r="BL31" s="31">
        <f>S31</f>
        <v>0</v>
      </c>
      <c r="BM31" s="67">
        <f>BL31*G31</f>
        <v>0</v>
      </c>
      <c r="BN31" s="66"/>
      <c r="BO31" s="31">
        <f>U31</f>
        <v>0</v>
      </c>
      <c r="BP31" s="65">
        <f>BO31*G31</f>
        <v>0</v>
      </c>
      <c r="BQ31" s="66"/>
      <c r="BR31" s="31">
        <f>W31</f>
        <v>0</v>
      </c>
      <c r="BS31" s="67">
        <f>BR31*G31</f>
        <v>0</v>
      </c>
      <c r="BT31" s="66"/>
      <c r="BU31" s="31">
        <f>Y31</f>
        <v>0</v>
      </c>
      <c r="BV31" s="65">
        <f>BU31*G31</f>
        <v>0</v>
      </c>
      <c r="BW31" s="66"/>
      <c r="BX31" s="31">
        <f>AA31</f>
        <v>0</v>
      </c>
      <c r="BY31" s="67">
        <f>BX31*G31</f>
        <v>0</v>
      </c>
      <c r="BZ31" s="66"/>
      <c r="CA31" s="31">
        <f>AC31</f>
        <v>0</v>
      </c>
      <c r="CB31" s="65">
        <f>CA31*G31</f>
        <v>0</v>
      </c>
      <c r="CC31" s="66"/>
      <c r="CD31" s="31">
        <f>AE31</f>
        <v>1</v>
      </c>
      <c r="CE31" s="67">
        <f>CD31*G31</f>
        <v>6</v>
      </c>
      <c r="CF31" s="66"/>
      <c r="CG31" s="34">
        <f>AG31</f>
        <v>0</v>
      </c>
      <c r="CH31" s="67">
        <f>CG31*G31</f>
        <v>0</v>
      </c>
      <c r="CI31" s="66"/>
      <c r="CJ31" s="34">
        <f>AI31</f>
        <v>0</v>
      </c>
      <c r="CK31" s="67">
        <f>CJ31*G31</f>
        <v>0</v>
      </c>
      <c r="CL31" s="66"/>
      <c r="CM31" s="34">
        <f>AK31</f>
        <v>0</v>
      </c>
      <c r="CN31" s="67">
        <f>CM31*G31</f>
        <v>0</v>
      </c>
      <c r="CO31" s="66"/>
      <c r="CP31" s="34">
        <f t="shared" si="0"/>
        <v>0</v>
      </c>
      <c r="CQ31" s="67">
        <f t="shared" si="1"/>
        <v>0</v>
      </c>
      <c r="CR31" s="66"/>
      <c r="CS31" s="34">
        <f>AO31</f>
        <v>0</v>
      </c>
      <c r="CT31" s="65">
        <f>CS31*G31</f>
        <v>0</v>
      </c>
      <c r="CU31" s="66"/>
      <c r="CV31" s="31">
        <f>AQ31</f>
        <v>0</v>
      </c>
      <c r="CW31" s="67">
        <f>CV31*G31</f>
        <v>0</v>
      </c>
      <c r="CX31" s="66"/>
      <c r="CY31" s="31">
        <f>AS31</f>
        <v>0</v>
      </c>
      <c r="CZ31" s="65">
        <f>CY31*G31</f>
        <v>0</v>
      </c>
      <c r="DA31" s="66"/>
      <c r="DB31" s="31">
        <f>AU31</f>
        <v>0</v>
      </c>
      <c r="DC31" s="67">
        <f>DB31*G31</f>
        <v>0</v>
      </c>
      <c r="DE31" s="76">
        <v>15</v>
      </c>
      <c r="DF31" s="42">
        <f>DE31*G31</f>
        <v>0</v>
      </c>
      <c r="DG31" s="69"/>
      <c r="DH31" s="42"/>
      <c r="DI31" s="70">
        <f>SUM(I31:AV31)</f>
        <v>3</v>
      </c>
      <c r="DJ31" s="42"/>
      <c r="DK31" s="70">
        <f>DE31+DG31-DI31</f>
        <v>12</v>
      </c>
      <c r="DL31" s="42"/>
      <c r="DM31" s="71">
        <f>E31*DK31</f>
        <v>60</v>
      </c>
      <c r="DN31" s="42"/>
      <c r="DO31" s="72">
        <f t="shared" si="2"/>
        <v>3</v>
      </c>
      <c r="DP31" s="42"/>
      <c r="DQ31" s="71">
        <f>G31*DK31</f>
        <v>72</v>
      </c>
      <c r="DR31" s="42"/>
      <c r="DS31" s="69"/>
      <c r="DT31" s="42"/>
      <c r="DU31" s="71">
        <v>0</v>
      </c>
      <c r="DV31" s="42"/>
      <c r="DW31" s="73">
        <f>DU31*1.2</f>
        <v>0</v>
      </c>
      <c r="DX31" s="42"/>
      <c r="DY31" s="71">
        <f>DU31*DS31</f>
        <v>0</v>
      </c>
    </row>
    <row r="32" ht="12.45" customHeight="1" spans="1:129" s="6" customFormat="1" x14ac:dyDescent="0.25">
      <c r="A32" s="77" t="s">
        <v>77</v>
      </c>
      <c r="B32" s="42"/>
      <c r="C32" s="75"/>
      <c r="D32" s="44"/>
      <c r="E32" s="78">
        <v>30</v>
      </c>
      <c r="F32" s="44"/>
      <c r="G32" s="61">
        <v>36</v>
      </c>
      <c r="H32" s="2"/>
      <c r="I32" s="62"/>
      <c r="J32" s="63"/>
      <c r="K32" s="64"/>
      <c r="L32" s="3"/>
      <c r="M32" s="62"/>
      <c r="N32" s="3"/>
      <c r="O32" s="64"/>
      <c r="P32" s="3"/>
      <c r="Q32" s="62"/>
      <c r="R32" s="3"/>
      <c r="S32" s="64"/>
      <c r="T32" s="3"/>
      <c r="U32" s="62"/>
      <c r="V32" s="3"/>
      <c r="W32" s="64"/>
      <c r="X32" s="3"/>
      <c r="Y32" s="62"/>
      <c r="Z32" s="3"/>
      <c r="AA32" s="64"/>
      <c r="AB32" s="3"/>
      <c r="AC32" s="62"/>
      <c r="AD32" s="3"/>
      <c r="AE32" s="64">
        <v>1</v>
      </c>
      <c r="AF32" s="3"/>
      <c r="AG32" s="62"/>
      <c r="AH32" s="3"/>
      <c r="AI32" s="64"/>
      <c r="AJ32" s="3"/>
      <c r="AK32" s="62"/>
      <c r="AL32" s="3"/>
      <c r="AM32" s="64"/>
      <c r="AN32" s="3"/>
      <c r="AO32" s="62"/>
      <c r="AP32" s="3"/>
      <c r="AQ32" s="64"/>
      <c r="AR32" s="3"/>
      <c r="AS32" s="62"/>
      <c r="AT32" s="3"/>
      <c r="AU32" s="64"/>
      <c r="AV32" s="2"/>
      <c r="AW32" s="34"/>
      <c r="AX32" s="65">
        <f>AW32*G32</f>
        <v>0</v>
      </c>
      <c r="AY32" s="66"/>
      <c r="AZ32" s="31">
        <f>K32</f>
        <v>0</v>
      </c>
      <c r="BA32" s="67">
        <f>AZ32*G32</f>
        <v>0</v>
      </c>
      <c r="BB32" s="66"/>
      <c r="BC32" s="31">
        <f>M32</f>
        <v>0</v>
      </c>
      <c r="BD32" s="65">
        <f>BC32*G32</f>
        <v>0</v>
      </c>
      <c r="BE32" s="66"/>
      <c r="BF32" s="31">
        <f>O32</f>
        <v>0</v>
      </c>
      <c r="BG32" s="67">
        <f>BF32*G32</f>
        <v>0</v>
      </c>
      <c r="BH32" s="66"/>
      <c r="BI32" s="31">
        <f>Q32</f>
        <v>0</v>
      </c>
      <c r="BJ32" s="65">
        <f>BI32*G32</f>
        <v>0</v>
      </c>
      <c r="BK32" s="66"/>
      <c r="BL32" s="31">
        <f>S32</f>
        <v>0</v>
      </c>
      <c r="BM32" s="67">
        <f>BL32*G32</f>
        <v>0</v>
      </c>
      <c r="BN32" s="66"/>
      <c r="BO32" s="31">
        <f>U32</f>
        <v>0</v>
      </c>
      <c r="BP32" s="65">
        <f>BO32*G32</f>
        <v>0</v>
      </c>
      <c r="BQ32" s="66"/>
      <c r="BR32" s="31">
        <f>W32</f>
        <v>0</v>
      </c>
      <c r="BS32" s="67">
        <f>BR32*G32</f>
        <v>0</v>
      </c>
      <c r="BT32" s="66"/>
      <c r="BU32" s="31">
        <f>Y32</f>
        <v>0</v>
      </c>
      <c r="BV32" s="65">
        <f>BU32*G32</f>
        <v>0</v>
      </c>
      <c r="BW32" s="66"/>
      <c r="BX32" s="31">
        <f>AA32</f>
        <v>0</v>
      </c>
      <c r="BY32" s="67">
        <f>BX32*G32</f>
        <v>0</v>
      </c>
      <c r="BZ32" s="66"/>
      <c r="CA32" s="31">
        <f>AC32</f>
        <v>0</v>
      </c>
      <c r="CB32" s="65">
        <f>CA32*G32</f>
        <v>0</v>
      </c>
      <c r="CC32" s="66"/>
      <c r="CD32" s="31">
        <f>AE32</f>
        <v>1</v>
      </c>
      <c r="CE32" s="67">
        <f>CD32*G32</f>
        <v>36</v>
      </c>
      <c r="CF32" s="66"/>
      <c r="CG32" s="34">
        <f>AG32</f>
        <v>0</v>
      </c>
      <c r="CH32" s="67">
        <f>CG32*G32</f>
        <v>0</v>
      </c>
      <c r="CI32" s="66"/>
      <c r="CJ32" s="34">
        <f>AI32</f>
        <v>0</v>
      </c>
      <c r="CK32" s="67">
        <f>CJ32*G32</f>
        <v>0</v>
      </c>
      <c r="CL32" s="66"/>
      <c r="CM32" s="34">
        <f>AK32</f>
        <v>0</v>
      </c>
      <c r="CN32" s="67">
        <f>CM32*G32</f>
        <v>0</v>
      </c>
      <c r="CO32" s="66"/>
      <c r="CP32" s="34">
        <f t="shared" si="0"/>
        <v>0</v>
      </c>
      <c r="CQ32" s="67">
        <f t="shared" si="1"/>
        <v>0</v>
      </c>
      <c r="CR32" s="66"/>
      <c r="CS32" s="34">
        <f>AO32</f>
        <v>0</v>
      </c>
      <c r="CT32" s="65">
        <f>CS32*G32</f>
        <v>0</v>
      </c>
      <c r="CU32" s="66"/>
      <c r="CV32" s="31">
        <f>AQ32</f>
        <v>0</v>
      </c>
      <c r="CW32" s="67">
        <f>CV32*G32</f>
        <v>0</v>
      </c>
      <c r="CX32" s="66"/>
      <c r="CY32" s="31">
        <f>AS32</f>
        <v>0</v>
      </c>
      <c r="CZ32" s="65">
        <f>CY32*G32</f>
        <v>0</v>
      </c>
      <c r="DA32" s="66"/>
      <c r="DB32" s="31">
        <f>AU32</f>
        <v>0</v>
      </c>
      <c r="DC32" s="67">
        <f>DB32*G32</f>
        <v>0</v>
      </c>
      <c r="DD32" s="2"/>
      <c r="DE32" s="76">
        <v>1</v>
      </c>
      <c r="DF32" s="42">
        <f>DE32*G32</f>
        <v>0</v>
      </c>
      <c r="DG32" s="69"/>
      <c r="DH32" s="42"/>
      <c r="DI32" s="70">
        <f>SUM(I32:AV32)</f>
        <v>1</v>
      </c>
      <c r="DJ32" s="42"/>
      <c r="DK32" s="70">
        <f>DE32+DG32-DI32</f>
        <v>0</v>
      </c>
      <c r="DL32" s="42"/>
      <c r="DM32" s="71">
        <f>E32*DK32</f>
        <v>0</v>
      </c>
      <c r="DN32" s="42"/>
      <c r="DO32" s="72" t="e">
        <f t="shared" si="2"/>
        <v>#DIV/0!</v>
      </c>
      <c r="DP32" s="42"/>
      <c r="DQ32" s="71">
        <f>G32*DK32</f>
        <v>0</v>
      </c>
      <c r="DR32" s="42"/>
      <c r="DS32" s="69"/>
      <c r="DT32" s="42"/>
      <c r="DU32" s="71">
        <v>0</v>
      </c>
      <c r="DV32" s="42"/>
      <c r="DW32" s="73">
        <f>DU32*1.2</f>
        <v>0</v>
      </c>
      <c r="DX32" s="42"/>
      <c r="DY32" s="71">
        <f>DU32*DS32</f>
        <v>0</v>
      </c>
    </row>
    <row r="33" ht="12.45" customHeight="1" spans="1:129" x14ac:dyDescent="0.25">
      <c r="A33" s="74" t="s">
        <v>78</v>
      </c>
      <c r="B33" s="42"/>
      <c r="C33" s="75"/>
      <c r="D33" s="44"/>
      <c r="E33" s="78">
        <v>5</v>
      </c>
      <c r="F33" s="44"/>
      <c r="G33" s="61">
        <v>6</v>
      </c>
      <c r="I33" s="62"/>
      <c r="J33" s="63"/>
      <c r="K33" s="64"/>
      <c r="L33" s="3"/>
      <c r="M33" s="62"/>
      <c r="N33" s="3"/>
      <c r="O33" s="64"/>
      <c r="P33" s="3"/>
      <c r="Q33" s="62"/>
      <c r="R33" s="3"/>
      <c r="S33" s="64"/>
      <c r="T33" s="3"/>
      <c r="U33" s="62"/>
      <c r="V33" s="3"/>
      <c r="W33" s="64"/>
      <c r="X33" s="3"/>
      <c r="Y33" s="62"/>
      <c r="Z33" s="3"/>
      <c r="AA33" s="64"/>
      <c r="AB33" s="3"/>
      <c r="AC33" s="62"/>
      <c r="AD33" s="3"/>
      <c r="AE33" s="64">
        <v>1</v>
      </c>
      <c r="AF33" s="3"/>
      <c r="AG33" s="62"/>
      <c r="AH33" s="3"/>
      <c r="AI33" s="64"/>
      <c r="AJ33" s="3"/>
      <c r="AK33" s="62"/>
      <c r="AL33" s="3"/>
      <c r="AM33" s="64"/>
      <c r="AN33" s="3"/>
      <c r="AO33" s="62"/>
      <c r="AP33" s="3"/>
      <c r="AQ33" s="64"/>
      <c r="AR33" s="3"/>
      <c r="AS33" s="62"/>
      <c r="AT33" s="3"/>
      <c r="AU33" s="64"/>
      <c r="AW33" s="34"/>
      <c r="AX33" s="65">
        <f>AW33*G33</f>
        <v>0</v>
      </c>
      <c r="AY33" s="66"/>
      <c r="AZ33" s="31">
        <f>K33</f>
        <v>0</v>
      </c>
      <c r="BA33" s="67">
        <f>AZ33*G33</f>
        <v>0</v>
      </c>
      <c r="BB33" s="66"/>
      <c r="BC33" s="31">
        <f>M33</f>
        <v>0</v>
      </c>
      <c r="BD33" s="65">
        <f>BC33*G33</f>
        <v>0</v>
      </c>
      <c r="BE33" s="66"/>
      <c r="BF33" s="31">
        <f>O33</f>
        <v>0</v>
      </c>
      <c r="BG33" s="67">
        <f>BF33*G33</f>
        <v>0</v>
      </c>
      <c r="BH33" s="66"/>
      <c r="BI33" s="31">
        <f>Q33</f>
        <v>0</v>
      </c>
      <c r="BJ33" s="65">
        <f>BI33*G33</f>
        <v>0</v>
      </c>
      <c r="BK33" s="66"/>
      <c r="BL33" s="31">
        <f>S33</f>
        <v>0</v>
      </c>
      <c r="BM33" s="67">
        <f>BL33*G33</f>
        <v>0</v>
      </c>
      <c r="BN33" s="66"/>
      <c r="BO33" s="31">
        <f>U33</f>
        <v>0</v>
      </c>
      <c r="BP33" s="65">
        <f>BO33*G33</f>
        <v>0</v>
      </c>
      <c r="BQ33" s="66"/>
      <c r="BR33" s="31">
        <f>W33</f>
        <v>0</v>
      </c>
      <c r="BS33" s="67">
        <f>BR33*G33</f>
        <v>0</v>
      </c>
      <c r="BT33" s="66"/>
      <c r="BU33" s="31">
        <f>Y33</f>
        <v>0</v>
      </c>
      <c r="BV33" s="65">
        <f>BU33*G33</f>
        <v>0</v>
      </c>
      <c r="BW33" s="66"/>
      <c r="BX33" s="31">
        <f>AA33</f>
        <v>0</v>
      </c>
      <c r="BY33" s="67">
        <f>BX33*G33</f>
        <v>0</v>
      </c>
      <c r="BZ33" s="66"/>
      <c r="CA33" s="31">
        <f>AC33</f>
        <v>0</v>
      </c>
      <c r="CB33" s="65">
        <f>CA33*G33</f>
        <v>0</v>
      </c>
      <c r="CC33" s="66"/>
      <c r="CD33" s="31">
        <f>AE33</f>
        <v>1</v>
      </c>
      <c r="CE33" s="67">
        <f>CD33*G33</f>
        <v>6</v>
      </c>
      <c r="CF33" s="66"/>
      <c r="CG33" s="34">
        <f>AG33</f>
        <v>0</v>
      </c>
      <c r="CH33" s="67">
        <f>CG33*G33</f>
        <v>0</v>
      </c>
      <c r="CI33" s="66"/>
      <c r="CJ33" s="34">
        <f>AI33</f>
        <v>0</v>
      </c>
      <c r="CK33" s="67">
        <f>CJ33*G33</f>
        <v>0</v>
      </c>
      <c r="CL33" s="66"/>
      <c r="CM33" s="34">
        <f>AK33</f>
        <v>0</v>
      </c>
      <c r="CN33" s="67">
        <f>CM33*G33</f>
        <v>0</v>
      </c>
      <c r="CO33" s="66"/>
      <c r="CP33" s="34">
        <f t="shared" si="0"/>
        <v>0</v>
      </c>
      <c r="CQ33" s="67">
        <f t="shared" si="1"/>
        <v>0</v>
      </c>
      <c r="CR33" s="66"/>
      <c r="CS33" s="34">
        <f>AO33</f>
        <v>0</v>
      </c>
      <c r="CT33" s="65">
        <f>CS33*G33</f>
        <v>0</v>
      </c>
      <c r="CU33" s="66"/>
      <c r="CV33" s="31">
        <f>AQ33</f>
        <v>0</v>
      </c>
      <c r="CW33" s="67">
        <f>CV33*G33</f>
        <v>0</v>
      </c>
      <c r="CX33" s="66"/>
      <c r="CY33" s="31">
        <f>AS33</f>
        <v>0</v>
      </c>
      <c r="CZ33" s="65">
        <f>CY33*G33</f>
        <v>0</v>
      </c>
      <c r="DA33" s="66"/>
      <c r="DB33" s="31">
        <f>AU33</f>
        <v>0</v>
      </c>
      <c r="DC33" s="67">
        <f>DB33*G33</f>
        <v>0</v>
      </c>
      <c r="DE33" s="76">
        <v>14</v>
      </c>
      <c r="DF33" s="42">
        <f>DE33*G33</f>
        <v>0</v>
      </c>
      <c r="DG33" s="69"/>
      <c r="DH33" s="42"/>
      <c r="DI33" s="70">
        <f>SUM(I33:AV33)</f>
        <v>1</v>
      </c>
      <c r="DJ33" s="42"/>
      <c r="DK33" s="70">
        <f>DE33+DG33-DI33</f>
        <v>13</v>
      </c>
      <c r="DL33" s="42"/>
      <c r="DM33" s="71">
        <f>E33*DK33</f>
        <v>65</v>
      </c>
      <c r="DN33" s="42"/>
      <c r="DO33" s="72">
        <f t="shared" si="2"/>
        <v>14</v>
      </c>
      <c r="DP33" s="42"/>
      <c r="DQ33" s="71">
        <f>G33*DK33</f>
        <v>78</v>
      </c>
      <c r="DR33" s="42"/>
      <c r="DS33" s="69"/>
      <c r="DT33" s="42"/>
      <c r="DU33" s="71">
        <v>0</v>
      </c>
      <c r="DV33" s="42"/>
      <c r="DW33" s="73">
        <f>DU33*1.2</f>
        <v>0</v>
      </c>
      <c r="DX33" s="42"/>
      <c r="DY33" s="71">
        <f>DU33*DS33</f>
        <v>0</v>
      </c>
    </row>
    <row r="34" ht="12.45" customHeight="1" spans="1:129" x14ac:dyDescent="0.25">
      <c r="A34" s="77" t="s">
        <v>79</v>
      </c>
      <c r="B34" s="42"/>
      <c r="C34" s="75"/>
      <c r="D34" s="44"/>
      <c r="E34" s="78">
        <v>5</v>
      </c>
      <c r="F34" s="44"/>
      <c r="G34" s="61">
        <v>6</v>
      </c>
      <c r="I34" s="62"/>
      <c r="J34" s="63"/>
      <c r="K34" s="64"/>
      <c r="L34" s="3"/>
      <c r="M34" s="62">
        <v>1</v>
      </c>
      <c r="N34" s="3"/>
      <c r="O34" s="64"/>
      <c r="P34" s="3"/>
      <c r="Q34" s="62"/>
      <c r="R34" s="3"/>
      <c r="S34" s="64"/>
      <c r="T34" s="3"/>
      <c r="U34" s="62">
        <v>1</v>
      </c>
      <c r="V34" s="3"/>
      <c r="W34" s="64"/>
      <c r="X34" s="3"/>
      <c r="Y34" s="62">
        <v>1</v>
      </c>
      <c r="Z34" s="3"/>
      <c r="AA34" s="64"/>
      <c r="AB34" s="3"/>
      <c r="AC34" s="62"/>
      <c r="AD34" s="3"/>
      <c r="AE34" s="64">
        <v>1</v>
      </c>
      <c r="AF34" s="3"/>
      <c r="AG34" s="62"/>
      <c r="AH34" s="3"/>
      <c r="AI34" s="64"/>
      <c r="AJ34" s="3"/>
      <c r="AK34" s="62"/>
      <c r="AL34" s="3"/>
      <c r="AM34" s="64"/>
      <c r="AN34" s="3"/>
      <c r="AO34" s="62"/>
      <c r="AP34" s="3"/>
      <c r="AQ34" s="64"/>
      <c r="AR34" s="3"/>
      <c r="AS34" s="62"/>
      <c r="AT34" s="3"/>
      <c r="AU34" s="64"/>
      <c r="AW34" s="34"/>
      <c r="AX34" s="65">
        <f>AW34*G34</f>
        <v>0</v>
      </c>
      <c r="AY34" s="66"/>
      <c r="AZ34" s="31">
        <f>K34</f>
        <v>0</v>
      </c>
      <c r="BA34" s="67">
        <f>AZ34*G34</f>
        <v>0</v>
      </c>
      <c r="BB34" s="66"/>
      <c r="BC34" s="31">
        <f>M34</f>
        <v>1</v>
      </c>
      <c r="BD34" s="65">
        <f>BC34*G34</f>
        <v>6</v>
      </c>
      <c r="BE34" s="66"/>
      <c r="BF34" s="31">
        <f>O34</f>
        <v>0</v>
      </c>
      <c r="BG34" s="67">
        <f>BF34*G34</f>
        <v>0</v>
      </c>
      <c r="BH34" s="66"/>
      <c r="BI34" s="31">
        <f>Q34</f>
        <v>0</v>
      </c>
      <c r="BJ34" s="65">
        <f>BI34*G34</f>
        <v>0</v>
      </c>
      <c r="BK34" s="66"/>
      <c r="BL34" s="31">
        <f>S34</f>
        <v>0</v>
      </c>
      <c r="BM34" s="67">
        <f>BL34*G34</f>
        <v>0</v>
      </c>
      <c r="BN34" s="66"/>
      <c r="BO34" s="31">
        <f>U34</f>
        <v>1</v>
      </c>
      <c r="BP34" s="65">
        <f>BO34*G34</f>
        <v>6</v>
      </c>
      <c r="BQ34" s="66"/>
      <c r="BR34" s="31">
        <f>W34</f>
        <v>0</v>
      </c>
      <c r="BS34" s="67">
        <f>BR34*G34</f>
        <v>0</v>
      </c>
      <c r="BT34" s="66"/>
      <c r="BU34" s="31">
        <f>Y34</f>
        <v>1</v>
      </c>
      <c r="BV34" s="65">
        <f>BU34*G34</f>
        <v>6</v>
      </c>
      <c r="BW34" s="66"/>
      <c r="BX34" s="31">
        <f>AA34</f>
        <v>0</v>
      </c>
      <c r="BY34" s="67">
        <f>BX34*G34</f>
        <v>0</v>
      </c>
      <c r="BZ34" s="66"/>
      <c r="CA34" s="31">
        <f>AC34</f>
        <v>0</v>
      </c>
      <c r="CB34" s="65">
        <f>CA34*G34</f>
        <v>0</v>
      </c>
      <c r="CC34" s="66"/>
      <c r="CD34" s="31">
        <f>AE34</f>
        <v>1</v>
      </c>
      <c r="CE34" s="67">
        <f>CD34*G34</f>
        <v>6</v>
      </c>
      <c r="CF34" s="66"/>
      <c r="CG34" s="34">
        <f>AG34</f>
        <v>0</v>
      </c>
      <c r="CH34" s="67">
        <f>CG34*G34</f>
        <v>0</v>
      </c>
      <c r="CI34" s="66"/>
      <c r="CJ34" s="34">
        <f>AI34</f>
        <v>0</v>
      </c>
      <c r="CK34" s="67">
        <f>CJ34*G34</f>
        <v>0</v>
      </c>
      <c r="CL34" s="66"/>
      <c r="CM34" s="34">
        <f>AK34</f>
        <v>0</v>
      </c>
      <c r="CN34" s="67">
        <f>CM34*G34</f>
        <v>0</v>
      </c>
      <c r="CO34" s="66"/>
      <c r="CP34" s="34">
        <f t="shared" si="0"/>
        <v>0</v>
      </c>
      <c r="CQ34" s="67">
        <f t="shared" si="1"/>
        <v>0</v>
      </c>
      <c r="CR34" s="66"/>
      <c r="CS34" s="34">
        <f>AO34</f>
        <v>0</v>
      </c>
      <c r="CT34" s="65">
        <f>CS34*G34</f>
        <v>0</v>
      </c>
      <c r="CU34" s="66"/>
      <c r="CV34" s="31">
        <f>AQ34</f>
        <v>0</v>
      </c>
      <c r="CW34" s="67">
        <f>CV34*G34</f>
        <v>0</v>
      </c>
      <c r="CX34" s="66"/>
      <c r="CY34" s="31">
        <f>AS34</f>
        <v>0</v>
      </c>
      <c r="CZ34" s="65">
        <f>CY34*G34</f>
        <v>0</v>
      </c>
      <c r="DA34" s="66"/>
      <c r="DB34" s="31">
        <f>AU34</f>
        <v>0</v>
      </c>
      <c r="DC34" s="67">
        <f>DB34*G34</f>
        <v>0</v>
      </c>
      <c r="DE34" s="76">
        <v>9</v>
      </c>
      <c r="DF34" s="42">
        <f>DE34*G34</f>
        <v>0</v>
      </c>
      <c r="DG34" s="69"/>
      <c r="DH34" s="42"/>
      <c r="DI34" s="70">
        <f>SUM(I34:AV34)</f>
        <v>4</v>
      </c>
      <c r="DJ34" s="42"/>
      <c r="DK34" s="70">
        <f>DE34+DG34-DI34</f>
        <v>5</v>
      </c>
      <c r="DL34" s="42"/>
      <c r="DM34" s="71">
        <f>E34*DK34</f>
        <v>25</v>
      </c>
      <c r="DN34" s="42"/>
      <c r="DO34" s="72" t="e">
        <f t="shared" si="2"/>
        <v>#DIV/0!</v>
      </c>
      <c r="DP34" s="42"/>
      <c r="DQ34" s="71">
        <f>G34*DK34</f>
        <v>30</v>
      </c>
      <c r="DR34" s="42"/>
      <c r="DS34" s="69"/>
      <c r="DT34" s="42"/>
      <c r="DU34" s="71">
        <v>0</v>
      </c>
      <c r="DV34" s="42"/>
      <c r="DW34" s="73">
        <f>DU34*1.2</f>
        <v>0</v>
      </c>
      <c r="DX34" s="42"/>
      <c r="DY34" s="71">
        <f>DU34*DS34</f>
        <v>0</v>
      </c>
    </row>
    <row r="35" ht="12.45" customHeight="1" spans="1:129" x14ac:dyDescent="0.25">
      <c r="A35" s="74" t="s">
        <v>80</v>
      </c>
      <c r="B35" s="42"/>
      <c r="C35" s="75"/>
      <c r="D35" s="44"/>
      <c r="E35" s="78">
        <v>5</v>
      </c>
      <c r="F35" s="44"/>
      <c r="G35" s="61">
        <v>6</v>
      </c>
      <c r="I35" s="62"/>
      <c r="J35" s="63"/>
      <c r="K35" s="64">
        <v>1</v>
      </c>
      <c r="L35" s="3"/>
      <c r="M35" s="62"/>
      <c r="N35" s="3"/>
      <c r="O35" s="64"/>
      <c r="P35" s="3"/>
      <c r="Q35" s="62">
        <v>1</v>
      </c>
      <c r="R35" s="3"/>
      <c r="S35" s="64"/>
      <c r="T35" s="3"/>
      <c r="U35" s="62">
        <v>1</v>
      </c>
      <c r="V35" s="3"/>
      <c r="W35" s="64">
        <v>1</v>
      </c>
      <c r="X35" s="3"/>
      <c r="Y35" s="62">
        <v>1</v>
      </c>
      <c r="Z35" s="3"/>
      <c r="AA35" s="64"/>
      <c r="AB35" s="3"/>
      <c r="AC35" s="62">
        <v>1</v>
      </c>
      <c r="AD35" s="3"/>
      <c r="AE35" s="64">
        <v>1</v>
      </c>
      <c r="AF35" s="3"/>
      <c r="AG35" s="62"/>
      <c r="AH35" s="3"/>
      <c r="AI35" s="64"/>
      <c r="AJ35" s="3"/>
      <c r="AK35" s="62"/>
      <c r="AL35" s="3"/>
      <c r="AM35" s="64"/>
      <c r="AN35" s="3"/>
      <c r="AO35" s="62"/>
      <c r="AP35" s="3"/>
      <c r="AQ35" s="64"/>
      <c r="AR35" s="3"/>
      <c r="AS35" s="62"/>
      <c r="AT35" s="3"/>
      <c r="AU35" s="64"/>
      <c r="AW35" s="34"/>
      <c r="AX35" s="65">
        <f>AW35*G35</f>
        <v>0</v>
      </c>
      <c r="AY35" s="66"/>
      <c r="AZ35" s="31">
        <f>K35</f>
        <v>1</v>
      </c>
      <c r="BA35" s="67">
        <f>AZ35*G35</f>
        <v>6</v>
      </c>
      <c r="BB35" s="66"/>
      <c r="BC35" s="31">
        <f>M35</f>
        <v>0</v>
      </c>
      <c r="BD35" s="65">
        <f>BC35*G35</f>
        <v>0</v>
      </c>
      <c r="BE35" s="66"/>
      <c r="BF35" s="31">
        <f>O35</f>
        <v>0</v>
      </c>
      <c r="BG35" s="67">
        <f>BF35*G35</f>
        <v>0</v>
      </c>
      <c r="BH35" s="66"/>
      <c r="BI35" s="31">
        <f>Q35</f>
        <v>1</v>
      </c>
      <c r="BJ35" s="65">
        <f>BI35*G35</f>
        <v>6</v>
      </c>
      <c r="BK35" s="66"/>
      <c r="BL35" s="31">
        <f>S35</f>
        <v>0</v>
      </c>
      <c r="BM35" s="67">
        <f>BL35*G35</f>
        <v>0</v>
      </c>
      <c r="BN35" s="66"/>
      <c r="BO35" s="31">
        <f>U35</f>
        <v>1</v>
      </c>
      <c r="BP35" s="65">
        <f>BO35*G35</f>
        <v>6</v>
      </c>
      <c r="BQ35" s="66"/>
      <c r="BR35" s="31">
        <f>W35</f>
        <v>1</v>
      </c>
      <c r="BS35" s="67">
        <f>BR35*G35</f>
        <v>6</v>
      </c>
      <c r="BT35" s="66"/>
      <c r="BU35" s="31">
        <f>Y35</f>
        <v>1</v>
      </c>
      <c r="BV35" s="65">
        <f>BU35*G35</f>
        <v>6</v>
      </c>
      <c r="BW35" s="66"/>
      <c r="BX35" s="31">
        <f>AA35</f>
        <v>0</v>
      </c>
      <c r="BY35" s="67">
        <f>BX35*G35</f>
        <v>0</v>
      </c>
      <c r="BZ35" s="66"/>
      <c r="CA35" s="31">
        <f>AC35</f>
        <v>1</v>
      </c>
      <c r="CB35" s="65">
        <f>CA35*G35</f>
        <v>6</v>
      </c>
      <c r="CC35" s="66"/>
      <c r="CD35" s="31">
        <f>AE35</f>
        <v>1</v>
      </c>
      <c r="CE35" s="67">
        <f>CD35*G35</f>
        <v>6</v>
      </c>
      <c r="CF35" s="66"/>
      <c r="CG35" s="34">
        <f>AG35</f>
        <v>0</v>
      </c>
      <c r="CH35" s="67">
        <f>CG35*G35</f>
        <v>0</v>
      </c>
      <c r="CI35" s="66"/>
      <c r="CJ35" s="34">
        <f>AI35</f>
        <v>0</v>
      </c>
      <c r="CK35" s="67">
        <f>CJ35*G35</f>
        <v>0</v>
      </c>
      <c r="CL35" s="66"/>
      <c r="CM35" s="34">
        <f>AK35</f>
        <v>0</v>
      </c>
      <c r="CN35" s="67">
        <f>CM35*G35</f>
        <v>0</v>
      </c>
      <c r="CO35" s="66"/>
      <c r="CP35" s="34">
        <f t="shared" si="0"/>
        <v>0</v>
      </c>
      <c r="CQ35" s="67">
        <f t="shared" si="1"/>
        <v>0</v>
      </c>
      <c r="CR35" s="66"/>
      <c r="CS35" s="34">
        <f>AO35</f>
        <v>0</v>
      </c>
      <c r="CT35" s="65">
        <f>CS35*G35</f>
        <v>0</v>
      </c>
      <c r="CU35" s="66"/>
      <c r="CV35" s="31">
        <f>AQ35</f>
        <v>0</v>
      </c>
      <c r="CW35" s="67">
        <f>CV35*G35</f>
        <v>0</v>
      </c>
      <c r="CX35" s="66"/>
      <c r="CY35" s="31">
        <f>AS35</f>
        <v>0</v>
      </c>
      <c r="CZ35" s="65">
        <f>CY35*G35</f>
        <v>0</v>
      </c>
      <c r="DA35" s="66"/>
      <c r="DB35" s="31">
        <f>AU35</f>
        <v>0</v>
      </c>
      <c r="DC35" s="67">
        <f>DB35*G35</f>
        <v>0</v>
      </c>
      <c r="DE35" s="76">
        <v>20</v>
      </c>
      <c r="DF35" s="42">
        <f>DE35*G35</f>
        <v>0</v>
      </c>
      <c r="DG35" s="69"/>
      <c r="DH35" s="42"/>
      <c r="DI35" s="70">
        <f>SUM(I35:AV35)</f>
        <v>7</v>
      </c>
      <c r="DJ35" s="42"/>
      <c r="DK35" s="70">
        <f>DE35+DG35-DI35</f>
        <v>13</v>
      </c>
      <c r="DL35" s="42"/>
      <c r="DM35" s="71">
        <f>E35*DK35</f>
        <v>65</v>
      </c>
      <c r="DN35" s="42"/>
      <c r="DO35" s="72">
        <f t="shared" si="2"/>
        <v>1</v>
      </c>
      <c r="DP35" s="42"/>
      <c r="DQ35" s="71">
        <f>G35*DK35</f>
        <v>78</v>
      </c>
      <c r="DR35" s="42"/>
      <c r="DS35" s="69"/>
      <c r="DT35" s="42"/>
      <c r="DU35" s="71">
        <v>0</v>
      </c>
      <c r="DV35" s="42"/>
      <c r="DW35" s="73">
        <f>DU35*1.2</f>
        <v>0</v>
      </c>
      <c r="DX35" s="42"/>
      <c r="DY35" s="71">
        <f>DU35*DS35</f>
        <v>0</v>
      </c>
    </row>
    <row r="36" ht="12.45" customHeight="1" spans="1:129" x14ac:dyDescent="0.25">
      <c r="A36" s="77" t="s">
        <v>81</v>
      </c>
      <c r="B36" s="42"/>
      <c r="C36" s="75"/>
      <c r="D36" s="44"/>
      <c r="E36" s="78">
        <v>25</v>
      </c>
      <c r="F36" s="44"/>
      <c r="G36" s="61">
        <v>30</v>
      </c>
      <c r="I36" s="62"/>
      <c r="J36" s="63"/>
      <c r="K36" s="64"/>
      <c r="L36" s="3"/>
      <c r="M36" s="62"/>
      <c r="N36" s="3"/>
      <c r="O36" s="64"/>
      <c r="P36" s="3"/>
      <c r="Q36" s="62">
        <v>1</v>
      </c>
      <c r="R36" s="3"/>
      <c r="S36" s="64"/>
      <c r="T36" s="3"/>
      <c r="U36" s="62"/>
      <c r="V36" s="3"/>
      <c r="W36" s="64">
        <v>1</v>
      </c>
      <c r="X36" s="3"/>
      <c r="Y36" s="62"/>
      <c r="Z36" s="3"/>
      <c r="AA36" s="64">
        <v>1</v>
      </c>
      <c r="AB36" s="3"/>
      <c r="AC36" s="62"/>
      <c r="AD36" s="3"/>
      <c r="AE36" s="64">
        <v>1</v>
      </c>
      <c r="AF36" s="3"/>
      <c r="AG36" s="62"/>
      <c r="AH36" s="3"/>
      <c r="AI36" s="64"/>
      <c r="AJ36" s="3"/>
      <c r="AK36" s="62"/>
      <c r="AL36" s="3"/>
      <c r="AM36" s="64"/>
      <c r="AN36" s="3"/>
      <c r="AO36" s="62"/>
      <c r="AP36" s="3"/>
      <c r="AQ36" s="64"/>
      <c r="AR36" s="3"/>
      <c r="AS36" s="62"/>
      <c r="AT36" s="3"/>
      <c r="AU36" s="64"/>
      <c r="AW36" s="34"/>
      <c r="AX36" s="65">
        <f>AW36*G36</f>
        <v>0</v>
      </c>
      <c r="AY36" s="66"/>
      <c r="AZ36" s="31">
        <f>K36</f>
        <v>0</v>
      </c>
      <c r="BA36" s="67">
        <f>AZ36*G36</f>
        <v>0</v>
      </c>
      <c r="BB36" s="66"/>
      <c r="BC36" s="31">
        <f>M36</f>
        <v>0</v>
      </c>
      <c r="BD36" s="65">
        <f>BC36*G36</f>
        <v>0</v>
      </c>
      <c r="BE36" s="66"/>
      <c r="BF36" s="31">
        <f>O36</f>
        <v>0</v>
      </c>
      <c r="BG36" s="67">
        <f>BF36*G36</f>
        <v>0</v>
      </c>
      <c r="BH36" s="66"/>
      <c r="BI36" s="31">
        <f>Q36</f>
        <v>1</v>
      </c>
      <c r="BJ36" s="65">
        <f>BI36*G36</f>
        <v>30</v>
      </c>
      <c r="BK36" s="66"/>
      <c r="BL36" s="31">
        <f>S36</f>
        <v>0</v>
      </c>
      <c r="BM36" s="67">
        <f>BL36*G36</f>
        <v>0</v>
      </c>
      <c r="BN36" s="66"/>
      <c r="BO36" s="31">
        <f>U36</f>
        <v>0</v>
      </c>
      <c r="BP36" s="65">
        <f>BO36*G36</f>
        <v>0</v>
      </c>
      <c r="BQ36" s="66"/>
      <c r="BR36" s="31">
        <f>W36</f>
        <v>1</v>
      </c>
      <c r="BS36" s="67">
        <f>BR36*G36</f>
        <v>30</v>
      </c>
      <c r="BT36" s="66"/>
      <c r="BU36" s="31">
        <f>Y36</f>
        <v>0</v>
      </c>
      <c r="BV36" s="65">
        <f>BU36*G36</f>
        <v>0</v>
      </c>
      <c r="BW36" s="66"/>
      <c r="BX36" s="31">
        <f>AA36</f>
        <v>1</v>
      </c>
      <c r="BY36" s="67">
        <f>BX36*G36</f>
        <v>30</v>
      </c>
      <c r="BZ36" s="66"/>
      <c r="CA36" s="31">
        <f>AC36</f>
        <v>0</v>
      </c>
      <c r="CB36" s="65">
        <f>CA36*G36</f>
        <v>0</v>
      </c>
      <c r="CC36" s="66"/>
      <c r="CD36" s="31">
        <f>AE36</f>
        <v>1</v>
      </c>
      <c r="CE36" s="67">
        <f>CD36*G36</f>
        <v>30</v>
      </c>
      <c r="CF36" s="66"/>
      <c r="CG36" s="34">
        <f>AG36</f>
        <v>0</v>
      </c>
      <c r="CH36" s="67">
        <f>CG36*G36</f>
        <v>0</v>
      </c>
      <c r="CI36" s="66"/>
      <c r="CJ36" s="34">
        <f>AI36</f>
        <v>0</v>
      </c>
      <c r="CK36" s="67">
        <f>CJ36*G36</f>
        <v>0</v>
      </c>
      <c r="CL36" s="66"/>
      <c r="CM36" s="34">
        <f>AK36</f>
        <v>0</v>
      </c>
      <c r="CN36" s="67">
        <f>CM36*G36</f>
        <v>0</v>
      </c>
      <c r="CO36" s="66"/>
      <c r="CP36" s="34">
        <f t="shared" si="0"/>
        <v>0</v>
      </c>
      <c r="CQ36" s="67">
        <f t="shared" si="1"/>
        <v>0</v>
      </c>
      <c r="CR36" s="66"/>
      <c r="CS36" s="34">
        <f>AO36</f>
        <v>0</v>
      </c>
      <c r="CT36" s="65">
        <f>CS36*G36</f>
        <v>0</v>
      </c>
      <c r="CU36" s="66"/>
      <c r="CV36" s="31">
        <f>AQ36</f>
        <v>0</v>
      </c>
      <c r="CW36" s="67">
        <f>CV36*G36</f>
        <v>0</v>
      </c>
      <c r="CX36" s="66"/>
      <c r="CY36" s="31">
        <f>AS36</f>
        <v>0</v>
      </c>
      <c r="CZ36" s="65">
        <f>CY36*G36</f>
        <v>0</v>
      </c>
      <c r="DA36" s="66"/>
      <c r="DB36" s="31">
        <f>AU36</f>
        <v>0</v>
      </c>
      <c r="DC36" s="67">
        <f>DB36*G36</f>
        <v>0</v>
      </c>
      <c r="DE36" s="76">
        <v>15</v>
      </c>
      <c r="DF36" s="42">
        <f>DE36*G36</f>
        <v>0</v>
      </c>
      <c r="DG36" s="69"/>
      <c r="DH36" s="42"/>
      <c r="DI36" s="70">
        <f>SUM(I36:AV36)</f>
        <v>4</v>
      </c>
      <c r="DJ36" s="42"/>
      <c r="DK36" s="70">
        <f>DE36+DG36-DI36</f>
        <v>11</v>
      </c>
      <c r="DL36" s="42"/>
      <c r="DM36" s="71">
        <f>E36*DK36</f>
        <v>275</v>
      </c>
      <c r="DN36" s="42"/>
      <c r="DO36" s="72">
        <f t="shared" si="2"/>
        <v>16</v>
      </c>
      <c r="DP36" s="42"/>
      <c r="DQ36" s="71">
        <f>G36*DK36</f>
        <v>330</v>
      </c>
      <c r="DR36" s="42"/>
      <c r="DS36" s="69"/>
      <c r="DT36" s="42"/>
      <c r="DU36" s="71">
        <v>0</v>
      </c>
      <c r="DV36" s="42"/>
      <c r="DW36" s="73">
        <f>DU36*1.2</f>
        <v>0</v>
      </c>
      <c r="DX36" s="42"/>
      <c r="DY36" s="71">
        <f>DU36*DS36</f>
        <v>0</v>
      </c>
    </row>
    <row r="37" ht="12.45" customHeight="1" spans="1:129" x14ac:dyDescent="0.25">
      <c r="A37" s="79" t="s">
        <v>82</v>
      </c>
      <c r="B37" s="42"/>
      <c r="C37" s="75"/>
      <c r="D37" s="44"/>
      <c r="E37" s="78">
        <v>25</v>
      </c>
      <c r="F37" s="44"/>
      <c r="G37" s="61">
        <v>30</v>
      </c>
      <c r="I37" s="62"/>
      <c r="J37" s="63"/>
      <c r="K37" s="64">
        <v>1</v>
      </c>
      <c r="L37" s="3"/>
      <c r="M37" s="62"/>
      <c r="N37" s="3"/>
      <c r="O37" s="64">
        <v>1</v>
      </c>
      <c r="P37" s="3"/>
      <c r="Q37" s="62"/>
      <c r="R37" s="3"/>
      <c r="S37" s="64"/>
      <c r="T37" s="3"/>
      <c r="U37" s="62"/>
      <c r="V37" s="3"/>
      <c r="W37" s="64"/>
      <c r="X37" s="3"/>
      <c r="Y37" s="62"/>
      <c r="Z37" s="3"/>
      <c r="AA37" s="64"/>
      <c r="AB37" s="3"/>
      <c r="AC37" s="62"/>
      <c r="AD37" s="3"/>
      <c r="AE37" s="64">
        <v>1</v>
      </c>
      <c r="AF37" s="3"/>
      <c r="AG37" s="62"/>
      <c r="AH37" s="3"/>
      <c r="AI37" s="64"/>
      <c r="AJ37" s="3"/>
      <c r="AK37" s="62"/>
      <c r="AL37" s="3"/>
      <c r="AM37" s="64"/>
      <c r="AN37" s="3"/>
      <c r="AO37" s="62"/>
      <c r="AP37" s="3"/>
      <c r="AQ37" s="64"/>
      <c r="AR37" s="3"/>
      <c r="AS37" s="62"/>
      <c r="AT37" s="3"/>
      <c r="AU37" s="64"/>
      <c r="AW37" s="34"/>
      <c r="AX37" s="65">
        <f>AW37*G37</f>
        <v>0</v>
      </c>
      <c r="AY37" s="66"/>
      <c r="AZ37" s="31">
        <f>K37</f>
        <v>1</v>
      </c>
      <c r="BA37" s="67">
        <f>AZ37*G37</f>
        <v>30</v>
      </c>
      <c r="BB37" s="66"/>
      <c r="BC37" s="31">
        <f>M37</f>
        <v>0</v>
      </c>
      <c r="BD37" s="65">
        <f>BC37*G37</f>
        <v>0</v>
      </c>
      <c r="BE37" s="66"/>
      <c r="BF37" s="31">
        <f>O37</f>
        <v>1</v>
      </c>
      <c r="BG37" s="67">
        <f>BF37*G37</f>
        <v>30</v>
      </c>
      <c r="BH37" s="66"/>
      <c r="BI37" s="31">
        <f>Q37</f>
        <v>0</v>
      </c>
      <c r="BJ37" s="65">
        <f>BI37*G37</f>
        <v>0</v>
      </c>
      <c r="BK37" s="66"/>
      <c r="BL37" s="31">
        <f>S37</f>
        <v>0</v>
      </c>
      <c r="BM37" s="67">
        <f>BL37*G37</f>
        <v>0</v>
      </c>
      <c r="BN37" s="66"/>
      <c r="BO37" s="31">
        <f>U37</f>
        <v>0</v>
      </c>
      <c r="BP37" s="65">
        <f>BO37*G37</f>
        <v>0</v>
      </c>
      <c r="BQ37" s="66"/>
      <c r="BR37" s="31">
        <f>W37</f>
        <v>0</v>
      </c>
      <c r="BS37" s="67">
        <f>BR37*G37</f>
        <v>0</v>
      </c>
      <c r="BT37" s="66"/>
      <c r="BU37" s="31">
        <f>Y37</f>
        <v>0</v>
      </c>
      <c r="BV37" s="65">
        <f>BU37*G37</f>
        <v>0</v>
      </c>
      <c r="BW37" s="66"/>
      <c r="BX37" s="31">
        <f>AA37</f>
        <v>0</v>
      </c>
      <c r="BY37" s="67">
        <f>BX37*G37</f>
        <v>0</v>
      </c>
      <c r="BZ37" s="66"/>
      <c r="CA37" s="31">
        <f>AC37</f>
        <v>0</v>
      </c>
      <c r="CB37" s="65">
        <f>CA37*G37</f>
        <v>0</v>
      </c>
      <c r="CC37" s="66"/>
      <c r="CD37" s="31">
        <f>AE37</f>
        <v>1</v>
      </c>
      <c r="CE37" s="67">
        <f>CD37*G37</f>
        <v>30</v>
      </c>
      <c r="CF37" s="66"/>
      <c r="CG37" s="34">
        <f>AG37</f>
        <v>0</v>
      </c>
      <c r="CH37" s="67">
        <f>CG37*G37</f>
        <v>0</v>
      </c>
      <c r="CI37" s="66"/>
      <c r="CJ37" s="34">
        <f>AI37</f>
        <v>0</v>
      </c>
      <c r="CK37" s="67">
        <f>CJ37*G37</f>
        <v>0</v>
      </c>
      <c r="CL37" s="66"/>
      <c r="CM37" s="34">
        <f>AK37</f>
        <v>0</v>
      </c>
      <c r="CN37" s="67">
        <f>CM37*G37</f>
        <v>0</v>
      </c>
      <c r="CO37" s="66"/>
      <c r="CP37" s="34">
        <f t="shared" si="0"/>
        <v>0</v>
      </c>
      <c r="CQ37" s="67">
        <f t="shared" si="1"/>
        <v>0</v>
      </c>
      <c r="CR37" s="66"/>
      <c r="CS37" s="34">
        <f>AO37</f>
        <v>0</v>
      </c>
      <c r="CT37" s="65">
        <f>CS37*G37</f>
        <v>0</v>
      </c>
      <c r="CU37" s="66"/>
      <c r="CV37" s="31">
        <f>AQ37</f>
        <v>0</v>
      </c>
      <c r="CW37" s="67">
        <f>CV37*G37</f>
        <v>0</v>
      </c>
      <c r="CX37" s="66"/>
      <c r="CY37" s="31">
        <f>AS37</f>
        <v>0</v>
      </c>
      <c r="CZ37" s="65">
        <f>CY37*G37</f>
        <v>0</v>
      </c>
      <c r="DA37" s="66"/>
      <c r="DB37" s="31">
        <f>AU37</f>
        <v>0</v>
      </c>
      <c r="DC37" s="67">
        <f>DB37*G37</f>
        <v>0</v>
      </c>
      <c r="DE37" s="76">
        <v>30</v>
      </c>
      <c r="DF37" s="42">
        <f>DE37*G37</f>
        <v>0</v>
      </c>
      <c r="DG37" s="69"/>
      <c r="DH37" s="42"/>
      <c r="DI37" s="70">
        <f>SUM(I37:AV37)</f>
        <v>3</v>
      </c>
      <c r="DJ37" s="42"/>
      <c r="DK37" s="70">
        <f>DE37+DG37-DI37</f>
        <v>27</v>
      </c>
      <c r="DL37" s="42"/>
      <c r="DM37" s="71">
        <f>E37*DK37</f>
        <v>675</v>
      </c>
      <c r="DN37" s="42"/>
      <c r="DO37" s="72">
        <f t="shared" si="2"/>
        <v>39</v>
      </c>
      <c r="DP37" s="42"/>
      <c r="DQ37" s="71">
        <f>G37*DK37</f>
        <v>810</v>
      </c>
      <c r="DR37" s="42"/>
      <c r="DS37" s="69"/>
      <c r="DT37" s="42"/>
      <c r="DU37" s="71">
        <v>0</v>
      </c>
      <c r="DV37" s="42"/>
      <c r="DW37" s="73">
        <f>DU37*1.2</f>
        <v>0</v>
      </c>
      <c r="DX37" s="42"/>
      <c r="DY37" s="71">
        <f>DU37*DS37</f>
        <v>0</v>
      </c>
    </row>
    <row r="38" ht="12.45" customHeight="1" spans="1:129" x14ac:dyDescent="0.25">
      <c r="A38" s="77" t="s">
        <v>83</v>
      </c>
      <c r="B38" s="42"/>
      <c r="C38" s="75"/>
      <c r="D38" s="44"/>
      <c r="E38" s="78">
        <v>25</v>
      </c>
      <c r="F38" s="44"/>
      <c r="G38" s="61">
        <v>30</v>
      </c>
      <c r="I38" s="62"/>
      <c r="J38" s="63"/>
      <c r="K38" s="64">
        <v>1</v>
      </c>
      <c r="L38" s="3"/>
      <c r="M38" s="62">
        <v>1</v>
      </c>
      <c r="N38" s="3"/>
      <c r="O38" s="64">
        <v>1</v>
      </c>
      <c r="P38" s="3"/>
      <c r="Q38" s="62"/>
      <c r="R38" s="3"/>
      <c r="S38" s="64"/>
      <c r="T38" s="3"/>
      <c r="U38" s="62"/>
      <c r="V38" s="3"/>
      <c r="W38" s="64"/>
      <c r="X38" s="3"/>
      <c r="Y38" s="62"/>
      <c r="Z38" s="3"/>
      <c r="AA38" s="64">
        <v>1</v>
      </c>
      <c r="AB38" s="3"/>
      <c r="AC38" s="62"/>
      <c r="AD38" s="3"/>
      <c r="AE38" s="64">
        <v>1</v>
      </c>
      <c r="AF38" s="3"/>
      <c r="AG38" s="62"/>
      <c r="AH38" s="3"/>
      <c r="AI38" s="64"/>
      <c r="AJ38" s="3"/>
      <c r="AK38" s="62"/>
      <c r="AL38" s="3"/>
      <c r="AM38" s="64"/>
      <c r="AN38" s="3"/>
      <c r="AO38" s="62"/>
      <c r="AP38" s="3"/>
      <c r="AQ38" s="64"/>
      <c r="AR38" s="3"/>
      <c r="AS38" s="62"/>
      <c r="AT38" s="3"/>
      <c r="AU38" s="64"/>
      <c r="AW38" s="34"/>
      <c r="AX38" s="65">
        <f>AW38*G38</f>
        <v>0</v>
      </c>
      <c r="AY38" s="66"/>
      <c r="AZ38" s="31">
        <f>K38</f>
        <v>1</v>
      </c>
      <c r="BA38" s="67">
        <f>AZ38*G38</f>
        <v>30</v>
      </c>
      <c r="BB38" s="66"/>
      <c r="BC38" s="31">
        <f>M38</f>
        <v>1</v>
      </c>
      <c r="BD38" s="65">
        <f>BC38*G38</f>
        <v>30</v>
      </c>
      <c r="BE38" s="66"/>
      <c r="BF38" s="31">
        <f>O38</f>
        <v>1</v>
      </c>
      <c r="BG38" s="67">
        <f>BF38*G38</f>
        <v>30</v>
      </c>
      <c r="BH38" s="66"/>
      <c r="BI38" s="31">
        <f>Q38</f>
        <v>0</v>
      </c>
      <c r="BJ38" s="65">
        <f>BI38*G38</f>
        <v>0</v>
      </c>
      <c r="BK38" s="66"/>
      <c r="BL38" s="31">
        <f>S38</f>
        <v>0</v>
      </c>
      <c r="BM38" s="67">
        <f>BL38*G38</f>
        <v>0</v>
      </c>
      <c r="BN38" s="66"/>
      <c r="BO38" s="31">
        <f>U38</f>
        <v>0</v>
      </c>
      <c r="BP38" s="65">
        <f>BO38*G38</f>
        <v>0</v>
      </c>
      <c r="BQ38" s="66"/>
      <c r="BR38" s="31">
        <f>W38</f>
        <v>0</v>
      </c>
      <c r="BS38" s="67">
        <f>BR38*G38</f>
        <v>0</v>
      </c>
      <c r="BT38" s="66"/>
      <c r="BU38" s="31">
        <f>Y38</f>
        <v>0</v>
      </c>
      <c r="BV38" s="65">
        <f>BU38*G38</f>
        <v>0</v>
      </c>
      <c r="BW38" s="66"/>
      <c r="BX38" s="31">
        <f>AA38</f>
        <v>1</v>
      </c>
      <c r="BY38" s="67">
        <f>BX38*G38</f>
        <v>30</v>
      </c>
      <c r="BZ38" s="66"/>
      <c r="CA38" s="31">
        <f>AC38</f>
        <v>0</v>
      </c>
      <c r="CB38" s="65">
        <f>CA38*G38</f>
        <v>0</v>
      </c>
      <c r="CC38" s="66"/>
      <c r="CD38" s="31">
        <f>AE38</f>
        <v>1</v>
      </c>
      <c r="CE38" s="67">
        <f>CD38*G38</f>
        <v>30</v>
      </c>
      <c r="CF38" s="66"/>
      <c r="CG38" s="34">
        <f>AG38</f>
        <v>0</v>
      </c>
      <c r="CH38" s="67">
        <f>CG38*G38</f>
        <v>0</v>
      </c>
      <c r="CI38" s="66"/>
      <c r="CJ38" s="34">
        <f>AI38</f>
        <v>0</v>
      </c>
      <c r="CK38" s="67">
        <f>CJ38*G38</f>
        <v>0</v>
      </c>
      <c r="CL38" s="66"/>
      <c r="CM38" s="34">
        <f>AK38</f>
        <v>0</v>
      </c>
      <c r="CN38" s="67">
        <f>CM38*G38</f>
        <v>0</v>
      </c>
      <c r="CO38" s="66"/>
      <c r="CP38" s="34">
        <f t="shared" si="0"/>
        <v>0</v>
      </c>
      <c r="CQ38" s="67">
        <f t="shared" si="1"/>
        <v>0</v>
      </c>
      <c r="CR38" s="66"/>
      <c r="CS38" s="34">
        <f>AO38</f>
        <v>0</v>
      </c>
      <c r="CT38" s="65">
        <f>CS38*G38</f>
        <v>0</v>
      </c>
      <c r="CU38" s="66"/>
      <c r="CV38" s="31">
        <f>AQ38</f>
        <v>0</v>
      </c>
      <c r="CW38" s="67">
        <f>CV38*G38</f>
        <v>0</v>
      </c>
      <c r="CX38" s="66"/>
      <c r="CY38" s="31">
        <f>AS38</f>
        <v>0</v>
      </c>
      <c r="CZ38" s="65">
        <f>CY38*G38</f>
        <v>0</v>
      </c>
      <c r="DA38" s="66"/>
      <c r="DB38" s="31">
        <f>AU38</f>
        <v>0</v>
      </c>
      <c r="DC38" s="67">
        <f>DB38*G38</f>
        <v>0</v>
      </c>
      <c r="DE38" s="76">
        <v>66</v>
      </c>
      <c r="DF38" s="42">
        <f>DE38*G38</f>
        <v>0</v>
      </c>
      <c r="DG38" s="69"/>
      <c r="DH38" s="42"/>
      <c r="DI38" s="70">
        <f>SUM(I38:AV38)</f>
        <v>5</v>
      </c>
      <c r="DJ38" s="42"/>
      <c r="DK38" s="70">
        <f>DE38+DG38-DI38</f>
        <v>61</v>
      </c>
      <c r="DL38" s="42"/>
      <c r="DM38" s="71">
        <f>E38*DK38</f>
        <v>1525</v>
      </c>
      <c r="DN38" s="42"/>
      <c r="DO38" s="72">
        <f t="shared" si="2"/>
        <v>36</v>
      </c>
      <c r="DP38" s="42"/>
      <c r="DQ38" s="71">
        <f>G38*DK38</f>
        <v>1830</v>
      </c>
      <c r="DR38" s="42"/>
      <c r="DS38" s="69"/>
      <c r="DT38" s="42"/>
      <c r="DU38" s="71">
        <v>0</v>
      </c>
      <c r="DV38" s="42"/>
      <c r="DW38" s="73">
        <f>DU38*1.2</f>
        <v>0</v>
      </c>
      <c r="DX38" s="42"/>
      <c r="DY38" s="71">
        <f>DU38*DS38</f>
        <v>0</v>
      </c>
    </row>
    <row r="39" ht="12.45" customHeight="1" spans="1:129" x14ac:dyDescent="0.25">
      <c r="A39" s="74" t="s">
        <v>84</v>
      </c>
      <c r="B39" s="42"/>
      <c r="C39" s="75"/>
      <c r="D39" s="44"/>
      <c r="E39" s="78">
        <v>25</v>
      </c>
      <c r="F39" s="44"/>
      <c r="G39" s="61">
        <v>30</v>
      </c>
      <c r="I39" s="62"/>
      <c r="J39" s="63"/>
      <c r="K39" s="64"/>
      <c r="L39" s="3"/>
      <c r="M39" s="62"/>
      <c r="N39" s="3"/>
      <c r="O39" s="64"/>
      <c r="P39" s="3"/>
      <c r="Q39" s="62"/>
      <c r="R39" s="3"/>
      <c r="S39" s="64"/>
      <c r="T39" s="3"/>
      <c r="U39" s="62"/>
      <c r="V39" s="3"/>
      <c r="W39" s="64"/>
      <c r="X39" s="3"/>
      <c r="Y39" s="62"/>
      <c r="Z39" s="3"/>
      <c r="AA39" s="64"/>
      <c r="AB39" s="3"/>
      <c r="AC39" s="62"/>
      <c r="AD39" s="3"/>
      <c r="AE39" s="64">
        <v>1</v>
      </c>
      <c r="AF39" s="3"/>
      <c r="AG39" s="62"/>
      <c r="AH39" s="3"/>
      <c r="AI39" s="64"/>
      <c r="AJ39" s="3"/>
      <c r="AK39" s="62"/>
      <c r="AL39" s="3"/>
      <c r="AM39" s="64"/>
      <c r="AN39" s="3"/>
      <c r="AO39" s="62"/>
      <c r="AP39" s="3"/>
      <c r="AQ39" s="64"/>
      <c r="AR39" s="3"/>
      <c r="AS39" s="62"/>
      <c r="AT39" s="3"/>
      <c r="AU39" s="64"/>
      <c r="AW39" s="34"/>
      <c r="AX39" s="65">
        <f>AW39*G39</f>
        <v>0</v>
      </c>
      <c r="AY39" s="66"/>
      <c r="AZ39" s="31">
        <f>K39</f>
        <v>0</v>
      </c>
      <c r="BA39" s="67">
        <f>AZ39*G39</f>
        <v>0</v>
      </c>
      <c r="BB39" s="66"/>
      <c r="BC39" s="31">
        <f>M39</f>
        <v>0</v>
      </c>
      <c r="BD39" s="65">
        <f>BC39*G39</f>
        <v>0</v>
      </c>
      <c r="BE39" s="66"/>
      <c r="BF39" s="31">
        <f>O39</f>
        <v>0</v>
      </c>
      <c r="BG39" s="67">
        <f>BF39*G39</f>
        <v>0</v>
      </c>
      <c r="BH39" s="66"/>
      <c r="BI39" s="31">
        <f>Q39</f>
        <v>0</v>
      </c>
      <c r="BJ39" s="65">
        <f>BI39*G39</f>
        <v>0</v>
      </c>
      <c r="BK39" s="66"/>
      <c r="BL39" s="31">
        <f>S39</f>
        <v>0</v>
      </c>
      <c r="BM39" s="67">
        <f>BL39*G39</f>
        <v>0</v>
      </c>
      <c r="BN39" s="66"/>
      <c r="BO39" s="31">
        <f>U39</f>
        <v>0</v>
      </c>
      <c r="BP39" s="65">
        <f>BO39*G39</f>
        <v>0</v>
      </c>
      <c r="BQ39" s="66"/>
      <c r="BR39" s="31">
        <f>W39</f>
        <v>0</v>
      </c>
      <c r="BS39" s="67">
        <f>BR39*G39</f>
        <v>0</v>
      </c>
      <c r="BT39" s="66"/>
      <c r="BU39" s="31">
        <f>Y39</f>
        <v>0</v>
      </c>
      <c r="BV39" s="65">
        <f>BU39*G39</f>
        <v>0</v>
      </c>
      <c r="BW39" s="66"/>
      <c r="BX39" s="31">
        <f>AA39</f>
        <v>0</v>
      </c>
      <c r="BY39" s="67">
        <f>BX39*G39</f>
        <v>0</v>
      </c>
      <c r="BZ39" s="66"/>
      <c r="CA39" s="31">
        <f>AC39</f>
        <v>0</v>
      </c>
      <c r="CB39" s="65">
        <f>CA39*G39</f>
        <v>0</v>
      </c>
      <c r="CC39" s="66"/>
      <c r="CD39" s="31">
        <f>AE39</f>
        <v>1</v>
      </c>
      <c r="CE39" s="67">
        <f>CD39*G39</f>
        <v>30</v>
      </c>
      <c r="CF39" s="66"/>
      <c r="CG39" s="34">
        <f>AG39</f>
        <v>0</v>
      </c>
      <c r="CH39" s="67">
        <f>CG39*G39</f>
        <v>0</v>
      </c>
      <c r="CI39" s="66"/>
      <c r="CJ39" s="34">
        <f>AI39</f>
        <v>0</v>
      </c>
      <c r="CK39" s="67">
        <f>CJ39*G39</f>
        <v>0</v>
      </c>
      <c r="CL39" s="66"/>
      <c r="CM39" s="34">
        <f>AK39</f>
        <v>0</v>
      </c>
      <c r="CN39" s="67">
        <f>CM39*G39</f>
        <v>0</v>
      </c>
      <c r="CO39" s="66"/>
      <c r="CP39" s="34">
        <f t="shared" si="0"/>
        <v>0</v>
      </c>
      <c r="CQ39" s="67">
        <f t="shared" si="1"/>
        <v>0</v>
      </c>
      <c r="CR39" s="66"/>
      <c r="CS39" s="34">
        <f>AO39</f>
        <v>0</v>
      </c>
      <c r="CT39" s="65">
        <f>CS39*G39</f>
        <v>0</v>
      </c>
      <c r="CU39" s="66"/>
      <c r="CV39" s="31">
        <f>AQ39</f>
        <v>0</v>
      </c>
      <c r="CW39" s="67">
        <f>CV39*G39</f>
        <v>0</v>
      </c>
      <c r="CX39" s="66"/>
      <c r="CY39" s="31">
        <f>AS39</f>
        <v>0</v>
      </c>
      <c r="CZ39" s="65">
        <f>CY39*G39</f>
        <v>0</v>
      </c>
      <c r="DA39" s="66"/>
      <c r="DB39" s="31">
        <f>AU39</f>
        <v>0</v>
      </c>
      <c r="DC39" s="67">
        <f>DB39*G39</f>
        <v>0</v>
      </c>
      <c r="DE39" s="76">
        <v>49</v>
      </c>
      <c r="DF39" s="42">
        <f>DE39*G39</f>
        <v>0</v>
      </c>
      <c r="DG39" s="69"/>
      <c r="DH39" s="42"/>
      <c r="DI39" s="70">
        <f>SUM(I39:AV39)</f>
        <v>1</v>
      </c>
      <c r="DJ39" s="42"/>
      <c r="DK39" s="70">
        <f>DE39+DG39-DI39</f>
        <v>48</v>
      </c>
      <c r="DL39" s="42"/>
      <c r="DM39" s="71">
        <f>E39*DK39</f>
        <v>1200</v>
      </c>
      <c r="DN39" s="42"/>
      <c r="DO39" s="72">
        <f t="shared" si="2"/>
        <v>27</v>
      </c>
      <c r="DP39" s="42"/>
      <c r="DQ39" s="71">
        <f>G39*DK39</f>
        <v>1440</v>
      </c>
      <c r="DR39" s="42"/>
      <c r="DS39" s="69"/>
      <c r="DT39" s="42"/>
      <c r="DU39" s="71">
        <v>0</v>
      </c>
      <c r="DV39" s="42"/>
      <c r="DW39" s="73">
        <f>DU39*1.2</f>
        <v>0</v>
      </c>
      <c r="DX39" s="42"/>
      <c r="DY39" s="71">
        <f>DU39*DS39</f>
        <v>0</v>
      </c>
    </row>
    <row r="40" ht="12.45" customHeight="1" spans="1:129" s="6" customFormat="1" x14ac:dyDescent="0.25">
      <c r="A40" s="77" t="s">
        <v>85</v>
      </c>
      <c r="B40" s="42"/>
      <c r="C40" s="75"/>
      <c r="D40" s="44"/>
      <c r="E40" s="78">
        <v>25</v>
      </c>
      <c r="F40" s="44"/>
      <c r="G40" s="61">
        <v>30</v>
      </c>
      <c r="H40" s="2"/>
      <c r="I40" s="62"/>
      <c r="J40" s="63"/>
      <c r="K40" s="64"/>
      <c r="L40" s="3"/>
      <c r="M40" s="62">
        <v>1</v>
      </c>
      <c r="N40" s="3"/>
      <c r="O40" s="64"/>
      <c r="P40" s="3"/>
      <c r="Q40" s="62"/>
      <c r="R40" s="3"/>
      <c r="S40" s="64"/>
      <c r="T40" s="3"/>
      <c r="U40" s="62"/>
      <c r="V40" s="3"/>
      <c r="W40" s="64"/>
      <c r="X40" s="3"/>
      <c r="Y40" s="62"/>
      <c r="Z40" s="3"/>
      <c r="AA40" s="64"/>
      <c r="AB40" s="3"/>
      <c r="AC40" s="62"/>
      <c r="AD40" s="3"/>
      <c r="AE40" s="64">
        <v>1</v>
      </c>
      <c r="AF40" s="3"/>
      <c r="AG40" s="62"/>
      <c r="AH40" s="3"/>
      <c r="AI40" s="64"/>
      <c r="AJ40" s="3"/>
      <c r="AK40" s="62"/>
      <c r="AL40" s="3"/>
      <c r="AM40" s="64"/>
      <c r="AN40" s="3"/>
      <c r="AO40" s="62"/>
      <c r="AP40" s="3"/>
      <c r="AQ40" s="64"/>
      <c r="AR40" s="3"/>
      <c r="AS40" s="62"/>
      <c r="AT40" s="3"/>
      <c r="AU40" s="64"/>
      <c r="AV40" s="2"/>
      <c r="AW40" s="34"/>
      <c r="AX40" s="65">
        <f>AW40*G40</f>
        <v>0</v>
      </c>
      <c r="AY40" s="66"/>
      <c r="AZ40" s="31">
        <f>K40</f>
        <v>0</v>
      </c>
      <c r="BA40" s="67">
        <f>AZ40*G40</f>
        <v>0</v>
      </c>
      <c r="BB40" s="66"/>
      <c r="BC40" s="31">
        <f>M40</f>
        <v>1</v>
      </c>
      <c r="BD40" s="65">
        <f>BC40*G40</f>
        <v>30</v>
      </c>
      <c r="BE40" s="66"/>
      <c r="BF40" s="31">
        <f>O40</f>
        <v>0</v>
      </c>
      <c r="BG40" s="67">
        <f>BF40*G40</f>
        <v>0</v>
      </c>
      <c r="BH40" s="66"/>
      <c r="BI40" s="31">
        <f>Q40</f>
        <v>0</v>
      </c>
      <c r="BJ40" s="65">
        <f>BI40*G40</f>
        <v>0</v>
      </c>
      <c r="BK40" s="66"/>
      <c r="BL40" s="31">
        <f>S40</f>
        <v>0</v>
      </c>
      <c r="BM40" s="67">
        <f>BL40*G40</f>
        <v>0</v>
      </c>
      <c r="BN40" s="66"/>
      <c r="BO40" s="31">
        <f>U40</f>
        <v>0</v>
      </c>
      <c r="BP40" s="65">
        <f>BO40*G40</f>
        <v>0</v>
      </c>
      <c r="BQ40" s="66"/>
      <c r="BR40" s="31">
        <f>W40</f>
        <v>0</v>
      </c>
      <c r="BS40" s="67">
        <f>BR40*G40</f>
        <v>0</v>
      </c>
      <c r="BT40" s="66"/>
      <c r="BU40" s="31">
        <f>Y40</f>
        <v>0</v>
      </c>
      <c r="BV40" s="65">
        <f>BU40*G40</f>
        <v>0</v>
      </c>
      <c r="BW40" s="66"/>
      <c r="BX40" s="31">
        <f>AA40</f>
        <v>0</v>
      </c>
      <c r="BY40" s="67">
        <f>BX40*G40</f>
        <v>0</v>
      </c>
      <c r="BZ40" s="66"/>
      <c r="CA40" s="31">
        <f>AC40</f>
        <v>0</v>
      </c>
      <c r="CB40" s="65">
        <f>CA40*G40</f>
        <v>0</v>
      </c>
      <c r="CC40" s="66"/>
      <c r="CD40" s="31">
        <f>AE40</f>
        <v>1</v>
      </c>
      <c r="CE40" s="67">
        <f>CD40*G40</f>
        <v>30</v>
      </c>
      <c r="CF40" s="66"/>
      <c r="CG40" s="34">
        <f>AG40</f>
        <v>0</v>
      </c>
      <c r="CH40" s="67">
        <f>CG40*G40</f>
        <v>0</v>
      </c>
      <c r="CI40" s="66"/>
      <c r="CJ40" s="34">
        <f>AI40</f>
        <v>0</v>
      </c>
      <c r="CK40" s="67">
        <f>CJ40*G40</f>
        <v>0</v>
      </c>
      <c r="CL40" s="66"/>
      <c r="CM40" s="34">
        <f>AK40</f>
        <v>0</v>
      </c>
      <c r="CN40" s="67">
        <f>CM40*G40</f>
        <v>0</v>
      </c>
      <c r="CO40" s="66"/>
      <c r="CP40" s="34">
        <f t="shared" si="0"/>
        <v>0</v>
      </c>
      <c r="CQ40" s="67">
        <f t="shared" si="1"/>
        <v>0</v>
      </c>
      <c r="CR40" s="66"/>
      <c r="CS40" s="34">
        <f>AO40</f>
        <v>0</v>
      </c>
      <c r="CT40" s="65">
        <f>CS40*G40</f>
        <v>0</v>
      </c>
      <c r="CU40" s="66"/>
      <c r="CV40" s="31">
        <f>AQ40</f>
        <v>0</v>
      </c>
      <c r="CW40" s="67">
        <f>CV40*G40</f>
        <v>0</v>
      </c>
      <c r="CX40" s="66"/>
      <c r="CY40" s="31">
        <f>AS40</f>
        <v>0</v>
      </c>
      <c r="CZ40" s="65">
        <f>CY40*G40</f>
        <v>0</v>
      </c>
      <c r="DA40" s="66"/>
      <c r="DB40" s="31">
        <f>AU40</f>
        <v>0</v>
      </c>
      <c r="DC40" s="67">
        <f>DB40*G40</f>
        <v>0</v>
      </c>
      <c r="DD40" s="2"/>
      <c r="DE40" s="76">
        <v>45</v>
      </c>
      <c r="DF40" s="42">
        <f>DE40*G40</f>
        <v>0</v>
      </c>
      <c r="DG40" s="69"/>
      <c r="DH40" s="42"/>
      <c r="DI40" s="70">
        <f>SUM(I40:AV40)</f>
        <v>2</v>
      </c>
      <c r="DJ40" s="42"/>
      <c r="DK40" s="70">
        <f>DE40+DG40-DI40</f>
        <v>43</v>
      </c>
      <c r="DL40" s="42"/>
      <c r="DM40" s="71">
        <f>E40*DK40</f>
        <v>1075</v>
      </c>
      <c r="DN40" s="42"/>
      <c r="DO40" s="72">
        <f t="shared" si="2"/>
        <v>63</v>
      </c>
      <c r="DP40" s="42"/>
      <c r="DQ40" s="71">
        <f>G40*DK40</f>
        <v>1290</v>
      </c>
      <c r="DR40" s="42"/>
      <c r="DS40" s="69"/>
      <c r="DT40" s="42"/>
      <c r="DU40" s="71">
        <v>0</v>
      </c>
      <c r="DV40" s="42"/>
      <c r="DW40" s="73">
        <f>DU40*1.2</f>
        <v>0</v>
      </c>
      <c r="DX40" s="42"/>
      <c r="DY40" s="71">
        <f>DU40*DS40</f>
        <v>0</v>
      </c>
    </row>
    <row r="41" ht="12.45" customHeight="1" spans="1:129" x14ac:dyDescent="0.25">
      <c r="A41" s="74" t="s">
        <v>86</v>
      </c>
      <c r="B41" s="42"/>
      <c r="C41" s="75"/>
      <c r="D41" s="44"/>
      <c r="E41" s="78">
        <v>25</v>
      </c>
      <c r="F41" s="44"/>
      <c r="G41" s="61">
        <v>30</v>
      </c>
      <c r="I41" s="62"/>
      <c r="J41" s="63"/>
      <c r="K41" s="64"/>
      <c r="L41" s="3"/>
      <c r="M41" s="62"/>
      <c r="N41" s="3"/>
      <c r="O41" s="64">
        <v>1</v>
      </c>
      <c r="P41" s="3"/>
      <c r="Q41" s="62"/>
      <c r="R41" s="3"/>
      <c r="S41" s="64"/>
      <c r="T41" s="3"/>
      <c r="U41" s="62"/>
      <c r="V41" s="3"/>
      <c r="W41" s="64"/>
      <c r="X41" s="3"/>
      <c r="Y41" s="62"/>
      <c r="Z41" s="3"/>
      <c r="AA41" s="64"/>
      <c r="AB41" s="3"/>
      <c r="AC41" s="62"/>
      <c r="AD41" s="3"/>
      <c r="AE41" s="64">
        <v>1</v>
      </c>
      <c r="AF41" s="3"/>
      <c r="AG41" s="62"/>
      <c r="AH41" s="3"/>
      <c r="AI41" s="64"/>
      <c r="AJ41" s="3"/>
      <c r="AK41" s="62"/>
      <c r="AL41" s="3"/>
      <c r="AM41" s="64"/>
      <c r="AN41" s="3"/>
      <c r="AO41" s="62"/>
      <c r="AP41" s="3"/>
      <c r="AQ41" s="64"/>
      <c r="AR41" s="3"/>
      <c r="AS41" s="62"/>
      <c r="AT41" s="3"/>
      <c r="AU41" s="64"/>
      <c r="AW41" s="34"/>
      <c r="AX41" s="65">
        <f>AW41*G41</f>
        <v>0</v>
      </c>
      <c r="AY41" s="66"/>
      <c r="AZ41" s="31">
        <f>K41</f>
        <v>0</v>
      </c>
      <c r="BA41" s="67">
        <f>AZ41*G41</f>
        <v>0</v>
      </c>
      <c r="BB41" s="66"/>
      <c r="BC41" s="31">
        <f>M41</f>
        <v>0</v>
      </c>
      <c r="BD41" s="65">
        <f>BC41*G41</f>
        <v>0</v>
      </c>
      <c r="BE41" s="66"/>
      <c r="BF41" s="31">
        <f>O41</f>
        <v>1</v>
      </c>
      <c r="BG41" s="67">
        <f>BF41*G41</f>
        <v>30</v>
      </c>
      <c r="BH41" s="66"/>
      <c r="BI41" s="31">
        <f>Q41</f>
        <v>0</v>
      </c>
      <c r="BJ41" s="65">
        <f>BI41*G41</f>
        <v>0</v>
      </c>
      <c r="BK41" s="66"/>
      <c r="BL41" s="31">
        <f>S41</f>
        <v>0</v>
      </c>
      <c r="BM41" s="67">
        <f>BL41*G41</f>
        <v>0</v>
      </c>
      <c r="BN41" s="66"/>
      <c r="BO41" s="31">
        <f>U41</f>
        <v>0</v>
      </c>
      <c r="BP41" s="65">
        <f>BO41*G41</f>
        <v>0</v>
      </c>
      <c r="BQ41" s="66"/>
      <c r="BR41" s="31">
        <f>W41</f>
        <v>0</v>
      </c>
      <c r="BS41" s="67">
        <f>BR41*G41</f>
        <v>0</v>
      </c>
      <c r="BT41" s="66"/>
      <c r="BU41" s="31">
        <f>Y41</f>
        <v>0</v>
      </c>
      <c r="BV41" s="65">
        <f>BU41*G41</f>
        <v>0</v>
      </c>
      <c r="BW41" s="66"/>
      <c r="BX41" s="31">
        <f>AA41</f>
        <v>0</v>
      </c>
      <c r="BY41" s="67">
        <f>BX41*G41</f>
        <v>0</v>
      </c>
      <c r="BZ41" s="66"/>
      <c r="CA41" s="31">
        <f>AC41</f>
        <v>0</v>
      </c>
      <c r="CB41" s="65">
        <f>CA41*G41</f>
        <v>0</v>
      </c>
      <c r="CC41" s="66"/>
      <c r="CD41" s="31">
        <f>AE41</f>
        <v>1</v>
      </c>
      <c r="CE41" s="67">
        <f>CD41*G41</f>
        <v>30</v>
      </c>
      <c r="CF41" s="66"/>
      <c r="CG41" s="34">
        <f>AG41</f>
        <v>0</v>
      </c>
      <c r="CH41" s="67">
        <f>CG41*G41</f>
        <v>0</v>
      </c>
      <c r="CI41" s="66"/>
      <c r="CJ41" s="34">
        <f>AI41</f>
        <v>0</v>
      </c>
      <c r="CK41" s="67">
        <f>CJ41*G41</f>
        <v>0</v>
      </c>
      <c r="CL41" s="66"/>
      <c r="CM41" s="34">
        <f>AK41</f>
        <v>0</v>
      </c>
      <c r="CN41" s="67">
        <f>CM41*G41</f>
        <v>0</v>
      </c>
      <c r="CO41" s="66"/>
      <c r="CP41" s="34">
        <f t="shared" si="0"/>
        <v>0</v>
      </c>
      <c r="CQ41" s="67">
        <f t="shared" si="1"/>
        <v>0</v>
      </c>
      <c r="CR41" s="66"/>
      <c r="CS41" s="34">
        <f>AO41</f>
        <v>0</v>
      </c>
      <c r="CT41" s="65">
        <f>CS41*G41</f>
        <v>0</v>
      </c>
      <c r="CU41" s="66"/>
      <c r="CV41" s="31">
        <f>AQ41</f>
        <v>0</v>
      </c>
      <c r="CW41" s="67">
        <f>CV41*G41</f>
        <v>0</v>
      </c>
      <c r="CX41" s="66"/>
      <c r="CY41" s="31">
        <f>AS41</f>
        <v>0</v>
      </c>
      <c r="CZ41" s="65">
        <f>CY41*G41</f>
        <v>0</v>
      </c>
      <c r="DA41" s="66"/>
      <c r="DB41" s="31">
        <f>AU41</f>
        <v>0</v>
      </c>
      <c r="DC41" s="67">
        <f>DB41*G41</f>
        <v>0</v>
      </c>
      <c r="DE41" s="76">
        <v>44</v>
      </c>
      <c r="DF41" s="42">
        <f>DE41*G41</f>
        <v>0</v>
      </c>
      <c r="DG41" s="69"/>
      <c r="DH41" s="42"/>
      <c r="DI41" s="70">
        <f>SUM(I41:AV41)</f>
        <v>2</v>
      </c>
      <c r="DJ41" s="42"/>
      <c r="DK41" s="70">
        <f>DE41+DG41-DI41</f>
        <v>42</v>
      </c>
      <c r="DL41" s="42"/>
      <c r="DM41" s="71">
        <f>E41*DK41</f>
        <v>1050</v>
      </c>
      <c r="DN41" s="42"/>
      <c r="DO41" s="72">
        <f t="shared" si="2"/>
        <v>46</v>
      </c>
      <c r="DP41" s="42"/>
      <c r="DQ41" s="71">
        <f>G41*DK41</f>
        <v>1260</v>
      </c>
      <c r="DR41" s="42"/>
      <c r="DS41" s="69"/>
      <c r="DT41" s="42"/>
      <c r="DU41" s="71">
        <v>0</v>
      </c>
      <c r="DV41" s="42"/>
      <c r="DW41" s="73">
        <f>DU41*1.2</f>
        <v>0</v>
      </c>
      <c r="DX41" s="42"/>
      <c r="DY41" s="71">
        <f>DU41*DS41</f>
        <v>0</v>
      </c>
    </row>
    <row r="42" ht="12.45" customHeight="1" spans="1:129" x14ac:dyDescent="0.25">
      <c r="A42" s="77" t="s">
        <v>87</v>
      </c>
      <c r="B42" s="42"/>
      <c r="C42" s="75"/>
      <c r="D42" s="44"/>
      <c r="E42" s="78">
        <v>25</v>
      </c>
      <c r="F42" s="44"/>
      <c r="G42" s="61">
        <v>30</v>
      </c>
      <c r="I42" s="62"/>
      <c r="J42" s="63"/>
      <c r="K42" s="64"/>
      <c r="L42" s="3"/>
      <c r="M42" s="62"/>
      <c r="N42" s="3"/>
      <c r="O42" s="64"/>
      <c r="P42" s="3"/>
      <c r="Q42" s="62"/>
      <c r="R42" s="3"/>
      <c r="S42" s="64"/>
      <c r="T42" s="3"/>
      <c r="U42" s="62"/>
      <c r="V42" s="3"/>
      <c r="W42" s="64"/>
      <c r="X42" s="3"/>
      <c r="Y42" s="62"/>
      <c r="Z42" s="3"/>
      <c r="AA42" s="64"/>
      <c r="AB42" s="3"/>
      <c r="AC42" s="62"/>
      <c r="AD42" s="3"/>
      <c r="AE42" s="64">
        <v>1</v>
      </c>
      <c r="AF42" s="3"/>
      <c r="AG42" s="62"/>
      <c r="AH42" s="3"/>
      <c r="AI42" s="64"/>
      <c r="AJ42" s="3"/>
      <c r="AK42" s="62"/>
      <c r="AL42" s="3"/>
      <c r="AM42" s="64"/>
      <c r="AN42" s="3"/>
      <c r="AO42" s="62"/>
      <c r="AP42" s="3"/>
      <c r="AQ42" s="64"/>
      <c r="AR42" s="3"/>
      <c r="AS42" s="62"/>
      <c r="AT42" s="3"/>
      <c r="AU42" s="64"/>
      <c r="AW42" s="34"/>
      <c r="AX42" s="65">
        <f>AW42*G42</f>
        <v>0</v>
      </c>
      <c r="AY42" s="66"/>
      <c r="AZ42" s="31">
        <f>K42</f>
        <v>0</v>
      </c>
      <c r="BA42" s="67">
        <f>AZ42*G42</f>
        <v>0</v>
      </c>
      <c r="BB42" s="66"/>
      <c r="BC42" s="31">
        <f>M42</f>
        <v>0</v>
      </c>
      <c r="BD42" s="65">
        <f>BC42*G42</f>
        <v>0</v>
      </c>
      <c r="BE42" s="66"/>
      <c r="BF42" s="31">
        <f>O42</f>
        <v>0</v>
      </c>
      <c r="BG42" s="67">
        <f>BF42*G42</f>
        <v>0</v>
      </c>
      <c r="BH42" s="66"/>
      <c r="BI42" s="31">
        <f>Q42</f>
        <v>0</v>
      </c>
      <c r="BJ42" s="65">
        <f>BI42*G42</f>
        <v>0</v>
      </c>
      <c r="BK42" s="66"/>
      <c r="BL42" s="31">
        <f>S42</f>
        <v>0</v>
      </c>
      <c r="BM42" s="67">
        <f>BL42*G42</f>
        <v>0</v>
      </c>
      <c r="BN42" s="66"/>
      <c r="BO42" s="31">
        <f>U42</f>
        <v>0</v>
      </c>
      <c r="BP42" s="65">
        <f>BO42*G42</f>
        <v>0</v>
      </c>
      <c r="BQ42" s="66"/>
      <c r="BR42" s="31">
        <f>W42</f>
        <v>0</v>
      </c>
      <c r="BS42" s="67">
        <f>BR42*G42</f>
        <v>0</v>
      </c>
      <c r="BT42" s="66"/>
      <c r="BU42" s="31">
        <f>Y42</f>
        <v>0</v>
      </c>
      <c r="BV42" s="65">
        <f>BU42*G42</f>
        <v>0</v>
      </c>
      <c r="BW42" s="66"/>
      <c r="BX42" s="31">
        <f>AA42</f>
        <v>0</v>
      </c>
      <c r="BY42" s="67">
        <f>BX42*G42</f>
        <v>0</v>
      </c>
      <c r="BZ42" s="66"/>
      <c r="CA42" s="31">
        <f>AC42</f>
        <v>0</v>
      </c>
      <c r="CB42" s="65">
        <f>CA42*G42</f>
        <v>0</v>
      </c>
      <c r="CC42" s="66"/>
      <c r="CD42" s="31">
        <f>AE42</f>
        <v>1</v>
      </c>
      <c r="CE42" s="67">
        <f>CD42*G42</f>
        <v>30</v>
      </c>
      <c r="CF42" s="66"/>
      <c r="CG42" s="34">
        <f>AG42</f>
        <v>0</v>
      </c>
      <c r="CH42" s="67">
        <f>CG42*G42</f>
        <v>0</v>
      </c>
      <c r="CI42" s="66"/>
      <c r="CJ42" s="34">
        <f>AI42</f>
        <v>0</v>
      </c>
      <c r="CK42" s="67">
        <f>CJ42*G42</f>
        <v>0</v>
      </c>
      <c r="CL42" s="66"/>
      <c r="CM42" s="34">
        <f>AK42</f>
        <v>0</v>
      </c>
      <c r="CN42" s="67">
        <f>CM42*G42</f>
        <v>0</v>
      </c>
      <c r="CO42" s="66"/>
      <c r="CP42" s="34">
        <f t="shared" si="0"/>
        <v>0</v>
      </c>
      <c r="CQ42" s="67">
        <f t="shared" si="1"/>
        <v>0</v>
      </c>
      <c r="CR42" s="66"/>
      <c r="CS42" s="34">
        <f>AO42</f>
        <v>0</v>
      </c>
      <c r="CT42" s="65">
        <f>CS42*G42</f>
        <v>0</v>
      </c>
      <c r="CU42" s="66"/>
      <c r="CV42" s="31">
        <f>AQ42</f>
        <v>0</v>
      </c>
      <c r="CW42" s="67">
        <f>CV42*G42</f>
        <v>0</v>
      </c>
      <c r="CX42" s="66"/>
      <c r="CY42" s="31">
        <f>AS42</f>
        <v>0</v>
      </c>
      <c r="CZ42" s="65">
        <f>CY42*G42</f>
        <v>0</v>
      </c>
      <c r="DA42" s="66"/>
      <c r="DB42" s="31">
        <f>AU42</f>
        <v>0</v>
      </c>
      <c r="DC42" s="67">
        <f>DB42*G42</f>
        <v>0</v>
      </c>
      <c r="DE42" s="76">
        <v>8</v>
      </c>
      <c r="DF42" s="42">
        <f>DE42*G42</f>
        <v>0</v>
      </c>
      <c r="DG42" s="69"/>
      <c r="DH42" s="42"/>
      <c r="DI42" s="70">
        <f>SUM(I42:AV42)</f>
        <v>1</v>
      </c>
      <c r="DJ42" s="42"/>
      <c r="DK42" s="70">
        <f>DE42+DG42-DI42</f>
        <v>7</v>
      </c>
      <c r="DL42" s="42"/>
      <c r="DM42" s="71">
        <f>E42*DK42</f>
        <v>175</v>
      </c>
      <c r="DN42" s="42"/>
      <c r="DO42" s="72">
        <f t="shared" si="2"/>
        <v>13</v>
      </c>
      <c r="DP42" s="42"/>
      <c r="DQ42" s="71">
        <f>G42*DK42</f>
        <v>210</v>
      </c>
      <c r="DR42" s="42"/>
      <c r="DS42" s="69"/>
      <c r="DT42" s="42"/>
      <c r="DU42" s="71">
        <v>0</v>
      </c>
      <c r="DV42" s="42"/>
      <c r="DW42" s="73">
        <f>DU42*1.2</f>
        <v>0</v>
      </c>
      <c r="DX42" s="42"/>
      <c r="DY42" s="71">
        <f>DU42*DS42</f>
        <v>0</v>
      </c>
    </row>
    <row r="43" ht="12.45" customHeight="1" spans="1:129" x14ac:dyDescent="0.25">
      <c r="A43" s="74" t="s">
        <v>88</v>
      </c>
      <c r="B43" s="42"/>
      <c r="C43" s="75"/>
      <c r="D43" s="44"/>
      <c r="E43" s="78">
        <v>25</v>
      </c>
      <c r="F43" s="44"/>
      <c r="G43" s="61">
        <v>30</v>
      </c>
      <c r="I43" s="62"/>
      <c r="J43" s="63"/>
      <c r="K43" s="64">
        <v>1</v>
      </c>
      <c r="L43" s="3"/>
      <c r="M43" s="62"/>
      <c r="N43" s="3"/>
      <c r="O43" s="64"/>
      <c r="P43" s="3"/>
      <c r="Q43" s="62"/>
      <c r="R43" s="3"/>
      <c r="S43" s="64"/>
      <c r="T43" s="3"/>
      <c r="U43" s="62"/>
      <c r="V43" s="3"/>
      <c r="W43" s="64"/>
      <c r="X43" s="3"/>
      <c r="Y43" s="62"/>
      <c r="Z43" s="3"/>
      <c r="AA43" s="64"/>
      <c r="AB43" s="3"/>
      <c r="AC43" s="62"/>
      <c r="AD43" s="3"/>
      <c r="AE43" s="64">
        <v>2</v>
      </c>
      <c r="AF43" s="3"/>
      <c r="AG43" s="62"/>
      <c r="AH43" s="3"/>
      <c r="AI43" s="64"/>
      <c r="AJ43" s="3"/>
      <c r="AK43" s="62"/>
      <c r="AL43" s="3"/>
      <c r="AM43" s="64"/>
      <c r="AN43" s="3"/>
      <c r="AO43" s="62"/>
      <c r="AP43" s="3"/>
      <c r="AQ43" s="64"/>
      <c r="AR43" s="3"/>
      <c r="AS43" s="62"/>
      <c r="AT43" s="3"/>
      <c r="AU43" s="64"/>
      <c r="AW43" s="34"/>
      <c r="AX43" s="65">
        <f>AW43*G43</f>
        <v>0</v>
      </c>
      <c r="AY43" s="66"/>
      <c r="AZ43" s="31">
        <f>K43</f>
        <v>1</v>
      </c>
      <c r="BA43" s="67">
        <f>AZ43*G43</f>
        <v>30</v>
      </c>
      <c r="BB43" s="66"/>
      <c r="BC43" s="31">
        <f>M43</f>
        <v>0</v>
      </c>
      <c r="BD43" s="65">
        <f>BC43*G43</f>
        <v>0</v>
      </c>
      <c r="BE43" s="66"/>
      <c r="BF43" s="31">
        <f>O43</f>
        <v>0</v>
      </c>
      <c r="BG43" s="67">
        <f>BF43*G43</f>
        <v>0</v>
      </c>
      <c r="BH43" s="66"/>
      <c r="BI43" s="31">
        <f>Q43</f>
        <v>0</v>
      </c>
      <c r="BJ43" s="65">
        <f>BI43*G43</f>
        <v>0</v>
      </c>
      <c r="BK43" s="66"/>
      <c r="BL43" s="31">
        <f>S43</f>
        <v>0</v>
      </c>
      <c r="BM43" s="67">
        <f>BL43*G43</f>
        <v>0</v>
      </c>
      <c r="BN43" s="66"/>
      <c r="BO43" s="31">
        <f>U43</f>
        <v>0</v>
      </c>
      <c r="BP43" s="65">
        <f>BO43*G43</f>
        <v>0</v>
      </c>
      <c r="BQ43" s="66"/>
      <c r="BR43" s="31">
        <f>W43</f>
        <v>0</v>
      </c>
      <c r="BS43" s="67">
        <f>BR43*G43</f>
        <v>0</v>
      </c>
      <c r="BT43" s="66"/>
      <c r="BU43" s="31">
        <f>Y43</f>
        <v>0</v>
      </c>
      <c r="BV43" s="65">
        <f>BU43*G43</f>
        <v>0</v>
      </c>
      <c r="BW43" s="66"/>
      <c r="BX43" s="31">
        <f>AA43</f>
        <v>0</v>
      </c>
      <c r="BY43" s="67">
        <f>BX43*G43</f>
        <v>0</v>
      </c>
      <c r="BZ43" s="66"/>
      <c r="CA43" s="31">
        <f>AC43</f>
        <v>0</v>
      </c>
      <c r="CB43" s="65">
        <f>CA43*G43</f>
        <v>0</v>
      </c>
      <c r="CC43" s="66"/>
      <c r="CD43" s="31">
        <f>AE43</f>
        <v>2</v>
      </c>
      <c r="CE43" s="67">
        <f>CD43*G43</f>
        <v>60</v>
      </c>
      <c r="CF43" s="66"/>
      <c r="CG43" s="34">
        <f>AG43</f>
        <v>0</v>
      </c>
      <c r="CH43" s="67">
        <f>CG43*G43</f>
        <v>0</v>
      </c>
      <c r="CI43" s="66"/>
      <c r="CJ43" s="34">
        <f>AI43</f>
        <v>0</v>
      </c>
      <c r="CK43" s="67">
        <f>CJ43*G43</f>
        <v>0</v>
      </c>
      <c r="CL43" s="66"/>
      <c r="CM43" s="34">
        <f>AK43</f>
        <v>0</v>
      </c>
      <c r="CN43" s="67">
        <f>CM43*G43</f>
        <v>0</v>
      </c>
      <c r="CO43" s="66"/>
      <c r="CP43" s="34">
        <f t="shared" si="0"/>
        <v>0</v>
      </c>
      <c r="CQ43" s="67">
        <f t="shared" si="1"/>
        <v>0</v>
      </c>
      <c r="CR43" s="66"/>
      <c r="CS43" s="34">
        <f>AO43</f>
        <v>0</v>
      </c>
      <c r="CT43" s="65">
        <f>CS43*G43</f>
        <v>0</v>
      </c>
      <c r="CU43" s="66"/>
      <c r="CV43" s="31">
        <f>AQ43</f>
        <v>0</v>
      </c>
      <c r="CW43" s="67">
        <f>CV43*G43</f>
        <v>0</v>
      </c>
      <c r="CX43" s="66"/>
      <c r="CY43" s="31">
        <f>AS43</f>
        <v>0</v>
      </c>
      <c r="CZ43" s="65">
        <f>CY43*G43</f>
        <v>0</v>
      </c>
      <c r="DA43" s="66"/>
      <c r="DB43" s="31">
        <f>AU43</f>
        <v>0</v>
      </c>
      <c r="DC43" s="67">
        <f>DB43*G43</f>
        <v>0</v>
      </c>
      <c r="DE43" s="76">
        <v>45</v>
      </c>
      <c r="DF43" s="42">
        <f>DE43*G43</f>
        <v>0</v>
      </c>
      <c r="DG43" s="69"/>
      <c r="DH43" s="42"/>
      <c r="DI43" s="70">
        <f>SUM(I43:AV43)</f>
        <v>3</v>
      </c>
      <c r="DJ43" s="42"/>
      <c r="DK43" s="70">
        <f>DE43+DG43-DI43</f>
        <v>42</v>
      </c>
      <c r="DL43" s="42"/>
      <c r="DM43" s="71">
        <f>E43*DK43</f>
        <v>1050</v>
      </c>
      <c r="DN43" s="42"/>
      <c r="DO43" s="72">
        <f t="shared" si="2"/>
        <v>13</v>
      </c>
      <c r="DP43" s="42"/>
      <c r="DQ43" s="71">
        <f>G43*DK43</f>
        <v>1260</v>
      </c>
      <c r="DR43" s="42"/>
      <c r="DS43" s="69"/>
      <c r="DT43" s="42"/>
      <c r="DU43" s="71">
        <v>0</v>
      </c>
      <c r="DV43" s="42"/>
      <c r="DW43" s="73">
        <f>DU43*1.2</f>
        <v>0</v>
      </c>
      <c r="DX43" s="42"/>
      <c r="DY43" s="71">
        <f>DU43*DS43</f>
        <v>0</v>
      </c>
    </row>
    <row r="44" ht="12.45" customHeight="1" spans="1:129" x14ac:dyDescent="0.25">
      <c r="A44" s="77" t="s">
        <v>89</v>
      </c>
      <c r="B44" s="42"/>
      <c r="C44" s="75"/>
      <c r="D44" s="44"/>
      <c r="E44" s="78">
        <v>35</v>
      </c>
      <c r="F44" s="44"/>
      <c r="G44" s="61">
        <v>42</v>
      </c>
      <c r="I44" s="62">
        <v>1</v>
      </c>
      <c r="J44" s="63"/>
      <c r="K44" s="64">
        <v>2</v>
      </c>
      <c r="L44" s="3"/>
      <c r="M44" s="62">
        <v>1</v>
      </c>
      <c r="N44" s="3"/>
      <c r="O44" s="64">
        <v>2</v>
      </c>
      <c r="P44" s="3"/>
      <c r="Q44" s="62"/>
      <c r="R44" s="3"/>
      <c r="S44" s="64"/>
      <c r="T44" s="3"/>
      <c r="U44" s="62">
        <v>1</v>
      </c>
      <c r="V44" s="3"/>
      <c r="W44" s="64"/>
      <c r="X44" s="3"/>
      <c r="Y44" s="62">
        <v>2</v>
      </c>
      <c r="Z44" s="3"/>
      <c r="AA44" s="64"/>
      <c r="AB44" s="3"/>
      <c r="AC44" s="62">
        <v>1</v>
      </c>
      <c r="AD44" s="3"/>
      <c r="AE44" s="64">
        <v>2</v>
      </c>
      <c r="AF44" s="3"/>
      <c r="AG44" s="62"/>
      <c r="AH44" s="3"/>
      <c r="AI44" s="64"/>
      <c r="AJ44" s="3"/>
      <c r="AK44" s="62"/>
      <c r="AL44" s="3"/>
      <c r="AM44" s="64"/>
      <c r="AN44" s="3"/>
      <c r="AO44" s="62"/>
      <c r="AP44" s="3"/>
      <c r="AQ44" s="64"/>
      <c r="AR44" s="3"/>
      <c r="AS44" s="62"/>
      <c r="AT44" s="3"/>
      <c r="AU44" s="64"/>
      <c r="AW44" s="34"/>
      <c r="AX44" s="65">
        <f>AW44*G44</f>
        <v>42</v>
      </c>
      <c r="AY44" s="66"/>
      <c r="AZ44" s="31">
        <f>K44</f>
        <v>2</v>
      </c>
      <c r="BA44" s="67">
        <f>AZ44*G44</f>
        <v>84</v>
      </c>
      <c r="BB44" s="66"/>
      <c r="BC44" s="31">
        <f>M44</f>
        <v>1</v>
      </c>
      <c r="BD44" s="65">
        <f>BC44*G44</f>
        <v>42</v>
      </c>
      <c r="BE44" s="66"/>
      <c r="BF44" s="31">
        <f>O44</f>
        <v>2</v>
      </c>
      <c r="BG44" s="67">
        <f>BF44*G44</f>
        <v>84</v>
      </c>
      <c r="BH44" s="66"/>
      <c r="BI44" s="31">
        <f>Q44</f>
        <v>0</v>
      </c>
      <c r="BJ44" s="65">
        <f>BI44*G44</f>
        <v>0</v>
      </c>
      <c r="BK44" s="66"/>
      <c r="BL44" s="31">
        <f>S44</f>
        <v>0</v>
      </c>
      <c r="BM44" s="67">
        <f>BL44*G44</f>
        <v>0</v>
      </c>
      <c r="BN44" s="66"/>
      <c r="BO44" s="31">
        <f>U44</f>
        <v>1</v>
      </c>
      <c r="BP44" s="65">
        <f>BO44*G44</f>
        <v>42</v>
      </c>
      <c r="BQ44" s="66"/>
      <c r="BR44" s="31">
        <f>W44</f>
        <v>0</v>
      </c>
      <c r="BS44" s="67">
        <f>BR44*G44</f>
        <v>0</v>
      </c>
      <c r="BT44" s="66"/>
      <c r="BU44" s="31">
        <f>Y44</f>
        <v>2</v>
      </c>
      <c r="BV44" s="65">
        <f>BU44*G44</f>
        <v>84</v>
      </c>
      <c r="BW44" s="66"/>
      <c r="BX44" s="31">
        <f>AA44</f>
        <v>0</v>
      </c>
      <c r="BY44" s="67">
        <f>BX44*G44</f>
        <v>0</v>
      </c>
      <c r="BZ44" s="66"/>
      <c r="CA44" s="31">
        <f>AC44</f>
        <v>1</v>
      </c>
      <c r="CB44" s="65">
        <f>CA44*G44</f>
        <v>42</v>
      </c>
      <c r="CC44" s="66"/>
      <c r="CD44" s="31">
        <f>AE44</f>
        <v>2</v>
      </c>
      <c r="CE44" s="67">
        <f>CD44*G44</f>
        <v>84</v>
      </c>
      <c r="CF44" s="66"/>
      <c r="CG44" s="34">
        <f>AG44</f>
        <v>0</v>
      </c>
      <c r="CH44" s="67">
        <f>CG44*G44</f>
        <v>0</v>
      </c>
      <c r="CI44" s="66"/>
      <c r="CJ44" s="34">
        <f>AI44</f>
        <v>0</v>
      </c>
      <c r="CK44" s="67">
        <f>CJ44*G44</f>
        <v>0</v>
      </c>
      <c r="CL44" s="66"/>
      <c r="CM44" s="34">
        <f>AK44</f>
        <v>0</v>
      </c>
      <c r="CN44" s="67">
        <f>CM44*G44</f>
        <v>0</v>
      </c>
      <c r="CO44" s="66"/>
      <c r="CP44" s="34">
        <f t="shared" si="0"/>
        <v>0</v>
      </c>
      <c r="CQ44" s="67">
        <f t="shared" si="1"/>
        <v>0</v>
      </c>
      <c r="CR44" s="66"/>
      <c r="CS44" s="34">
        <f>AO44</f>
        <v>0</v>
      </c>
      <c r="CT44" s="65">
        <f>CS44*G44</f>
        <v>0</v>
      </c>
      <c r="CU44" s="66"/>
      <c r="CV44" s="31">
        <f>AQ44</f>
        <v>0</v>
      </c>
      <c r="CW44" s="67">
        <f>CV44*G44</f>
        <v>0</v>
      </c>
      <c r="CX44" s="66"/>
      <c r="CY44" s="31">
        <f>AS44</f>
        <v>0</v>
      </c>
      <c r="CZ44" s="65">
        <f>CY44*G44</f>
        <v>0</v>
      </c>
      <c r="DA44" s="66"/>
      <c r="DB44" s="31">
        <f>AU44</f>
        <v>0</v>
      </c>
      <c r="DC44" s="67">
        <f>DB44*G44</f>
        <v>0</v>
      </c>
      <c r="DE44" s="76">
        <v>82</v>
      </c>
      <c r="DF44" s="42">
        <f>DE44*G44</f>
        <v>0</v>
      </c>
      <c r="DG44" s="69"/>
      <c r="DH44" s="42"/>
      <c r="DI44" s="70">
        <f>SUM(I44:AV44)</f>
        <v>12</v>
      </c>
      <c r="DJ44" s="42"/>
      <c r="DK44" s="70">
        <f>DE44+DG44-DI44</f>
        <v>70</v>
      </c>
      <c r="DL44" s="42"/>
      <c r="DM44" s="71">
        <f>E44*DK44</f>
        <v>2450</v>
      </c>
      <c r="DN44" s="42"/>
      <c r="DO44" s="72">
        <f t="shared" si="2"/>
        <v>7.363636363636363</v>
      </c>
      <c r="DP44" s="42"/>
      <c r="DQ44" s="71">
        <f>G44*DK44</f>
        <v>2940</v>
      </c>
      <c r="DR44" s="42"/>
      <c r="DS44" s="69"/>
      <c r="DT44" s="42"/>
      <c r="DU44" s="71">
        <v>0</v>
      </c>
      <c r="DV44" s="42"/>
      <c r="DW44" s="73">
        <f>DU44*1.2</f>
        <v>0</v>
      </c>
      <c r="DX44" s="42"/>
      <c r="DY44" s="71">
        <f>DU44*DS44</f>
        <v>0</v>
      </c>
    </row>
    <row r="45" ht="12.45" customHeight="1" spans="1:129" x14ac:dyDescent="0.25">
      <c r="A45" s="74" t="s">
        <v>90</v>
      </c>
      <c r="B45" s="42"/>
      <c r="C45" s="75"/>
      <c r="D45" s="44"/>
      <c r="E45" s="78">
        <v>21.5</v>
      </c>
      <c r="F45" s="44"/>
      <c r="G45" s="61">
        <v>25.8</v>
      </c>
      <c r="I45" s="62"/>
      <c r="J45" s="63"/>
      <c r="K45" s="64"/>
      <c r="L45" s="3"/>
      <c r="M45" s="62">
        <v>1</v>
      </c>
      <c r="N45" s="3"/>
      <c r="O45" s="64"/>
      <c r="P45" s="3"/>
      <c r="Q45" s="62"/>
      <c r="R45" s="3"/>
      <c r="S45" s="64"/>
      <c r="T45" s="3"/>
      <c r="U45" s="62"/>
      <c r="V45" s="3"/>
      <c r="W45" s="64"/>
      <c r="X45" s="3"/>
      <c r="Y45" s="62"/>
      <c r="Z45" s="3"/>
      <c r="AA45" s="64">
        <v>1</v>
      </c>
      <c r="AB45" s="3"/>
      <c r="AC45" s="62">
        <v>1</v>
      </c>
      <c r="AD45" s="3"/>
      <c r="AE45" s="64">
        <v>2</v>
      </c>
      <c r="AF45" s="3"/>
      <c r="AG45" s="62"/>
      <c r="AH45" s="3"/>
      <c r="AI45" s="64"/>
      <c r="AJ45" s="3"/>
      <c r="AK45" s="62"/>
      <c r="AL45" s="3"/>
      <c r="AM45" s="64"/>
      <c r="AN45" s="3"/>
      <c r="AO45" s="62"/>
      <c r="AP45" s="3"/>
      <c r="AQ45" s="64"/>
      <c r="AR45" s="3"/>
      <c r="AS45" s="62"/>
      <c r="AT45" s="3"/>
      <c r="AU45" s="64"/>
      <c r="AW45" s="34"/>
      <c r="AX45" s="65">
        <f>AW45*G45</f>
        <v>0</v>
      </c>
      <c r="AY45" s="66"/>
      <c r="AZ45" s="31">
        <f>K45</f>
        <v>0</v>
      </c>
      <c r="BA45" s="67">
        <f>AZ45*G45</f>
        <v>0</v>
      </c>
      <c r="BB45" s="66"/>
      <c r="BC45" s="31">
        <f>M45</f>
        <v>1</v>
      </c>
      <c r="BD45" s="65">
        <f>BC45*G45</f>
        <v>25.8</v>
      </c>
      <c r="BE45" s="66"/>
      <c r="BF45" s="31">
        <f>O45</f>
        <v>0</v>
      </c>
      <c r="BG45" s="67">
        <f>BF45*G45</f>
        <v>0</v>
      </c>
      <c r="BH45" s="66"/>
      <c r="BI45" s="31">
        <f>Q45</f>
        <v>0</v>
      </c>
      <c r="BJ45" s="65">
        <f>BI45*G45</f>
        <v>0</v>
      </c>
      <c r="BK45" s="66"/>
      <c r="BL45" s="31">
        <f>S45</f>
        <v>0</v>
      </c>
      <c r="BM45" s="67">
        <f>BL45*G45</f>
        <v>0</v>
      </c>
      <c r="BN45" s="66"/>
      <c r="BO45" s="31">
        <f>U45</f>
        <v>0</v>
      </c>
      <c r="BP45" s="65">
        <f>BO45*G45</f>
        <v>0</v>
      </c>
      <c r="BQ45" s="66"/>
      <c r="BR45" s="31">
        <f>W45</f>
        <v>0</v>
      </c>
      <c r="BS45" s="67">
        <f>BR45*G45</f>
        <v>0</v>
      </c>
      <c r="BT45" s="66"/>
      <c r="BU45" s="31">
        <f>Y45</f>
        <v>0</v>
      </c>
      <c r="BV45" s="65">
        <f>BU45*G45</f>
        <v>0</v>
      </c>
      <c r="BW45" s="66"/>
      <c r="BX45" s="31">
        <f>AA45</f>
        <v>1</v>
      </c>
      <c r="BY45" s="67">
        <f>BX45*G45</f>
        <v>25.8</v>
      </c>
      <c r="BZ45" s="66"/>
      <c r="CA45" s="31">
        <f>AC45</f>
        <v>1</v>
      </c>
      <c r="CB45" s="65">
        <f>CA45*G45</f>
        <v>25.8</v>
      </c>
      <c r="CC45" s="66"/>
      <c r="CD45" s="31">
        <f>AE45</f>
        <v>2</v>
      </c>
      <c r="CE45" s="67">
        <f>CD45*G45</f>
        <v>51.6</v>
      </c>
      <c r="CF45" s="66"/>
      <c r="CG45" s="34">
        <f>AG45</f>
        <v>0</v>
      </c>
      <c r="CH45" s="67">
        <f>CG45*G45</f>
        <v>0</v>
      </c>
      <c r="CI45" s="66"/>
      <c r="CJ45" s="34">
        <f>AI45</f>
        <v>0</v>
      </c>
      <c r="CK45" s="67">
        <f>CJ45*G45</f>
        <v>0</v>
      </c>
      <c r="CL45" s="66"/>
      <c r="CM45" s="34">
        <f>AK45</f>
        <v>0</v>
      </c>
      <c r="CN45" s="67">
        <f>CM45*G45</f>
        <v>0</v>
      </c>
      <c r="CO45" s="66"/>
      <c r="CP45" s="34">
        <f t="shared" si="0"/>
        <v>0</v>
      </c>
      <c r="CQ45" s="67">
        <f t="shared" si="1"/>
        <v>0</v>
      </c>
      <c r="CR45" s="66"/>
      <c r="CS45" s="34">
        <f>AO45</f>
        <v>0</v>
      </c>
      <c r="CT45" s="65">
        <f>CS45*G45</f>
        <v>0</v>
      </c>
      <c r="CU45" s="66"/>
      <c r="CV45" s="31">
        <f>AQ45</f>
        <v>0</v>
      </c>
      <c r="CW45" s="67">
        <f>CV45*G45</f>
        <v>0</v>
      </c>
      <c r="CX45" s="66"/>
      <c r="CY45" s="31">
        <f>AS45</f>
        <v>0</v>
      </c>
      <c r="CZ45" s="65">
        <f>CY45*G45</f>
        <v>0</v>
      </c>
      <c r="DA45" s="66"/>
      <c r="DB45" s="31">
        <f>AU45</f>
        <v>0</v>
      </c>
      <c r="DC45" s="67">
        <f>DB45*G45</f>
        <v>0</v>
      </c>
      <c r="DE45" s="76">
        <v>123</v>
      </c>
      <c r="DF45" s="42">
        <f>DE45*G45</f>
        <v>0</v>
      </c>
      <c r="DG45" s="69"/>
      <c r="DH45" s="42"/>
      <c r="DI45" s="70">
        <f>SUM(I45:AV45)</f>
        <v>5</v>
      </c>
      <c r="DJ45" s="42"/>
      <c r="DK45" s="70">
        <f>DE45+DG45-DI45</f>
        <v>118</v>
      </c>
      <c r="DL45" s="42"/>
      <c r="DM45" s="71">
        <f>E45*DK45</f>
        <v>2537</v>
      </c>
      <c r="DN45" s="42"/>
      <c r="DO45" s="72">
        <f t="shared" si="2"/>
        <v>5.25</v>
      </c>
      <c r="DP45" s="42"/>
      <c r="DQ45" s="71">
        <f>G45*DK45</f>
        <v>3044.4</v>
      </c>
      <c r="DR45" s="42"/>
      <c r="DS45" s="69"/>
      <c r="DT45" s="42"/>
      <c r="DU45" s="71">
        <v>0</v>
      </c>
      <c r="DV45" s="42"/>
      <c r="DW45" s="73">
        <f>DU45*1.2</f>
        <v>0</v>
      </c>
      <c r="DX45" s="42"/>
      <c r="DY45" s="71">
        <f>DU45*DS45</f>
        <v>0</v>
      </c>
    </row>
    <row r="46" ht="12.45" customHeight="1" spans="1:129" x14ac:dyDescent="0.25">
      <c r="A46" s="77" t="s">
        <v>91</v>
      </c>
      <c r="B46" s="42"/>
      <c r="C46" s="75"/>
      <c r="D46" s="44"/>
      <c r="E46" s="78">
        <v>21.5</v>
      </c>
      <c r="F46" s="44"/>
      <c r="G46" s="61">
        <v>25.8</v>
      </c>
      <c r="I46" s="62">
        <v>1</v>
      </c>
      <c r="J46" s="63"/>
      <c r="K46" s="64"/>
      <c r="L46" s="3"/>
      <c r="M46" s="62">
        <v>1</v>
      </c>
      <c r="N46" s="3"/>
      <c r="O46" s="64"/>
      <c r="P46" s="3"/>
      <c r="Q46" s="62"/>
      <c r="R46" s="3"/>
      <c r="S46" s="64">
        <v>1</v>
      </c>
      <c r="T46" s="3"/>
      <c r="U46" s="62"/>
      <c r="V46" s="3"/>
      <c r="W46" s="64"/>
      <c r="X46" s="3"/>
      <c r="Y46" s="62">
        <v>1</v>
      </c>
      <c r="Z46" s="3"/>
      <c r="AA46" s="64"/>
      <c r="AB46" s="3"/>
      <c r="AC46" s="62">
        <v>1</v>
      </c>
      <c r="AD46" s="3"/>
      <c r="AE46" s="64">
        <v>2</v>
      </c>
      <c r="AF46" s="3"/>
      <c r="AG46" s="62"/>
      <c r="AH46" s="3"/>
      <c r="AI46" s="64"/>
      <c r="AJ46" s="3"/>
      <c r="AK46" s="62"/>
      <c r="AL46" s="3"/>
      <c r="AM46" s="64"/>
      <c r="AN46" s="3"/>
      <c r="AO46" s="62"/>
      <c r="AP46" s="3"/>
      <c r="AQ46" s="64"/>
      <c r="AR46" s="3"/>
      <c r="AS46" s="62"/>
      <c r="AT46" s="3"/>
      <c r="AU46" s="64"/>
      <c r="AW46" s="34"/>
      <c r="AX46" s="65">
        <f>AW46*G46</f>
        <v>25.8</v>
      </c>
      <c r="AY46" s="66"/>
      <c r="AZ46" s="31">
        <f>K46</f>
        <v>0</v>
      </c>
      <c r="BA46" s="67">
        <f>AZ46*G46</f>
        <v>0</v>
      </c>
      <c r="BB46" s="66"/>
      <c r="BC46" s="31">
        <f>M46</f>
        <v>1</v>
      </c>
      <c r="BD46" s="65">
        <f>BC46*G46</f>
        <v>25.8</v>
      </c>
      <c r="BE46" s="66"/>
      <c r="BF46" s="31">
        <f>O46</f>
        <v>0</v>
      </c>
      <c r="BG46" s="67">
        <f>BF46*G46</f>
        <v>0</v>
      </c>
      <c r="BH46" s="66"/>
      <c r="BI46" s="31">
        <f>Q46</f>
        <v>0</v>
      </c>
      <c r="BJ46" s="65">
        <f>BI46*G46</f>
        <v>0</v>
      </c>
      <c r="BK46" s="66"/>
      <c r="BL46" s="31">
        <f>S46</f>
        <v>1</v>
      </c>
      <c r="BM46" s="67">
        <f>BL46*G46</f>
        <v>25.8</v>
      </c>
      <c r="BN46" s="66"/>
      <c r="BO46" s="31">
        <f>U46</f>
        <v>0</v>
      </c>
      <c r="BP46" s="65">
        <f>BO46*G46</f>
        <v>0</v>
      </c>
      <c r="BQ46" s="66"/>
      <c r="BR46" s="31">
        <f>W46</f>
        <v>0</v>
      </c>
      <c r="BS46" s="67">
        <f>BR46*G46</f>
        <v>0</v>
      </c>
      <c r="BT46" s="66"/>
      <c r="BU46" s="31">
        <f>Y46</f>
        <v>1</v>
      </c>
      <c r="BV46" s="65">
        <f>BU46*G46</f>
        <v>25.8</v>
      </c>
      <c r="BW46" s="66"/>
      <c r="BX46" s="31">
        <f>AA46</f>
        <v>0</v>
      </c>
      <c r="BY46" s="67">
        <f>BX46*G46</f>
        <v>0</v>
      </c>
      <c r="BZ46" s="66"/>
      <c r="CA46" s="31">
        <f>AC46</f>
        <v>1</v>
      </c>
      <c r="CB46" s="65">
        <f>CA46*G46</f>
        <v>25.8</v>
      </c>
      <c r="CC46" s="66"/>
      <c r="CD46" s="31">
        <f>AE46</f>
        <v>2</v>
      </c>
      <c r="CE46" s="67">
        <f>CD46*G46</f>
        <v>51.6</v>
      </c>
      <c r="CF46" s="66"/>
      <c r="CG46" s="34">
        <f>AG46</f>
        <v>0</v>
      </c>
      <c r="CH46" s="67">
        <f>CG46*G46</f>
        <v>0</v>
      </c>
      <c r="CI46" s="66"/>
      <c r="CJ46" s="34">
        <f>AI46</f>
        <v>0</v>
      </c>
      <c r="CK46" s="67">
        <f>CJ46*G46</f>
        <v>0</v>
      </c>
      <c r="CL46" s="66"/>
      <c r="CM46" s="34">
        <f>AK46</f>
        <v>0</v>
      </c>
      <c r="CN46" s="67">
        <f>CM46*G46</f>
        <v>0</v>
      </c>
      <c r="CO46" s="66"/>
      <c r="CP46" s="34">
        <f t="shared" si="0"/>
        <v>0</v>
      </c>
      <c r="CQ46" s="67">
        <f t="shared" si="1"/>
        <v>0</v>
      </c>
      <c r="CR46" s="66"/>
      <c r="CS46" s="34">
        <f>AO46</f>
        <v>0</v>
      </c>
      <c r="CT46" s="65">
        <f>CS46*G46</f>
        <v>0</v>
      </c>
      <c r="CU46" s="66"/>
      <c r="CV46" s="31">
        <f>AQ46</f>
        <v>0</v>
      </c>
      <c r="CW46" s="67">
        <f>CV46*G46</f>
        <v>0</v>
      </c>
      <c r="CX46" s="66"/>
      <c r="CY46" s="31">
        <f>AS46</f>
        <v>0</v>
      </c>
      <c r="CZ46" s="65">
        <f>CY46*G46</f>
        <v>0</v>
      </c>
      <c r="DA46" s="66"/>
      <c r="DB46" s="31">
        <f>AU46</f>
        <v>0</v>
      </c>
      <c r="DC46" s="67">
        <f>DB46*G46</f>
        <v>0</v>
      </c>
      <c r="DE46" s="76">
        <v>73</v>
      </c>
      <c r="DF46" s="42">
        <f>DE46*G46</f>
        <v>0</v>
      </c>
      <c r="DG46" s="69"/>
      <c r="DH46" s="42"/>
      <c r="DI46" s="70">
        <f>SUM(I46:AV46)</f>
        <v>7</v>
      </c>
      <c r="DJ46" s="42"/>
      <c r="DK46" s="70">
        <f>DE46+DG46-DI46</f>
        <v>66</v>
      </c>
      <c r="DL46" s="42"/>
      <c r="DM46" s="71">
        <f>E46*DK46</f>
        <v>1419</v>
      </c>
      <c r="DN46" s="42"/>
      <c r="DO46" s="72">
        <f t="shared" si="2"/>
        <v>39.5</v>
      </c>
      <c r="DP46" s="42"/>
      <c r="DQ46" s="71">
        <f>G46*DK46</f>
        <v>1702.8</v>
      </c>
      <c r="DR46" s="42"/>
      <c r="DS46" s="69"/>
      <c r="DT46" s="42"/>
      <c r="DU46" s="71">
        <v>0</v>
      </c>
      <c r="DV46" s="42"/>
      <c r="DW46" s="73">
        <f>DU46*1.2</f>
        <v>0</v>
      </c>
      <c r="DX46" s="42"/>
      <c r="DY46" s="71">
        <f>DU46*DS46</f>
        <v>0</v>
      </c>
    </row>
    <row r="47" ht="12.45" customHeight="1" spans="1:129" x14ac:dyDescent="0.25">
      <c r="A47" s="74" t="s">
        <v>92</v>
      </c>
      <c r="B47" s="42"/>
      <c r="C47" s="75"/>
      <c r="D47" s="44"/>
      <c r="E47" s="78">
        <v>21.5</v>
      </c>
      <c r="F47" s="44"/>
      <c r="G47" s="61">
        <v>25.8</v>
      </c>
      <c r="I47" s="62"/>
      <c r="J47" s="63"/>
      <c r="K47" s="64"/>
      <c r="L47" s="3"/>
      <c r="M47" s="62">
        <v>1</v>
      </c>
      <c r="N47" s="3"/>
      <c r="O47" s="64"/>
      <c r="P47" s="3"/>
      <c r="Q47" s="62"/>
      <c r="R47" s="3"/>
      <c r="S47" s="64">
        <v>1</v>
      </c>
      <c r="T47" s="3"/>
      <c r="U47" s="62"/>
      <c r="V47" s="3"/>
      <c r="W47" s="64"/>
      <c r="X47" s="3"/>
      <c r="Y47" s="62">
        <v>1</v>
      </c>
      <c r="Z47" s="3"/>
      <c r="AA47" s="64"/>
      <c r="AB47" s="3"/>
      <c r="AC47" s="62">
        <v>1</v>
      </c>
      <c r="AD47" s="3"/>
      <c r="AE47" s="64">
        <v>2</v>
      </c>
      <c r="AF47" s="3"/>
      <c r="AG47" s="62"/>
      <c r="AH47" s="3"/>
      <c r="AI47" s="64"/>
      <c r="AJ47" s="3"/>
      <c r="AK47" s="62"/>
      <c r="AL47" s="3"/>
      <c r="AM47" s="64"/>
      <c r="AN47" s="3"/>
      <c r="AO47" s="62"/>
      <c r="AP47" s="3"/>
      <c r="AQ47" s="64"/>
      <c r="AR47" s="3"/>
      <c r="AS47" s="62"/>
      <c r="AT47" s="3"/>
      <c r="AU47" s="64"/>
      <c r="AW47" s="34"/>
      <c r="AX47" s="65">
        <f>AW47*G47</f>
        <v>0</v>
      </c>
      <c r="AY47" s="66"/>
      <c r="AZ47" s="31">
        <f>K47</f>
        <v>0</v>
      </c>
      <c r="BA47" s="67">
        <f>AZ47*G47</f>
        <v>0</v>
      </c>
      <c r="BB47" s="66"/>
      <c r="BC47" s="31">
        <f>M47</f>
        <v>1</v>
      </c>
      <c r="BD47" s="65">
        <f>BC47*G47</f>
        <v>25.8</v>
      </c>
      <c r="BE47" s="66"/>
      <c r="BF47" s="31">
        <f>O47</f>
        <v>0</v>
      </c>
      <c r="BG47" s="67">
        <f>BF47*G47</f>
        <v>0</v>
      </c>
      <c r="BH47" s="66"/>
      <c r="BI47" s="31">
        <f>Q47</f>
        <v>0</v>
      </c>
      <c r="BJ47" s="65">
        <f>BI47*G47</f>
        <v>0</v>
      </c>
      <c r="BK47" s="66"/>
      <c r="BL47" s="31">
        <f>S47</f>
        <v>1</v>
      </c>
      <c r="BM47" s="67">
        <f>BL47*G47</f>
        <v>25.8</v>
      </c>
      <c r="BN47" s="66"/>
      <c r="BO47" s="31">
        <f>U47</f>
        <v>0</v>
      </c>
      <c r="BP47" s="65">
        <f>BO47*G47</f>
        <v>0</v>
      </c>
      <c r="BQ47" s="66"/>
      <c r="BR47" s="31">
        <f>W47</f>
        <v>0</v>
      </c>
      <c r="BS47" s="67">
        <f>BR47*G47</f>
        <v>0</v>
      </c>
      <c r="BT47" s="66"/>
      <c r="BU47" s="31">
        <f>Y47</f>
        <v>1</v>
      </c>
      <c r="BV47" s="65">
        <f>BU47*G47</f>
        <v>25.8</v>
      </c>
      <c r="BW47" s="66"/>
      <c r="BX47" s="31">
        <f>AA47</f>
        <v>0</v>
      </c>
      <c r="BY47" s="67">
        <f>BX47*G47</f>
        <v>0</v>
      </c>
      <c r="BZ47" s="66"/>
      <c r="CA47" s="31">
        <f>AC47</f>
        <v>1</v>
      </c>
      <c r="CB47" s="65">
        <f>CA47*G47</f>
        <v>25.8</v>
      </c>
      <c r="CC47" s="66"/>
      <c r="CD47" s="31">
        <f>AE47</f>
        <v>2</v>
      </c>
      <c r="CE47" s="67">
        <f>CD47*G47</f>
        <v>51.6</v>
      </c>
      <c r="CF47" s="66"/>
      <c r="CG47" s="34">
        <f>AG47</f>
        <v>0</v>
      </c>
      <c r="CH47" s="67">
        <f>CG47*G47</f>
        <v>0</v>
      </c>
      <c r="CI47" s="66"/>
      <c r="CJ47" s="34">
        <f>AI47</f>
        <v>0</v>
      </c>
      <c r="CK47" s="67">
        <f>CJ47*G47</f>
        <v>0</v>
      </c>
      <c r="CL47" s="66"/>
      <c r="CM47" s="34">
        <f>AK47</f>
        <v>0</v>
      </c>
      <c r="CN47" s="67">
        <f>CM47*G47</f>
        <v>0</v>
      </c>
      <c r="CO47" s="66"/>
      <c r="CP47" s="34">
        <f t="shared" si="0"/>
        <v>0</v>
      </c>
      <c r="CQ47" s="67">
        <f t="shared" si="1"/>
        <v>0</v>
      </c>
      <c r="CR47" s="66"/>
      <c r="CS47" s="34">
        <f>AO47</f>
        <v>0</v>
      </c>
      <c r="CT47" s="65">
        <f>CS47*G47</f>
        <v>0</v>
      </c>
      <c r="CU47" s="66"/>
      <c r="CV47" s="31">
        <f>AQ47</f>
        <v>0</v>
      </c>
      <c r="CW47" s="67">
        <f>CV47*G47</f>
        <v>0</v>
      </c>
      <c r="CX47" s="66"/>
      <c r="CY47" s="31">
        <f>AS47</f>
        <v>0</v>
      </c>
      <c r="CZ47" s="65">
        <f>CY47*G47</f>
        <v>0</v>
      </c>
      <c r="DA47" s="66"/>
      <c r="DB47" s="31">
        <f>AU47</f>
        <v>0</v>
      </c>
      <c r="DC47" s="67">
        <f>DB47*G47</f>
        <v>0</v>
      </c>
      <c r="DE47" s="76">
        <v>114</v>
      </c>
      <c r="DF47" s="42">
        <f>DE47*G47</f>
        <v>0</v>
      </c>
      <c r="DG47" s="69"/>
      <c r="DH47" s="42"/>
      <c r="DI47" s="70">
        <f>SUM(I47:AV47)</f>
        <v>6</v>
      </c>
      <c r="DJ47" s="42"/>
      <c r="DK47" s="70">
        <f>DE47+DG47-DI47</f>
        <v>108</v>
      </c>
      <c r="DL47" s="42"/>
      <c r="DM47" s="71">
        <f>E47*DK47</f>
        <v>2322</v>
      </c>
      <c r="DN47" s="42"/>
      <c r="DO47" s="72">
        <f t="shared" si="2"/>
        <v>4.5</v>
      </c>
      <c r="DP47" s="42"/>
      <c r="DQ47" s="71">
        <f>G47*DK47</f>
        <v>2786.4</v>
      </c>
      <c r="DR47" s="42"/>
      <c r="DS47" s="69"/>
      <c r="DT47" s="42"/>
      <c r="DU47" s="71">
        <v>0</v>
      </c>
      <c r="DV47" s="42"/>
      <c r="DW47" s="73">
        <f>DU47*1.2</f>
        <v>0</v>
      </c>
      <c r="DX47" s="42"/>
      <c r="DY47" s="71">
        <f>DU47*DS47</f>
        <v>0</v>
      </c>
    </row>
    <row r="48" ht="12.45" customHeight="1" spans="1:129" x14ac:dyDescent="0.25">
      <c r="A48" s="80" t="s">
        <v>93</v>
      </c>
      <c r="B48" s="42"/>
      <c r="C48" s="81"/>
      <c r="D48" s="44"/>
      <c r="E48" s="82">
        <v>29.07</v>
      </c>
      <c r="F48" s="44"/>
      <c r="G48" s="83">
        <v>34.88</v>
      </c>
      <c r="I48" s="62"/>
      <c r="J48" s="63"/>
      <c r="K48" s="64"/>
      <c r="L48" s="3"/>
      <c r="M48" s="62"/>
      <c r="N48" s="3"/>
      <c r="O48" s="64"/>
      <c r="P48" s="3"/>
      <c r="Q48" s="62"/>
      <c r="R48" s="3"/>
      <c r="S48" s="64"/>
      <c r="T48" s="3"/>
      <c r="U48" s="62"/>
      <c r="V48" s="3"/>
      <c r="W48" s="64"/>
      <c r="X48" s="3"/>
      <c r="Y48" s="62"/>
      <c r="Z48" s="3"/>
      <c r="AA48" s="64"/>
      <c r="AB48" s="3"/>
      <c r="AC48" s="62"/>
      <c r="AD48" s="3"/>
      <c r="AE48" s="64"/>
      <c r="AF48" s="3"/>
      <c r="AG48" s="62"/>
      <c r="AH48" s="3"/>
      <c r="AI48" s="64"/>
      <c r="AJ48" s="3"/>
      <c r="AK48" s="62"/>
      <c r="AL48" s="3"/>
      <c r="AM48" s="64"/>
      <c r="AN48" s="3"/>
      <c r="AO48" s="62">
        <v>7</v>
      </c>
      <c r="AP48" s="3"/>
      <c r="AQ48" s="64">
        <v>3</v>
      </c>
      <c r="AR48" s="3"/>
      <c r="AS48" s="62"/>
      <c r="AT48" s="3"/>
      <c r="AU48" s="64"/>
      <c r="AW48" s="34"/>
      <c r="AX48" s="65">
        <f>AW48*G48</f>
        <v>0</v>
      </c>
      <c r="AY48" s="66"/>
      <c r="AZ48" s="31">
        <f>K48</f>
        <v>0</v>
      </c>
      <c r="BA48" s="67">
        <f>AZ48*G48</f>
        <v>0</v>
      </c>
      <c r="BB48" s="66"/>
      <c r="BC48" s="31">
        <f>M48</f>
        <v>0</v>
      </c>
      <c r="BD48" s="65">
        <f>BC48*G48</f>
        <v>0</v>
      </c>
      <c r="BE48" s="66"/>
      <c r="BF48" s="31">
        <f>O48</f>
        <v>0</v>
      </c>
      <c r="BG48" s="67">
        <f>BF48*G48</f>
        <v>0</v>
      </c>
      <c r="BH48" s="66"/>
      <c r="BI48" s="31">
        <f>Q48</f>
        <v>0</v>
      </c>
      <c r="BJ48" s="65">
        <f>BI48*G48</f>
        <v>0</v>
      </c>
      <c r="BK48" s="66"/>
      <c r="BL48" s="31">
        <f>S48</f>
        <v>0</v>
      </c>
      <c r="BM48" s="67">
        <f>BL48*G48</f>
        <v>0</v>
      </c>
      <c r="BN48" s="66"/>
      <c r="BO48" s="31">
        <f>U48</f>
        <v>0</v>
      </c>
      <c r="BP48" s="65">
        <f>BO48*G48</f>
        <v>0</v>
      </c>
      <c r="BQ48" s="66"/>
      <c r="BR48" s="31">
        <f>W48</f>
        <v>0</v>
      </c>
      <c r="BS48" s="67">
        <f>BR48*G48</f>
        <v>0</v>
      </c>
      <c r="BT48" s="66"/>
      <c r="BU48" s="31">
        <f>Y48</f>
        <v>0</v>
      </c>
      <c r="BV48" s="65">
        <f>BU48*G48</f>
        <v>0</v>
      </c>
      <c r="BW48" s="66"/>
      <c r="BX48" s="31">
        <f>AA48</f>
        <v>0</v>
      </c>
      <c r="BY48" s="67">
        <f>BX48*G48</f>
        <v>0</v>
      </c>
      <c r="BZ48" s="66"/>
      <c r="CA48" s="31">
        <f>AC48</f>
        <v>0</v>
      </c>
      <c r="CB48" s="65">
        <f>CA48*G48</f>
        <v>0</v>
      </c>
      <c r="CC48" s="66"/>
      <c r="CD48" s="31">
        <f>AE48</f>
        <v>0</v>
      </c>
      <c r="CE48" s="67">
        <f>CD48*G48</f>
        <v>0</v>
      </c>
      <c r="CF48" s="66"/>
      <c r="CG48" s="34">
        <f>AG48</f>
        <v>0</v>
      </c>
      <c r="CH48" s="67">
        <f>CG48*G48</f>
        <v>0</v>
      </c>
      <c r="CI48" s="66"/>
      <c r="CJ48" s="34">
        <f>AI48</f>
        <v>0</v>
      </c>
      <c r="CK48" s="67">
        <f>CJ48*G48</f>
        <v>0</v>
      </c>
      <c r="CL48" s="66"/>
      <c r="CM48" s="34">
        <f>AK48</f>
        <v>0</v>
      </c>
      <c r="CN48" s="67">
        <f>CM48*G48</f>
        <v>0</v>
      </c>
      <c r="CO48" s="66"/>
      <c r="CP48" s="34">
        <f t="shared" si="0"/>
        <v>0</v>
      </c>
      <c r="CQ48" s="67">
        <f t="shared" si="1"/>
        <v>0</v>
      </c>
      <c r="CR48" s="66"/>
      <c r="CS48" s="34">
        <f>AO48</f>
        <v>7</v>
      </c>
      <c r="CT48" s="65">
        <f>CS48*G48</f>
        <v>244.16</v>
      </c>
      <c r="CU48" s="66"/>
      <c r="CV48" s="31">
        <f>AQ48</f>
        <v>3</v>
      </c>
      <c r="CW48" s="67">
        <f>CV48*G48</f>
        <v>104.64</v>
      </c>
      <c r="CX48" s="66"/>
      <c r="CY48" s="31">
        <f>AS48</f>
        <v>0</v>
      </c>
      <c r="CZ48" s="65">
        <f>CY48*G48</f>
        <v>0</v>
      </c>
      <c r="DA48" s="66"/>
      <c r="DB48" s="31">
        <f>AU48</f>
        <v>0</v>
      </c>
      <c r="DC48" s="67">
        <f>DB48*G48</f>
        <v>0</v>
      </c>
      <c r="DE48" s="76">
        <v>444</v>
      </c>
      <c r="DF48" s="42">
        <f>DE48*G48</f>
        <v>0</v>
      </c>
      <c r="DG48" s="69"/>
      <c r="DH48" s="42"/>
      <c r="DI48" s="70">
        <f>SUM(I48:AV48)</f>
        <v>10</v>
      </c>
      <c r="DJ48" s="42"/>
      <c r="DK48" s="70">
        <f>DE48+DG48-DI48</f>
        <v>434</v>
      </c>
      <c r="DL48" s="42"/>
      <c r="DM48" s="71">
        <f>E48*DK48</f>
        <v>12616.38</v>
      </c>
      <c r="DN48" s="42"/>
      <c r="DO48" s="72" t="e">
        <f t="shared" si="2"/>
        <v>#DIV/0!</v>
      </c>
      <c r="DP48" s="42"/>
      <c r="DQ48" s="71">
        <f>G48*DK48</f>
        <v>15137.92</v>
      </c>
      <c r="DR48" s="42"/>
      <c r="DS48" s="69"/>
      <c r="DT48" s="42"/>
      <c r="DU48" s="71">
        <v>0</v>
      </c>
      <c r="DV48" s="42"/>
      <c r="DW48" s="73">
        <f>DU48*1.2</f>
        <v>0</v>
      </c>
      <c r="DX48" s="42"/>
      <c r="DY48" s="71">
        <f>DU48*DS48</f>
        <v>0</v>
      </c>
    </row>
    <row r="49" ht="12.45" customHeight="1" spans="1:129" x14ac:dyDescent="0.25">
      <c r="A49" s="84" t="s">
        <v>94</v>
      </c>
      <c r="B49" s="42"/>
      <c r="C49" s="81"/>
      <c r="D49" s="44"/>
      <c r="E49" s="82">
        <v>29.07</v>
      </c>
      <c r="F49" s="44"/>
      <c r="G49" s="83">
        <v>34.88</v>
      </c>
      <c r="I49" s="62"/>
      <c r="J49" s="63"/>
      <c r="K49" s="64"/>
      <c r="L49" s="3"/>
      <c r="M49" s="62"/>
      <c r="N49" s="3"/>
      <c r="O49" s="64"/>
      <c r="P49" s="3"/>
      <c r="Q49" s="62"/>
      <c r="R49" s="3"/>
      <c r="S49" s="64"/>
      <c r="T49" s="3"/>
      <c r="U49" s="62"/>
      <c r="V49" s="3"/>
      <c r="W49" s="64"/>
      <c r="X49" s="3"/>
      <c r="Y49" s="62"/>
      <c r="Z49" s="3"/>
      <c r="AA49" s="64"/>
      <c r="AB49" s="3"/>
      <c r="AC49" s="62"/>
      <c r="AD49" s="3"/>
      <c r="AE49" s="64">
        <v>2</v>
      </c>
      <c r="AF49" s="3"/>
      <c r="AG49" s="62"/>
      <c r="AH49" s="3"/>
      <c r="AI49" s="64"/>
      <c r="AJ49" s="3"/>
      <c r="AK49" s="62"/>
      <c r="AL49" s="3"/>
      <c r="AM49" s="64"/>
      <c r="AN49" s="3"/>
      <c r="AO49" s="62">
        <v>3</v>
      </c>
      <c r="AP49" s="3"/>
      <c r="AQ49" s="64">
        <v>2</v>
      </c>
      <c r="AR49" s="3"/>
      <c r="AS49" s="62"/>
      <c r="AT49" s="3"/>
      <c r="AU49" s="64"/>
      <c r="AW49" s="34"/>
      <c r="AX49" s="65">
        <f>AW49*G49</f>
        <v>0</v>
      </c>
      <c r="AY49" s="66"/>
      <c r="AZ49" s="31">
        <f>K49</f>
        <v>0</v>
      </c>
      <c r="BA49" s="67">
        <f>AZ49*G49</f>
        <v>0</v>
      </c>
      <c r="BB49" s="66"/>
      <c r="BC49" s="31">
        <f>M49</f>
        <v>0</v>
      </c>
      <c r="BD49" s="65">
        <f>BC49*G49</f>
        <v>0</v>
      </c>
      <c r="BE49" s="66"/>
      <c r="BF49" s="31">
        <f>O49</f>
        <v>0</v>
      </c>
      <c r="BG49" s="67">
        <f>BF49*G49</f>
        <v>0</v>
      </c>
      <c r="BH49" s="66"/>
      <c r="BI49" s="31">
        <f>Q49</f>
        <v>0</v>
      </c>
      <c r="BJ49" s="65">
        <f>BI49*G49</f>
        <v>0</v>
      </c>
      <c r="BK49" s="66"/>
      <c r="BL49" s="31">
        <f>S49</f>
        <v>0</v>
      </c>
      <c r="BM49" s="67">
        <f>BL49*G49</f>
        <v>0</v>
      </c>
      <c r="BN49" s="66"/>
      <c r="BO49" s="31">
        <f>U49</f>
        <v>0</v>
      </c>
      <c r="BP49" s="65">
        <f>BO49*G49</f>
        <v>0</v>
      </c>
      <c r="BQ49" s="66"/>
      <c r="BR49" s="31">
        <f>W49</f>
        <v>0</v>
      </c>
      <c r="BS49" s="67">
        <f>BR49*G49</f>
        <v>0</v>
      </c>
      <c r="BT49" s="66"/>
      <c r="BU49" s="31">
        <f>Y49</f>
        <v>0</v>
      </c>
      <c r="BV49" s="65">
        <f>BU49*G49</f>
        <v>0</v>
      </c>
      <c r="BW49" s="66"/>
      <c r="BX49" s="31">
        <f>AA49</f>
        <v>0</v>
      </c>
      <c r="BY49" s="67">
        <f>BX49*G49</f>
        <v>0</v>
      </c>
      <c r="BZ49" s="66"/>
      <c r="CA49" s="31">
        <f>AC49</f>
        <v>0</v>
      </c>
      <c r="CB49" s="65">
        <f>CA49*G49</f>
        <v>0</v>
      </c>
      <c r="CC49" s="66"/>
      <c r="CD49" s="31">
        <f>AE49</f>
        <v>2</v>
      </c>
      <c r="CE49" s="67">
        <f>CD49*G49</f>
        <v>69.76</v>
      </c>
      <c r="CF49" s="66"/>
      <c r="CG49" s="34">
        <f>AG49</f>
        <v>0</v>
      </c>
      <c r="CH49" s="67">
        <f>CG49*G49</f>
        <v>0</v>
      </c>
      <c r="CI49" s="66"/>
      <c r="CJ49" s="34">
        <f>AI49</f>
        <v>0</v>
      </c>
      <c r="CK49" s="67">
        <f>CJ49*G49</f>
        <v>0</v>
      </c>
      <c r="CL49" s="66"/>
      <c r="CM49" s="34">
        <f>AK49</f>
        <v>0</v>
      </c>
      <c r="CN49" s="67">
        <f>CM49*G49</f>
        <v>0</v>
      </c>
      <c r="CO49" s="66"/>
      <c r="CP49" s="34">
        <f t="shared" si="0"/>
        <v>0</v>
      </c>
      <c r="CQ49" s="67">
        <f t="shared" si="1"/>
        <v>0</v>
      </c>
      <c r="CR49" s="66"/>
      <c r="CS49" s="34">
        <f>AO49</f>
        <v>3</v>
      </c>
      <c r="CT49" s="65">
        <f>CS49*G49</f>
        <v>104.64</v>
      </c>
      <c r="CU49" s="66"/>
      <c r="CV49" s="31">
        <f>AQ49</f>
        <v>2</v>
      </c>
      <c r="CW49" s="67">
        <f>CV49*G49</f>
        <v>69.76</v>
      </c>
      <c r="CX49" s="66"/>
      <c r="CY49" s="31">
        <f>AS49</f>
        <v>0</v>
      </c>
      <c r="CZ49" s="65">
        <f>CY49*G49</f>
        <v>0</v>
      </c>
      <c r="DA49" s="66"/>
      <c r="DB49" s="31">
        <f>AU49</f>
        <v>0</v>
      </c>
      <c r="DC49" s="67">
        <f>DB49*G49</f>
        <v>0</v>
      </c>
      <c r="DE49" s="76">
        <v>43</v>
      </c>
      <c r="DF49" s="42">
        <f>DE49*G49</f>
        <v>0</v>
      </c>
      <c r="DG49" s="69"/>
      <c r="DH49" s="42"/>
      <c r="DI49" s="70">
        <f>SUM(I49:AV49)</f>
        <v>7</v>
      </c>
      <c r="DJ49" s="42"/>
      <c r="DK49" s="70">
        <f>DE49+DG49-DI49</f>
        <v>36</v>
      </c>
      <c r="DL49" s="42"/>
      <c r="DM49" s="71">
        <f>E49*DK49</f>
        <v>1046.52</v>
      </c>
      <c r="DN49" s="42"/>
      <c r="DO49" s="72" t="e">
        <f t="shared" si="2"/>
        <v>#DIV/0!</v>
      </c>
      <c r="DP49" s="42"/>
      <c r="DQ49" s="71">
        <f>G49*DK49</f>
        <v>1255.68</v>
      </c>
      <c r="DR49" s="42"/>
      <c r="DS49" s="69"/>
      <c r="DT49" s="42"/>
      <c r="DU49" s="71">
        <v>0</v>
      </c>
      <c r="DV49" s="42"/>
      <c r="DW49" s="73">
        <f>DU49*1.2</f>
        <v>0</v>
      </c>
      <c r="DX49" s="42"/>
      <c r="DY49" s="71">
        <f>DU49*DS49</f>
        <v>0</v>
      </c>
    </row>
    <row r="50" ht="12.45" customHeight="1" spans="1:129" x14ac:dyDescent="0.25">
      <c r="A50" s="80" t="s">
        <v>95</v>
      </c>
      <c r="B50" s="42"/>
      <c r="C50" s="81"/>
      <c r="D50" s="44"/>
      <c r="E50" s="82">
        <v>23.55</v>
      </c>
      <c r="F50" s="44"/>
      <c r="G50" s="83">
        <v>28.26</v>
      </c>
      <c r="I50" s="62"/>
      <c r="J50" s="63"/>
      <c r="K50" s="64"/>
      <c r="L50" s="3"/>
      <c r="M50" s="62"/>
      <c r="N50" s="3"/>
      <c r="O50" s="64"/>
      <c r="P50" s="3"/>
      <c r="Q50" s="62"/>
      <c r="R50" s="3"/>
      <c r="S50" s="64"/>
      <c r="T50" s="3"/>
      <c r="U50" s="62"/>
      <c r="V50" s="3"/>
      <c r="W50" s="64"/>
      <c r="X50" s="3"/>
      <c r="Y50" s="62"/>
      <c r="Z50" s="3"/>
      <c r="AA50" s="64"/>
      <c r="AB50" s="3"/>
      <c r="AC50" s="62"/>
      <c r="AD50" s="3"/>
      <c r="AE50" s="64"/>
      <c r="AF50" s="3"/>
      <c r="AG50" s="62"/>
      <c r="AH50" s="3"/>
      <c r="AI50" s="64"/>
      <c r="AJ50" s="3"/>
      <c r="AK50" s="62"/>
      <c r="AL50" s="3"/>
      <c r="AM50" s="64"/>
      <c r="AN50" s="3"/>
      <c r="AO50" s="62">
        <v>3</v>
      </c>
      <c r="AP50" s="3"/>
      <c r="AQ50" s="64"/>
      <c r="AR50" s="3"/>
      <c r="AS50" s="62"/>
      <c r="AT50" s="3"/>
      <c r="AU50" s="64"/>
      <c r="AW50" s="34"/>
      <c r="AX50" s="65">
        <f>AW50*G50</f>
        <v>0</v>
      </c>
      <c r="AY50" s="66"/>
      <c r="AZ50" s="31">
        <f>K50</f>
        <v>0</v>
      </c>
      <c r="BA50" s="67">
        <f>AZ50*G50</f>
        <v>0</v>
      </c>
      <c r="BB50" s="66"/>
      <c r="BC50" s="31">
        <f>M50</f>
        <v>0</v>
      </c>
      <c r="BD50" s="65">
        <f>BC50*G50</f>
        <v>0</v>
      </c>
      <c r="BE50" s="66"/>
      <c r="BF50" s="31">
        <f>O50</f>
        <v>0</v>
      </c>
      <c r="BG50" s="67">
        <f>BF50*G50</f>
        <v>0</v>
      </c>
      <c r="BH50" s="66"/>
      <c r="BI50" s="31">
        <f>Q50</f>
        <v>0</v>
      </c>
      <c r="BJ50" s="65">
        <f>BI50*G50</f>
        <v>0</v>
      </c>
      <c r="BK50" s="66"/>
      <c r="BL50" s="31">
        <f>S50</f>
        <v>0</v>
      </c>
      <c r="BM50" s="67">
        <f>BL50*G50</f>
        <v>0</v>
      </c>
      <c r="BN50" s="66"/>
      <c r="BO50" s="31">
        <f>U50</f>
        <v>0</v>
      </c>
      <c r="BP50" s="65">
        <f>BO50*G50</f>
        <v>0</v>
      </c>
      <c r="BQ50" s="66"/>
      <c r="BR50" s="31">
        <f>W50</f>
        <v>0</v>
      </c>
      <c r="BS50" s="67">
        <f>BR50*G50</f>
        <v>0</v>
      </c>
      <c r="BT50" s="66"/>
      <c r="BU50" s="31">
        <f>Y50</f>
        <v>0</v>
      </c>
      <c r="BV50" s="65">
        <f>BU50*G50</f>
        <v>0</v>
      </c>
      <c r="BW50" s="66"/>
      <c r="BX50" s="31">
        <f>AA50</f>
        <v>0</v>
      </c>
      <c r="BY50" s="67">
        <f>BX50*G50</f>
        <v>0</v>
      </c>
      <c r="BZ50" s="66"/>
      <c r="CA50" s="31">
        <f>AC50</f>
        <v>0</v>
      </c>
      <c r="CB50" s="65">
        <f>CA50*G50</f>
        <v>0</v>
      </c>
      <c r="CC50" s="66"/>
      <c r="CD50" s="31">
        <f>AE50</f>
        <v>0</v>
      </c>
      <c r="CE50" s="67">
        <f>CD50*G50</f>
        <v>0</v>
      </c>
      <c r="CF50" s="66"/>
      <c r="CG50" s="34">
        <f>AG50</f>
        <v>0</v>
      </c>
      <c r="CH50" s="67">
        <f>CG50*G50</f>
        <v>0</v>
      </c>
      <c r="CI50" s="66"/>
      <c r="CJ50" s="34">
        <f>AI50</f>
        <v>0</v>
      </c>
      <c r="CK50" s="67">
        <f>CJ50*G50</f>
        <v>0</v>
      </c>
      <c r="CL50" s="66"/>
      <c r="CM50" s="34">
        <f>AK50</f>
        <v>0</v>
      </c>
      <c r="CN50" s="67">
        <f>CM50*G50</f>
        <v>0</v>
      </c>
      <c r="CO50" s="66"/>
      <c r="CP50" s="34">
        <f t="shared" si="0"/>
        <v>0</v>
      </c>
      <c r="CQ50" s="67">
        <f t="shared" si="1"/>
        <v>0</v>
      </c>
      <c r="CR50" s="66"/>
      <c r="CS50" s="34">
        <f>AO50</f>
        <v>3</v>
      </c>
      <c r="CT50" s="65">
        <f>CS50*G50</f>
        <v>84.78</v>
      </c>
      <c r="CU50" s="66"/>
      <c r="CV50" s="31">
        <f>AQ50</f>
        <v>0</v>
      </c>
      <c r="CW50" s="67">
        <f>CV50*G50</f>
        <v>0</v>
      </c>
      <c r="CX50" s="66"/>
      <c r="CY50" s="31">
        <f>AS50</f>
        <v>0</v>
      </c>
      <c r="CZ50" s="65">
        <f>CY50*G50</f>
        <v>0</v>
      </c>
      <c r="DA50" s="66"/>
      <c r="DB50" s="31">
        <f>AU50</f>
        <v>0</v>
      </c>
      <c r="DC50" s="67">
        <f>DB50*G50</f>
        <v>0</v>
      </c>
      <c r="DE50" s="76">
        <v>144</v>
      </c>
      <c r="DF50" s="42">
        <f>DE50*G50</f>
        <v>0</v>
      </c>
      <c r="DG50" s="69"/>
      <c r="DH50" s="42"/>
      <c r="DI50" s="70">
        <f>SUM(I50:AV50)</f>
        <v>3</v>
      </c>
      <c r="DJ50" s="42"/>
      <c r="DK50" s="70">
        <f>DE50+DG50-DI50</f>
        <v>141</v>
      </c>
      <c r="DL50" s="42"/>
      <c r="DM50" s="71">
        <f>E50*DK50</f>
        <v>3320.55</v>
      </c>
      <c r="DN50" s="42"/>
      <c r="DO50" s="72" t="e">
        <f t="shared" si="2"/>
        <v>#DIV/0!</v>
      </c>
      <c r="DP50" s="42"/>
      <c r="DQ50" s="71">
        <f>G50*DK50</f>
        <v>3984.66</v>
      </c>
      <c r="DR50" s="42"/>
      <c r="DS50" s="69"/>
      <c r="DT50" s="42"/>
      <c r="DU50" s="71">
        <v>0</v>
      </c>
      <c r="DV50" s="42"/>
      <c r="DW50" s="73">
        <f>DU50*1.2</f>
        <v>0</v>
      </c>
      <c r="DX50" s="42"/>
      <c r="DY50" s="71">
        <f>DU50*DS50</f>
        <v>0</v>
      </c>
    </row>
    <row r="51" ht="12.45" customHeight="1" spans="1:129" x14ac:dyDescent="0.25">
      <c r="A51" s="74" t="s">
        <v>96</v>
      </c>
      <c r="B51" s="42"/>
      <c r="C51" s="75"/>
      <c r="D51" s="44"/>
      <c r="E51" s="78">
        <v>27.55</v>
      </c>
      <c r="F51" s="44"/>
      <c r="G51" s="61">
        <v>33.06</v>
      </c>
      <c r="I51" s="62"/>
      <c r="J51" s="63"/>
      <c r="K51" s="64">
        <v>3</v>
      </c>
      <c r="L51" s="3"/>
      <c r="M51" s="62">
        <v>1</v>
      </c>
      <c r="N51" s="3"/>
      <c r="O51" s="64"/>
      <c r="P51" s="3"/>
      <c r="Q51" s="62"/>
      <c r="R51" s="3"/>
      <c r="S51" s="64"/>
      <c r="T51" s="3"/>
      <c r="U51" s="62">
        <v>3</v>
      </c>
      <c r="V51" s="3"/>
      <c r="W51" s="64">
        <v>2</v>
      </c>
      <c r="X51" s="3"/>
      <c r="Y51" s="62">
        <v>2</v>
      </c>
      <c r="Z51" s="3"/>
      <c r="AA51" s="64"/>
      <c r="AB51" s="3"/>
      <c r="AC51" s="62">
        <v>2</v>
      </c>
      <c r="AD51" s="3"/>
      <c r="AE51" s="64">
        <v>1</v>
      </c>
      <c r="AF51" s="3"/>
      <c r="AG51" s="62"/>
      <c r="AH51" s="3"/>
      <c r="AI51" s="64"/>
      <c r="AJ51" s="3"/>
      <c r="AK51" s="62"/>
      <c r="AL51" s="3"/>
      <c r="AM51" s="64"/>
      <c r="AN51" s="3"/>
      <c r="AO51" s="62"/>
      <c r="AP51" s="3"/>
      <c r="AQ51" s="64"/>
      <c r="AR51" s="3"/>
      <c r="AS51" s="62"/>
      <c r="AT51" s="3"/>
      <c r="AU51" s="64"/>
      <c r="AW51" s="34"/>
      <c r="AX51" s="65">
        <f>AW51*G51</f>
        <v>0</v>
      </c>
      <c r="AY51" s="66"/>
      <c r="AZ51" s="31">
        <f>K51</f>
        <v>3</v>
      </c>
      <c r="BA51" s="67">
        <f>AZ51*G51</f>
        <v>99.18</v>
      </c>
      <c r="BB51" s="66"/>
      <c r="BC51" s="31">
        <f>M51</f>
        <v>1</v>
      </c>
      <c r="BD51" s="65">
        <f>BC51*G51</f>
        <v>33.06</v>
      </c>
      <c r="BE51" s="66"/>
      <c r="BF51" s="31">
        <f>O51</f>
        <v>0</v>
      </c>
      <c r="BG51" s="67">
        <f>BF51*G51</f>
        <v>0</v>
      </c>
      <c r="BH51" s="66"/>
      <c r="BI51" s="31">
        <f>Q51</f>
        <v>0</v>
      </c>
      <c r="BJ51" s="65">
        <f>BI51*G51</f>
        <v>0</v>
      </c>
      <c r="BK51" s="66"/>
      <c r="BL51" s="31">
        <f>S51</f>
        <v>0</v>
      </c>
      <c r="BM51" s="67">
        <f>BL51*G51</f>
        <v>0</v>
      </c>
      <c r="BN51" s="66"/>
      <c r="BO51" s="31">
        <f>U51</f>
        <v>3</v>
      </c>
      <c r="BP51" s="65">
        <f>BO51*G51</f>
        <v>99.18</v>
      </c>
      <c r="BQ51" s="66"/>
      <c r="BR51" s="31">
        <f>W51</f>
        <v>2</v>
      </c>
      <c r="BS51" s="67">
        <f>BR51*G51</f>
        <v>66.12</v>
      </c>
      <c r="BT51" s="66"/>
      <c r="BU51" s="31">
        <f>Y51</f>
        <v>2</v>
      </c>
      <c r="BV51" s="65">
        <f>BU51*G51</f>
        <v>66.12</v>
      </c>
      <c r="BW51" s="66"/>
      <c r="BX51" s="31">
        <f>AA51</f>
        <v>0</v>
      </c>
      <c r="BY51" s="67">
        <f>BX51*G51</f>
        <v>0</v>
      </c>
      <c r="BZ51" s="66"/>
      <c r="CA51" s="31">
        <f>AC51</f>
        <v>2</v>
      </c>
      <c r="CB51" s="65">
        <f>CA51*G51</f>
        <v>66.12</v>
      </c>
      <c r="CC51" s="66"/>
      <c r="CD51" s="31">
        <f>AE51</f>
        <v>1</v>
      </c>
      <c r="CE51" s="67">
        <f>CD51*G51</f>
        <v>33.06</v>
      </c>
      <c r="CF51" s="66"/>
      <c r="CG51" s="34">
        <f>AG51</f>
        <v>0</v>
      </c>
      <c r="CH51" s="67">
        <f>CG51*G51</f>
        <v>0</v>
      </c>
      <c r="CI51" s="66"/>
      <c r="CJ51" s="34">
        <f>AI51</f>
        <v>0</v>
      </c>
      <c r="CK51" s="67">
        <f>CJ51*G51</f>
        <v>0</v>
      </c>
      <c r="CL51" s="66"/>
      <c r="CM51" s="34">
        <f>AK51</f>
        <v>0</v>
      </c>
      <c r="CN51" s="67">
        <f>CM51*G51</f>
        <v>0</v>
      </c>
      <c r="CO51" s="66"/>
      <c r="CP51" s="34">
        <f t="shared" si="0"/>
        <v>0</v>
      </c>
      <c r="CQ51" s="67">
        <f t="shared" si="1"/>
        <v>0</v>
      </c>
      <c r="CR51" s="66"/>
      <c r="CS51" s="34">
        <f>AO51</f>
        <v>0</v>
      </c>
      <c r="CT51" s="65">
        <f>CS51*G51</f>
        <v>0</v>
      </c>
      <c r="CU51" s="66"/>
      <c r="CV51" s="31">
        <f>AQ51</f>
        <v>0</v>
      </c>
      <c r="CW51" s="67">
        <f>CV51*G51</f>
        <v>0</v>
      </c>
      <c r="CX51" s="66"/>
      <c r="CY51" s="31">
        <f>AS51</f>
        <v>0</v>
      </c>
      <c r="CZ51" s="65">
        <f>CY51*G51</f>
        <v>0</v>
      </c>
      <c r="DA51" s="66"/>
      <c r="DB51" s="31">
        <f>AU51</f>
        <v>0</v>
      </c>
      <c r="DC51" s="67">
        <f>DB51*G51</f>
        <v>0</v>
      </c>
      <c r="DE51" s="76">
        <v>120</v>
      </c>
      <c r="DF51" s="42">
        <f>DE51*G51</f>
        <v>0</v>
      </c>
      <c r="DG51" s="69"/>
      <c r="DH51" s="42"/>
      <c r="DI51" s="70">
        <f>SUM(I51:AV51)</f>
        <v>14</v>
      </c>
      <c r="DJ51" s="42"/>
      <c r="DK51" s="70">
        <f>DE51+DG51-DI51</f>
        <v>106</v>
      </c>
      <c r="DL51" s="42"/>
      <c r="DM51" s="71">
        <f>E51*DK51</f>
        <v>2920.3</v>
      </c>
      <c r="DN51" s="42"/>
      <c r="DO51" s="72" t="e">
        <f t="shared" si="2"/>
        <v>#DIV/0!</v>
      </c>
      <c r="DP51" s="42"/>
      <c r="DQ51" s="71">
        <f>G51*DK51</f>
        <v>3504.36</v>
      </c>
      <c r="DR51" s="42"/>
      <c r="DS51" s="69"/>
      <c r="DT51" s="42"/>
      <c r="DU51" s="71">
        <v>0</v>
      </c>
      <c r="DV51" s="42"/>
      <c r="DW51" s="73">
        <f>DU51*1.2</f>
        <v>0</v>
      </c>
      <c r="DX51" s="42"/>
      <c r="DY51" s="71">
        <f>DU51*DS51</f>
        <v>0</v>
      </c>
    </row>
    <row r="52" ht="12.45" customHeight="1" spans="1:129" x14ac:dyDescent="0.25">
      <c r="A52" s="77" t="s">
        <v>97</v>
      </c>
      <c r="B52" s="42"/>
      <c r="C52" s="75"/>
      <c r="D52" s="44"/>
      <c r="E52" s="78">
        <v>20.46</v>
      </c>
      <c r="F52" s="44"/>
      <c r="G52" s="61">
        <v>24.55</v>
      </c>
      <c r="I52" s="62"/>
      <c r="J52" s="63"/>
      <c r="K52" s="64"/>
      <c r="L52" s="3"/>
      <c r="M52" s="62"/>
      <c r="N52" s="3"/>
      <c r="O52" s="64"/>
      <c r="P52" s="3"/>
      <c r="Q52" s="62"/>
      <c r="R52" s="3"/>
      <c r="S52" s="64"/>
      <c r="T52" s="3"/>
      <c r="U52" s="62"/>
      <c r="V52" s="3"/>
      <c r="W52" s="64"/>
      <c r="X52" s="3"/>
      <c r="Y52" s="62"/>
      <c r="Z52" s="3"/>
      <c r="AA52" s="64"/>
      <c r="AB52" s="3"/>
      <c r="AC52" s="62"/>
      <c r="AD52" s="3"/>
      <c r="AE52" s="64">
        <v>1</v>
      </c>
      <c r="AF52" s="3"/>
      <c r="AG52" s="62"/>
      <c r="AH52" s="3"/>
      <c r="AI52" s="64"/>
      <c r="AJ52" s="3"/>
      <c r="AK52" s="62"/>
      <c r="AL52" s="3"/>
      <c r="AM52" s="64"/>
      <c r="AN52" s="3"/>
      <c r="AO52" s="62"/>
      <c r="AP52" s="3"/>
      <c r="AQ52" s="64"/>
      <c r="AR52" s="3"/>
      <c r="AS52" s="62"/>
      <c r="AT52" s="3"/>
      <c r="AU52" s="64"/>
      <c r="AW52" s="34"/>
      <c r="AX52" s="65">
        <f>AW52*G52</f>
        <v>0</v>
      </c>
      <c r="AY52" s="66"/>
      <c r="AZ52" s="31">
        <f>K52</f>
        <v>0</v>
      </c>
      <c r="BA52" s="67">
        <f>AZ52*G52</f>
        <v>0</v>
      </c>
      <c r="BB52" s="66"/>
      <c r="BC52" s="31">
        <f>M52</f>
        <v>0</v>
      </c>
      <c r="BD52" s="65">
        <f>BC52*G52</f>
        <v>0</v>
      </c>
      <c r="BE52" s="66"/>
      <c r="BF52" s="31">
        <f>O52</f>
        <v>0</v>
      </c>
      <c r="BG52" s="67">
        <f>BF52*G52</f>
        <v>0</v>
      </c>
      <c r="BH52" s="66"/>
      <c r="BI52" s="31">
        <f>Q52</f>
        <v>0</v>
      </c>
      <c r="BJ52" s="65">
        <f>BI52*G52</f>
        <v>0</v>
      </c>
      <c r="BK52" s="66"/>
      <c r="BL52" s="31">
        <f>S52</f>
        <v>0</v>
      </c>
      <c r="BM52" s="67">
        <f>BL52*G52</f>
        <v>0</v>
      </c>
      <c r="BN52" s="66"/>
      <c r="BO52" s="31">
        <f>U52</f>
        <v>0</v>
      </c>
      <c r="BP52" s="65">
        <f>BO52*G52</f>
        <v>0</v>
      </c>
      <c r="BQ52" s="66"/>
      <c r="BR52" s="31">
        <f>W52</f>
        <v>0</v>
      </c>
      <c r="BS52" s="67">
        <f>BR52*G52</f>
        <v>0</v>
      </c>
      <c r="BT52" s="66"/>
      <c r="BU52" s="31">
        <f>Y52</f>
        <v>0</v>
      </c>
      <c r="BV52" s="65">
        <f>BU52*G52</f>
        <v>0</v>
      </c>
      <c r="BW52" s="66"/>
      <c r="BX52" s="31">
        <f>AA52</f>
        <v>0</v>
      </c>
      <c r="BY52" s="67">
        <f>BX52*G52</f>
        <v>0</v>
      </c>
      <c r="BZ52" s="66"/>
      <c r="CA52" s="31">
        <f>AC52</f>
        <v>0</v>
      </c>
      <c r="CB52" s="65">
        <f>CA52*G52</f>
        <v>0</v>
      </c>
      <c r="CC52" s="66"/>
      <c r="CD52" s="31">
        <f>AE52</f>
        <v>1</v>
      </c>
      <c r="CE52" s="67">
        <f>CD52*G52</f>
        <v>24.55</v>
      </c>
      <c r="CF52" s="66"/>
      <c r="CG52" s="34">
        <f>AG52</f>
        <v>0</v>
      </c>
      <c r="CH52" s="67">
        <f>CG52*G52</f>
        <v>0</v>
      </c>
      <c r="CI52" s="66"/>
      <c r="CJ52" s="34">
        <f>AI52</f>
        <v>0</v>
      </c>
      <c r="CK52" s="67">
        <f>CJ52*G52</f>
        <v>0</v>
      </c>
      <c r="CL52" s="66"/>
      <c r="CM52" s="34">
        <f>AK52</f>
        <v>0</v>
      </c>
      <c r="CN52" s="67">
        <f>CM52*G52</f>
        <v>0</v>
      </c>
      <c r="CO52" s="66"/>
      <c r="CP52" s="34">
        <f t="shared" si="0"/>
        <v>0</v>
      </c>
      <c r="CQ52" s="67">
        <f t="shared" si="1"/>
        <v>0</v>
      </c>
      <c r="CR52" s="66"/>
      <c r="CS52" s="34">
        <f>AO52</f>
        <v>0</v>
      </c>
      <c r="CT52" s="65">
        <f>CS52*G52</f>
        <v>0</v>
      </c>
      <c r="CU52" s="66"/>
      <c r="CV52" s="31">
        <f>AQ52</f>
        <v>0</v>
      </c>
      <c r="CW52" s="67">
        <f>CV52*G52</f>
        <v>0</v>
      </c>
      <c r="CX52" s="66"/>
      <c r="CY52" s="31">
        <f>AS52</f>
        <v>0</v>
      </c>
      <c r="CZ52" s="65">
        <f>CY52*G52</f>
        <v>0</v>
      </c>
      <c r="DA52" s="66"/>
      <c r="DB52" s="31">
        <f>AU52</f>
        <v>0</v>
      </c>
      <c r="DC52" s="67">
        <f>DB52*G52</f>
        <v>0</v>
      </c>
      <c r="DE52" s="76">
        <v>25</v>
      </c>
      <c r="DF52" s="42">
        <f>DE52*G52</f>
        <v>0</v>
      </c>
      <c r="DG52" s="69"/>
      <c r="DH52" s="42"/>
      <c r="DI52" s="70">
        <f>SUM(I52:AV52)</f>
        <v>1</v>
      </c>
      <c r="DJ52" s="42"/>
      <c r="DK52" s="70">
        <f>DE52+DG52-DI52</f>
        <v>24</v>
      </c>
      <c r="DL52" s="42"/>
      <c r="DM52" s="71">
        <f>E52*DK52</f>
        <v>491.04</v>
      </c>
      <c r="DN52" s="42"/>
      <c r="DO52" s="72" t="e">
        <f t="shared" si="2"/>
        <v>#DIV/0!</v>
      </c>
      <c r="DP52" s="42"/>
      <c r="DQ52" s="71">
        <f>G52*DK52</f>
        <v>589.2</v>
      </c>
      <c r="DR52" s="42"/>
      <c r="DS52" s="69"/>
      <c r="DT52" s="42"/>
      <c r="DU52" s="71">
        <v>0</v>
      </c>
      <c r="DV52" s="42"/>
      <c r="DW52" s="73">
        <f>DU52*1.2</f>
        <v>0</v>
      </c>
      <c r="DX52" s="42"/>
      <c r="DY52" s="71">
        <f>DU52*DS52</f>
        <v>0</v>
      </c>
    </row>
    <row r="53" ht="12.45" customHeight="1" spans="1:129" x14ac:dyDescent="0.25">
      <c r="A53" s="84" t="s">
        <v>98</v>
      </c>
      <c r="B53" s="42"/>
      <c r="C53" s="81"/>
      <c r="D53" s="44"/>
      <c r="E53" s="82">
        <v>20</v>
      </c>
      <c r="F53" s="44"/>
      <c r="G53" s="83">
        <v>24</v>
      </c>
      <c r="I53" s="62"/>
      <c r="J53" s="63"/>
      <c r="K53" s="64"/>
      <c r="L53" s="3"/>
      <c r="M53" s="62"/>
      <c r="N53" s="3"/>
      <c r="O53" s="64"/>
      <c r="P53" s="3"/>
      <c r="Q53" s="62"/>
      <c r="R53" s="3"/>
      <c r="S53" s="64"/>
      <c r="T53" s="3"/>
      <c r="U53" s="62"/>
      <c r="V53" s="3"/>
      <c r="W53" s="64"/>
      <c r="X53" s="3"/>
      <c r="Y53" s="62"/>
      <c r="Z53" s="3"/>
      <c r="AA53" s="64"/>
      <c r="AB53" s="3"/>
      <c r="AC53" s="62"/>
      <c r="AD53" s="3"/>
      <c r="AE53" s="64"/>
      <c r="AF53" s="3"/>
      <c r="AG53" s="62"/>
      <c r="AH53" s="3"/>
      <c r="AI53" s="64"/>
      <c r="AJ53" s="3"/>
      <c r="AK53" s="62"/>
      <c r="AL53" s="3"/>
      <c r="AM53" s="64"/>
      <c r="AN53" s="3"/>
      <c r="AO53" s="62"/>
      <c r="AP53" s="3"/>
      <c r="AQ53" s="64"/>
      <c r="AR53" s="3"/>
      <c r="AS53" s="62"/>
      <c r="AT53" s="3"/>
      <c r="AU53" s="64"/>
      <c r="AW53" s="34"/>
      <c r="AX53" s="65">
        <f>AW53*G53</f>
        <v>0</v>
      </c>
      <c r="AY53" s="66"/>
      <c r="AZ53" s="31">
        <f>K53</f>
        <v>0</v>
      </c>
      <c r="BA53" s="67">
        <f>AZ53*G53</f>
        <v>0</v>
      </c>
      <c r="BB53" s="66"/>
      <c r="BC53" s="31">
        <f>M53</f>
        <v>0</v>
      </c>
      <c r="BD53" s="65">
        <f>BC53*G53</f>
        <v>0</v>
      </c>
      <c r="BE53" s="66"/>
      <c r="BF53" s="31">
        <f>O53</f>
        <v>0</v>
      </c>
      <c r="BG53" s="67">
        <f>BF53*G53</f>
        <v>0</v>
      </c>
      <c r="BH53" s="66"/>
      <c r="BI53" s="31">
        <f>Q53</f>
        <v>0</v>
      </c>
      <c r="BJ53" s="65">
        <f>BI53*G53</f>
        <v>0</v>
      </c>
      <c r="BK53" s="66"/>
      <c r="BL53" s="31">
        <f>S53</f>
        <v>0</v>
      </c>
      <c r="BM53" s="67">
        <f>BL53*G53</f>
        <v>0</v>
      </c>
      <c r="BN53" s="66"/>
      <c r="BO53" s="31">
        <f>U53</f>
        <v>0</v>
      </c>
      <c r="BP53" s="65">
        <f>BO53*G53</f>
        <v>0</v>
      </c>
      <c r="BQ53" s="66"/>
      <c r="BR53" s="31">
        <f>W53</f>
        <v>0</v>
      </c>
      <c r="BS53" s="67">
        <f>BR53*G53</f>
        <v>0</v>
      </c>
      <c r="BT53" s="66"/>
      <c r="BU53" s="31">
        <f>Y53</f>
        <v>0</v>
      </c>
      <c r="BV53" s="65">
        <f>BU53*G53</f>
        <v>0</v>
      </c>
      <c r="BW53" s="66"/>
      <c r="BX53" s="31">
        <f>AA53</f>
        <v>0</v>
      </c>
      <c r="BY53" s="67">
        <f>BX53*G53</f>
        <v>0</v>
      </c>
      <c r="BZ53" s="66"/>
      <c r="CA53" s="31">
        <f>AC53</f>
        <v>0</v>
      </c>
      <c r="CB53" s="65">
        <f>CA53*G53</f>
        <v>0</v>
      </c>
      <c r="CC53" s="66"/>
      <c r="CD53" s="31">
        <f>AE53</f>
        <v>0</v>
      </c>
      <c r="CE53" s="67">
        <f>CD53*G53</f>
        <v>0</v>
      </c>
      <c r="CF53" s="66"/>
      <c r="CG53" s="34">
        <f>AG53</f>
        <v>0</v>
      </c>
      <c r="CH53" s="67">
        <f>CG53*G53</f>
        <v>0</v>
      </c>
      <c r="CI53" s="66"/>
      <c r="CJ53" s="34">
        <f>AI53</f>
        <v>0</v>
      </c>
      <c r="CK53" s="67">
        <f>CJ53*G53</f>
        <v>0</v>
      </c>
      <c r="CL53" s="66"/>
      <c r="CM53" s="34">
        <f>AK53</f>
        <v>0</v>
      </c>
      <c r="CN53" s="67">
        <f>CM53*G53</f>
        <v>0</v>
      </c>
      <c r="CO53" s="66"/>
      <c r="CP53" s="34">
        <f t="shared" si="0"/>
        <v>0</v>
      </c>
      <c r="CQ53" s="67">
        <f t="shared" si="1"/>
        <v>0</v>
      </c>
      <c r="CR53" s="66"/>
      <c r="CS53" s="34">
        <f>AO53</f>
        <v>0</v>
      </c>
      <c r="CT53" s="65">
        <f>CS53*G53</f>
        <v>0</v>
      </c>
      <c r="CU53" s="66"/>
      <c r="CV53" s="31">
        <f>AQ53</f>
        <v>0</v>
      </c>
      <c r="CW53" s="67">
        <f>CV53*G53</f>
        <v>0</v>
      </c>
      <c r="CX53" s="66"/>
      <c r="CY53" s="31">
        <f>AS53</f>
        <v>0</v>
      </c>
      <c r="CZ53" s="65">
        <f>CY53*G53</f>
        <v>0</v>
      </c>
      <c r="DA53" s="66"/>
      <c r="DB53" s="31">
        <f>AU53</f>
        <v>0</v>
      </c>
      <c r="DC53" s="67">
        <f>DB53*G53</f>
        <v>0</v>
      </c>
      <c r="DE53" s="76">
        <v>18</v>
      </c>
      <c r="DF53" s="42">
        <f>DE53*G53</f>
        <v>0</v>
      </c>
      <c r="DG53" s="69"/>
      <c r="DH53" s="42"/>
      <c r="DI53" s="70">
        <f>SUM(I53:AV53)</f>
        <v>0</v>
      </c>
      <c r="DJ53" s="42"/>
      <c r="DK53" s="70">
        <f>DE53+DG53-DI53</f>
        <v>18</v>
      </c>
      <c r="DL53" s="42"/>
      <c r="DM53" s="71">
        <f>E53*DK53</f>
        <v>360</v>
      </c>
      <c r="DN53" s="42"/>
      <c r="DO53" s="72" t="e">
        <f t="shared" si="2"/>
        <v>#DIV/0!</v>
      </c>
      <c r="DP53" s="42"/>
      <c r="DQ53" s="71">
        <f>G53*DK53</f>
        <v>432</v>
      </c>
      <c r="DR53" s="42"/>
      <c r="DS53" s="69"/>
      <c r="DT53" s="42"/>
      <c r="DU53" s="71">
        <v>0</v>
      </c>
      <c r="DV53" s="42"/>
      <c r="DW53" s="73">
        <f>DU53*1.2</f>
        <v>0</v>
      </c>
      <c r="DX53" s="42"/>
      <c r="DY53" s="71">
        <f>DU53*DS53</f>
        <v>0</v>
      </c>
    </row>
    <row r="54" ht="12.45" customHeight="1" spans="1:129" x14ac:dyDescent="0.25">
      <c r="A54" s="85" t="s">
        <v>99</v>
      </c>
      <c r="B54" s="27"/>
      <c r="C54" s="86"/>
      <c r="D54" s="29"/>
      <c r="E54" s="87"/>
      <c r="F54" s="29"/>
      <c r="G54" s="86"/>
      <c r="H54" s="8"/>
      <c r="I54" s="88">
        <f>SUM(I2:I53)</f>
        <v>18</v>
      </c>
      <c r="J54" s="8"/>
      <c r="K54" s="89">
        <f>SUM(K2:K53)</f>
        <v>50</v>
      </c>
      <c r="L54" s="8"/>
      <c r="M54" s="88">
        <f>SUM(M2:M53)</f>
        <v>38</v>
      </c>
      <c r="N54" s="8"/>
      <c r="O54" s="89">
        <f>SUM(O2:O53)</f>
        <v>38</v>
      </c>
      <c r="P54" s="8"/>
      <c r="Q54" s="88">
        <f>SUM(Q2:Q53)</f>
        <v>18</v>
      </c>
      <c r="R54" s="8"/>
      <c r="S54" s="89">
        <f>SUM(S2:S53)</f>
        <v>22</v>
      </c>
      <c r="T54" s="8"/>
      <c r="U54" s="88">
        <f>SUM(U2:U53)</f>
        <v>27</v>
      </c>
      <c r="V54" s="8"/>
      <c r="W54" s="89">
        <f>SUM(W2:W53)</f>
        <v>34</v>
      </c>
      <c r="X54" s="8"/>
      <c r="Y54" s="88">
        <f>SUM(Y2:Y53)</f>
        <v>32</v>
      </c>
      <c r="Z54" s="8"/>
      <c r="AA54" s="89">
        <f>SUM(AA2:AA53)</f>
        <v>16</v>
      </c>
      <c r="AB54" s="8"/>
      <c r="AC54" s="88">
        <f>SUM(AC2:AC53)</f>
        <v>30</v>
      </c>
      <c r="AD54" s="8"/>
      <c r="AE54" s="89">
        <f>SUM(AE2:AE53)</f>
        <v>70</v>
      </c>
      <c r="AF54" s="8"/>
      <c r="AG54" s="88">
        <f>SUM(AG2:AG53)</f>
        <v>0</v>
      </c>
      <c r="AH54" s="8"/>
      <c r="AI54" s="89">
        <f>SUM(AI2:AI53)</f>
        <v>0</v>
      </c>
      <c r="AJ54" s="8"/>
      <c r="AK54" s="88">
        <f>SUM(AK2:AK53)</f>
        <v>0</v>
      </c>
      <c r="AL54" s="8"/>
      <c r="AM54" s="89">
        <f>SUM(AM2:AM53)</f>
        <v>0</v>
      </c>
      <c r="AN54" s="8"/>
      <c r="AO54" s="88">
        <f>SUM(AO2:AO53)</f>
        <v>21</v>
      </c>
      <c r="AP54" s="8"/>
      <c r="AQ54" s="89">
        <f>SUM(AQ2:AQ53)</f>
        <v>7</v>
      </c>
      <c r="AR54" s="8"/>
      <c r="AS54" s="88">
        <f>SUM(AS2:AS53)</f>
        <v>0</v>
      </c>
      <c r="AT54" s="8"/>
      <c r="AU54" s="89">
        <f>SUM(AU2:AU53)</f>
        <v>0</v>
      </c>
      <c r="AV54" s="8"/>
      <c r="AW54" s="90">
        <f>SUM(AW2:AW53)</f>
        <v>0</v>
      </c>
      <c r="AX54" s="91">
        <f>SUM(AX2:AX53)</f>
        <v>576.9599999999998</v>
      </c>
      <c r="AY54" s="33"/>
      <c r="AZ54" s="90">
        <f>SUM(AZ1:AZ53)</f>
        <v>41</v>
      </c>
      <c r="BA54" s="91">
        <f>SUM(BA2:BA53)</f>
        <v>1262.5</v>
      </c>
      <c r="BB54" s="33"/>
      <c r="BC54" s="90">
        <f>SUM(BC1:BC53)</f>
        <v>28</v>
      </c>
      <c r="BD54" s="91">
        <f>SUM(BD2:BD53)</f>
        <v>950.67</v>
      </c>
      <c r="BE54" s="33"/>
      <c r="BF54" s="90">
        <f>SUM(BF1:BF53)</f>
        <v>42</v>
      </c>
      <c r="BG54" s="91">
        <f>SUM(BG2:BG53)</f>
        <v>1299.25</v>
      </c>
      <c r="BH54" s="33"/>
      <c r="BI54" s="90">
        <f>SUM(BI1:BI53)</f>
        <v>20</v>
      </c>
      <c r="BJ54" s="91">
        <f>SUM(BJ2:BJ53)</f>
        <v>665.97</v>
      </c>
      <c r="BK54" s="33"/>
      <c r="BL54" s="90">
        <f>SUM(BL1:BL53)</f>
        <v>21</v>
      </c>
      <c r="BM54" s="91">
        <f>SUM(BM2:BM53)</f>
        <v>644.56</v>
      </c>
      <c r="BN54" s="33"/>
      <c r="BO54" s="90">
        <f>SUM(BO1:BO53)</f>
        <v>24</v>
      </c>
      <c r="BP54" s="92">
        <f>SUM(BP2:BP53)</f>
        <v>692.8699999999999</v>
      </c>
      <c r="BQ54" s="33"/>
      <c r="BR54" s="90">
        <f>SUM(BR1:BR53)</f>
        <v>36</v>
      </c>
      <c r="BS54" s="91">
        <f>SUM(BS2:BS53)</f>
        <v>1101.5599999999997</v>
      </c>
      <c r="BT54" s="33"/>
      <c r="BU54" s="90">
        <f>SUM(BU1:BU53)</f>
        <v>26</v>
      </c>
      <c r="BV54" s="91">
        <f>SUM(BV2:BV53)</f>
        <v>898.5600000000001</v>
      </c>
      <c r="BW54" s="33"/>
      <c r="BX54" s="90">
        <f>SUM(BX1:BX53)</f>
        <v>21</v>
      </c>
      <c r="BY54" s="91">
        <f>SUM(BY2:BY53)</f>
        <v>630.82</v>
      </c>
      <c r="BZ54" s="33"/>
      <c r="CA54" s="90">
        <f>SUM(CA1:CA53)</f>
        <v>19</v>
      </c>
      <c r="CB54" s="91">
        <f>SUM(CB2:CB53)</f>
        <v>610.35</v>
      </c>
      <c r="CC54" s="33"/>
      <c r="CD54" s="90">
        <f>SUM(CD1:CD53)</f>
        <v>0</v>
      </c>
      <c r="CE54" s="91">
        <f>SUM(CE2:CE53)</f>
        <v>0</v>
      </c>
      <c r="CF54" s="33"/>
      <c r="CG54" s="90">
        <f>SUM(CG1:CG53)</f>
        <v>0</v>
      </c>
      <c r="CH54" s="91">
        <f>SUM(CH2:CH53)</f>
        <v>0</v>
      </c>
      <c r="CI54" s="33"/>
      <c r="CJ54" s="90">
        <f>SUM(CJ1:CJ53)</f>
        <v>0</v>
      </c>
      <c r="CK54" s="91">
        <f>SUM(CK2:CK53)</f>
        <v>0</v>
      </c>
      <c r="CL54" s="33"/>
      <c r="CM54" s="90">
        <f>SUM(CM1:CM53)</f>
        <v>0</v>
      </c>
      <c r="CN54" s="91">
        <f>SUM(CN2:CN53)</f>
        <v>0</v>
      </c>
      <c r="CO54" s="33"/>
      <c r="CP54" s="90">
        <f>SUM(CP1:CP53)</f>
        <v>0</v>
      </c>
      <c r="CQ54" s="91">
        <f>SUM(CQ2:CQ53)</f>
        <v>0</v>
      </c>
      <c r="CR54" s="33"/>
      <c r="CS54" s="90">
        <f>SUM(CS1:CS53)</f>
        <v>0</v>
      </c>
      <c r="CT54" s="91">
        <f>SUM(CT2:CT53)</f>
        <v>0</v>
      </c>
      <c r="CU54" s="33"/>
      <c r="CV54" s="90">
        <f>SUM(CV1:CV53)</f>
        <v>0</v>
      </c>
      <c r="CW54" s="91">
        <f>SUM(CW2:CW53)</f>
        <v>0</v>
      </c>
      <c r="CX54" s="33"/>
      <c r="CY54" s="90">
        <f>SUM(CY1:CY53)</f>
        <v>0</v>
      </c>
      <c r="CZ54" s="91">
        <f>SUM(CZ2:CZ53)</f>
        <v>0</v>
      </c>
      <c r="DA54" s="33"/>
      <c r="DB54" s="90">
        <f>SUM(DB1:DB53)</f>
        <v>0</v>
      </c>
      <c r="DC54" s="91">
        <f>SUM(DC2:DC53)</f>
        <v>0</v>
      </c>
      <c r="DD54" s="8"/>
      <c r="DE54" s="93">
        <f>SUM(DE2:DE53)</f>
        <v>8275</v>
      </c>
      <c r="DF54" s="27"/>
      <c r="DG54" s="94">
        <f>SUM(DG2:DG53)</f>
        <v>0</v>
      </c>
      <c r="DH54" s="27"/>
      <c r="DI54" s="94">
        <f>SUM(DI2:DI53)</f>
        <v>NaN</v>
      </c>
      <c r="DJ54" s="27"/>
      <c r="DK54" s="94">
        <f>SUM(DK2:DK53)</f>
        <v>NaN</v>
      </c>
      <c r="DL54" s="27"/>
      <c r="DM54" s="95">
        <f>SUM(DM2:DM53)</f>
        <v>NaN</v>
      </c>
      <c r="DN54" s="27"/>
      <c r="DO54" s="96">
        <f>DM54+DY54</f>
        <v>0</v>
      </c>
      <c r="DP54" s="27"/>
      <c r="DQ54" s="95">
        <f>SUM(DQ2:DQ53)</f>
        <v>NaN</v>
      </c>
      <c r="DR54" s="27"/>
      <c r="DS54" s="97"/>
      <c r="DT54" s="27"/>
      <c r="DU54" s="98"/>
      <c r="DV54" s="27"/>
      <c r="DW54" s="99"/>
      <c r="DX54" s="27"/>
      <c r="DY54" s="100">
        <f>SUM(DY2:DY53)</f>
        <v>NaN</v>
      </c>
    </row>
    <row r="55" ht="12.45" customHeight="1" spans="3:128" x14ac:dyDescent="0.25">
      <c r="C55" s="4"/>
      <c r="E55" s="101"/>
      <c r="DM55" s="6"/>
      <c r="DN55" s="102">
        <f>AX54+BA54+BD54+BG54+BJ54+BM54+BP54+BS54+BV54+BY54+CB54+CT54+CW54+CZ54+DC54</f>
        <v>14431.88</v>
      </c>
      <c r="DO55" s="102"/>
      <c r="DP55" s="6"/>
      <c r="DQ55" s="6"/>
      <c r="DR55" s="6"/>
      <c r="DT55" s="6"/>
      <c r="DV55" s="6"/>
      <c r="DX55" s="6"/>
    </row>
  </sheetData>
  <mergeCells count="22">
    <mergeCell ref="AW1:AX1"/>
    <mergeCell ref="AZ1:BA1"/>
    <mergeCell ref="BC1:BD1"/>
    <mergeCell ref="BF1:BG1"/>
    <mergeCell ref="BI1:BJ1"/>
    <mergeCell ref="BL1:BM1"/>
    <mergeCell ref="BO1:BP1"/>
    <mergeCell ref="BR1:BS1"/>
    <mergeCell ref="BU1:BV1"/>
    <mergeCell ref="BX1:BY1"/>
    <mergeCell ref="CA1:CB1"/>
    <mergeCell ref="CD1:CE1"/>
    <mergeCell ref="CG1:CH1"/>
    <mergeCell ref="CJ1:CK1"/>
    <mergeCell ref="CM1:CN1"/>
    <mergeCell ref="CP1:CQ1"/>
    <mergeCell ref="CS1:CT1"/>
    <mergeCell ref="CV1:CW1"/>
    <mergeCell ref="CY1:CZ1"/>
    <mergeCell ref="DB1:DC1"/>
    <mergeCell ref="DS1:DY3"/>
    <mergeCell ref="DN55:DO5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55"/>
  <sheetViews>
    <sheetView workbookViewId="0" zoomScale="65" zoomScaleNormal="72">
      <pane xSplit="1" topLeftCell="BB1" activePane="topRight" state="frozen"/>
      <selection pane="topRight" activeCell="DK13" sqref="DK13"/>
    </sheetView>
  </sheetViews>
  <sheetFormatPr defaultRowHeight="13.8" outlineLevelRow="0" outlineLevelCol="0" x14ac:dyDescent="0.3" defaultColWidth="9.109375" customHeight="1"/>
  <cols>
    <col min="1" max="1" width="30.77734375" style="1" customWidth="1"/>
    <col min="2" max="2" width="3.33203125" style="2" customWidth="1"/>
    <col min="3" max="3" width="14.77734375" style="1" customWidth="1"/>
    <col min="4" max="4" width="3.33203125" style="3" customWidth="1"/>
    <col min="5" max="5" width="14.77734375" style="4" customWidth="1"/>
    <col min="6" max="6" width="3.33203125" style="3" customWidth="1"/>
    <col min="7" max="7" width="14.77734375" style="4" customWidth="1"/>
    <col min="8" max="8" width="3.33203125" style="2" customWidth="1"/>
    <col min="9" max="9" width="7.77734375" style="5" customWidth="1"/>
    <col min="10" max="10" width="3.33203125" style="2" customWidth="1"/>
    <col min="11" max="11" width="7.77734375" style="5" customWidth="1"/>
    <col min="12" max="12" width="3.33203125" style="2" customWidth="1"/>
    <col min="13" max="13" width="7.77734375" style="5" customWidth="1"/>
    <col min="14" max="14" width="3.33203125" style="2" customWidth="1"/>
    <col min="15" max="15" width="7.77734375" style="5" customWidth="1"/>
    <col min="16" max="16" width="3.33203125" style="2" customWidth="1"/>
    <col min="17" max="17" width="7.77734375" style="5" customWidth="1"/>
    <col min="18" max="18" width="3.33203125" style="2" customWidth="1"/>
    <col min="19" max="19" width="7.77734375" style="5" customWidth="1"/>
    <col min="20" max="20" width="3.33203125" style="2" customWidth="1"/>
    <col min="21" max="21" width="7.77734375" style="5" customWidth="1"/>
    <col min="22" max="22" width="3.33203125" style="2" customWidth="1"/>
    <col min="23" max="23" width="7.77734375" style="5" customWidth="1"/>
    <col min="24" max="24" width="3.33203125" style="2" customWidth="1"/>
    <col min="25" max="25" width="7.77734375" style="5" customWidth="1"/>
    <col min="26" max="26" width="3.33203125" style="2" customWidth="1"/>
    <col min="27" max="27" width="7.77734375" style="5" customWidth="1"/>
    <col min="28" max="28" width="3.33203125" style="2" customWidth="1"/>
    <col min="29" max="29" width="7.77734375" style="5" customWidth="1"/>
    <col min="30" max="30" width="3.33203125" style="2" hidden="1" customWidth="1"/>
    <col min="31" max="31" width="7.77734375" style="5" hidden="1" customWidth="1"/>
    <col min="32" max="32" width="3.33203125" style="2" hidden="1" customWidth="1"/>
    <col min="33" max="33" width="7.77734375" style="5" hidden="1" customWidth="1"/>
    <col min="34" max="34" width="3.33203125" style="2" hidden="1" customWidth="1"/>
    <col min="35" max="35" width="7.77734375" style="5" hidden="1" customWidth="1"/>
    <col min="36" max="36" width="3.33203125" style="2" hidden="1" customWidth="1"/>
    <col min="37" max="37" width="7.77734375" style="5" hidden="1" customWidth="1"/>
    <col min="38" max="38" width="3.33203125" style="2" hidden="1" customWidth="1"/>
    <col min="39" max="39" width="7.77734375" style="5" hidden="1" customWidth="1"/>
    <col min="40" max="40" width="3.33203125" style="2" customWidth="1"/>
    <col min="41" max="41" width="7.77734375" style="5" customWidth="1"/>
    <col min="42" max="42" width="3.33203125" style="2" customWidth="1"/>
    <col min="43" max="43" width="7.77734375" style="5" customWidth="1"/>
    <col min="44" max="44" width="3.33203125" style="2" customWidth="1"/>
    <col min="45" max="45" width="7.77734375" style="5" customWidth="1"/>
    <col min="46" max="46" width="3.33203125" style="2" customWidth="1"/>
    <col min="47" max="47" width="7.77734375" style="5" customWidth="1"/>
    <col min="48" max="48" width="3.33203125" style="2" customWidth="1"/>
    <col min="49" max="49" width="3.77734375" style="2" customWidth="1"/>
    <col min="50" max="50" width="8.77734375" style="5" customWidth="1"/>
    <col min="51" max="51" width="3.33203125" style="2" customWidth="1"/>
    <col min="52" max="52" width="3.77734375" style="2" customWidth="1"/>
    <col min="53" max="53" width="8.77734375" style="5" customWidth="1"/>
    <col min="54" max="54" width="3.33203125" style="2" customWidth="1"/>
    <col min="55" max="55" width="3.77734375" style="2" customWidth="1"/>
    <col min="56" max="56" width="8.77734375" style="5" customWidth="1"/>
    <col min="57" max="57" width="3.33203125" style="2" customWidth="1"/>
    <col min="58" max="58" width="3.77734375" style="2" customWidth="1"/>
    <col min="59" max="59" width="8.77734375" style="5" customWidth="1"/>
    <col min="60" max="60" width="3.33203125" style="2" customWidth="1"/>
    <col min="61" max="61" width="3.77734375" style="2" customWidth="1"/>
    <col min="62" max="62" width="8.77734375" style="5" customWidth="1"/>
    <col min="63" max="63" width="3.33203125" style="2" customWidth="1"/>
    <col min="64" max="64" width="3.77734375" style="2" customWidth="1"/>
    <col min="65" max="65" width="8.77734375" style="5" customWidth="1"/>
    <col min="66" max="66" width="3.33203125" style="2" customWidth="1"/>
    <col min="67" max="67" width="3.77734375" style="2" customWidth="1"/>
    <col min="68" max="68" width="8.77734375" style="5" customWidth="1"/>
    <col min="69" max="69" width="3.33203125" style="2" customWidth="1"/>
    <col min="70" max="70" width="3.77734375" style="2" customWidth="1"/>
    <col min="71" max="71" width="8.77734375" style="5" customWidth="1"/>
    <col min="72" max="72" width="3.33203125" style="2" customWidth="1"/>
    <col min="73" max="73" width="3.77734375" style="2" customWidth="1"/>
    <col min="74" max="74" width="8.77734375" style="5" customWidth="1"/>
    <col min="75" max="75" width="3.33203125" style="2" customWidth="1"/>
    <col min="76" max="76" width="3.77734375" style="2" customWidth="1"/>
    <col min="77" max="77" width="8.77734375" style="5" customWidth="1"/>
    <col min="78" max="78" width="3.33203125" style="2" customWidth="1"/>
    <col min="79" max="79" width="3.77734375" style="2" customWidth="1"/>
    <col min="80" max="80" width="8.77734375" style="5" customWidth="1"/>
    <col min="81" max="81" width="3.33203125" style="2" hidden="1" customWidth="1"/>
    <col min="82" max="82" width="3.77734375" style="2" hidden="1" customWidth="1"/>
    <col min="83" max="83" width="8.77734375" style="5" hidden="1" customWidth="1"/>
    <col min="84" max="84" width="3.33203125" style="2" hidden="1" customWidth="1"/>
    <col min="85" max="85" width="3.77734375" style="2" hidden="1" customWidth="1"/>
    <col min="86" max="86" width="8.77734375" style="5" hidden="1" customWidth="1"/>
    <col min="87" max="87" width="3.33203125" style="2" hidden="1" customWidth="1"/>
    <col min="88" max="88" width="3.77734375" style="2" hidden="1" customWidth="1"/>
    <col min="89" max="89" width="8.77734375" style="5" hidden="1" customWidth="1"/>
    <col min="90" max="90" width="3.33203125" style="2" hidden="1" customWidth="1"/>
    <col min="91" max="91" width="3.77734375" style="2" hidden="1" customWidth="1"/>
    <col min="92" max="92" width="8.77734375" style="5" hidden="1" customWidth="1"/>
    <col min="93" max="93" width="3.33203125" style="2" hidden="1" customWidth="1"/>
    <col min="94" max="94" width="3.77734375" style="2" hidden="1" customWidth="1"/>
    <col min="95" max="95" width="8.77734375" style="5" hidden="1" customWidth="1"/>
    <col min="96" max="96" width="3.33203125" style="2" customWidth="1"/>
    <col min="97" max="97" width="3.77734375" style="2" customWidth="1"/>
    <col min="98" max="98" width="8.77734375" style="5" customWidth="1"/>
    <col min="99" max="99" width="3.33203125" style="2" customWidth="1"/>
    <col min="100" max="100" width="3.77734375" style="2" customWidth="1"/>
    <col min="101" max="101" width="8.77734375" style="5" customWidth="1"/>
    <col min="102" max="102" width="3.33203125" style="2" customWidth="1"/>
    <col min="103" max="103" width="3.77734375" style="2" customWidth="1"/>
    <col min="104" max="104" width="8.77734375" style="5" customWidth="1"/>
    <col min="105" max="105" width="3.33203125" style="2" customWidth="1"/>
    <col min="106" max="106" width="3.77734375" style="2" customWidth="1"/>
    <col min="107" max="107" width="8.77734375" style="5" customWidth="1"/>
    <col min="108" max="108" width="3.33203125" style="2" customWidth="1"/>
    <col min="109" max="109" width="11.77734375" style="6" customWidth="1"/>
    <col min="110" max="110" width="3.33203125" style="2" customWidth="1"/>
    <col min="111" max="111" width="11.77734375" style="6" customWidth="1"/>
    <col min="112" max="112" width="3.33203125" style="2" customWidth="1"/>
    <col min="113" max="113" width="11.77734375" style="6" customWidth="1"/>
    <col min="114" max="114" width="3.33203125" style="2" customWidth="1"/>
    <col min="115" max="115" width="11.77734375" style="6" customWidth="1"/>
    <col min="116" max="116" width="3.33203125" style="2" customWidth="1"/>
    <col min="117" max="117" width="13.77734375" style="7" customWidth="1"/>
    <col min="118" max="118" width="3.33203125" style="2" customWidth="1"/>
    <col min="119" max="119" width="13.77734375" style="8" customWidth="1"/>
    <col min="120" max="120" width="3.33203125" style="2" customWidth="1"/>
    <col min="121" max="121" width="13.77734375" style="7" customWidth="1"/>
    <col min="122" max="122" width="3.33203125" style="2" customWidth="1"/>
    <col min="123" max="123" width="7.88671875" style="6" customWidth="1"/>
    <col min="124" max="124" width="3.33203125" style="2" customWidth="1"/>
    <col min="125" max="125" width="7.88671875" style="6" customWidth="1"/>
    <col min="126" max="126" width="3.33203125" style="2" customWidth="1"/>
    <col min="127" max="127" width="13.77734375" style="6" customWidth="1"/>
    <col min="128" max="128" width="3.33203125" style="2" customWidth="1"/>
    <col min="129" max="129" width="13.77734375" style="6" customWidth="1"/>
    <col min="130" max="16384" width="9.109375" style="2" customWidth="1"/>
  </cols>
  <sheetData>
    <row r="1" ht="18" customHeight="1" spans="1:129" s="1" customFormat="1" x14ac:dyDescent="0.25">
      <c r="A1" s="9" t="s">
        <v>0</v>
      </c>
      <c r="B1" s="10"/>
      <c r="C1" s="11" t="s">
        <v>1</v>
      </c>
      <c r="D1" s="12"/>
      <c r="E1" s="13" t="s">
        <v>2</v>
      </c>
      <c r="F1" s="12"/>
      <c r="G1" s="14" t="s">
        <v>3</v>
      </c>
      <c r="H1" s="15"/>
      <c r="I1" s="16" t="s">
        <v>4</v>
      </c>
      <c r="J1" s="12"/>
      <c r="K1" s="16" t="s">
        <v>5</v>
      </c>
      <c r="L1" s="12"/>
      <c r="M1" s="16" t="s">
        <v>6</v>
      </c>
      <c r="N1" s="12"/>
      <c r="O1" s="16" t="s">
        <v>7</v>
      </c>
      <c r="P1" s="12"/>
      <c r="Q1" s="16" t="s">
        <v>8</v>
      </c>
      <c r="R1" s="12"/>
      <c r="S1" s="16" t="s">
        <v>9</v>
      </c>
      <c r="T1" s="12"/>
      <c r="U1" s="16" t="s">
        <v>10</v>
      </c>
      <c r="V1" s="12"/>
      <c r="W1" s="16" t="s">
        <v>11</v>
      </c>
      <c r="X1" s="12"/>
      <c r="Y1" s="16" t="s">
        <v>12</v>
      </c>
      <c r="Z1" s="12"/>
      <c r="AA1" s="16" t="s">
        <v>13</v>
      </c>
      <c r="AB1" s="12"/>
      <c r="AC1" s="16" t="s">
        <v>14</v>
      </c>
      <c r="AD1" s="12"/>
      <c r="AE1" s="16" t="s">
        <v>15</v>
      </c>
      <c r="AF1" s="17"/>
      <c r="AG1" s="16" t="s">
        <v>16</v>
      </c>
      <c r="AH1" s="12"/>
      <c r="AI1" s="16" t="s">
        <v>17</v>
      </c>
      <c r="AJ1" s="17"/>
      <c r="AK1" s="16" t="s">
        <v>18</v>
      </c>
      <c r="AL1" s="12"/>
      <c r="AM1" s="16" t="s">
        <v>19</v>
      </c>
      <c r="AN1" s="17"/>
      <c r="AO1" s="16" t="s">
        <v>20</v>
      </c>
      <c r="AP1" s="17"/>
      <c r="AQ1" s="16" t="s">
        <v>21</v>
      </c>
      <c r="AR1" s="17"/>
      <c r="AS1" s="16" t="s">
        <v>22</v>
      </c>
      <c r="AT1" s="17"/>
      <c r="AU1" s="18" t="s">
        <v>23</v>
      </c>
      <c r="AV1" s="17"/>
      <c r="AW1" s="19" t="s">
        <v>24</v>
      </c>
      <c r="AX1" s="20"/>
      <c r="AY1" s="17"/>
      <c r="AZ1" s="19" t="s">
        <v>25</v>
      </c>
      <c r="BA1" s="20"/>
      <c r="BB1" s="17"/>
      <c r="BC1" s="19" t="s">
        <v>26</v>
      </c>
      <c r="BD1" s="20"/>
      <c r="BE1" s="17"/>
      <c r="BF1" s="19" t="s">
        <v>27</v>
      </c>
      <c r="BG1" s="20"/>
      <c r="BH1" s="17"/>
      <c r="BI1" s="19" t="s">
        <v>28</v>
      </c>
      <c r="BJ1" s="20"/>
      <c r="BK1" s="17"/>
      <c r="BL1" s="19" t="s">
        <v>29</v>
      </c>
      <c r="BM1" s="20"/>
      <c r="BN1" s="17"/>
      <c r="BO1" s="19" t="s">
        <v>30</v>
      </c>
      <c r="BP1" s="20"/>
      <c r="BQ1" s="17"/>
      <c r="BR1" s="19" t="s">
        <v>31</v>
      </c>
      <c r="BS1" s="20"/>
      <c r="BT1" s="17"/>
      <c r="BU1" s="19" t="s">
        <v>32</v>
      </c>
      <c r="BV1" s="20"/>
      <c r="BW1" s="17"/>
      <c r="BX1" s="21" t="s">
        <v>33</v>
      </c>
      <c r="BY1" s="22"/>
      <c r="BZ1" s="17"/>
      <c r="CA1" s="19" t="s">
        <v>34</v>
      </c>
      <c r="CB1" s="20"/>
      <c r="CC1" s="17"/>
      <c r="CD1" s="21" t="s">
        <v>35</v>
      </c>
      <c r="CE1" s="22"/>
      <c r="CF1" s="17"/>
      <c r="CG1" s="21" t="s">
        <v>36</v>
      </c>
      <c r="CH1" s="22"/>
      <c r="CI1" s="17"/>
      <c r="CJ1" s="21" t="s">
        <v>37</v>
      </c>
      <c r="CK1" s="22"/>
      <c r="CL1" s="17"/>
      <c r="CM1" s="21" t="s">
        <v>38</v>
      </c>
      <c r="CN1" s="22"/>
      <c r="CO1" s="17"/>
      <c r="CP1" s="21" t="s">
        <v>39</v>
      </c>
      <c r="CQ1" s="22"/>
      <c r="CR1" s="17"/>
      <c r="CS1" s="21" t="s">
        <v>20</v>
      </c>
      <c r="CT1" s="22"/>
      <c r="CU1" s="17"/>
      <c r="CV1" s="21" t="s">
        <v>21</v>
      </c>
      <c r="CW1" s="22"/>
      <c r="CX1" s="17"/>
      <c r="CY1" s="21" t="s">
        <v>22</v>
      </c>
      <c r="CZ1" s="22"/>
      <c r="DA1" s="17"/>
      <c r="DB1" s="21" t="s">
        <v>23</v>
      </c>
      <c r="DC1" s="22"/>
      <c r="DD1" s="17"/>
      <c r="DE1" s="18" t="s">
        <v>40</v>
      </c>
      <c r="DF1" s="17"/>
      <c r="DG1" s="16" t="s">
        <v>41</v>
      </c>
      <c r="DH1" s="17"/>
      <c r="DI1" s="16" t="s">
        <v>42</v>
      </c>
      <c r="DJ1" s="17"/>
      <c r="DK1" s="23" t="s">
        <v>43</v>
      </c>
      <c r="DL1" s="17"/>
      <c r="DM1" s="24" t="s">
        <v>44</v>
      </c>
      <c r="DN1" s="17"/>
      <c r="DO1" s="23" t="s">
        <v>45</v>
      </c>
      <c r="DP1" s="17"/>
      <c r="DQ1" s="24" t="s">
        <v>3</v>
      </c>
      <c r="DR1" s="17"/>
      <c r="DS1" s="25" t="s">
        <v>46</v>
      </c>
      <c r="DT1" s="25"/>
      <c r="DU1" s="25"/>
      <c r="DV1" s="25"/>
      <c r="DW1" s="25"/>
      <c r="DX1" s="25"/>
      <c r="DY1" s="25"/>
    </row>
    <row r="2" ht="12" customHeight="1" spans="1:129" x14ac:dyDescent="0.25">
      <c r="A2" s="26" t="s">
        <v>47</v>
      </c>
      <c r="B2" s="27"/>
      <c r="C2" s="28"/>
      <c r="D2" s="29"/>
      <c r="E2" s="28">
        <v>54</v>
      </c>
      <c r="F2" s="29"/>
      <c r="G2" s="28">
        <v>62.1</v>
      </c>
      <c r="H2" s="8"/>
      <c r="I2" s="30"/>
      <c r="J2" s="8"/>
      <c r="K2" s="30"/>
      <c r="L2" s="8"/>
      <c r="M2" s="30"/>
      <c r="N2" s="8"/>
      <c r="O2" s="30"/>
      <c r="P2" s="8"/>
      <c r="Q2" s="30"/>
      <c r="R2" s="8"/>
      <c r="S2" s="30"/>
      <c r="T2" s="8"/>
      <c r="U2" s="30"/>
      <c r="V2" s="8"/>
      <c r="W2" s="30"/>
      <c r="X2" s="8"/>
      <c r="Y2" s="30"/>
      <c r="Z2" s="8"/>
      <c r="AA2" s="30"/>
      <c r="AB2" s="8"/>
      <c r="AC2" s="30"/>
      <c r="AD2" s="8"/>
      <c r="AE2" s="30"/>
      <c r="AG2" s="30"/>
      <c r="AH2" s="8"/>
      <c r="AI2" s="30"/>
      <c r="AJ2" s="8"/>
      <c r="AK2" s="30"/>
      <c r="AL2" s="8"/>
      <c r="AM2" s="30"/>
      <c r="AN2" s="8"/>
      <c r="AO2" s="30"/>
      <c r="AP2" s="8"/>
      <c r="AQ2" s="30"/>
      <c r="AR2" s="8"/>
      <c r="AS2" s="30"/>
      <c r="AT2" s="8"/>
      <c r="AU2" s="30"/>
      <c r="AV2" s="8"/>
      <c r="AW2" s="31">
        <f t="shared" ref="AW2:AW33" si="0">I2</f>
        <v>0</v>
      </c>
      <c r="AX2" s="32">
        <f t="shared" ref="AX2:AX33" si="1">AW2*G2</f>
        <v>0</v>
      </c>
      <c r="AY2" s="33"/>
      <c r="AZ2" s="31">
        <f t="shared" ref="AZ2:AZ33" si="2">K2</f>
        <v>0</v>
      </c>
      <c r="BA2" s="32">
        <f t="shared" ref="BA2:BA33" si="3">AZ2*G2</f>
        <v>0</v>
      </c>
      <c r="BB2" s="33"/>
      <c r="BC2" s="31">
        <f t="shared" ref="BC2:BC33" si="4">M2</f>
        <v>0</v>
      </c>
      <c r="BD2" s="32">
        <f t="shared" ref="BD2:BD33" si="5">BC2*G2</f>
        <v>0</v>
      </c>
      <c r="BE2" s="33"/>
      <c r="BF2" s="31">
        <f t="shared" ref="BF2:BF33" si="6">O2</f>
        <v>0</v>
      </c>
      <c r="BG2" s="32">
        <f t="shared" ref="BG2:BG33" si="7">BF2*G2</f>
        <v>0</v>
      </c>
      <c r="BH2" s="33"/>
      <c r="BI2" s="31">
        <f t="shared" ref="BI2:BI33" si="8">Q2</f>
        <v>0</v>
      </c>
      <c r="BJ2" s="32">
        <f t="shared" ref="BJ2:BJ33" si="9">BI2*G2</f>
        <v>0</v>
      </c>
      <c r="BK2" s="33"/>
      <c r="BL2" s="31">
        <f t="shared" ref="BL2:BL33" si="10">S2</f>
        <v>0</v>
      </c>
      <c r="BM2" s="32">
        <f t="shared" ref="BM2:BM33" si="11">BL2*G2</f>
        <v>0</v>
      </c>
      <c r="BN2" s="33"/>
      <c r="BO2" s="31">
        <f t="shared" ref="BO2:BO33" si="12">U2</f>
        <v>0</v>
      </c>
      <c r="BP2" s="32">
        <f t="shared" ref="BP2:BP33" si="13">BO2*G2</f>
        <v>0</v>
      </c>
      <c r="BQ2" s="33"/>
      <c r="BR2" s="31">
        <f t="shared" ref="BR2:BR33" si="14">W2</f>
        <v>0</v>
      </c>
      <c r="BS2" s="32">
        <f t="shared" ref="BS2:BS33" si="15">BR2*G2</f>
        <v>0</v>
      </c>
      <c r="BT2" s="33"/>
      <c r="BU2" s="31">
        <f t="shared" ref="BU2:BU33" si="16">Y2</f>
        <v>0</v>
      </c>
      <c r="BV2" s="32">
        <f t="shared" ref="BV2:BV33" si="17">BU2*G2</f>
        <v>0</v>
      </c>
      <c r="BW2" s="33"/>
      <c r="BX2" s="31">
        <f t="shared" ref="BX2:BX33" si="18">AA2</f>
        <v>0</v>
      </c>
      <c r="BY2" s="32">
        <f t="shared" ref="BY2:BY33" si="19">BX2*G2</f>
        <v>0</v>
      </c>
      <c r="BZ2" s="33"/>
      <c r="CA2" s="31">
        <f t="shared" ref="CA2:CA33" si="20">AC2</f>
        <v>0</v>
      </c>
      <c r="CB2" s="32">
        <f t="shared" ref="CB2:CB33" si="21">CA2*G2</f>
        <v>0</v>
      </c>
      <c r="CC2" s="33"/>
      <c r="CD2" s="31">
        <f t="shared" ref="CD2:CD33" si="22">AE2</f>
        <v>0</v>
      </c>
      <c r="CE2" s="32">
        <f t="shared" ref="CE2:CE33" si="23">CD2*G2</f>
        <v>0</v>
      </c>
      <c r="CF2" s="33"/>
      <c r="CG2" s="34">
        <f t="shared" ref="CG2:CG33" si="24">AG2</f>
        <v>0</v>
      </c>
      <c r="CH2" s="32">
        <f>CG2*JJ2</f>
        <v>0</v>
      </c>
      <c r="CI2" s="33"/>
      <c r="CJ2" s="34">
        <f t="shared" ref="CJ2:CJ33" si="25">AI2</f>
        <v>0</v>
      </c>
      <c r="CK2" s="32">
        <f t="shared" ref="CK2:CK33" si="26">CJ2*G2</f>
        <v>0</v>
      </c>
      <c r="CL2" s="33"/>
      <c r="CM2" s="34">
        <f t="shared" ref="CM2:CM33" si="27">AK2</f>
        <v>0</v>
      </c>
      <c r="CN2" s="32">
        <f t="shared" ref="CN2:CN33" si="28">CM2*G2</f>
        <v>0</v>
      </c>
      <c r="CO2" s="33"/>
      <c r="CP2" s="34">
        <f t="shared" ref="CP2:CP33" si="29">AM2</f>
        <v>0</v>
      </c>
      <c r="CQ2" s="32">
        <f t="shared" ref="CQ2:CQ33" si="30">CP2*G2</f>
        <v>0</v>
      </c>
      <c r="CR2" s="33"/>
      <c r="CS2" s="34">
        <f t="shared" ref="CS2:CS33" si="31">AO2</f>
        <v>0</v>
      </c>
      <c r="CT2" s="32">
        <f t="shared" ref="CT2:CT33" si="32">CS2*G2</f>
        <v>0</v>
      </c>
      <c r="CU2" s="33"/>
      <c r="CV2" s="31">
        <f t="shared" ref="CV2:CV33" si="33">AQ2</f>
        <v>0</v>
      </c>
      <c r="CW2" s="32">
        <f t="shared" ref="CW2:CW33" si="34">CV2*G2</f>
        <v>0</v>
      </c>
      <c r="CX2" s="33"/>
      <c r="CY2" s="31">
        <f t="shared" ref="CY2:CY33" si="35">AS2</f>
        <v>0</v>
      </c>
      <c r="CZ2" s="32">
        <f t="shared" ref="CZ2:CZ33" si="36">CY2*G2</f>
        <v>0</v>
      </c>
      <c r="DA2" s="33"/>
      <c r="DB2" s="31">
        <f t="shared" ref="DB2:DB33" si="37">AU2</f>
        <v>0</v>
      </c>
      <c r="DC2" s="32">
        <f t="shared" ref="DC2:DC33" si="38">DB2*G2</f>
        <v>0</v>
      </c>
      <c r="DD2" s="8"/>
      <c r="DE2" s="35">
        <v>177</v>
      </c>
      <c r="DF2" s="27"/>
      <c r="DG2" s="36">
        <f t="shared" ref="DG2:DG33" si="39">C2</f>
        <v>0</v>
      </c>
      <c r="DH2" s="27"/>
      <c r="DI2" s="36">
        <f t="shared" ref="DI2:DI33" si="40">SUM(I2:AV2)</f>
        <v>0</v>
      </c>
      <c r="DJ2" s="27"/>
      <c r="DK2" s="37">
        <f t="shared" ref="DK2:DK33" si="41">DE2+DG2-DI2</f>
        <v>177</v>
      </c>
      <c r="DL2" s="27"/>
      <c r="DM2" s="38">
        <f t="shared" ref="DM2:DM33" si="42">E2*DK2</f>
        <v>9558</v>
      </c>
      <c r="DN2" s="27"/>
      <c r="DO2" s="39" t="e">
        <f t="shared" ref="DO2:DO33" si="43">DK2/DI2</f>
        <v>#DIV/0!</v>
      </c>
      <c r="DP2" s="27"/>
      <c r="DQ2" s="38">
        <f t="shared" ref="DQ2:DQ33" si="44">G2*DK2</f>
        <v>10991.7</v>
      </c>
      <c r="DR2" s="27"/>
      <c r="DS2" s="40"/>
      <c r="DT2" s="40"/>
      <c r="DU2" s="40"/>
      <c r="DV2" s="40"/>
      <c r="DW2" s="40"/>
      <c r="DX2" s="40"/>
      <c r="DY2" s="40"/>
    </row>
    <row r="3" ht="12" customHeight="1" spans="1:129" x14ac:dyDescent="0.25">
      <c r="A3" s="41" t="s">
        <v>48</v>
      </c>
      <c r="B3" s="42"/>
      <c r="C3" s="43"/>
      <c r="D3" s="44"/>
      <c r="E3" s="45">
        <v>36.93</v>
      </c>
      <c r="F3" s="44"/>
      <c r="G3" s="45">
        <v>42.47</v>
      </c>
      <c r="I3" s="46"/>
      <c r="J3" s="47"/>
      <c r="K3" s="46"/>
      <c r="L3" s="47"/>
      <c r="M3" s="46"/>
      <c r="N3" s="47"/>
      <c r="O3" s="46"/>
      <c r="P3" s="47"/>
      <c r="Q3" s="46"/>
      <c r="R3" s="47"/>
      <c r="S3" s="46"/>
      <c r="T3" s="47"/>
      <c r="U3" s="46"/>
      <c r="V3" s="47"/>
      <c r="W3" s="46"/>
      <c r="X3" s="47"/>
      <c r="Y3" s="46"/>
      <c r="Z3" s="47"/>
      <c r="AA3" s="46"/>
      <c r="AB3" s="47"/>
      <c r="AC3" s="46"/>
      <c r="AD3" s="47"/>
      <c r="AE3" s="46"/>
      <c r="AF3" s="48"/>
      <c r="AG3" s="46"/>
      <c r="AH3" s="47"/>
      <c r="AI3" s="46"/>
      <c r="AJ3" s="47"/>
      <c r="AK3" s="46"/>
      <c r="AL3" s="47"/>
      <c r="AM3" s="46"/>
      <c r="AN3" s="47"/>
      <c r="AO3" s="46"/>
      <c r="AP3" s="47"/>
      <c r="AQ3" s="46"/>
      <c r="AR3" s="47"/>
      <c r="AS3" s="46"/>
      <c r="AT3" s="47"/>
      <c r="AU3" s="46"/>
      <c r="AV3" s="47"/>
      <c r="AW3" s="31">
        <f t="shared" si="0"/>
        <v>0</v>
      </c>
      <c r="AX3" s="49">
        <f t="shared" si="1"/>
        <v>0</v>
      </c>
      <c r="AY3" s="50"/>
      <c r="AZ3" s="31">
        <f t="shared" si="2"/>
        <v>0</v>
      </c>
      <c r="BA3" s="49">
        <f t="shared" si="3"/>
        <v>0</v>
      </c>
      <c r="BB3" s="50"/>
      <c r="BC3" s="31">
        <f t="shared" si="4"/>
        <v>0</v>
      </c>
      <c r="BD3" s="49">
        <f t="shared" si="5"/>
        <v>0</v>
      </c>
      <c r="BE3" s="50"/>
      <c r="BF3" s="31">
        <f t="shared" si="6"/>
        <v>0</v>
      </c>
      <c r="BG3" s="49">
        <f t="shared" si="7"/>
        <v>0</v>
      </c>
      <c r="BH3" s="50"/>
      <c r="BI3" s="31">
        <f t="shared" si="8"/>
        <v>0</v>
      </c>
      <c r="BJ3" s="49">
        <f t="shared" si="9"/>
        <v>0</v>
      </c>
      <c r="BK3" s="50"/>
      <c r="BL3" s="31">
        <f t="shared" si="10"/>
        <v>0</v>
      </c>
      <c r="BM3" s="49">
        <f t="shared" si="11"/>
        <v>0</v>
      </c>
      <c r="BN3" s="50"/>
      <c r="BO3" s="31">
        <f t="shared" si="12"/>
        <v>0</v>
      </c>
      <c r="BP3" s="49">
        <f t="shared" si="13"/>
        <v>0</v>
      </c>
      <c r="BQ3" s="50"/>
      <c r="BR3" s="31">
        <f t="shared" si="14"/>
        <v>0</v>
      </c>
      <c r="BS3" s="49">
        <f t="shared" si="15"/>
        <v>0</v>
      </c>
      <c r="BT3" s="50"/>
      <c r="BU3" s="31">
        <f t="shared" si="16"/>
        <v>0</v>
      </c>
      <c r="BV3" s="49">
        <f t="shared" si="17"/>
        <v>0</v>
      </c>
      <c r="BW3" s="50"/>
      <c r="BX3" s="31">
        <f t="shared" si="18"/>
        <v>0</v>
      </c>
      <c r="BY3" s="49">
        <f t="shared" si="19"/>
        <v>0</v>
      </c>
      <c r="BZ3" s="50"/>
      <c r="CA3" s="31">
        <f t="shared" si="20"/>
        <v>0</v>
      </c>
      <c r="CB3" s="49">
        <f t="shared" si="21"/>
        <v>0</v>
      </c>
      <c r="CC3" s="50"/>
      <c r="CD3" s="31">
        <f t="shared" si="22"/>
        <v>0</v>
      </c>
      <c r="CE3" s="49">
        <f t="shared" si="23"/>
        <v>0</v>
      </c>
      <c r="CF3" s="50"/>
      <c r="CG3" s="34">
        <f t="shared" si="24"/>
        <v>0</v>
      </c>
      <c r="CH3" s="49">
        <f t="shared" ref="CH3:CH34" si="45">CG3*G3</f>
        <v>0</v>
      </c>
      <c r="CI3" s="50"/>
      <c r="CJ3" s="34">
        <f t="shared" si="25"/>
        <v>0</v>
      </c>
      <c r="CK3" s="49">
        <f t="shared" si="26"/>
        <v>0</v>
      </c>
      <c r="CL3" s="50"/>
      <c r="CM3" s="34">
        <f t="shared" si="27"/>
        <v>0</v>
      </c>
      <c r="CN3" s="49">
        <f t="shared" si="28"/>
        <v>0</v>
      </c>
      <c r="CO3" s="50"/>
      <c r="CP3" s="34">
        <f t="shared" si="29"/>
        <v>0</v>
      </c>
      <c r="CQ3" s="49">
        <f t="shared" si="30"/>
        <v>0</v>
      </c>
      <c r="CR3" s="50"/>
      <c r="CS3" s="34">
        <f t="shared" si="31"/>
        <v>0</v>
      </c>
      <c r="CT3" s="49">
        <f t="shared" si="32"/>
        <v>0</v>
      </c>
      <c r="CU3" s="50"/>
      <c r="CV3" s="31">
        <f t="shared" si="33"/>
        <v>0</v>
      </c>
      <c r="CW3" s="49">
        <f t="shared" si="34"/>
        <v>0</v>
      </c>
      <c r="CX3" s="50"/>
      <c r="CY3" s="31">
        <f t="shared" si="35"/>
        <v>0</v>
      </c>
      <c r="CZ3" s="49">
        <f t="shared" si="36"/>
        <v>0</v>
      </c>
      <c r="DA3" s="50"/>
      <c r="DB3" s="31">
        <f t="shared" si="37"/>
        <v>0</v>
      </c>
      <c r="DC3" s="49">
        <f t="shared" si="38"/>
        <v>0</v>
      </c>
      <c r="DD3" s="47"/>
      <c r="DE3" s="51">
        <v>178</v>
      </c>
      <c r="DF3" s="52"/>
      <c r="DG3" s="53">
        <f t="shared" si="39"/>
        <v>0</v>
      </c>
      <c r="DH3" s="52"/>
      <c r="DI3" s="53">
        <f t="shared" si="40"/>
        <v>0</v>
      </c>
      <c r="DJ3" s="52"/>
      <c r="DK3" s="54">
        <f t="shared" si="41"/>
        <v>178</v>
      </c>
      <c r="DL3" s="52"/>
      <c r="DM3" s="55">
        <f t="shared" si="42"/>
        <v>6573.54</v>
      </c>
      <c r="DN3" s="52"/>
      <c r="DO3" s="56" t="e">
        <f t="shared" si="43"/>
        <v>#DIV/0!</v>
      </c>
      <c r="DP3" s="52"/>
      <c r="DQ3" s="55">
        <f t="shared" si="44"/>
        <v>7559.66</v>
      </c>
      <c r="DR3" s="52"/>
      <c r="DS3" s="57"/>
      <c r="DT3" s="57"/>
      <c r="DU3" s="57"/>
      <c r="DV3" s="57"/>
      <c r="DW3" s="57"/>
      <c r="DX3" s="57"/>
      <c r="DY3" s="57"/>
    </row>
    <row r="4" ht="12" customHeight="1" spans="1:129" x14ac:dyDescent="0.25">
      <c r="A4" s="58" t="s">
        <v>49</v>
      </c>
      <c r="B4" s="42"/>
      <c r="C4" s="59"/>
      <c r="D4" s="44"/>
      <c r="E4" s="60">
        <v>29.95</v>
      </c>
      <c r="F4" s="44"/>
      <c r="G4" s="61">
        <v>35.94</v>
      </c>
      <c r="I4" s="62">
        <v>1</v>
      </c>
      <c r="J4" s="63"/>
      <c r="K4" s="64">
        <v>4</v>
      </c>
      <c r="L4" s="3"/>
      <c r="M4" s="62">
        <v>2</v>
      </c>
      <c r="N4" s="3"/>
      <c r="O4" s="64">
        <v>3</v>
      </c>
      <c r="P4" s="3"/>
      <c r="Q4" s="62">
        <v>2</v>
      </c>
      <c r="R4" s="3"/>
      <c r="S4" s="64">
        <v>1</v>
      </c>
      <c r="T4" s="3"/>
      <c r="U4" s="62">
        <v>1</v>
      </c>
      <c r="V4" s="3"/>
      <c r="W4" s="64">
        <v>2</v>
      </c>
      <c r="X4" s="3"/>
      <c r="Y4" s="62">
        <v>1</v>
      </c>
      <c r="Z4" s="3"/>
      <c r="AA4" s="64">
        <v>1</v>
      </c>
      <c r="AB4" s="3"/>
      <c r="AC4" s="62">
        <v>1</v>
      </c>
      <c r="AD4" s="3"/>
      <c r="AE4" s="64"/>
      <c r="AF4" s="3"/>
      <c r="AG4" s="62"/>
      <c r="AH4" s="3"/>
      <c r="AI4" s="64"/>
      <c r="AJ4" s="3"/>
      <c r="AK4" s="62"/>
      <c r="AL4" s="3"/>
      <c r="AM4" s="64"/>
      <c r="AN4" s="3"/>
      <c r="AO4" s="62"/>
      <c r="AP4" s="3"/>
      <c r="AQ4" s="64"/>
      <c r="AR4" s="3"/>
      <c r="AS4" s="62"/>
      <c r="AT4" s="3"/>
      <c r="AU4" s="64"/>
      <c r="AW4" s="34">
        <f t="shared" si="0"/>
        <v>1</v>
      </c>
      <c r="AX4" s="65">
        <f t="shared" si="1"/>
        <v>35.94</v>
      </c>
      <c r="AY4" s="66"/>
      <c r="AZ4" s="34">
        <f t="shared" si="2"/>
        <v>4</v>
      </c>
      <c r="BA4" s="67">
        <f t="shared" si="3"/>
        <v>143.76</v>
      </c>
      <c r="BB4" s="66"/>
      <c r="BC4" s="34">
        <f t="shared" si="4"/>
        <v>2</v>
      </c>
      <c r="BD4" s="65">
        <f t="shared" si="5"/>
        <v>71.88</v>
      </c>
      <c r="BE4" s="66"/>
      <c r="BF4" s="34">
        <f t="shared" si="6"/>
        <v>3</v>
      </c>
      <c r="BG4" s="67">
        <f t="shared" si="7"/>
        <v>107.82</v>
      </c>
      <c r="BH4" s="66"/>
      <c r="BI4" s="34">
        <f t="shared" si="8"/>
        <v>2</v>
      </c>
      <c r="BJ4" s="65">
        <f t="shared" si="9"/>
        <v>71.88</v>
      </c>
      <c r="BK4" s="66"/>
      <c r="BL4" s="34">
        <f t="shared" si="10"/>
        <v>1</v>
      </c>
      <c r="BM4" s="67">
        <f t="shared" si="11"/>
        <v>35.94</v>
      </c>
      <c r="BN4" s="66"/>
      <c r="BO4" s="34">
        <f t="shared" si="12"/>
        <v>1</v>
      </c>
      <c r="BP4" s="65">
        <f t="shared" si="13"/>
        <v>35.94</v>
      </c>
      <c r="BQ4" s="66"/>
      <c r="BR4" s="34">
        <f t="shared" si="14"/>
        <v>2</v>
      </c>
      <c r="BS4" s="67">
        <f t="shared" si="15"/>
        <v>71.88</v>
      </c>
      <c r="BT4" s="66"/>
      <c r="BU4" s="34">
        <f t="shared" si="16"/>
        <v>1</v>
      </c>
      <c r="BV4" s="65">
        <f t="shared" si="17"/>
        <v>35.94</v>
      </c>
      <c r="BW4" s="66"/>
      <c r="BX4" s="34">
        <f t="shared" si="18"/>
        <v>1</v>
      </c>
      <c r="BY4" s="67">
        <f t="shared" si="19"/>
        <v>35.94</v>
      </c>
      <c r="BZ4" s="66"/>
      <c r="CA4" s="34">
        <f t="shared" si="20"/>
        <v>1</v>
      </c>
      <c r="CB4" s="65">
        <f t="shared" si="21"/>
        <v>35.94</v>
      </c>
      <c r="CC4" s="66"/>
      <c r="CD4" s="34">
        <f t="shared" si="22"/>
        <v>0</v>
      </c>
      <c r="CE4" s="67">
        <f t="shared" si="23"/>
        <v>0</v>
      </c>
      <c r="CF4" s="66"/>
      <c r="CG4" s="34">
        <f t="shared" si="24"/>
        <v>0</v>
      </c>
      <c r="CH4" s="67">
        <f t="shared" si="45"/>
        <v>0</v>
      </c>
      <c r="CI4" s="66"/>
      <c r="CJ4" s="34">
        <f t="shared" si="25"/>
        <v>0</v>
      </c>
      <c r="CK4" s="67">
        <f t="shared" si="26"/>
        <v>0</v>
      </c>
      <c r="CL4" s="66"/>
      <c r="CM4" s="34">
        <f t="shared" si="27"/>
        <v>0</v>
      </c>
      <c r="CN4" s="67">
        <f t="shared" si="28"/>
        <v>0</v>
      </c>
      <c r="CO4" s="66"/>
      <c r="CP4" s="34">
        <f t="shared" si="29"/>
        <v>0</v>
      </c>
      <c r="CQ4" s="67">
        <f t="shared" si="30"/>
        <v>0</v>
      </c>
      <c r="CR4" s="66"/>
      <c r="CS4" s="34">
        <f t="shared" si="31"/>
        <v>0</v>
      </c>
      <c r="CT4" s="65">
        <f t="shared" si="32"/>
        <v>0</v>
      </c>
      <c r="CU4" s="66"/>
      <c r="CV4" s="34">
        <f t="shared" si="33"/>
        <v>0</v>
      </c>
      <c r="CW4" s="67">
        <f t="shared" si="34"/>
        <v>0</v>
      </c>
      <c r="CX4" s="66"/>
      <c r="CY4" s="34">
        <f t="shared" si="35"/>
        <v>0</v>
      </c>
      <c r="CZ4" s="65">
        <f t="shared" si="36"/>
        <v>0</v>
      </c>
      <c r="DA4" s="66"/>
      <c r="DB4" s="34">
        <f t="shared" si="37"/>
        <v>0</v>
      </c>
      <c r="DC4" s="67">
        <f t="shared" si="38"/>
        <v>0</v>
      </c>
      <c r="DE4" s="68">
        <v>803</v>
      </c>
      <c r="DF4" s="42"/>
      <c r="DG4" s="69">
        <f t="shared" si="39"/>
        <v>0</v>
      </c>
      <c r="DH4" s="42"/>
      <c r="DI4" s="70">
        <f t="shared" si="40"/>
        <v>19</v>
      </c>
      <c r="DJ4" s="42"/>
      <c r="DK4" s="70">
        <f t="shared" si="41"/>
        <v>784</v>
      </c>
      <c r="DL4" s="42"/>
      <c r="DM4" s="71">
        <f t="shared" si="42"/>
        <v>23480.8</v>
      </c>
      <c r="DN4" s="42"/>
      <c r="DO4" s="72">
        <f t="shared" si="43"/>
        <v>41.26315789473684</v>
      </c>
      <c r="DP4" s="42"/>
      <c r="DQ4" s="71">
        <f t="shared" si="44"/>
        <v>28176.96</v>
      </c>
      <c r="DR4" s="42"/>
      <c r="DS4" s="69"/>
      <c r="DT4" s="42"/>
      <c r="DU4" s="71">
        <v>0</v>
      </c>
      <c r="DV4" s="42"/>
      <c r="DW4" s="73">
        <f t="shared" ref="DW4:DW35" si="46">DU4*1.2</f>
        <v>0</v>
      </c>
      <c r="DX4" s="42"/>
      <c r="DY4" s="71">
        <f t="shared" ref="DY4:DY35" si="47">DU4*DS4</f>
        <v>0</v>
      </c>
    </row>
    <row r="5" ht="12" customHeight="1" spans="1:129" x14ac:dyDescent="0.25">
      <c r="A5" s="74" t="s">
        <v>50</v>
      </c>
      <c r="B5" s="42"/>
      <c r="C5" s="75"/>
      <c r="D5" s="44"/>
      <c r="E5" s="60">
        <v>23</v>
      </c>
      <c r="F5" s="44"/>
      <c r="G5" s="61">
        <v>27.6</v>
      </c>
      <c r="I5" s="62">
        <v>2</v>
      </c>
      <c r="J5" s="63"/>
      <c r="K5" s="64">
        <v>7</v>
      </c>
      <c r="L5" s="3"/>
      <c r="M5" s="62">
        <v>4</v>
      </c>
      <c r="N5" s="3"/>
      <c r="O5" s="64">
        <v>5</v>
      </c>
      <c r="P5" s="3"/>
      <c r="Q5" s="62">
        <v>3</v>
      </c>
      <c r="R5" s="3"/>
      <c r="S5" s="64">
        <v>3</v>
      </c>
      <c r="T5" s="3"/>
      <c r="U5" s="62">
        <v>3</v>
      </c>
      <c r="V5" s="3"/>
      <c r="W5" s="64">
        <v>3</v>
      </c>
      <c r="X5" s="3"/>
      <c r="Y5" s="62">
        <v>3</v>
      </c>
      <c r="Z5" s="3"/>
      <c r="AA5" s="64">
        <v>2</v>
      </c>
      <c r="AB5" s="3"/>
      <c r="AC5" s="62">
        <v>4</v>
      </c>
      <c r="AD5" s="3"/>
      <c r="AE5" s="64"/>
      <c r="AF5" s="3"/>
      <c r="AG5" s="62"/>
      <c r="AH5" s="3"/>
      <c r="AI5" s="64"/>
      <c r="AJ5" s="3"/>
      <c r="AK5" s="62"/>
      <c r="AL5" s="3"/>
      <c r="AM5" s="64"/>
      <c r="AN5" s="3"/>
      <c r="AO5" s="62"/>
      <c r="AP5" s="3"/>
      <c r="AQ5" s="64"/>
      <c r="AR5" s="3"/>
      <c r="AS5" s="62"/>
      <c r="AT5" s="3"/>
      <c r="AU5" s="64"/>
      <c r="AW5" s="34">
        <f t="shared" si="0"/>
        <v>2</v>
      </c>
      <c r="AX5" s="65">
        <f t="shared" si="1"/>
        <v>55.2</v>
      </c>
      <c r="AY5" s="66"/>
      <c r="AZ5" s="31">
        <f t="shared" si="2"/>
        <v>7</v>
      </c>
      <c r="BA5" s="67">
        <f t="shared" si="3"/>
        <v>193.20000000000002</v>
      </c>
      <c r="BB5" s="66"/>
      <c r="BC5" s="31">
        <f t="shared" si="4"/>
        <v>4</v>
      </c>
      <c r="BD5" s="65">
        <f t="shared" si="5"/>
        <v>110.4</v>
      </c>
      <c r="BE5" s="66"/>
      <c r="BF5" s="31">
        <f t="shared" si="6"/>
        <v>5</v>
      </c>
      <c r="BG5" s="67">
        <f t="shared" si="7"/>
        <v>138</v>
      </c>
      <c r="BH5" s="66"/>
      <c r="BI5" s="31">
        <f t="shared" si="8"/>
        <v>3</v>
      </c>
      <c r="BJ5" s="65">
        <f t="shared" si="9"/>
        <v>82.80000000000001</v>
      </c>
      <c r="BK5" s="66"/>
      <c r="BL5" s="31">
        <f t="shared" si="10"/>
        <v>3</v>
      </c>
      <c r="BM5" s="67">
        <f t="shared" si="11"/>
        <v>82.80000000000001</v>
      </c>
      <c r="BN5" s="66"/>
      <c r="BO5" s="31">
        <f t="shared" si="12"/>
        <v>3</v>
      </c>
      <c r="BP5" s="65">
        <f t="shared" si="13"/>
        <v>82.80000000000001</v>
      </c>
      <c r="BQ5" s="66"/>
      <c r="BR5" s="31">
        <f t="shared" si="14"/>
        <v>3</v>
      </c>
      <c r="BS5" s="67">
        <f t="shared" si="15"/>
        <v>82.80000000000001</v>
      </c>
      <c r="BT5" s="66"/>
      <c r="BU5" s="31">
        <f t="shared" si="16"/>
        <v>3</v>
      </c>
      <c r="BV5" s="65">
        <f t="shared" si="17"/>
        <v>82.80000000000001</v>
      </c>
      <c r="BW5" s="66"/>
      <c r="BX5" s="31">
        <f t="shared" si="18"/>
        <v>2</v>
      </c>
      <c r="BY5" s="67">
        <f t="shared" si="19"/>
        <v>55.2</v>
      </c>
      <c r="BZ5" s="66"/>
      <c r="CA5" s="31">
        <f t="shared" si="20"/>
        <v>4</v>
      </c>
      <c r="CB5" s="65">
        <f t="shared" si="21"/>
        <v>110.4</v>
      </c>
      <c r="CC5" s="66"/>
      <c r="CD5" s="31">
        <f t="shared" si="22"/>
        <v>0</v>
      </c>
      <c r="CE5" s="67">
        <f t="shared" si="23"/>
        <v>0</v>
      </c>
      <c r="CF5" s="66"/>
      <c r="CG5" s="34">
        <f t="shared" si="24"/>
        <v>0</v>
      </c>
      <c r="CH5" s="67">
        <f t="shared" si="45"/>
        <v>0</v>
      </c>
      <c r="CI5" s="66"/>
      <c r="CJ5" s="34">
        <f t="shared" si="25"/>
        <v>0</v>
      </c>
      <c r="CK5" s="67">
        <f t="shared" si="26"/>
        <v>0</v>
      </c>
      <c r="CL5" s="66"/>
      <c r="CM5" s="34">
        <f t="shared" si="27"/>
        <v>0</v>
      </c>
      <c r="CN5" s="67">
        <f t="shared" si="28"/>
        <v>0</v>
      </c>
      <c r="CO5" s="66"/>
      <c r="CP5" s="34">
        <f t="shared" si="29"/>
        <v>0</v>
      </c>
      <c r="CQ5" s="67">
        <f t="shared" si="30"/>
        <v>0</v>
      </c>
      <c r="CR5" s="66"/>
      <c r="CS5" s="34">
        <f t="shared" si="31"/>
        <v>0</v>
      </c>
      <c r="CT5" s="65">
        <f t="shared" si="32"/>
        <v>0</v>
      </c>
      <c r="CU5" s="66"/>
      <c r="CV5" s="31">
        <f t="shared" si="33"/>
        <v>0</v>
      </c>
      <c r="CW5" s="67">
        <f t="shared" si="34"/>
        <v>0</v>
      </c>
      <c r="CX5" s="66"/>
      <c r="CY5" s="31">
        <f t="shared" si="35"/>
        <v>0</v>
      </c>
      <c r="CZ5" s="65">
        <f t="shared" si="36"/>
        <v>0</v>
      </c>
      <c r="DA5" s="66"/>
      <c r="DB5" s="31">
        <f t="shared" si="37"/>
        <v>0</v>
      </c>
      <c r="DC5" s="67">
        <f t="shared" si="38"/>
        <v>0</v>
      </c>
      <c r="DE5" s="76">
        <v>810</v>
      </c>
      <c r="DF5" s="42"/>
      <c r="DG5" s="69">
        <f t="shared" si="39"/>
        <v>0</v>
      </c>
      <c r="DH5" s="42"/>
      <c r="DI5" s="70">
        <f t="shared" si="40"/>
        <v>39</v>
      </c>
      <c r="DJ5" s="42"/>
      <c r="DK5" s="70">
        <f t="shared" si="41"/>
        <v>771</v>
      </c>
      <c r="DL5" s="42"/>
      <c r="DM5" s="71">
        <f t="shared" si="42"/>
        <v>17733</v>
      </c>
      <c r="DN5" s="42"/>
      <c r="DO5" s="72">
        <f t="shared" si="43"/>
        <v>19.76923076923077</v>
      </c>
      <c r="DP5" s="42"/>
      <c r="DQ5" s="71">
        <f t="shared" si="44"/>
        <v>21279.600000000002</v>
      </c>
      <c r="DR5" s="42"/>
      <c r="DS5" s="69">
        <v>600</v>
      </c>
      <c r="DT5" s="42"/>
      <c r="DU5" s="71">
        <v>28.75</v>
      </c>
      <c r="DV5" s="42"/>
      <c r="DW5" s="73">
        <f t="shared" si="46"/>
        <v>34.5</v>
      </c>
      <c r="DX5" s="42"/>
      <c r="DY5" s="71">
        <f t="shared" si="47"/>
        <v>17250</v>
      </c>
    </row>
    <row r="6" ht="12" customHeight="1" spans="1:129" x14ac:dyDescent="0.25">
      <c r="A6" s="77" t="s">
        <v>51</v>
      </c>
      <c r="B6" s="42"/>
      <c r="C6" s="75"/>
      <c r="D6" s="44"/>
      <c r="E6" s="60">
        <v>38.95</v>
      </c>
      <c r="F6" s="44"/>
      <c r="G6" s="61">
        <v>46.74</v>
      </c>
      <c r="I6" s="62">
        <v>1</v>
      </c>
      <c r="J6" s="63"/>
      <c r="K6" s="64">
        <v>2</v>
      </c>
      <c r="L6" s="3"/>
      <c r="M6" s="62">
        <v>1</v>
      </c>
      <c r="N6" s="3"/>
      <c r="O6" s="64"/>
      <c r="P6" s="3"/>
      <c r="Q6" s="62">
        <v>1</v>
      </c>
      <c r="R6" s="3"/>
      <c r="S6" s="64">
        <v>1</v>
      </c>
      <c r="T6" s="3"/>
      <c r="U6" s="62">
        <v>1</v>
      </c>
      <c r="V6" s="3"/>
      <c r="W6" s="64"/>
      <c r="X6" s="3"/>
      <c r="Y6" s="62">
        <v>1</v>
      </c>
      <c r="Z6" s="3"/>
      <c r="AA6" s="64"/>
      <c r="AB6" s="3"/>
      <c r="AC6" s="62">
        <v>1</v>
      </c>
      <c r="AD6" s="3"/>
      <c r="AE6" s="64"/>
      <c r="AF6" s="3"/>
      <c r="AG6" s="62"/>
      <c r="AH6" s="3"/>
      <c r="AI6" s="64"/>
      <c r="AJ6" s="3"/>
      <c r="AK6" s="62"/>
      <c r="AL6" s="3"/>
      <c r="AM6" s="64"/>
      <c r="AN6" s="3"/>
      <c r="AO6" s="62"/>
      <c r="AP6" s="3"/>
      <c r="AQ6" s="64"/>
      <c r="AR6" s="3"/>
      <c r="AS6" s="62"/>
      <c r="AT6" s="3"/>
      <c r="AU6" s="64"/>
      <c r="AW6" s="34">
        <f t="shared" si="0"/>
        <v>1</v>
      </c>
      <c r="AX6" s="65">
        <f t="shared" si="1"/>
        <v>46.74</v>
      </c>
      <c r="AY6" s="66"/>
      <c r="AZ6" s="31">
        <f t="shared" si="2"/>
        <v>2</v>
      </c>
      <c r="BA6" s="67">
        <f t="shared" si="3"/>
        <v>93.48</v>
      </c>
      <c r="BB6" s="66"/>
      <c r="BC6" s="31">
        <f t="shared" si="4"/>
        <v>1</v>
      </c>
      <c r="BD6" s="65">
        <f t="shared" si="5"/>
        <v>46.74</v>
      </c>
      <c r="BE6" s="66"/>
      <c r="BF6" s="31">
        <f t="shared" si="6"/>
        <v>0</v>
      </c>
      <c r="BG6" s="67">
        <f t="shared" si="7"/>
        <v>0</v>
      </c>
      <c r="BH6" s="66"/>
      <c r="BI6" s="31">
        <f t="shared" si="8"/>
        <v>1</v>
      </c>
      <c r="BJ6" s="65">
        <f t="shared" si="9"/>
        <v>46.74</v>
      </c>
      <c r="BK6" s="66"/>
      <c r="BL6" s="31">
        <f t="shared" si="10"/>
        <v>1</v>
      </c>
      <c r="BM6" s="67">
        <f t="shared" si="11"/>
        <v>46.74</v>
      </c>
      <c r="BN6" s="66"/>
      <c r="BO6" s="31">
        <f t="shared" si="12"/>
        <v>1</v>
      </c>
      <c r="BP6" s="65">
        <f t="shared" si="13"/>
        <v>46.74</v>
      </c>
      <c r="BQ6" s="66"/>
      <c r="BR6" s="31">
        <f t="shared" si="14"/>
        <v>0</v>
      </c>
      <c r="BS6" s="67">
        <f t="shared" si="15"/>
        <v>0</v>
      </c>
      <c r="BT6" s="66"/>
      <c r="BU6" s="31">
        <f t="shared" si="16"/>
        <v>1</v>
      </c>
      <c r="BV6" s="65">
        <f t="shared" si="17"/>
        <v>46.74</v>
      </c>
      <c r="BW6" s="66"/>
      <c r="BX6" s="31">
        <f t="shared" si="18"/>
        <v>0</v>
      </c>
      <c r="BY6" s="67">
        <f t="shared" si="19"/>
        <v>0</v>
      </c>
      <c r="BZ6" s="66"/>
      <c r="CA6" s="31">
        <f t="shared" si="20"/>
        <v>1</v>
      </c>
      <c r="CB6" s="65">
        <f t="shared" si="21"/>
        <v>46.74</v>
      </c>
      <c r="CC6" s="66"/>
      <c r="CD6" s="31">
        <f t="shared" si="22"/>
        <v>0</v>
      </c>
      <c r="CE6" s="67">
        <f t="shared" si="23"/>
        <v>0</v>
      </c>
      <c r="CF6" s="66"/>
      <c r="CG6" s="34">
        <f t="shared" si="24"/>
        <v>0</v>
      </c>
      <c r="CH6" s="67">
        <f t="shared" si="45"/>
        <v>0</v>
      </c>
      <c r="CI6" s="66"/>
      <c r="CJ6" s="34">
        <f t="shared" si="25"/>
        <v>0</v>
      </c>
      <c r="CK6" s="67">
        <f t="shared" si="26"/>
        <v>0</v>
      </c>
      <c r="CL6" s="66"/>
      <c r="CM6" s="34">
        <f t="shared" si="27"/>
        <v>0</v>
      </c>
      <c r="CN6" s="67">
        <f t="shared" si="28"/>
        <v>0</v>
      </c>
      <c r="CO6" s="66"/>
      <c r="CP6" s="34">
        <f t="shared" si="29"/>
        <v>0</v>
      </c>
      <c r="CQ6" s="67">
        <f t="shared" si="30"/>
        <v>0</v>
      </c>
      <c r="CR6" s="66"/>
      <c r="CS6" s="34">
        <f t="shared" si="31"/>
        <v>0</v>
      </c>
      <c r="CT6" s="65">
        <f t="shared" si="32"/>
        <v>0</v>
      </c>
      <c r="CU6" s="66"/>
      <c r="CV6" s="31">
        <f t="shared" si="33"/>
        <v>0</v>
      </c>
      <c r="CW6" s="67">
        <f t="shared" si="34"/>
        <v>0</v>
      </c>
      <c r="CX6" s="66"/>
      <c r="CY6" s="31">
        <f t="shared" si="35"/>
        <v>0</v>
      </c>
      <c r="CZ6" s="65">
        <f t="shared" si="36"/>
        <v>0</v>
      </c>
      <c r="DA6" s="66"/>
      <c r="DB6" s="31">
        <f t="shared" si="37"/>
        <v>0</v>
      </c>
      <c r="DC6" s="67">
        <f t="shared" si="38"/>
        <v>0</v>
      </c>
      <c r="DE6" s="76">
        <v>242</v>
      </c>
      <c r="DF6" s="42"/>
      <c r="DG6" s="69">
        <f t="shared" si="39"/>
        <v>0</v>
      </c>
      <c r="DH6" s="42"/>
      <c r="DI6" s="70">
        <f t="shared" si="40"/>
        <v>9</v>
      </c>
      <c r="DJ6" s="42"/>
      <c r="DK6" s="70">
        <f t="shared" si="41"/>
        <v>233</v>
      </c>
      <c r="DL6" s="42"/>
      <c r="DM6" s="71">
        <f t="shared" si="42"/>
        <v>9075.35</v>
      </c>
      <c r="DN6" s="42"/>
      <c r="DO6" s="72">
        <f t="shared" si="43"/>
        <v>25.88888888888889</v>
      </c>
      <c r="DP6" s="42"/>
      <c r="DQ6" s="71">
        <f t="shared" si="44"/>
        <v>10890.42</v>
      </c>
      <c r="DR6" s="42"/>
      <c r="DS6" s="69"/>
      <c r="DT6" s="42"/>
      <c r="DU6" s="71">
        <v>0</v>
      </c>
      <c r="DV6" s="42"/>
      <c r="DW6" s="73">
        <f t="shared" si="46"/>
        <v>0</v>
      </c>
      <c r="DX6" s="42"/>
      <c r="DY6" s="71">
        <f t="shared" si="47"/>
        <v>0</v>
      </c>
    </row>
    <row r="7" ht="12" customHeight="1" spans="1:129" x14ac:dyDescent="0.25">
      <c r="A7" s="74" t="s">
        <v>52</v>
      </c>
      <c r="B7" s="42"/>
      <c r="C7" s="75"/>
      <c r="D7" s="44"/>
      <c r="E7" s="60">
        <v>44.95</v>
      </c>
      <c r="F7" s="44"/>
      <c r="G7" s="61">
        <v>53.94</v>
      </c>
      <c r="I7" s="62">
        <v>1</v>
      </c>
      <c r="J7" s="63"/>
      <c r="K7" s="64">
        <v>1</v>
      </c>
      <c r="L7" s="3"/>
      <c r="M7" s="62"/>
      <c r="N7" s="3"/>
      <c r="O7" s="64"/>
      <c r="P7" s="3"/>
      <c r="Q7" s="62"/>
      <c r="R7" s="3"/>
      <c r="S7" s="64">
        <v>1</v>
      </c>
      <c r="T7" s="3"/>
      <c r="U7" s="62"/>
      <c r="V7" s="3"/>
      <c r="W7" s="64">
        <v>1</v>
      </c>
      <c r="X7" s="3"/>
      <c r="Y7" s="62"/>
      <c r="Z7" s="3"/>
      <c r="AA7" s="64"/>
      <c r="AB7" s="3"/>
      <c r="AC7" s="62"/>
      <c r="AD7" s="3"/>
      <c r="AE7" s="64"/>
      <c r="AF7" s="3"/>
      <c r="AG7" s="62"/>
      <c r="AH7" s="3"/>
      <c r="AI7" s="64"/>
      <c r="AJ7" s="3"/>
      <c r="AK7" s="62"/>
      <c r="AL7" s="3"/>
      <c r="AM7" s="64"/>
      <c r="AN7" s="3"/>
      <c r="AO7" s="62"/>
      <c r="AP7" s="3"/>
      <c r="AQ7" s="64"/>
      <c r="AR7" s="3"/>
      <c r="AS7" s="62"/>
      <c r="AT7" s="3"/>
      <c r="AU7" s="64"/>
      <c r="AW7" s="34">
        <f t="shared" si="0"/>
        <v>1</v>
      </c>
      <c r="AX7" s="65">
        <f t="shared" si="1"/>
        <v>53.94</v>
      </c>
      <c r="AY7" s="66"/>
      <c r="AZ7" s="31">
        <f t="shared" si="2"/>
        <v>1</v>
      </c>
      <c r="BA7" s="67">
        <f t="shared" si="3"/>
        <v>53.94</v>
      </c>
      <c r="BB7" s="66"/>
      <c r="BC7" s="31">
        <f t="shared" si="4"/>
        <v>0</v>
      </c>
      <c r="BD7" s="65">
        <f t="shared" si="5"/>
        <v>0</v>
      </c>
      <c r="BE7" s="66"/>
      <c r="BF7" s="31">
        <f t="shared" si="6"/>
        <v>0</v>
      </c>
      <c r="BG7" s="67">
        <f t="shared" si="7"/>
        <v>0</v>
      </c>
      <c r="BH7" s="66"/>
      <c r="BI7" s="31">
        <f t="shared" si="8"/>
        <v>0</v>
      </c>
      <c r="BJ7" s="65">
        <f t="shared" si="9"/>
        <v>0</v>
      </c>
      <c r="BK7" s="66"/>
      <c r="BL7" s="31">
        <f t="shared" si="10"/>
        <v>1</v>
      </c>
      <c r="BM7" s="67">
        <f t="shared" si="11"/>
        <v>53.94</v>
      </c>
      <c r="BN7" s="66"/>
      <c r="BO7" s="31">
        <f t="shared" si="12"/>
        <v>0</v>
      </c>
      <c r="BP7" s="65">
        <f t="shared" si="13"/>
        <v>0</v>
      </c>
      <c r="BQ7" s="66"/>
      <c r="BR7" s="31">
        <f t="shared" si="14"/>
        <v>1</v>
      </c>
      <c r="BS7" s="67">
        <f t="shared" si="15"/>
        <v>53.94</v>
      </c>
      <c r="BT7" s="66"/>
      <c r="BU7" s="31">
        <f t="shared" si="16"/>
        <v>0</v>
      </c>
      <c r="BV7" s="65">
        <f t="shared" si="17"/>
        <v>0</v>
      </c>
      <c r="BW7" s="66"/>
      <c r="BX7" s="31">
        <f t="shared" si="18"/>
        <v>0</v>
      </c>
      <c r="BY7" s="67">
        <f t="shared" si="19"/>
        <v>0</v>
      </c>
      <c r="BZ7" s="66"/>
      <c r="CA7" s="31">
        <f t="shared" si="20"/>
        <v>0</v>
      </c>
      <c r="CB7" s="65">
        <f t="shared" si="21"/>
        <v>0</v>
      </c>
      <c r="CC7" s="66"/>
      <c r="CD7" s="31">
        <f t="shared" si="22"/>
        <v>0</v>
      </c>
      <c r="CE7" s="67">
        <f t="shared" si="23"/>
        <v>0</v>
      </c>
      <c r="CF7" s="66"/>
      <c r="CG7" s="34">
        <f t="shared" si="24"/>
        <v>0</v>
      </c>
      <c r="CH7" s="67">
        <f t="shared" si="45"/>
        <v>0</v>
      </c>
      <c r="CI7" s="66"/>
      <c r="CJ7" s="34">
        <f t="shared" si="25"/>
        <v>0</v>
      </c>
      <c r="CK7" s="67">
        <f t="shared" si="26"/>
        <v>0</v>
      </c>
      <c r="CL7" s="66"/>
      <c r="CM7" s="34">
        <f t="shared" si="27"/>
        <v>0</v>
      </c>
      <c r="CN7" s="67">
        <f t="shared" si="28"/>
        <v>0</v>
      </c>
      <c r="CO7" s="66"/>
      <c r="CP7" s="34">
        <f t="shared" si="29"/>
        <v>0</v>
      </c>
      <c r="CQ7" s="67">
        <f t="shared" si="30"/>
        <v>0</v>
      </c>
      <c r="CR7" s="66"/>
      <c r="CS7" s="34">
        <f t="shared" si="31"/>
        <v>0</v>
      </c>
      <c r="CT7" s="65">
        <f t="shared" si="32"/>
        <v>0</v>
      </c>
      <c r="CU7" s="66"/>
      <c r="CV7" s="31">
        <f t="shared" si="33"/>
        <v>0</v>
      </c>
      <c r="CW7" s="67">
        <f t="shared" si="34"/>
        <v>0</v>
      </c>
      <c r="CX7" s="66"/>
      <c r="CY7" s="31">
        <f t="shared" si="35"/>
        <v>0</v>
      </c>
      <c r="CZ7" s="65">
        <f t="shared" si="36"/>
        <v>0</v>
      </c>
      <c r="DA7" s="66"/>
      <c r="DB7" s="31">
        <f t="shared" si="37"/>
        <v>0</v>
      </c>
      <c r="DC7" s="67">
        <f t="shared" si="38"/>
        <v>0</v>
      </c>
      <c r="DE7" s="76">
        <v>69</v>
      </c>
      <c r="DF7" s="42"/>
      <c r="DG7" s="69">
        <f t="shared" si="39"/>
        <v>0</v>
      </c>
      <c r="DH7" s="42"/>
      <c r="DI7" s="70">
        <f t="shared" si="40"/>
        <v>4</v>
      </c>
      <c r="DJ7" s="42"/>
      <c r="DK7" s="70">
        <f t="shared" si="41"/>
        <v>65</v>
      </c>
      <c r="DL7" s="42"/>
      <c r="DM7" s="71">
        <f t="shared" si="42"/>
        <v>2921.75</v>
      </c>
      <c r="DN7" s="42"/>
      <c r="DO7" s="72">
        <f t="shared" si="43"/>
        <v>16.25</v>
      </c>
      <c r="DP7" s="42"/>
      <c r="DQ7" s="71">
        <f t="shared" si="44"/>
        <v>3506.1</v>
      </c>
      <c r="DR7" s="42"/>
      <c r="DS7" s="69"/>
      <c r="DT7" s="42"/>
      <c r="DU7" s="71">
        <v>0</v>
      </c>
      <c r="DV7" s="42"/>
      <c r="DW7" s="73">
        <f t="shared" si="46"/>
        <v>0</v>
      </c>
      <c r="DX7" s="42"/>
      <c r="DY7" s="71">
        <f t="shared" si="47"/>
        <v>0</v>
      </c>
    </row>
    <row r="8" ht="12" customHeight="1" spans="1:129" x14ac:dyDescent="0.25">
      <c r="A8" s="77" t="s">
        <v>53</v>
      </c>
      <c r="B8" s="42"/>
      <c r="C8" s="75"/>
      <c r="D8" s="44"/>
      <c r="E8" s="60">
        <v>18.25</v>
      </c>
      <c r="F8" s="44"/>
      <c r="G8" s="61">
        <v>21.9</v>
      </c>
      <c r="I8" s="62">
        <v>1</v>
      </c>
      <c r="J8" s="63"/>
      <c r="K8" s="64">
        <v>2</v>
      </c>
      <c r="L8" s="3"/>
      <c r="M8" s="62">
        <v>1</v>
      </c>
      <c r="N8" s="3"/>
      <c r="O8" s="64">
        <v>1</v>
      </c>
      <c r="P8" s="3"/>
      <c r="Q8" s="62">
        <v>1</v>
      </c>
      <c r="R8" s="3"/>
      <c r="S8" s="64"/>
      <c r="T8" s="3"/>
      <c r="U8" s="62">
        <v>1</v>
      </c>
      <c r="V8" s="3"/>
      <c r="W8" s="64">
        <v>1</v>
      </c>
      <c r="X8" s="3"/>
      <c r="Y8" s="62">
        <v>1</v>
      </c>
      <c r="Z8" s="3"/>
      <c r="AA8" s="64"/>
      <c r="AB8" s="3"/>
      <c r="AC8" s="62">
        <v>1</v>
      </c>
      <c r="AD8" s="3"/>
      <c r="AE8" s="64"/>
      <c r="AF8" s="3"/>
      <c r="AG8" s="62"/>
      <c r="AH8" s="3"/>
      <c r="AI8" s="64"/>
      <c r="AJ8" s="3"/>
      <c r="AK8" s="62"/>
      <c r="AL8" s="3"/>
      <c r="AM8" s="64"/>
      <c r="AN8" s="3"/>
      <c r="AO8" s="62"/>
      <c r="AP8" s="3"/>
      <c r="AQ8" s="64"/>
      <c r="AR8" s="3"/>
      <c r="AS8" s="62"/>
      <c r="AT8" s="3"/>
      <c r="AU8" s="64"/>
      <c r="AW8" s="34">
        <f t="shared" si="0"/>
        <v>1</v>
      </c>
      <c r="AX8" s="65">
        <f t="shared" si="1"/>
        <v>21.9</v>
      </c>
      <c r="AY8" s="66"/>
      <c r="AZ8" s="31">
        <f t="shared" si="2"/>
        <v>2</v>
      </c>
      <c r="BA8" s="67">
        <f t="shared" si="3"/>
        <v>43.8</v>
      </c>
      <c r="BB8" s="66"/>
      <c r="BC8" s="31">
        <f t="shared" si="4"/>
        <v>1</v>
      </c>
      <c r="BD8" s="65">
        <f t="shared" si="5"/>
        <v>21.9</v>
      </c>
      <c r="BE8" s="66"/>
      <c r="BF8" s="31">
        <f t="shared" si="6"/>
        <v>1</v>
      </c>
      <c r="BG8" s="67">
        <f t="shared" si="7"/>
        <v>21.9</v>
      </c>
      <c r="BH8" s="66"/>
      <c r="BI8" s="31">
        <f t="shared" si="8"/>
        <v>1</v>
      </c>
      <c r="BJ8" s="65">
        <f t="shared" si="9"/>
        <v>21.9</v>
      </c>
      <c r="BK8" s="66"/>
      <c r="BL8" s="31">
        <f t="shared" si="10"/>
        <v>0</v>
      </c>
      <c r="BM8" s="67">
        <f t="shared" si="11"/>
        <v>0</v>
      </c>
      <c r="BN8" s="66"/>
      <c r="BO8" s="31">
        <f t="shared" si="12"/>
        <v>1</v>
      </c>
      <c r="BP8" s="65">
        <f t="shared" si="13"/>
        <v>21.9</v>
      </c>
      <c r="BQ8" s="66"/>
      <c r="BR8" s="31">
        <f t="shared" si="14"/>
        <v>1</v>
      </c>
      <c r="BS8" s="67">
        <f t="shared" si="15"/>
        <v>21.9</v>
      </c>
      <c r="BT8" s="66"/>
      <c r="BU8" s="31">
        <f t="shared" si="16"/>
        <v>1</v>
      </c>
      <c r="BV8" s="65">
        <f t="shared" si="17"/>
        <v>21.9</v>
      </c>
      <c r="BW8" s="66"/>
      <c r="BX8" s="31">
        <f t="shared" si="18"/>
        <v>0</v>
      </c>
      <c r="BY8" s="67">
        <f t="shared" si="19"/>
        <v>0</v>
      </c>
      <c r="BZ8" s="66"/>
      <c r="CA8" s="31">
        <f t="shared" si="20"/>
        <v>1</v>
      </c>
      <c r="CB8" s="65">
        <f t="shared" si="21"/>
        <v>21.9</v>
      </c>
      <c r="CC8" s="66"/>
      <c r="CD8" s="31">
        <f t="shared" si="22"/>
        <v>0</v>
      </c>
      <c r="CE8" s="67">
        <f t="shared" si="23"/>
        <v>0</v>
      </c>
      <c r="CF8" s="66"/>
      <c r="CG8" s="34">
        <f t="shared" si="24"/>
        <v>0</v>
      </c>
      <c r="CH8" s="67">
        <f t="shared" si="45"/>
        <v>0</v>
      </c>
      <c r="CI8" s="66"/>
      <c r="CJ8" s="34">
        <f t="shared" si="25"/>
        <v>0</v>
      </c>
      <c r="CK8" s="67">
        <f t="shared" si="26"/>
        <v>0</v>
      </c>
      <c r="CL8" s="66"/>
      <c r="CM8" s="34">
        <f t="shared" si="27"/>
        <v>0</v>
      </c>
      <c r="CN8" s="67">
        <f t="shared" si="28"/>
        <v>0</v>
      </c>
      <c r="CO8" s="66"/>
      <c r="CP8" s="34">
        <f t="shared" si="29"/>
        <v>0</v>
      </c>
      <c r="CQ8" s="67">
        <f t="shared" si="30"/>
        <v>0</v>
      </c>
      <c r="CR8" s="66"/>
      <c r="CS8" s="34">
        <f t="shared" si="31"/>
        <v>0</v>
      </c>
      <c r="CT8" s="65">
        <f t="shared" si="32"/>
        <v>0</v>
      </c>
      <c r="CU8" s="66"/>
      <c r="CV8" s="31">
        <f t="shared" si="33"/>
        <v>0</v>
      </c>
      <c r="CW8" s="67">
        <f t="shared" si="34"/>
        <v>0</v>
      </c>
      <c r="CX8" s="66"/>
      <c r="CY8" s="31">
        <f t="shared" si="35"/>
        <v>0</v>
      </c>
      <c r="CZ8" s="65">
        <f t="shared" si="36"/>
        <v>0</v>
      </c>
      <c r="DA8" s="66"/>
      <c r="DB8" s="31">
        <f t="shared" si="37"/>
        <v>0</v>
      </c>
      <c r="DC8" s="67">
        <f t="shared" si="38"/>
        <v>0</v>
      </c>
      <c r="DE8" s="76">
        <v>126</v>
      </c>
      <c r="DF8" s="42"/>
      <c r="DG8" s="69">
        <f t="shared" si="39"/>
        <v>0</v>
      </c>
      <c r="DH8" s="42"/>
      <c r="DI8" s="70">
        <f t="shared" si="40"/>
        <v>10</v>
      </c>
      <c r="DJ8" s="42"/>
      <c r="DK8" s="70">
        <f t="shared" si="41"/>
        <v>116</v>
      </c>
      <c r="DL8" s="42"/>
      <c r="DM8" s="71">
        <f t="shared" si="42"/>
        <v>2117</v>
      </c>
      <c r="DN8" s="42"/>
      <c r="DO8" s="72">
        <f t="shared" si="43"/>
        <v>11.6</v>
      </c>
      <c r="DP8" s="42"/>
      <c r="DQ8" s="71">
        <f t="shared" si="44"/>
        <v>2540.3999999999996</v>
      </c>
      <c r="DR8" s="42"/>
      <c r="DS8" s="69"/>
      <c r="DT8" s="42"/>
      <c r="DU8" s="71">
        <v>0</v>
      </c>
      <c r="DV8" s="42"/>
      <c r="DW8" s="73">
        <f t="shared" si="46"/>
        <v>0</v>
      </c>
      <c r="DX8" s="42"/>
      <c r="DY8" s="71">
        <f t="shared" si="47"/>
        <v>0</v>
      </c>
    </row>
    <row r="9" ht="12" customHeight="1" spans="1:129" x14ac:dyDescent="0.25">
      <c r="A9" s="74" t="s">
        <v>54</v>
      </c>
      <c r="B9" s="42"/>
      <c r="C9" s="75"/>
      <c r="D9" s="44"/>
      <c r="E9" s="78">
        <v>29.95</v>
      </c>
      <c r="F9" s="44"/>
      <c r="G9" s="61">
        <v>35.94</v>
      </c>
      <c r="I9" s="62"/>
      <c r="J9" s="63"/>
      <c r="K9" s="64"/>
      <c r="L9" s="3"/>
      <c r="M9" s="62">
        <v>1</v>
      </c>
      <c r="N9" s="3"/>
      <c r="O9" s="64"/>
      <c r="P9" s="3"/>
      <c r="Q9" s="62">
        <v>1</v>
      </c>
      <c r="R9" s="3"/>
      <c r="S9" s="64">
        <v>1</v>
      </c>
      <c r="T9" s="3"/>
      <c r="U9" s="62"/>
      <c r="V9" s="3"/>
      <c r="W9" s="64"/>
      <c r="X9" s="3"/>
      <c r="Y9" s="62"/>
      <c r="Z9" s="3"/>
      <c r="AA9" s="64"/>
      <c r="AB9" s="3"/>
      <c r="AC9" s="62"/>
      <c r="AD9" s="3"/>
      <c r="AE9" s="64"/>
      <c r="AF9" s="3"/>
      <c r="AG9" s="62"/>
      <c r="AH9" s="3"/>
      <c r="AI9" s="64"/>
      <c r="AJ9" s="3"/>
      <c r="AK9" s="62"/>
      <c r="AL9" s="3"/>
      <c r="AM9" s="64"/>
      <c r="AN9" s="3"/>
      <c r="AO9" s="62"/>
      <c r="AP9" s="3"/>
      <c r="AQ9" s="64"/>
      <c r="AR9" s="3"/>
      <c r="AS9" s="62"/>
      <c r="AT9" s="3"/>
      <c r="AU9" s="64"/>
      <c r="AW9" s="34">
        <f t="shared" si="0"/>
        <v>0</v>
      </c>
      <c r="AX9" s="65">
        <f t="shared" si="1"/>
        <v>0</v>
      </c>
      <c r="AY9" s="66"/>
      <c r="AZ9" s="31">
        <f t="shared" si="2"/>
        <v>0</v>
      </c>
      <c r="BA9" s="67">
        <f t="shared" si="3"/>
        <v>0</v>
      </c>
      <c r="BB9" s="66"/>
      <c r="BC9" s="31">
        <f t="shared" si="4"/>
        <v>1</v>
      </c>
      <c r="BD9" s="65">
        <f t="shared" si="5"/>
        <v>35.94</v>
      </c>
      <c r="BE9" s="66"/>
      <c r="BF9" s="31">
        <f t="shared" si="6"/>
        <v>0</v>
      </c>
      <c r="BG9" s="67">
        <f t="shared" si="7"/>
        <v>0</v>
      </c>
      <c r="BH9" s="66"/>
      <c r="BI9" s="31">
        <f t="shared" si="8"/>
        <v>1</v>
      </c>
      <c r="BJ9" s="65">
        <f t="shared" si="9"/>
        <v>35.94</v>
      </c>
      <c r="BK9" s="66"/>
      <c r="BL9" s="31">
        <f t="shared" si="10"/>
        <v>1</v>
      </c>
      <c r="BM9" s="67">
        <f t="shared" si="11"/>
        <v>35.94</v>
      </c>
      <c r="BN9" s="66"/>
      <c r="BO9" s="31">
        <f t="shared" si="12"/>
        <v>0</v>
      </c>
      <c r="BP9" s="65">
        <f t="shared" si="13"/>
        <v>0</v>
      </c>
      <c r="BQ9" s="66"/>
      <c r="BR9" s="31">
        <f t="shared" si="14"/>
        <v>0</v>
      </c>
      <c r="BS9" s="67">
        <f t="shared" si="15"/>
        <v>0</v>
      </c>
      <c r="BT9" s="66"/>
      <c r="BU9" s="31">
        <f t="shared" si="16"/>
        <v>0</v>
      </c>
      <c r="BV9" s="65">
        <f t="shared" si="17"/>
        <v>0</v>
      </c>
      <c r="BW9" s="66"/>
      <c r="BX9" s="31">
        <f t="shared" si="18"/>
        <v>0</v>
      </c>
      <c r="BY9" s="67">
        <f t="shared" si="19"/>
        <v>0</v>
      </c>
      <c r="BZ9" s="66"/>
      <c r="CA9" s="31">
        <f t="shared" si="20"/>
        <v>0</v>
      </c>
      <c r="CB9" s="65">
        <f t="shared" si="21"/>
        <v>0</v>
      </c>
      <c r="CC9" s="66"/>
      <c r="CD9" s="31">
        <f t="shared" si="22"/>
        <v>0</v>
      </c>
      <c r="CE9" s="67">
        <f t="shared" si="23"/>
        <v>0</v>
      </c>
      <c r="CF9" s="66"/>
      <c r="CG9" s="34">
        <f t="shared" si="24"/>
        <v>0</v>
      </c>
      <c r="CH9" s="67">
        <f t="shared" si="45"/>
        <v>0</v>
      </c>
      <c r="CI9" s="66"/>
      <c r="CJ9" s="34">
        <f t="shared" si="25"/>
        <v>0</v>
      </c>
      <c r="CK9" s="67">
        <f t="shared" si="26"/>
        <v>0</v>
      </c>
      <c r="CL9" s="66"/>
      <c r="CM9" s="34">
        <f t="shared" si="27"/>
        <v>0</v>
      </c>
      <c r="CN9" s="67">
        <f t="shared" si="28"/>
        <v>0</v>
      </c>
      <c r="CO9" s="66"/>
      <c r="CP9" s="34">
        <f t="shared" si="29"/>
        <v>0</v>
      </c>
      <c r="CQ9" s="67">
        <f t="shared" si="30"/>
        <v>0</v>
      </c>
      <c r="CR9" s="66"/>
      <c r="CS9" s="34">
        <f t="shared" si="31"/>
        <v>0</v>
      </c>
      <c r="CT9" s="65">
        <f t="shared" si="32"/>
        <v>0</v>
      </c>
      <c r="CU9" s="66"/>
      <c r="CV9" s="31">
        <f t="shared" si="33"/>
        <v>0</v>
      </c>
      <c r="CW9" s="67">
        <f t="shared" si="34"/>
        <v>0</v>
      </c>
      <c r="CX9" s="66"/>
      <c r="CY9" s="31">
        <f t="shared" si="35"/>
        <v>0</v>
      </c>
      <c r="CZ9" s="65">
        <f t="shared" si="36"/>
        <v>0</v>
      </c>
      <c r="DA9" s="66"/>
      <c r="DB9" s="31">
        <f t="shared" si="37"/>
        <v>0</v>
      </c>
      <c r="DC9" s="67">
        <f t="shared" si="38"/>
        <v>0</v>
      </c>
      <c r="DE9" s="76">
        <v>41</v>
      </c>
      <c r="DF9" s="42"/>
      <c r="DG9" s="69">
        <f t="shared" si="39"/>
        <v>0</v>
      </c>
      <c r="DH9" s="42"/>
      <c r="DI9" s="70">
        <f t="shared" si="40"/>
        <v>3</v>
      </c>
      <c r="DJ9" s="42"/>
      <c r="DK9" s="70">
        <f t="shared" si="41"/>
        <v>38</v>
      </c>
      <c r="DL9" s="42"/>
      <c r="DM9" s="71">
        <f t="shared" si="42"/>
        <v>1138.1</v>
      </c>
      <c r="DN9" s="42"/>
      <c r="DO9" s="72">
        <f t="shared" si="43"/>
        <v>12.666666666666666</v>
      </c>
      <c r="DP9" s="42"/>
      <c r="DQ9" s="71">
        <f t="shared" si="44"/>
        <v>1365.7199999999998</v>
      </c>
      <c r="DR9" s="42"/>
      <c r="DS9" s="69"/>
      <c r="DT9" s="42"/>
      <c r="DU9" s="71">
        <v>0</v>
      </c>
      <c r="DV9" s="42"/>
      <c r="DW9" s="73">
        <f t="shared" si="46"/>
        <v>0</v>
      </c>
      <c r="DX9" s="42"/>
      <c r="DY9" s="71">
        <f t="shared" si="47"/>
        <v>0</v>
      </c>
    </row>
    <row r="10" ht="12" customHeight="1" spans="1:129" x14ac:dyDescent="0.25">
      <c r="A10" s="77" t="s">
        <v>55</v>
      </c>
      <c r="B10" s="42"/>
      <c r="C10" s="75"/>
      <c r="D10" s="44"/>
      <c r="E10" s="78">
        <v>22.95</v>
      </c>
      <c r="F10" s="44"/>
      <c r="G10" s="61">
        <v>27.54</v>
      </c>
      <c r="I10" s="62"/>
      <c r="J10" s="63"/>
      <c r="K10" s="64">
        <v>1</v>
      </c>
      <c r="L10" s="3"/>
      <c r="M10" s="62"/>
      <c r="N10" s="3"/>
      <c r="O10" s="64"/>
      <c r="P10" s="3"/>
      <c r="Q10" s="62"/>
      <c r="R10" s="3"/>
      <c r="S10" s="64"/>
      <c r="T10" s="3"/>
      <c r="U10" s="62"/>
      <c r="V10" s="3"/>
      <c r="W10" s="64"/>
      <c r="X10" s="3"/>
      <c r="Y10" s="62"/>
      <c r="Z10" s="3"/>
      <c r="AA10" s="64"/>
      <c r="AB10" s="3"/>
      <c r="AC10" s="62"/>
      <c r="AD10" s="3"/>
      <c r="AE10" s="64"/>
      <c r="AF10" s="3"/>
      <c r="AG10" s="62"/>
      <c r="AH10" s="3"/>
      <c r="AI10" s="64"/>
      <c r="AJ10" s="3"/>
      <c r="AK10" s="62"/>
      <c r="AL10" s="3"/>
      <c r="AM10" s="64"/>
      <c r="AN10" s="3"/>
      <c r="AO10" s="62"/>
      <c r="AP10" s="3"/>
      <c r="AQ10" s="64"/>
      <c r="AR10" s="3"/>
      <c r="AS10" s="62"/>
      <c r="AT10" s="3"/>
      <c r="AU10" s="64"/>
      <c r="AW10" s="34">
        <f t="shared" si="0"/>
        <v>0</v>
      </c>
      <c r="AX10" s="65">
        <f t="shared" si="1"/>
        <v>0</v>
      </c>
      <c r="AY10" s="66"/>
      <c r="AZ10" s="31">
        <f t="shared" si="2"/>
        <v>1</v>
      </c>
      <c r="BA10" s="67">
        <f t="shared" si="3"/>
        <v>27.54</v>
      </c>
      <c r="BB10" s="66"/>
      <c r="BC10" s="31">
        <f t="shared" si="4"/>
        <v>0</v>
      </c>
      <c r="BD10" s="65">
        <f t="shared" si="5"/>
        <v>0</v>
      </c>
      <c r="BE10" s="66"/>
      <c r="BF10" s="31">
        <f t="shared" si="6"/>
        <v>0</v>
      </c>
      <c r="BG10" s="67">
        <f t="shared" si="7"/>
        <v>0</v>
      </c>
      <c r="BH10" s="66"/>
      <c r="BI10" s="31">
        <f t="shared" si="8"/>
        <v>0</v>
      </c>
      <c r="BJ10" s="65">
        <f t="shared" si="9"/>
        <v>0</v>
      </c>
      <c r="BK10" s="66"/>
      <c r="BL10" s="31">
        <f t="shared" si="10"/>
        <v>0</v>
      </c>
      <c r="BM10" s="67">
        <f t="shared" si="11"/>
        <v>0</v>
      </c>
      <c r="BN10" s="66"/>
      <c r="BO10" s="31">
        <f t="shared" si="12"/>
        <v>0</v>
      </c>
      <c r="BP10" s="65">
        <f t="shared" si="13"/>
        <v>0</v>
      </c>
      <c r="BQ10" s="66"/>
      <c r="BR10" s="31">
        <f t="shared" si="14"/>
        <v>0</v>
      </c>
      <c r="BS10" s="67">
        <f t="shared" si="15"/>
        <v>0</v>
      </c>
      <c r="BT10" s="66"/>
      <c r="BU10" s="31">
        <f t="shared" si="16"/>
        <v>0</v>
      </c>
      <c r="BV10" s="65">
        <f t="shared" si="17"/>
        <v>0</v>
      </c>
      <c r="BW10" s="66"/>
      <c r="BX10" s="31">
        <f t="shared" si="18"/>
        <v>0</v>
      </c>
      <c r="BY10" s="67">
        <f t="shared" si="19"/>
        <v>0</v>
      </c>
      <c r="BZ10" s="66"/>
      <c r="CA10" s="31">
        <f t="shared" si="20"/>
        <v>0</v>
      </c>
      <c r="CB10" s="65">
        <f t="shared" si="21"/>
        <v>0</v>
      </c>
      <c r="CC10" s="66"/>
      <c r="CD10" s="31">
        <f t="shared" si="22"/>
        <v>0</v>
      </c>
      <c r="CE10" s="67">
        <f t="shared" si="23"/>
        <v>0</v>
      </c>
      <c r="CF10" s="66"/>
      <c r="CG10" s="34">
        <f t="shared" si="24"/>
        <v>0</v>
      </c>
      <c r="CH10" s="67">
        <f t="shared" si="45"/>
        <v>0</v>
      </c>
      <c r="CI10" s="66"/>
      <c r="CJ10" s="34">
        <f t="shared" si="25"/>
        <v>0</v>
      </c>
      <c r="CK10" s="67">
        <f t="shared" si="26"/>
        <v>0</v>
      </c>
      <c r="CL10" s="66"/>
      <c r="CM10" s="34">
        <f t="shared" si="27"/>
        <v>0</v>
      </c>
      <c r="CN10" s="67">
        <f t="shared" si="28"/>
        <v>0</v>
      </c>
      <c r="CO10" s="66"/>
      <c r="CP10" s="34">
        <f t="shared" si="29"/>
        <v>0</v>
      </c>
      <c r="CQ10" s="67">
        <f t="shared" si="30"/>
        <v>0</v>
      </c>
      <c r="CR10" s="66"/>
      <c r="CS10" s="34">
        <f t="shared" si="31"/>
        <v>0</v>
      </c>
      <c r="CT10" s="65">
        <f t="shared" si="32"/>
        <v>0</v>
      </c>
      <c r="CU10" s="66"/>
      <c r="CV10" s="31">
        <f t="shared" si="33"/>
        <v>0</v>
      </c>
      <c r="CW10" s="67">
        <f t="shared" si="34"/>
        <v>0</v>
      </c>
      <c r="CX10" s="66"/>
      <c r="CY10" s="31">
        <f t="shared" si="35"/>
        <v>0</v>
      </c>
      <c r="CZ10" s="65">
        <f t="shared" si="36"/>
        <v>0</v>
      </c>
      <c r="DA10" s="66"/>
      <c r="DB10" s="31">
        <f t="shared" si="37"/>
        <v>0</v>
      </c>
      <c r="DC10" s="67">
        <f t="shared" si="38"/>
        <v>0</v>
      </c>
      <c r="DE10" s="76">
        <v>98</v>
      </c>
      <c r="DF10" s="42"/>
      <c r="DG10" s="69">
        <f t="shared" si="39"/>
        <v>0</v>
      </c>
      <c r="DH10" s="42"/>
      <c r="DI10" s="70">
        <f t="shared" si="40"/>
        <v>1</v>
      </c>
      <c r="DJ10" s="42"/>
      <c r="DK10" s="70">
        <f t="shared" si="41"/>
        <v>97</v>
      </c>
      <c r="DL10" s="42"/>
      <c r="DM10" s="71">
        <f t="shared" si="42"/>
        <v>2226.15</v>
      </c>
      <c r="DN10" s="42"/>
      <c r="DO10" s="72">
        <f t="shared" si="43"/>
        <v>97</v>
      </c>
      <c r="DP10" s="42"/>
      <c r="DQ10" s="71">
        <f t="shared" si="44"/>
        <v>2671.38</v>
      </c>
      <c r="DR10" s="42"/>
      <c r="DS10" s="69"/>
      <c r="DT10" s="42"/>
      <c r="DU10" s="71">
        <v>0</v>
      </c>
      <c r="DV10" s="42"/>
      <c r="DW10" s="73">
        <f t="shared" si="46"/>
        <v>0</v>
      </c>
      <c r="DX10" s="42"/>
      <c r="DY10" s="71">
        <f t="shared" si="47"/>
        <v>0</v>
      </c>
    </row>
    <row r="11" ht="12" customHeight="1" spans="1:129" x14ac:dyDescent="0.25">
      <c r="A11" s="74" t="s">
        <v>56</v>
      </c>
      <c r="B11" s="42"/>
      <c r="C11" s="75"/>
      <c r="D11" s="44"/>
      <c r="E11" s="78">
        <v>21.99</v>
      </c>
      <c r="F11" s="44"/>
      <c r="G11" s="61">
        <v>26.39</v>
      </c>
      <c r="I11" s="62"/>
      <c r="J11" s="63"/>
      <c r="K11" s="64">
        <v>2</v>
      </c>
      <c r="L11" s="3"/>
      <c r="M11" s="62">
        <v>1</v>
      </c>
      <c r="N11" s="3"/>
      <c r="O11" s="64">
        <v>1</v>
      </c>
      <c r="P11" s="3"/>
      <c r="Q11" s="62">
        <v>1</v>
      </c>
      <c r="R11" s="3"/>
      <c r="S11" s="64">
        <v>1</v>
      </c>
      <c r="T11" s="3"/>
      <c r="U11" s="62">
        <v>1</v>
      </c>
      <c r="V11" s="3"/>
      <c r="W11" s="64">
        <v>1</v>
      </c>
      <c r="X11" s="3"/>
      <c r="Y11" s="62">
        <v>1</v>
      </c>
      <c r="Z11" s="3"/>
      <c r="AA11" s="64"/>
      <c r="AB11" s="3"/>
      <c r="AC11" s="62">
        <v>1</v>
      </c>
      <c r="AD11" s="3"/>
      <c r="AE11" s="64"/>
      <c r="AF11" s="3"/>
      <c r="AG11" s="62"/>
      <c r="AH11" s="3"/>
      <c r="AI11" s="64"/>
      <c r="AJ11" s="3"/>
      <c r="AK11" s="62"/>
      <c r="AL11" s="3"/>
      <c r="AM11" s="64"/>
      <c r="AN11" s="3"/>
      <c r="AO11" s="62"/>
      <c r="AP11" s="3"/>
      <c r="AQ11" s="64"/>
      <c r="AR11" s="3"/>
      <c r="AS11" s="62"/>
      <c r="AT11" s="3"/>
      <c r="AU11" s="64"/>
      <c r="AW11" s="34">
        <f t="shared" si="0"/>
        <v>0</v>
      </c>
      <c r="AX11" s="65">
        <f t="shared" si="1"/>
        <v>0</v>
      </c>
      <c r="AY11" s="66"/>
      <c r="AZ11" s="31">
        <f t="shared" si="2"/>
        <v>2</v>
      </c>
      <c r="BA11" s="67">
        <f t="shared" si="3"/>
        <v>52.78</v>
      </c>
      <c r="BB11" s="66"/>
      <c r="BC11" s="31">
        <f t="shared" si="4"/>
        <v>1</v>
      </c>
      <c r="BD11" s="65">
        <f t="shared" si="5"/>
        <v>26.39</v>
      </c>
      <c r="BE11" s="66"/>
      <c r="BF11" s="31">
        <f t="shared" si="6"/>
        <v>1</v>
      </c>
      <c r="BG11" s="67">
        <f t="shared" si="7"/>
        <v>26.39</v>
      </c>
      <c r="BH11" s="66"/>
      <c r="BI11" s="31">
        <f t="shared" si="8"/>
        <v>1</v>
      </c>
      <c r="BJ11" s="65">
        <f t="shared" si="9"/>
        <v>26.39</v>
      </c>
      <c r="BK11" s="66"/>
      <c r="BL11" s="31">
        <f t="shared" si="10"/>
        <v>1</v>
      </c>
      <c r="BM11" s="67">
        <f t="shared" si="11"/>
        <v>26.39</v>
      </c>
      <c r="BN11" s="66"/>
      <c r="BO11" s="31">
        <f t="shared" si="12"/>
        <v>1</v>
      </c>
      <c r="BP11" s="65">
        <f t="shared" si="13"/>
        <v>26.39</v>
      </c>
      <c r="BQ11" s="66"/>
      <c r="BR11" s="31">
        <f t="shared" si="14"/>
        <v>1</v>
      </c>
      <c r="BS11" s="67">
        <f t="shared" si="15"/>
        <v>26.39</v>
      </c>
      <c r="BT11" s="66"/>
      <c r="BU11" s="31">
        <f t="shared" si="16"/>
        <v>1</v>
      </c>
      <c r="BV11" s="65">
        <f t="shared" si="17"/>
        <v>26.39</v>
      </c>
      <c r="BW11" s="66"/>
      <c r="BX11" s="31">
        <f t="shared" si="18"/>
        <v>0</v>
      </c>
      <c r="BY11" s="67">
        <f t="shared" si="19"/>
        <v>0</v>
      </c>
      <c r="BZ11" s="66"/>
      <c r="CA11" s="31">
        <f t="shared" si="20"/>
        <v>1</v>
      </c>
      <c r="CB11" s="65">
        <f t="shared" si="21"/>
        <v>26.39</v>
      </c>
      <c r="CC11" s="66"/>
      <c r="CD11" s="31">
        <f t="shared" si="22"/>
        <v>0</v>
      </c>
      <c r="CE11" s="67">
        <f t="shared" si="23"/>
        <v>0</v>
      </c>
      <c r="CF11" s="66"/>
      <c r="CG11" s="34">
        <f t="shared" si="24"/>
        <v>0</v>
      </c>
      <c r="CH11" s="67">
        <f t="shared" si="45"/>
        <v>0</v>
      </c>
      <c r="CI11" s="66"/>
      <c r="CJ11" s="34">
        <f t="shared" si="25"/>
        <v>0</v>
      </c>
      <c r="CK11" s="67">
        <f t="shared" si="26"/>
        <v>0</v>
      </c>
      <c r="CL11" s="66"/>
      <c r="CM11" s="34">
        <f t="shared" si="27"/>
        <v>0</v>
      </c>
      <c r="CN11" s="67">
        <f t="shared" si="28"/>
        <v>0</v>
      </c>
      <c r="CO11" s="66"/>
      <c r="CP11" s="34">
        <f t="shared" si="29"/>
        <v>0</v>
      </c>
      <c r="CQ11" s="67">
        <f t="shared" si="30"/>
        <v>0</v>
      </c>
      <c r="CR11" s="66"/>
      <c r="CS11" s="34">
        <f t="shared" si="31"/>
        <v>0</v>
      </c>
      <c r="CT11" s="65">
        <f t="shared" si="32"/>
        <v>0</v>
      </c>
      <c r="CU11" s="66"/>
      <c r="CV11" s="31">
        <f t="shared" si="33"/>
        <v>0</v>
      </c>
      <c r="CW11" s="67">
        <f t="shared" si="34"/>
        <v>0</v>
      </c>
      <c r="CX11" s="66"/>
      <c r="CY11" s="31">
        <f t="shared" si="35"/>
        <v>0</v>
      </c>
      <c r="CZ11" s="65">
        <f t="shared" si="36"/>
        <v>0</v>
      </c>
      <c r="DA11" s="66"/>
      <c r="DB11" s="31">
        <f t="shared" si="37"/>
        <v>0</v>
      </c>
      <c r="DC11" s="67">
        <f t="shared" si="38"/>
        <v>0</v>
      </c>
      <c r="DE11" s="76">
        <v>378</v>
      </c>
      <c r="DF11" s="42"/>
      <c r="DG11" s="69">
        <f t="shared" si="39"/>
        <v>0</v>
      </c>
      <c r="DH11" s="42"/>
      <c r="DI11" s="70">
        <f t="shared" si="40"/>
        <v>10</v>
      </c>
      <c r="DJ11" s="42"/>
      <c r="DK11" s="70">
        <f t="shared" si="41"/>
        <v>368</v>
      </c>
      <c r="DL11" s="42"/>
      <c r="DM11" s="71">
        <f t="shared" si="42"/>
        <v>8092.32</v>
      </c>
      <c r="DN11" s="42"/>
      <c r="DO11" s="72">
        <f t="shared" si="43"/>
        <v>36.8</v>
      </c>
      <c r="DP11" s="42"/>
      <c r="DQ11" s="71">
        <f t="shared" si="44"/>
        <v>9711.52</v>
      </c>
      <c r="DR11" s="42"/>
      <c r="DS11" s="69"/>
      <c r="DT11" s="42"/>
      <c r="DU11" s="71">
        <v>0</v>
      </c>
      <c r="DV11" s="42"/>
      <c r="DW11" s="73">
        <f t="shared" si="46"/>
        <v>0</v>
      </c>
      <c r="DX11" s="42"/>
      <c r="DY11" s="71">
        <f t="shared" si="47"/>
        <v>0</v>
      </c>
    </row>
    <row r="12" ht="12" customHeight="1" spans="1:129" x14ac:dyDescent="0.25">
      <c r="A12" s="77" t="s">
        <v>57</v>
      </c>
      <c r="B12" s="42"/>
      <c r="C12" s="75"/>
      <c r="D12" s="44"/>
      <c r="E12" s="78">
        <v>18.745</v>
      </c>
      <c r="F12" s="44"/>
      <c r="G12" s="61">
        <v>22.49</v>
      </c>
      <c r="I12" s="62"/>
      <c r="J12" s="63"/>
      <c r="K12" s="64">
        <v>2</v>
      </c>
      <c r="L12" s="3"/>
      <c r="M12" s="62">
        <v>1</v>
      </c>
      <c r="N12" s="3"/>
      <c r="O12" s="64">
        <v>1</v>
      </c>
      <c r="P12" s="3"/>
      <c r="Q12" s="62">
        <v>1</v>
      </c>
      <c r="R12" s="3"/>
      <c r="S12" s="64">
        <v>1</v>
      </c>
      <c r="T12" s="3"/>
      <c r="U12" s="62">
        <v>1</v>
      </c>
      <c r="V12" s="3"/>
      <c r="W12" s="64">
        <v>2</v>
      </c>
      <c r="X12" s="3"/>
      <c r="Y12" s="62">
        <v>1</v>
      </c>
      <c r="Z12" s="3"/>
      <c r="AA12" s="64"/>
      <c r="AB12" s="3"/>
      <c r="AC12" s="62">
        <v>2</v>
      </c>
      <c r="AD12" s="3"/>
      <c r="AE12" s="64"/>
      <c r="AF12" s="3"/>
      <c r="AG12" s="62"/>
      <c r="AH12" s="3"/>
      <c r="AI12" s="64"/>
      <c r="AJ12" s="3"/>
      <c r="AK12" s="62"/>
      <c r="AL12" s="3"/>
      <c r="AM12" s="64"/>
      <c r="AN12" s="3"/>
      <c r="AO12" s="62"/>
      <c r="AP12" s="3"/>
      <c r="AQ12" s="64"/>
      <c r="AR12" s="3"/>
      <c r="AS12" s="62"/>
      <c r="AT12" s="3"/>
      <c r="AU12" s="64"/>
      <c r="AW12" s="34">
        <f t="shared" si="0"/>
        <v>0</v>
      </c>
      <c r="AX12" s="65">
        <f t="shared" si="1"/>
        <v>0</v>
      </c>
      <c r="AY12" s="66"/>
      <c r="AZ12" s="31">
        <f t="shared" si="2"/>
        <v>2</v>
      </c>
      <c r="BA12" s="67">
        <f t="shared" si="3"/>
        <v>44.98</v>
      </c>
      <c r="BB12" s="66"/>
      <c r="BC12" s="31">
        <f t="shared" si="4"/>
        <v>1</v>
      </c>
      <c r="BD12" s="65">
        <f t="shared" si="5"/>
        <v>22.49</v>
      </c>
      <c r="BE12" s="66"/>
      <c r="BF12" s="31">
        <f t="shared" si="6"/>
        <v>1</v>
      </c>
      <c r="BG12" s="67">
        <f t="shared" si="7"/>
        <v>22.49</v>
      </c>
      <c r="BH12" s="66"/>
      <c r="BI12" s="31">
        <f t="shared" si="8"/>
        <v>1</v>
      </c>
      <c r="BJ12" s="65">
        <f t="shared" si="9"/>
        <v>22.49</v>
      </c>
      <c r="BK12" s="66"/>
      <c r="BL12" s="31">
        <f t="shared" si="10"/>
        <v>1</v>
      </c>
      <c r="BM12" s="67">
        <f t="shared" si="11"/>
        <v>22.49</v>
      </c>
      <c r="BN12" s="66"/>
      <c r="BO12" s="31">
        <f t="shared" si="12"/>
        <v>1</v>
      </c>
      <c r="BP12" s="65">
        <f t="shared" si="13"/>
        <v>22.49</v>
      </c>
      <c r="BQ12" s="66"/>
      <c r="BR12" s="31">
        <f t="shared" si="14"/>
        <v>2</v>
      </c>
      <c r="BS12" s="67">
        <f t="shared" si="15"/>
        <v>44.98</v>
      </c>
      <c r="BT12" s="66"/>
      <c r="BU12" s="31">
        <f t="shared" si="16"/>
        <v>1</v>
      </c>
      <c r="BV12" s="65">
        <f t="shared" si="17"/>
        <v>22.49</v>
      </c>
      <c r="BW12" s="66"/>
      <c r="BX12" s="31">
        <f t="shared" si="18"/>
        <v>0</v>
      </c>
      <c r="BY12" s="67">
        <f t="shared" si="19"/>
        <v>0</v>
      </c>
      <c r="BZ12" s="66"/>
      <c r="CA12" s="31">
        <f t="shared" si="20"/>
        <v>2</v>
      </c>
      <c r="CB12" s="65">
        <f t="shared" si="21"/>
        <v>44.98</v>
      </c>
      <c r="CC12" s="66"/>
      <c r="CD12" s="31">
        <f t="shared" si="22"/>
        <v>0</v>
      </c>
      <c r="CE12" s="67">
        <f t="shared" si="23"/>
        <v>0</v>
      </c>
      <c r="CF12" s="66"/>
      <c r="CG12" s="34">
        <f t="shared" si="24"/>
        <v>0</v>
      </c>
      <c r="CH12" s="67">
        <f t="shared" si="45"/>
        <v>0</v>
      </c>
      <c r="CI12" s="66"/>
      <c r="CJ12" s="34">
        <f t="shared" si="25"/>
        <v>0</v>
      </c>
      <c r="CK12" s="67">
        <f t="shared" si="26"/>
        <v>0</v>
      </c>
      <c r="CL12" s="66"/>
      <c r="CM12" s="34">
        <f t="shared" si="27"/>
        <v>0</v>
      </c>
      <c r="CN12" s="67">
        <f t="shared" si="28"/>
        <v>0</v>
      </c>
      <c r="CO12" s="66"/>
      <c r="CP12" s="34">
        <f t="shared" si="29"/>
        <v>0</v>
      </c>
      <c r="CQ12" s="67">
        <f t="shared" si="30"/>
        <v>0</v>
      </c>
      <c r="CR12" s="66"/>
      <c r="CS12" s="34">
        <f t="shared" si="31"/>
        <v>0</v>
      </c>
      <c r="CT12" s="65">
        <f t="shared" si="32"/>
        <v>0</v>
      </c>
      <c r="CU12" s="66"/>
      <c r="CV12" s="31">
        <f t="shared" si="33"/>
        <v>0</v>
      </c>
      <c r="CW12" s="67">
        <f t="shared" si="34"/>
        <v>0</v>
      </c>
      <c r="CX12" s="66"/>
      <c r="CY12" s="31">
        <f t="shared" si="35"/>
        <v>0</v>
      </c>
      <c r="CZ12" s="65">
        <f t="shared" si="36"/>
        <v>0</v>
      </c>
      <c r="DA12" s="66"/>
      <c r="DB12" s="31">
        <f t="shared" si="37"/>
        <v>0</v>
      </c>
      <c r="DC12" s="67">
        <f t="shared" si="38"/>
        <v>0</v>
      </c>
      <c r="DE12" s="76">
        <v>517</v>
      </c>
      <c r="DF12" s="42"/>
      <c r="DG12" s="69">
        <f t="shared" si="39"/>
        <v>0</v>
      </c>
      <c r="DH12" s="42"/>
      <c r="DI12" s="70">
        <f t="shared" si="40"/>
        <v>12</v>
      </c>
      <c r="DJ12" s="42"/>
      <c r="DK12" s="70">
        <f t="shared" si="41"/>
        <v>505</v>
      </c>
      <c r="DL12" s="42"/>
      <c r="DM12" s="71">
        <f t="shared" si="42"/>
        <v>9466.225</v>
      </c>
      <c r="DN12" s="42"/>
      <c r="DO12" s="72">
        <f t="shared" si="43"/>
        <v>42.083333333333336</v>
      </c>
      <c r="DP12" s="42"/>
      <c r="DQ12" s="71">
        <f t="shared" si="44"/>
        <v>11357.449999999999</v>
      </c>
      <c r="DR12" s="42"/>
      <c r="DS12" s="69"/>
      <c r="DT12" s="42"/>
      <c r="DU12" s="71">
        <v>0</v>
      </c>
      <c r="DV12" s="42"/>
      <c r="DW12" s="73">
        <f t="shared" si="46"/>
        <v>0</v>
      </c>
      <c r="DX12" s="42"/>
      <c r="DY12" s="71">
        <f t="shared" si="47"/>
        <v>0</v>
      </c>
    </row>
    <row r="13" ht="12" customHeight="1" spans="1:129" x14ac:dyDescent="0.25">
      <c r="A13" s="74" t="s">
        <v>58</v>
      </c>
      <c r="B13" s="27"/>
      <c r="C13" s="75"/>
      <c r="D13" s="29"/>
      <c r="E13" s="78">
        <v>15.62</v>
      </c>
      <c r="F13" s="29"/>
      <c r="G13" s="61">
        <v>18.74</v>
      </c>
      <c r="H13" s="8"/>
      <c r="I13" s="62">
        <v>1</v>
      </c>
      <c r="J13" s="63"/>
      <c r="K13" s="64">
        <v>1</v>
      </c>
      <c r="L13" s="3"/>
      <c r="M13" s="62">
        <v>1</v>
      </c>
      <c r="N13" s="3"/>
      <c r="O13" s="64">
        <v>1</v>
      </c>
      <c r="P13" s="3"/>
      <c r="Q13" s="62">
        <v>1</v>
      </c>
      <c r="R13" s="3"/>
      <c r="S13" s="64"/>
      <c r="T13" s="3"/>
      <c r="U13" s="62">
        <v>1</v>
      </c>
      <c r="V13" s="3"/>
      <c r="W13" s="64">
        <v>2</v>
      </c>
      <c r="X13" s="3"/>
      <c r="Y13" s="62"/>
      <c r="Z13" s="3"/>
      <c r="AA13" s="64"/>
      <c r="AB13" s="3"/>
      <c r="AC13" s="62"/>
      <c r="AD13" s="3"/>
      <c r="AE13" s="64"/>
      <c r="AF13" s="3"/>
      <c r="AG13" s="62"/>
      <c r="AH13" s="3"/>
      <c r="AI13" s="64"/>
      <c r="AJ13" s="3"/>
      <c r="AK13" s="62"/>
      <c r="AL13" s="3"/>
      <c r="AM13" s="64"/>
      <c r="AN13" s="3"/>
      <c r="AO13" s="62"/>
      <c r="AP13" s="3"/>
      <c r="AQ13" s="64"/>
      <c r="AR13" s="3"/>
      <c r="AS13" s="62"/>
      <c r="AT13" s="3"/>
      <c r="AU13" s="64"/>
      <c r="AW13" s="34">
        <f t="shared" si="0"/>
        <v>1</v>
      </c>
      <c r="AX13" s="65">
        <f t="shared" si="1"/>
        <v>18.74</v>
      </c>
      <c r="AY13" s="66"/>
      <c r="AZ13" s="31">
        <f t="shared" si="2"/>
        <v>1</v>
      </c>
      <c r="BA13" s="67">
        <f t="shared" si="3"/>
        <v>18.74</v>
      </c>
      <c r="BB13" s="66"/>
      <c r="BC13" s="31">
        <f t="shared" si="4"/>
        <v>1</v>
      </c>
      <c r="BD13" s="65">
        <f t="shared" si="5"/>
        <v>18.74</v>
      </c>
      <c r="BE13" s="66"/>
      <c r="BF13" s="31">
        <f t="shared" si="6"/>
        <v>1</v>
      </c>
      <c r="BG13" s="67">
        <f t="shared" si="7"/>
        <v>18.74</v>
      </c>
      <c r="BH13" s="66"/>
      <c r="BI13" s="31">
        <f t="shared" si="8"/>
        <v>1</v>
      </c>
      <c r="BJ13" s="65">
        <f t="shared" si="9"/>
        <v>18.74</v>
      </c>
      <c r="BK13" s="66"/>
      <c r="BL13" s="31">
        <f t="shared" si="10"/>
        <v>0</v>
      </c>
      <c r="BM13" s="67">
        <f t="shared" si="11"/>
        <v>0</v>
      </c>
      <c r="BN13" s="66"/>
      <c r="BO13" s="31">
        <f t="shared" si="12"/>
        <v>1</v>
      </c>
      <c r="BP13" s="65">
        <f t="shared" si="13"/>
        <v>18.74</v>
      </c>
      <c r="BQ13" s="66"/>
      <c r="BR13" s="31">
        <f t="shared" si="14"/>
        <v>2</v>
      </c>
      <c r="BS13" s="67">
        <f t="shared" si="15"/>
        <v>37.48</v>
      </c>
      <c r="BT13" s="66"/>
      <c r="BU13" s="31">
        <f t="shared" si="16"/>
        <v>0</v>
      </c>
      <c r="BV13" s="65">
        <f t="shared" si="17"/>
        <v>0</v>
      </c>
      <c r="BW13" s="66"/>
      <c r="BX13" s="31">
        <f t="shared" si="18"/>
        <v>0</v>
      </c>
      <c r="BY13" s="67">
        <f t="shared" si="19"/>
        <v>0</v>
      </c>
      <c r="BZ13" s="66"/>
      <c r="CA13" s="31">
        <f t="shared" si="20"/>
        <v>0</v>
      </c>
      <c r="CB13" s="65">
        <f t="shared" si="21"/>
        <v>0</v>
      </c>
      <c r="CC13" s="66"/>
      <c r="CD13" s="31">
        <f t="shared" si="22"/>
        <v>0</v>
      </c>
      <c r="CE13" s="67">
        <f t="shared" si="23"/>
        <v>0</v>
      </c>
      <c r="CF13" s="66"/>
      <c r="CG13" s="34">
        <f t="shared" si="24"/>
        <v>0</v>
      </c>
      <c r="CH13" s="67">
        <f t="shared" si="45"/>
        <v>0</v>
      </c>
      <c r="CI13" s="66"/>
      <c r="CJ13" s="34">
        <f t="shared" si="25"/>
        <v>0</v>
      </c>
      <c r="CK13" s="67">
        <f t="shared" si="26"/>
        <v>0</v>
      </c>
      <c r="CL13" s="66"/>
      <c r="CM13" s="34">
        <f t="shared" si="27"/>
        <v>0</v>
      </c>
      <c r="CN13" s="67">
        <f t="shared" si="28"/>
        <v>0</v>
      </c>
      <c r="CO13" s="66"/>
      <c r="CP13" s="34">
        <f t="shared" si="29"/>
        <v>0</v>
      </c>
      <c r="CQ13" s="67">
        <f t="shared" si="30"/>
        <v>0</v>
      </c>
      <c r="CR13" s="66"/>
      <c r="CS13" s="34">
        <f t="shared" si="31"/>
        <v>0</v>
      </c>
      <c r="CT13" s="65">
        <f t="shared" si="32"/>
        <v>0</v>
      </c>
      <c r="CU13" s="66"/>
      <c r="CV13" s="31">
        <f t="shared" si="33"/>
        <v>0</v>
      </c>
      <c r="CW13" s="67">
        <f t="shared" si="34"/>
        <v>0</v>
      </c>
      <c r="CX13" s="66"/>
      <c r="CY13" s="31">
        <f t="shared" si="35"/>
        <v>0</v>
      </c>
      <c r="CZ13" s="65">
        <f t="shared" si="36"/>
        <v>0</v>
      </c>
      <c r="DA13" s="66"/>
      <c r="DB13" s="31">
        <f t="shared" si="37"/>
        <v>0</v>
      </c>
      <c r="DC13" s="67">
        <f t="shared" si="38"/>
        <v>0</v>
      </c>
      <c r="DE13" s="76">
        <v>15</v>
      </c>
      <c r="DF13" s="42"/>
      <c r="DG13" s="69">
        <f t="shared" si="39"/>
        <v>0</v>
      </c>
      <c r="DH13" s="42"/>
      <c r="DI13" s="70">
        <f t="shared" si="40"/>
        <v>8</v>
      </c>
      <c r="DJ13" s="42"/>
      <c r="DK13" s="70">
        <f t="shared" si="41"/>
        <v>7</v>
      </c>
      <c r="DL13" s="42"/>
      <c r="DM13" s="71">
        <f t="shared" si="42"/>
        <v>109.33999999999999</v>
      </c>
      <c r="DN13" s="42"/>
      <c r="DO13" s="72">
        <f t="shared" si="43"/>
        <v>0.875</v>
      </c>
      <c r="DP13" s="42"/>
      <c r="DQ13" s="71">
        <f t="shared" si="44"/>
        <v>131.17999999999998</v>
      </c>
      <c r="DR13" s="42"/>
      <c r="DS13" s="69">
        <v>308</v>
      </c>
      <c r="DT13" s="42"/>
      <c r="DU13" s="71">
        <v>27.5</v>
      </c>
      <c r="DV13" s="42"/>
      <c r="DW13" s="73">
        <f t="shared" si="46"/>
        <v>33</v>
      </c>
      <c r="DX13" s="42"/>
      <c r="DY13" s="71">
        <f t="shared" si="47"/>
        <v>8470</v>
      </c>
    </row>
    <row r="14" ht="12" customHeight="1" spans="1:129" x14ac:dyDescent="0.25">
      <c r="A14" s="58" t="s">
        <v>59</v>
      </c>
      <c r="B14" s="42"/>
      <c r="C14" s="75"/>
      <c r="D14" s="44"/>
      <c r="E14" s="78">
        <v>11.07</v>
      </c>
      <c r="F14" s="44"/>
      <c r="G14" s="61">
        <v>13.28</v>
      </c>
      <c r="I14" s="62"/>
      <c r="J14" s="63"/>
      <c r="K14" s="64">
        <v>1</v>
      </c>
      <c r="L14" s="3"/>
      <c r="M14" s="62"/>
      <c r="N14" s="3"/>
      <c r="O14" s="64">
        <v>1</v>
      </c>
      <c r="P14" s="3"/>
      <c r="Q14" s="62">
        <v>1</v>
      </c>
      <c r="R14" s="3"/>
      <c r="S14" s="64"/>
      <c r="T14" s="3"/>
      <c r="U14" s="62">
        <v>1</v>
      </c>
      <c r="V14" s="3"/>
      <c r="W14" s="64">
        <v>1</v>
      </c>
      <c r="X14" s="3"/>
      <c r="Y14" s="62"/>
      <c r="Z14" s="3"/>
      <c r="AA14" s="64"/>
      <c r="AB14" s="3"/>
      <c r="AC14" s="62">
        <v>1</v>
      </c>
      <c r="AD14" s="3"/>
      <c r="AE14" s="64"/>
      <c r="AF14" s="3"/>
      <c r="AG14" s="62"/>
      <c r="AH14" s="3"/>
      <c r="AI14" s="64"/>
      <c r="AJ14" s="3"/>
      <c r="AK14" s="62"/>
      <c r="AL14" s="3"/>
      <c r="AM14" s="64"/>
      <c r="AN14" s="3"/>
      <c r="AO14" s="62"/>
      <c r="AP14" s="3"/>
      <c r="AQ14" s="64"/>
      <c r="AR14" s="3"/>
      <c r="AS14" s="62"/>
      <c r="AT14" s="3"/>
      <c r="AU14" s="64"/>
      <c r="AW14" s="34">
        <f t="shared" si="0"/>
        <v>0</v>
      </c>
      <c r="AX14" s="65">
        <f t="shared" si="1"/>
        <v>0</v>
      </c>
      <c r="AY14" s="66"/>
      <c r="AZ14" s="31">
        <f t="shared" si="2"/>
        <v>1</v>
      </c>
      <c r="BA14" s="67">
        <f t="shared" si="3"/>
        <v>13.28</v>
      </c>
      <c r="BB14" s="66"/>
      <c r="BC14" s="31">
        <f t="shared" si="4"/>
        <v>0</v>
      </c>
      <c r="BD14" s="65">
        <f t="shared" si="5"/>
        <v>0</v>
      </c>
      <c r="BE14" s="66"/>
      <c r="BF14" s="31">
        <f t="shared" si="6"/>
        <v>1</v>
      </c>
      <c r="BG14" s="67">
        <f t="shared" si="7"/>
        <v>13.28</v>
      </c>
      <c r="BH14" s="66"/>
      <c r="BI14" s="31">
        <f t="shared" si="8"/>
        <v>1</v>
      </c>
      <c r="BJ14" s="65">
        <f t="shared" si="9"/>
        <v>13.28</v>
      </c>
      <c r="BK14" s="66"/>
      <c r="BL14" s="31">
        <f t="shared" si="10"/>
        <v>0</v>
      </c>
      <c r="BM14" s="67">
        <f t="shared" si="11"/>
        <v>0</v>
      </c>
      <c r="BN14" s="66"/>
      <c r="BO14" s="31">
        <f t="shared" si="12"/>
        <v>1</v>
      </c>
      <c r="BP14" s="65">
        <f t="shared" si="13"/>
        <v>13.28</v>
      </c>
      <c r="BQ14" s="66"/>
      <c r="BR14" s="31">
        <f t="shared" si="14"/>
        <v>1</v>
      </c>
      <c r="BS14" s="67">
        <f t="shared" si="15"/>
        <v>13.28</v>
      </c>
      <c r="BT14" s="66"/>
      <c r="BU14" s="31">
        <f t="shared" si="16"/>
        <v>0</v>
      </c>
      <c r="BV14" s="65">
        <f t="shared" si="17"/>
        <v>0</v>
      </c>
      <c r="BW14" s="66"/>
      <c r="BX14" s="31">
        <f t="shared" si="18"/>
        <v>0</v>
      </c>
      <c r="BY14" s="67">
        <f t="shared" si="19"/>
        <v>0</v>
      </c>
      <c r="BZ14" s="66"/>
      <c r="CA14" s="31">
        <f t="shared" si="20"/>
        <v>1</v>
      </c>
      <c r="CB14" s="65">
        <f t="shared" si="21"/>
        <v>13.28</v>
      </c>
      <c r="CC14" s="66"/>
      <c r="CD14" s="31">
        <f t="shared" si="22"/>
        <v>0</v>
      </c>
      <c r="CE14" s="67">
        <f t="shared" si="23"/>
        <v>0</v>
      </c>
      <c r="CF14" s="66"/>
      <c r="CG14" s="34">
        <f t="shared" si="24"/>
        <v>0</v>
      </c>
      <c r="CH14" s="67">
        <f t="shared" si="45"/>
        <v>0</v>
      </c>
      <c r="CI14" s="66"/>
      <c r="CJ14" s="34">
        <f t="shared" si="25"/>
        <v>0</v>
      </c>
      <c r="CK14" s="67">
        <f t="shared" si="26"/>
        <v>0</v>
      </c>
      <c r="CL14" s="66"/>
      <c r="CM14" s="34">
        <f t="shared" si="27"/>
        <v>0</v>
      </c>
      <c r="CN14" s="67">
        <f t="shared" si="28"/>
        <v>0</v>
      </c>
      <c r="CO14" s="66"/>
      <c r="CP14" s="34">
        <f t="shared" si="29"/>
        <v>0</v>
      </c>
      <c r="CQ14" s="67">
        <f t="shared" si="30"/>
        <v>0</v>
      </c>
      <c r="CR14" s="66"/>
      <c r="CS14" s="34">
        <f t="shared" si="31"/>
        <v>0</v>
      </c>
      <c r="CT14" s="65">
        <f t="shared" si="32"/>
        <v>0</v>
      </c>
      <c r="CU14" s="66"/>
      <c r="CV14" s="31">
        <f t="shared" si="33"/>
        <v>0</v>
      </c>
      <c r="CW14" s="67">
        <f t="shared" si="34"/>
        <v>0</v>
      </c>
      <c r="CX14" s="66"/>
      <c r="CY14" s="31">
        <f t="shared" si="35"/>
        <v>0</v>
      </c>
      <c r="CZ14" s="65">
        <f t="shared" si="36"/>
        <v>0</v>
      </c>
      <c r="DA14" s="66"/>
      <c r="DB14" s="31">
        <f t="shared" si="37"/>
        <v>0</v>
      </c>
      <c r="DC14" s="67">
        <f t="shared" si="38"/>
        <v>0</v>
      </c>
      <c r="DE14" s="76">
        <v>120</v>
      </c>
      <c r="DF14" s="42"/>
      <c r="DG14" s="69">
        <f t="shared" si="39"/>
        <v>0</v>
      </c>
      <c r="DH14" s="42"/>
      <c r="DI14" s="70">
        <f t="shared" si="40"/>
        <v>6</v>
      </c>
      <c r="DJ14" s="42"/>
      <c r="DK14" s="70">
        <f t="shared" si="41"/>
        <v>114</v>
      </c>
      <c r="DL14" s="42"/>
      <c r="DM14" s="71">
        <f t="shared" si="42"/>
        <v>1261.98</v>
      </c>
      <c r="DN14" s="42"/>
      <c r="DO14" s="72">
        <f t="shared" si="43"/>
        <v>19</v>
      </c>
      <c r="DP14" s="42"/>
      <c r="DQ14" s="71">
        <f t="shared" si="44"/>
        <v>1513.9199999999998</v>
      </c>
      <c r="DR14" s="42"/>
      <c r="DS14" s="69"/>
      <c r="DT14" s="42"/>
      <c r="DU14" s="71">
        <v>0</v>
      </c>
      <c r="DV14" s="42"/>
      <c r="DW14" s="73">
        <f t="shared" si="46"/>
        <v>0</v>
      </c>
      <c r="DX14" s="42"/>
      <c r="DY14" s="71">
        <f t="shared" si="47"/>
        <v>0</v>
      </c>
    </row>
    <row r="15" ht="12" customHeight="1" spans="1:129" x14ac:dyDescent="0.25">
      <c r="A15" s="79" t="s">
        <v>60</v>
      </c>
      <c r="B15" s="42"/>
      <c r="C15" s="75"/>
      <c r="D15" s="44"/>
      <c r="E15" s="78">
        <v>13.03</v>
      </c>
      <c r="F15" s="44"/>
      <c r="G15" s="61">
        <v>15.64</v>
      </c>
      <c r="I15" s="62"/>
      <c r="J15" s="63"/>
      <c r="K15" s="64">
        <v>1</v>
      </c>
      <c r="L15" s="3"/>
      <c r="M15" s="62">
        <v>1</v>
      </c>
      <c r="N15" s="3"/>
      <c r="O15" s="64"/>
      <c r="P15" s="3"/>
      <c r="Q15" s="62"/>
      <c r="R15" s="3"/>
      <c r="S15" s="64"/>
      <c r="T15" s="3"/>
      <c r="U15" s="62"/>
      <c r="V15" s="3"/>
      <c r="W15" s="64"/>
      <c r="X15" s="3"/>
      <c r="Y15" s="62"/>
      <c r="Z15" s="3"/>
      <c r="AA15" s="64"/>
      <c r="AB15" s="3"/>
      <c r="AC15" s="62"/>
      <c r="AD15" s="3"/>
      <c r="AE15" s="64"/>
      <c r="AF15" s="3"/>
      <c r="AG15" s="62"/>
      <c r="AH15" s="3"/>
      <c r="AI15" s="64"/>
      <c r="AJ15" s="3"/>
      <c r="AK15" s="62"/>
      <c r="AL15" s="3"/>
      <c r="AM15" s="64"/>
      <c r="AN15" s="3"/>
      <c r="AO15" s="62"/>
      <c r="AP15" s="3"/>
      <c r="AQ15" s="64"/>
      <c r="AR15" s="3"/>
      <c r="AS15" s="62"/>
      <c r="AT15" s="3"/>
      <c r="AU15" s="64"/>
      <c r="AW15" s="34">
        <f t="shared" si="0"/>
        <v>0</v>
      </c>
      <c r="AX15" s="65">
        <f t="shared" si="1"/>
        <v>0</v>
      </c>
      <c r="AY15" s="66"/>
      <c r="AZ15" s="31">
        <f t="shared" si="2"/>
        <v>1</v>
      </c>
      <c r="BA15" s="67">
        <f t="shared" si="3"/>
        <v>15.64</v>
      </c>
      <c r="BB15" s="66"/>
      <c r="BC15" s="31">
        <f t="shared" si="4"/>
        <v>1</v>
      </c>
      <c r="BD15" s="65">
        <f t="shared" si="5"/>
        <v>15.64</v>
      </c>
      <c r="BE15" s="66"/>
      <c r="BF15" s="31">
        <f t="shared" si="6"/>
        <v>0</v>
      </c>
      <c r="BG15" s="67">
        <f t="shared" si="7"/>
        <v>0</v>
      </c>
      <c r="BH15" s="66"/>
      <c r="BI15" s="31">
        <f t="shared" si="8"/>
        <v>0</v>
      </c>
      <c r="BJ15" s="65">
        <f t="shared" si="9"/>
        <v>0</v>
      </c>
      <c r="BK15" s="66"/>
      <c r="BL15" s="31">
        <f t="shared" si="10"/>
        <v>0</v>
      </c>
      <c r="BM15" s="67">
        <f t="shared" si="11"/>
        <v>0</v>
      </c>
      <c r="BN15" s="66"/>
      <c r="BO15" s="31">
        <f t="shared" si="12"/>
        <v>0</v>
      </c>
      <c r="BP15" s="65">
        <f t="shared" si="13"/>
        <v>0</v>
      </c>
      <c r="BQ15" s="66"/>
      <c r="BR15" s="31">
        <f t="shared" si="14"/>
        <v>0</v>
      </c>
      <c r="BS15" s="67">
        <f t="shared" si="15"/>
        <v>0</v>
      </c>
      <c r="BT15" s="66"/>
      <c r="BU15" s="31">
        <f t="shared" si="16"/>
        <v>0</v>
      </c>
      <c r="BV15" s="65">
        <f t="shared" si="17"/>
        <v>0</v>
      </c>
      <c r="BW15" s="66"/>
      <c r="BX15" s="31">
        <f t="shared" si="18"/>
        <v>0</v>
      </c>
      <c r="BY15" s="67">
        <f t="shared" si="19"/>
        <v>0</v>
      </c>
      <c r="BZ15" s="66"/>
      <c r="CA15" s="31">
        <f t="shared" si="20"/>
        <v>0</v>
      </c>
      <c r="CB15" s="65">
        <f t="shared" si="21"/>
        <v>0</v>
      </c>
      <c r="CC15" s="66"/>
      <c r="CD15" s="31">
        <f t="shared" si="22"/>
        <v>0</v>
      </c>
      <c r="CE15" s="67">
        <f t="shared" si="23"/>
        <v>0</v>
      </c>
      <c r="CF15" s="66"/>
      <c r="CG15" s="34">
        <f t="shared" si="24"/>
        <v>0</v>
      </c>
      <c r="CH15" s="67">
        <f t="shared" si="45"/>
        <v>0</v>
      </c>
      <c r="CI15" s="66"/>
      <c r="CJ15" s="34">
        <f t="shared" si="25"/>
        <v>0</v>
      </c>
      <c r="CK15" s="67">
        <f t="shared" si="26"/>
        <v>0</v>
      </c>
      <c r="CL15" s="66"/>
      <c r="CM15" s="34">
        <f t="shared" si="27"/>
        <v>0</v>
      </c>
      <c r="CN15" s="67">
        <f t="shared" si="28"/>
        <v>0</v>
      </c>
      <c r="CO15" s="66"/>
      <c r="CP15" s="34">
        <f t="shared" si="29"/>
        <v>0</v>
      </c>
      <c r="CQ15" s="67">
        <f t="shared" si="30"/>
        <v>0</v>
      </c>
      <c r="CR15" s="66"/>
      <c r="CS15" s="34">
        <f t="shared" si="31"/>
        <v>0</v>
      </c>
      <c r="CT15" s="65">
        <f t="shared" si="32"/>
        <v>0</v>
      </c>
      <c r="CU15" s="66"/>
      <c r="CV15" s="31">
        <f t="shared" si="33"/>
        <v>0</v>
      </c>
      <c r="CW15" s="67">
        <f t="shared" si="34"/>
        <v>0</v>
      </c>
      <c r="CX15" s="66"/>
      <c r="CY15" s="31">
        <f t="shared" si="35"/>
        <v>0</v>
      </c>
      <c r="CZ15" s="65">
        <f t="shared" si="36"/>
        <v>0</v>
      </c>
      <c r="DA15" s="66"/>
      <c r="DB15" s="31">
        <f t="shared" si="37"/>
        <v>0</v>
      </c>
      <c r="DC15" s="67">
        <f t="shared" si="38"/>
        <v>0</v>
      </c>
      <c r="DE15" s="76">
        <v>51</v>
      </c>
      <c r="DF15" s="42"/>
      <c r="DG15" s="69">
        <f t="shared" si="39"/>
        <v>0</v>
      </c>
      <c r="DH15" s="42"/>
      <c r="DI15" s="70">
        <f t="shared" si="40"/>
        <v>2</v>
      </c>
      <c r="DJ15" s="42"/>
      <c r="DK15" s="70">
        <f t="shared" si="41"/>
        <v>49</v>
      </c>
      <c r="DL15" s="42"/>
      <c r="DM15" s="71">
        <f t="shared" si="42"/>
        <v>638.4699999999999</v>
      </c>
      <c r="DN15" s="42"/>
      <c r="DO15" s="72">
        <f t="shared" si="43"/>
        <v>24.5</v>
      </c>
      <c r="DP15" s="42"/>
      <c r="DQ15" s="71">
        <f t="shared" si="44"/>
        <v>766.36</v>
      </c>
      <c r="DR15" s="42"/>
      <c r="DS15" s="69"/>
      <c r="DT15" s="42"/>
      <c r="DU15" s="71">
        <v>0</v>
      </c>
      <c r="DV15" s="42"/>
      <c r="DW15" s="73">
        <f t="shared" si="46"/>
        <v>0</v>
      </c>
      <c r="DX15" s="42"/>
      <c r="DY15" s="71">
        <f t="shared" si="47"/>
        <v>0</v>
      </c>
    </row>
    <row r="16" ht="12.45" customHeight="1" spans="1:129" x14ac:dyDescent="0.25">
      <c r="A16" s="77" t="s">
        <v>61</v>
      </c>
      <c r="B16" s="42"/>
      <c r="C16" s="75"/>
      <c r="D16" s="44"/>
      <c r="E16" s="78">
        <v>18.95</v>
      </c>
      <c r="F16" s="44"/>
      <c r="G16" s="61">
        <v>22.74</v>
      </c>
      <c r="I16" s="62"/>
      <c r="J16" s="63"/>
      <c r="K16" s="64">
        <v>1</v>
      </c>
      <c r="L16" s="3"/>
      <c r="M16" s="62">
        <v>1</v>
      </c>
      <c r="N16" s="3"/>
      <c r="O16" s="64">
        <v>1</v>
      </c>
      <c r="P16" s="3"/>
      <c r="Q16" s="62">
        <v>1</v>
      </c>
      <c r="R16" s="3"/>
      <c r="S16" s="64"/>
      <c r="T16" s="3"/>
      <c r="U16" s="62"/>
      <c r="V16" s="3"/>
      <c r="W16" s="64">
        <v>1</v>
      </c>
      <c r="X16" s="3"/>
      <c r="Y16" s="62"/>
      <c r="Z16" s="3"/>
      <c r="AA16" s="64"/>
      <c r="AB16" s="3"/>
      <c r="AC16" s="62"/>
      <c r="AD16" s="3"/>
      <c r="AE16" s="64"/>
      <c r="AF16" s="3"/>
      <c r="AG16" s="62"/>
      <c r="AH16" s="3"/>
      <c r="AI16" s="64"/>
      <c r="AJ16" s="3"/>
      <c r="AK16" s="62"/>
      <c r="AL16" s="3"/>
      <c r="AM16" s="64"/>
      <c r="AN16" s="3"/>
      <c r="AO16" s="62"/>
      <c r="AP16" s="3"/>
      <c r="AQ16" s="64"/>
      <c r="AR16" s="3"/>
      <c r="AS16" s="62"/>
      <c r="AT16" s="3"/>
      <c r="AU16" s="64"/>
      <c r="AW16" s="34">
        <f t="shared" si="0"/>
        <v>0</v>
      </c>
      <c r="AX16" s="65">
        <f t="shared" si="1"/>
        <v>0</v>
      </c>
      <c r="AY16" s="66"/>
      <c r="AZ16" s="31">
        <f t="shared" si="2"/>
        <v>1</v>
      </c>
      <c r="BA16" s="67">
        <f t="shared" si="3"/>
        <v>22.74</v>
      </c>
      <c r="BB16" s="66"/>
      <c r="BC16" s="31">
        <f t="shared" si="4"/>
        <v>1</v>
      </c>
      <c r="BD16" s="65">
        <f t="shared" si="5"/>
        <v>22.74</v>
      </c>
      <c r="BE16" s="66"/>
      <c r="BF16" s="31">
        <f t="shared" si="6"/>
        <v>1</v>
      </c>
      <c r="BG16" s="67">
        <f t="shared" si="7"/>
        <v>22.74</v>
      </c>
      <c r="BH16" s="66"/>
      <c r="BI16" s="31">
        <f t="shared" si="8"/>
        <v>1</v>
      </c>
      <c r="BJ16" s="65">
        <f t="shared" si="9"/>
        <v>22.74</v>
      </c>
      <c r="BK16" s="66"/>
      <c r="BL16" s="31">
        <f t="shared" si="10"/>
        <v>0</v>
      </c>
      <c r="BM16" s="67">
        <f t="shared" si="11"/>
        <v>0</v>
      </c>
      <c r="BN16" s="66"/>
      <c r="BO16" s="31">
        <f t="shared" si="12"/>
        <v>0</v>
      </c>
      <c r="BP16" s="65">
        <f t="shared" si="13"/>
        <v>0</v>
      </c>
      <c r="BQ16" s="66"/>
      <c r="BR16" s="31">
        <f t="shared" si="14"/>
        <v>1</v>
      </c>
      <c r="BS16" s="67">
        <f t="shared" si="15"/>
        <v>22.74</v>
      </c>
      <c r="BT16" s="66"/>
      <c r="BU16" s="31">
        <f t="shared" si="16"/>
        <v>0</v>
      </c>
      <c r="BV16" s="65">
        <f t="shared" si="17"/>
        <v>0</v>
      </c>
      <c r="BW16" s="66"/>
      <c r="BX16" s="31">
        <f t="shared" si="18"/>
        <v>0</v>
      </c>
      <c r="BY16" s="67">
        <f t="shared" si="19"/>
        <v>0</v>
      </c>
      <c r="BZ16" s="66"/>
      <c r="CA16" s="31">
        <f t="shared" si="20"/>
        <v>0</v>
      </c>
      <c r="CB16" s="65">
        <f t="shared" si="21"/>
        <v>0</v>
      </c>
      <c r="CC16" s="66"/>
      <c r="CD16" s="31">
        <f t="shared" si="22"/>
        <v>0</v>
      </c>
      <c r="CE16" s="67">
        <f t="shared" si="23"/>
        <v>0</v>
      </c>
      <c r="CF16" s="66"/>
      <c r="CG16" s="34">
        <f t="shared" si="24"/>
        <v>0</v>
      </c>
      <c r="CH16" s="67">
        <f t="shared" si="45"/>
        <v>0</v>
      </c>
      <c r="CI16" s="66"/>
      <c r="CJ16" s="34">
        <f t="shared" si="25"/>
        <v>0</v>
      </c>
      <c r="CK16" s="67">
        <f t="shared" si="26"/>
        <v>0</v>
      </c>
      <c r="CL16" s="66"/>
      <c r="CM16" s="34">
        <f t="shared" si="27"/>
        <v>0</v>
      </c>
      <c r="CN16" s="67">
        <f t="shared" si="28"/>
        <v>0</v>
      </c>
      <c r="CO16" s="66"/>
      <c r="CP16" s="34">
        <f t="shared" si="29"/>
        <v>0</v>
      </c>
      <c r="CQ16" s="67">
        <f t="shared" si="30"/>
        <v>0</v>
      </c>
      <c r="CR16" s="66"/>
      <c r="CS16" s="34">
        <f t="shared" si="31"/>
        <v>0</v>
      </c>
      <c r="CT16" s="65">
        <f t="shared" si="32"/>
        <v>0</v>
      </c>
      <c r="CU16" s="66"/>
      <c r="CV16" s="31">
        <f t="shared" si="33"/>
        <v>0</v>
      </c>
      <c r="CW16" s="67">
        <f t="shared" si="34"/>
        <v>0</v>
      </c>
      <c r="CX16" s="66"/>
      <c r="CY16" s="31">
        <f t="shared" si="35"/>
        <v>0</v>
      </c>
      <c r="CZ16" s="65">
        <f t="shared" si="36"/>
        <v>0</v>
      </c>
      <c r="DA16" s="66"/>
      <c r="DB16" s="31">
        <f t="shared" si="37"/>
        <v>0</v>
      </c>
      <c r="DC16" s="67">
        <f t="shared" si="38"/>
        <v>0</v>
      </c>
      <c r="DE16" s="76">
        <v>69</v>
      </c>
      <c r="DF16" s="42"/>
      <c r="DG16" s="69">
        <f t="shared" si="39"/>
        <v>0</v>
      </c>
      <c r="DH16" s="42"/>
      <c r="DI16" s="70">
        <f t="shared" si="40"/>
        <v>5</v>
      </c>
      <c r="DJ16" s="42"/>
      <c r="DK16" s="70">
        <f t="shared" si="41"/>
        <v>64</v>
      </c>
      <c r="DL16" s="42"/>
      <c r="DM16" s="71">
        <f t="shared" si="42"/>
        <v>1212.8</v>
      </c>
      <c r="DN16" s="42"/>
      <c r="DO16" s="72">
        <f t="shared" si="43"/>
        <v>12.8</v>
      </c>
      <c r="DP16" s="42"/>
      <c r="DQ16" s="71">
        <f t="shared" si="44"/>
        <v>1455.36</v>
      </c>
      <c r="DR16" s="42"/>
      <c r="DS16" s="69"/>
      <c r="DT16" s="42"/>
      <c r="DU16" s="71">
        <v>0</v>
      </c>
      <c r="DV16" s="42"/>
      <c r="DW16" s="73">
        <f t="shared" si="46"/>
        <v>0</v>
      </c>
      <c r="DX16" s="42"/>
      <c r="DY16" s="71">
        <f t="shared" si="47"/>
        <v>0</v>
      </c>
    </row>
    <row r="17" ht="12" customHeight="1" spans="1:129" x14ac:dyDescent="0.25">
      <c r="A17" s="74" t="s">
        <v>62</v>
      </c>
      <c r="B17" s="42"/>
      <c r="C17" s="75"/>
      <c r="D17" s="44"/>
      <c r="E17" s="78">
        <v>22.95</v>
      </c>
      <c r="F17" s="44"/>
      <c r="G17" s="61">
        <v>27.54</v>
      </c>
      <c r="I17" s="62"/>
      <c r="J17" s="63"/>
      <c r="K17" s="64">
        <v>1</v>
      </c>
      <c r="L17" s="3"/>
      <c r="M17" s="62"/>
      <c r="N17" s="3"/>
      <c r="O17" s="64"/>
      <c r="P17" s="3"/>
      <c r="Q17" s="62"/>
      <c r="R17" s="3"/>
      <c r="S17" s="64"/>
      <c r="T17" s="3"/>
      <c r="U17" s="62"/>
      <c r="V17" s="3"/>
      <c r="W17" s="64"/>
      <c r="X17" s="3"/>
      <c r="Y17" s="62"/>
      <c r="Z17" s="3"/>
      <c r="AA17" s="64"/>
      <c r="AB17" s="3"/>
      <c r="AC17" s="62"/>
      <c r="AD17" s="3"/>
      <c r="AE17" s="64"/>
      <c r="AF17" s="3"/>
      <c r="AG17" s="62"/>
      <c r="AH17" s="3"/>
      <c r="AI17" s="64"/>
      <c r="AJ17" s="3"/>
      <c r="AK17" s="62"/>
      <c r="AL17" s="3"/>
      <c r="AM17" s="64"/>
      <c r="AN17" s="3"/>
      <c r="AO17" s="62"/>
      <c r="AP17" s="3"/>
      <c r="AQ17" s="64"/>
      <c r="AR17" s="3"/>
      <c r="AS17" s="62"/>
      <c r="AT17" s="3"/>
      <c r="AU17" s="64"/>
      <c r="AW17" s="34">
        <f t="shared" si="0"/>
        <v>0</v>
      </c>
      <c r="AX17" s="65">
        <f t="shared" si="1"/>
        <v>0</v>
      </c>
      <c r="AY17" s="66"/>
      <c r="AZ17" s="31">
        <f t="shared" si="2"/>
        <v>1</v>
      </c>
      <c r="BA17" s="67">
        <f t="shared" si="3"/>
        <v>27.54</v>
      </c>
      <c r="BB17" s="66"/>
      <c r="BC17" s="31">
        <f t="shared" si="4"/>
        <v>0</v>
      </c>
      <c r="BD17" s="65">
        <f t="shared" si="5"/>
        <v>0</v>
      </c>
      <c r="BE17" s="66"/>
      <c r="BF17" s="31">
        <f t="shared" si="6"/>
        <v>0</v>
      </c>
      <c r="BG17" s="67">
        <f t="shared" si="7"/>
        <v>0</v>
      </c>
      <c r="BH17" s="66"/>
      <c r="BI17" s="31">
        <f t="shared" si="8"/>
        <v>0</v>
      </c>
      <c r="BJ17" s="65">
        <f t="shared" si="9"/>
        <v>0</v>
      </c>
      <c r="BK17" s="66"/>
      <c r="BL17" s="31">
        <f t="shared" si="10"/>
        <v>0</v>
      </c>
      <c r="BM17" s="67">
        <f t="shared" si="11"/>
        <v>0</v>
      </c>
      <c r="BN17" s="66"/>
      <c r="BO17" s="31">
        <f t="shared" si="12"/>
        <v>0</v>
      </c>
      <c r="BP17" s="65">
        <f t="shared" si="13"/>
        <v>0</v>
      </c>
      <c r="BQ17" s="66"/>
      <c r="BR17" s="31">
        <f t="shared" si="14"/>
        <v>0</v>
      </c>
      <c r="BS17" s="67">
        <f t="shared" si="15"/>
        <v>0</v>
      </c>
      <c r="BT17" s="66"/>
      <c r="BU17" s="31">
        <f t="shared" si="16"/>
        <v>0</v>
      </c>
      <c r="BV17" s="65">
        <f t="shared" si="17"/>
        <v>0</v>
      </c>
      <c r="BW17" s="66"/>
      <c r="BX17" s="31">
        <f t="shared" si="18"/>
        <v>0</v>
      </c>
      <c r="BY17" s="67">
        <f t="shared" si="19"/>
        <v>0</v>
      </c>
      <c r="BZ17" s="66"/>
      <c r="CA17" s="31">
        <f t="shared" si="20"/>
        <v>0</v>
      </c>
      <c r="CB17" s="65">
        <f t="shared" si="21"/>
        <v>0</v>
      </c>
      <c r="CC17" s="66"/>
      <c r="CD17" s="31">
        <f t="shared" si="22"/>
        <v>0</v>
      </c>
      <c r="CE17" s="67">
        <f t="shared" si="23"/>
        <v>0</v>
      </c>
      <c r="CF17" s="66"/>
      <c r="CG17" s="34">
        <f t="shared" si="24"/>
        <v>0</v>
      </c>
      <c r="CH17" s="67">
        <f t="shared" si="45"/>
        <v>0</v>
      </c>
      <c r="CI17" s="66"/>
      <c r="CJ17" s="34">
        <f t="shared" si="25"/>
        <v>0</v>
      </c>
      <c r="CK17" s="67">
        <f t="shared" si="26"/>
        <v>0</v>
      </c>
      <c r="CL17" s="66"/>
      <c r="CM17" s="34">
        <f t="shared" si="27"/>
        <v>0</v>
      </c>
      <c r="CN17" s="67">
        <f t="shared" si="28"/>
        <v>0</v>
      </c>
      <c r="CO17" s="66"/>
      <c r="CP17" s="34">
        <f t="shared" si="29"/>
        <v>0</v>
      </c>
      <c r="CQ17" s="67">
        <f t="shared" si="30"/>
        <v>0</v>
      </c>
      <c r="CR17" s="66"/>
      <c r="CS17" s="34">
        <f t="shared" si="31"/>
        <v>0</v>
      </c>
      <c r="CT17" s="65">
        <f t="shared" si="32"/>
        <v>0</v>
      </c>
      <c r="CU17" s="66"/>
      <c r="CV17" s="31">
        <f t="shared" si="33"/>
        <v>0</v>
      </c>
      <c r="CW17" s="67">
        <f t="shared" si="34"/>
        <v>0</v>
      </c>
      <c r="CX17" s="66"/>
      <c r="CY17" s="31">
        <f t="shared" si="35"/>
        <v>0</v>
      </c>
      <c r="CZ17" s="65">
        <f t="shared" si="36"/>
        <v>0</v>
      </c>
      <c r="DA17" s="66"/>
      <c r="DB17" s="31">
        <f t="shared" si="37"/>
        <v>0</v>
      </c>
      <c r="DC17" s="67">
        <f t="shared" si="38"/>
        <v>0</v>
      </c>
      <c r="DE17" s="76">
        <v>83</v>
      </c>
      <c r="DF17" s="42"/>
      <c r="DG17" s="69">
        <f t="shared" si="39"/>
        <v>0</v>
      </c>
      <c r="DH17" s="42"/>
      <c r="DI17" s="70">
        <f t="shared" si="40"/>
        <v>1</v>
      </c>
      <c r="DJ17" s="42"/>
      <c r="DK17" s="70">
        <f t="shared" si="41"/>
        <v>82</v>
      </c>
      <c r="DL17" s="42"/>
      <c r="DM17" s="71">
        <f t="shared" si="42"/>
        <v>1881.8999999999999</v>
      </c>
      <c r="DN17" s="42"/>
      <c r="DO17" s="72">
        <f t="shared" si="43"/>
        <v>82</v>
      </c>
      <c r="DP17" s="42"/>
      <c r="DQ17" s="71">
        <f t="shared" si="44"/>
        <v>2258.2799999999997</v>
      </c>
      <c r="DR17" s="42"/>
      <c r="DS17" s="69"/>
      <c r="DT17" s="42"/>
      <c r="DU17" s="71">
        <v>0</v>
      </c>
      <c r="DV17" s="42"/>
      <c r="DW17" s="73">
        <f t="shared" si="46"/>
        <v>0</v>
      </c>
      <c r="DX17" s="42"/>
      <c r="DY17" s="71">
        <f t="shared" si="47"/>
        <v>0</v>
      </c>
    </row>
    <row r="18" ht="12" customHeight="1" spans="1:129" x14ac:dyDescent="0.25">
      <c r="A18" s="77" t="s">
        <v>63</v>
      </c>
      <c r="B18" s="42"/>
      <c r="C18" s="75"/>
      <c r="D18" s="44"/>
      <c r="E18" s="78">
        <v>33.95</v>
      </c>
      <c r="F18" s="44"/>
      <c r="G18" s="61">
        <v>40.74</v>
      </c>
      <c r="I18" s="62">
        <v>1</v>
      </c>
      <c r="J18" s="63"/>
      <c r="K18" s="64">
        <v>1</v>
      </c>
      <c r="L18" s="3"/>
      <c r="M18" s="62">
        <v>1</v>
      </c>
      <c r="N18" s="3"/>
      <c r="O18" s="64">
        <v>2</v>
      </c>
      <c r="P18" s="3"/>
      <c r="Q18" s="62">
        <v>2</v>
      </c>
      <c r="R18" s="3"/>
      <c r="S18" s="64">
        <v>1</v>
      </c>
      <c r="T18" s="3"/>
      <c r="U18" s="62">
        <v>1</v>
      </c>
      <c r="V18" s="3"/>
      <c r="W18" s="64">
        <v>1</v>
      </c>
      <c r="X18" s="3"/>
      <c r="Y18" s="62">
        <v>1</v>
      </c>
      <c r="Z18" s="3"/>
      <c r="AA18" s="64">
        <v>1</v>
      </c>
      <c r="AB18" s="3"/>
      <c r="AC18" s="62">
        <v>1</v>
      </c>
      <c r="AD18" s="3"/>
      <c r="AE18" s="64"/>
      <c r="AF18" s="3"/>
      <c r="AG18" s="62"/>
      <c r="AH18" s="3"/>
      <c r="AI18" s="64"/>
      <c r="AJ18" s="3"/>
      <c r="AK18" s="62"/>
      <c r="AL18" s="3"/>
      <c r="AM18" s="64"/>
      <c r="AN18" s="3"/>
      <c r="AO18" s="62"/>
      <c r="AP18" s="3"/>
      <c r="AQ18" s="64"/>
      <c r="AR18" s="3"/>
      <c r="AS18" s="62"/>
      <c r="AT18" s="3"/>
      <c r="AU18" s="64"/>
      <c r="AW18" s="34">
        <f t="shared" si="0"/>
        <v>1</v>
      </c>
      <c r="AX18" s="65">
        <f t="shared" si="1"/>
        <v>40.74</v>
      </c>
      <c r="AY18" s="66"/>
      <c r="AZ18" s="31">
        <f t="shared" si="2"/>
        <v>1</v>
      </c>
      <c r="BA18" s="67">
        <f t="shared" si="3"/>
        <v>40.74</v>
      </c>
      <c r="BB18" s="66"/>
      <c r="BC18" s="31">
        <f t="shared" si="4"/>
        <v>1</v>
      </c>
      <c r="BD18" s="65">
        <f t="shared" si="5"/>
        <v>40.74</v>
      </c>
      <c r="BE18" s="66"/>
      <c r="BF18" s="31">
        <f t="shared" si="6"/>
        <v>2</v>
      </c>
      <c r="BG18" s="67">
        <f t="shared" si="7"/>
        <v>81.48</v>
      </c>
      <c r="BH18" s="66"/>
      <c r="BI18" s="31">
        <f t="shared" si="8"/>
        <v>2</v>
      </c>
      <c r="BJ18" s="65">
        <f t="shared" si="9"/>
        <v>81.48</v>
      </c>
      <c r="BK18" s="66"/>
      <c r="BL18" s="31">
        <f t="shared" si="10"/>
        <v>1</v>
      </c>
      <c r="BM18" s="67">
        <f t="shared" si="11"/>
        <v>40.74</v>
      </c>
      <c r="BN18" s="66"/>
      <c r="BO18" s="31">
        <f t="shared" si="12"/>
        <v>1</v>
      </c>
      <c r="BP18" s="65">
        <f t="shared" si="13"/>
        <v>40.74</v>
      </c>
      <c r="BQ18" s="66"/>
      <c r="BR18" s="31">
        <f t="shared" si="14"/>
        <v>1</v>
      </c>
      <c r="BS18" s="67">
        <f t="shared" si="15"/>
        <v>40.74</v>
      </c>
      <c r="BT18" s="66"/>
      <c r="BU18" s="31">
        <f t="shared" si="16"/>
        <v>1</v>
      </c>
      <c r="BV18" s="65">
        <f t="shared" si="17"/>
        <v>40.74</v>
      </c>
      <c r="BW18" s="66"/>
      <c r="BX18" s="31">
        <f t="shared" si="18"/>
        <v>1</v>
      </c>
      <c r="BY18" s="67">
        <f t="shared" si="19"/>
        <v>40.74</v>
      </c>
      <c r="BZ18" s="66"/>
      <c r="CA18" s="31">
        <f t="shared" si="20"/>
        <v>1</v>
      </c>
      <c r="CB18" s="65">
        <f t="shared" si="21"/>
        <v>40.74</v>
      </c>
      <c r="CC18" s="66"/>
      <c r="CD18" s="31">
        <f t="shared" si="22"/>
        <v>0</v>
      </c>
      <c r="CE18" s="67">
        <f t="shared" si="23"/>
        <v>0</v>
      </c>
      <c r="CF18" s="66"/>
      <c r="CG18" s="34">
        <f t="shared" si="24"/>
        <v>0</v>
      </c>
      <c r="CH18" s="67">
        <f t="shared" si="45"/>
        <v>0</v>
      </c>
      <c r="CI18" s="66"/>
      <c r="CJ18" s="34">
        <f t="shared" si="25"/>
        <v>0</v>
      </c>
      <c r="CK18" s="67">
        <f t="shared" si="26"/>
        <v>0</v>
      </c>
      <c r="CL18" s="66"/>
      <c r="CM18" s="34">
        <f t="shared" si="27"/>
        <v>0</v>
      </c>
      <c r="CN18" s="67">
        <f t="shared" si="28"/>
        <v>0</v>
      </c>
      <c r="CO18" s="66"/>
      <c r="CP18" s="34">
        <f t="shared" si="29"/>
        <v>0</v>
      </c>
      <c r="CQ18" s="67">
        <f t="shared" si="30"/>
        <v>0</v>
      </c>
      <c r="CR18" s="66"/>
      <c r="CS18" s="34">
        <f t="shared" si="31"/>
        <v>0</v>
      </c>
      <c r="CT18" s="65">
        <f t="shared" si="32"/>
        <v>0</v>
      </c>
      <c r="CU18" s="66"/>
      <c r="CV18" s="31">
        <f t="shared" si="33"/>
        <v>0</v>
      </c>
      <c r="CW18" s="67">
        <f t="shared" si="34"/>
        <v>0</v>
      </c>
      <c r="CX18" s="66"/>
      <c r="CY18" s="31">
        <f t="shared" si="35"/>
        <v>0</v>
      </c>
      <c r="CZ18" s="65">
        <f t="shared" si="36"/>
        <v>0</v>
      </c>
      <c r="DA18" s="66"/>
      <c r="DB18" s="31">
        <f t="shared" si="37"/>
        <v>0</v>
      </c>
      <c r="DC18" s="67">
        <f t="shared" si="38"/>
        <v>0</v>
      </c>
      <c r="DE18" s="76">
        <v>381</v>
      </c>
      <c r="DF18" s="42"/>
      <c r="DG18" s="69">
        <f t="shared" si="39"/>
        <v>0</v>
      </c>
      <c r="DH18" s="42"/>
      <c r="DI18" s="70">
        <f t="shared" si="40"/>
        <v>13</v>
      </c>
      <c r="DJ18" s="42"/>
      <c r="DK18" s="70">
        <f t="shared" si="41"/>
        <v>368</v>
      </c>
      <c r="DL18" s="42"/>
      <c r="DM18" s="71">
        <f t="shared" si="42"/>
        <v>12493.6</v>
      </c>
      <c r="DN18" s="42"/>
      <c r="DO18" s="72">
        <f t="shared" si="43"/>
        <v>28.307692307692307</v>
      </c>
      <c r="DP18" s="42"/>
      <c r="DQ18" s="71">
        <f t="shared" si="44"/>
        <v>14992.320000000002</v>
      </c>
      <c r="DR18" s="42"/>
      <c r="DS18" s="69"/>
      <c r="DT18" s="42"/>
      <c r="DU18" s="71">
        <v>0</v>
      </c>
      <c r="DV18" s="42"/>
      <c r="DW18" s="73">
        <f t="shared" si="46"/>
        <v>0</v>
      </c>
      <c r="DX18" s="42"/>
      <c r="DY18" s="71">
        <f t="shared" si="47"/>
        <v>0</v>
      </c>
    </row>
    <row r="19" ht="12" customHeight="1" spans="1:129" x14ac:dyDescent="0.25">
      <c r="A19" s="74" t="s">
        <v>64</v>
      </c>
      <c r="B19" s="42"/>
      <c r="C19" s="75"/>
      <c r="D19" s="44"/>
      <c r="E19" s="78">
        <v>15.85</v>
      </c>
      <c r="F19" s="44"/>
      <c r="G19" s="61">
        <v>19.02</v>
      </c>
      <c r="I19" s="62"/>
      <c r="J19" s="63"/>
      <c r="K19" s="64">
        <v>1</v>
      </c>
      <c r="L19" s="3"/>
      <c r="M19" s="62"/>
      <c r="N19" s="3"/>
      <c r="O19" s="64"/>
      <c r="P19" s="3"/>
      <c r="Q19" s="62"/>
      <c r="R19" s="3"/>
      <c r="S19" s="64"/>
      <c r="T19" s="3"/>
      <c r="U19" s="62"/>
      <c r="V19" s="3"/>
      <c r="W19" s="64"/>
      <c r="X19" s="3"/>
      <c r="Y19" s="62"/>
      <c r="Z19" s="3"/>
      <c r="AA19" s="64"/>
      <c r="AB19" s="3"/>
      <c r="AC19" s="62"/>
      <c r="AD19" s="3"/>
      <c r="AE19" s="64"/>
      <c r="AF19" s="3"/>
      <c r="AG19" s="62"/>
      <c r="AH19" s="3"/>
      <c r="AI19" s="64"/>
      <c r="AJ19" s="3"/>
      <c r="AK19" s="62"/>
      <c r="AL19" s="3"/>
      <c r="AM19" s="64"/>
      <c r="AN19" s="3"/>
      <c r="AO19" s="62"/>
      <c r="AP19" s="3"/>
      <c r="AQ19" s="64"/>
      <c r="AR19" s="3"/>
      <c r="AS19" s="62"/>
      <c r="AT19" s="3"/>
      <c r="AU19" s="64"/>
      <c r="AW19" s="34">
        <f t="shared" si="0"/>
        <v>0</v>
      </c>
      <c r="AX19" s="65">
        <f t="shared" si="1"/>
        <v>0</v>
      </c>
      <c r="AY19" s="66"/>
      <c r="AZ19" s="31">
        <f t="shared" si="2"/>
        <v>1</v>
      </c>
      <c r="BA19" s="67">
        <f t="shared" si="3"/>
        <v>19.02</v>
      </c>
      <c r="BB19" s="66"/>
      <c r="BC19" s="31">
        <f t="shared" si="4"/>
        <v>0</v>
      </c>
      <c r="BD19" s="65">
        <f t="shared" si="5"/>
        <v>0</v>
      </c>
      <c r="BE19" s="66"/>
      <c r="BF19" s="31">
        <f t="shared" si="6"/>
        <v>0</v>
      </c>
      <c r="BG19" s="67">
        <f t="shared" si="7"/>
        <v>0</v>
      </c>
      <c r="BH19" s="66"/>
      <c r="BI19" s="31">
        <f t="shared" si="8"/>
        <v>0</v>
      </c>
      <c r="BJ19" s="65">
        <f t="shared" si="9"/>
        <v>0</v>
      </c>
      <c r="BK19" s="66"/>
      <c r="BL19" s="31">
        <f t="shared" si="10"/>
        <v>0</v>
      </c>
      <c r="BM19" s="67">
        <f t="shared" si="11"/>
        <v>0</v>
      </c>
      <c r="BN19" s="66"/>
      <c r="BO19" s="31">
        <f t="shared" si="12"/>
        <v>0</v>
      </c>
      <c r="BP19" s="65">
        <f t="shared" si="13"/>
        <v>0</v>
      </c>
      <c r="BQ19" s="66"/>
      <c r="BR19" s="31">
        <f t="shared" si="14"/>
        <v>0</v>
      </c>
      <c r="BS19" s="67">
        <f t="shared" si="15"/>
        <v>0</v>
      </c>
      <c r="BT19" s="66"/>
      <c r="BU19" s="31">
        <f t="shared" si="16"/>
        <v>0</v>
      </c>
      <c r="BV19" s="65">
        <f t="shared" si="17"/>
        <v>0</v>
      </c>
      <c r="BW19" s="66"/>
      <c r="BX19" s="31">
        <f t="shared" si="18"/>
        <v>0</v>
      </c>
      <c r="BY19" s="67">
        <f t="shared" si="19"/>
        <v>0</v>
      </c>
      <c r="BZ19" s="66"/>
      <c r="CA19" s="31">
        <f t="shared" si="20"/>
        <v>0</v>
      </c>
      <c r="CB19" s="65">
        <f t="shared" si="21"/>
        <v>0</v>
      </c>
      <c r="CC19" s="66"/>
      <c r="CD19" s="31">
        <f t="shared" si="22"/>
        <v>0</v>
      </c>
      <c r="CE19" s="67">
        <f t="shared" si="23"/>
        <v>0</v>
      </c>
      <c r="CF19" s="66"/>
      <c r="CG19" s="34">
        <f t="shared" si="24"/>
        <v>0</v>
      </c>
      <c r="CH19" s="67">
        <f t="shared" si="45"/>
        <v>0</v>
      </c>
      <c r="CI19" s="66"/>
      <c r="CJ19" s="34">
        <f t="shared" si="25"/>
        <v>0</v>
      </c>
      <c r="CK19" s="67">
        <f t="shared" si="26"/>
        <v>0</v>
      </c>
      <c r="CL19" s="66"/>
      <c r="CM19" s="34">
        <f t="shared" si="27"/>
        <v>0</v>
      </c>
      <c r="CN19" s="67">
        <f t="shared" si="28"/>
        <v>0</v>
      </c>
      <c r="CO19" s="66"/>
      <c r="CP19" s="34">
        <f t="shared" si="29"/>
        <v>0</v>
      </c>
      <c r="CQ19" s="67">
        <f t="shared" si="30"/>
        <v>0</v>
      </c>
      <c r="CR19" s="66"/>
      <c r="CS19" s="34">
        <f t="shared" si="31"/>
        <v>0</v>
      </c>
      <c r="CT19" s="65">
        <f t="shared" si="32"/>
        <v>0</v>
      </c>
      <c r="CU19" s="66"/>
      <c r="CV19" s="31">
        <f t="shared" si="33"/>
        <v>0</v>
      </c>
      <c r="CW19" s="67">
        <f t="shared" si="34"/>
        <v>0</v>
      </c>
      <c r="CX19" s="66"/>
      <c r="CY19" s="31">
        <f t="shared" si="35"/>
        <v>0</v>
      </c>
      <c r="CZ19" s="65">
        <f t="shared" si="36"/>
        <v>0</v>
      </c>
      <c r="DA19" s="66"/>
      <c r="DB19" s="31">
        <f t="shared" si="37"/>
        <v>0</v>
      </c>
      <c r="DC19" s="67">
        <f t="shared" si="38"/>
        <v>0</v>
      </c>
      <c r="DE19" s="76">
        <v>42</v>
      </c>
      <c r="DF19" s="42"/>
      <c r="DG19" s="69">
        <f t="shared" si="39"/>
        <v>0</v>
      </c>
      <c r="DH19" s="42"/>
      <c r="DI19" s="70">
        <f t="shared" si="40"/>
        <v>1</v>
      </c>
      <c r="DJ19" s="42"/>
      <c r="DK19" s="70">
        <f t="shared" si="41"/>
        <v>41</v>
      </c>
      <c r="DL19" s="42"/>
      <c r="DM19" s="71">
        <f t="shared" si="42"/>
        <v>649.85</v>
      </c>
      <c r="DN19" s="42"/>
      <c r="DO19" s="72">
        <f t="shared" si="43"/>
        <v>41</v>
      </c>
      <c r="DP19" s="42"/>
      <c r="DQ19" s="71">
        <f t="shared" si="44"/>
        <v>779.8199999999999</v>
      </c>
      <c r="DR19" s="42"/>
      <c r="DS19" s="69"/>
      <c r="DT19" s="42"/>
      <c r="DU19" s="71">
        <v>0</v>
      </c>
      <c r="DV19" s="42"/>
      <c r="DW19" s="73">
        <f t="shared" si="46"/>
        <v>0</v>
      </c>
      <c r="DX19" s="42"/>
      <c r="DY19" s="71">
        <f t="shared" si="47"/>
        <v>0</v>
      </c>
    </row>
    <row r="20" ht="12" customHeight="1" spans="1:129" x14ac:dyDescent="0.25">
      <c r="A20" s="77" t="s">
        <v>65</v>
      </c>
      <c r="B20" s="42"/>
      <c r="C20" s="75"/>
      <c r="D20" s="44"/>
      <c r="E20" s="78">
        <v>21.95</v>
      </c>
      <c r="F20" s="44"/>
      <c r="G20" s="61">
        <v>26.34</v>
      </c>
      <c r="I20" s="62"/>
      <c r="J20" s="63"/>
      <c r="K20" s="64">
        <v>1</v>
      </c>
      <c r="L20" s="3"/>
      <c r="M20" s="62">
        <v>1</v>
      </c>
      <c r="N20" s="3"/>
      <c r="O20" s="64"/>
      <c r="P20" s="3"/>
      <c r="Q20" s="62">
        <v>1</v>
      </c>
      <c r="R20" s="3"/>
      <c r="S20" s="64">
        <v>1</v>
      </c>
      <c r="T20" s="3"/>
      <c r="U20" s="62">
        <v>1</v>
      </c>
      <c r="V20" s="3"/>
      <c r="W20" s="64">
        <v>1</v>
      </c>
      <c r="X20" s="3"/>
      <c r="Y20" s="62">
        <v>1</v>
      </c>
      <c r="Z20" s="3"/>
      <c r="AA20" s="64"/>
      <c r="AB20" s="3"/>
      <c r="AC20" s="62">
        <v>1</v>
      </c>
      <c r="AD20" s="3"/>
      <c r="AE20" s="64"/>
      <c r="AF20" s="3"/>
      <c r="AG20" s="62"/>
      <c r="AH20" s="3"/>
      <c r="AI20" s="64"/>
      <c r="AJ20" s="3"/>
      <c r="AK20" s="62"/>
      <c r="AL20" s="3"/>
      <c r="AM20" s="64"/>
      <c r="AN20" s="3"/>
      <c r="AO20" s="62">
        <v>7</v>
      </c>
      <c r="AP20" s="3"/>
      <c r="AQ20" s="64"/>
      <c r="AR20" s="3"/>
      <c r="AS20" s="62"/>
      <c r="AT20" s="3"/>
      <c r="AU20" s="64">
        <v>4</v>
      </c>
      <c r="AW20" s="34">
        <f t="shared" si="0"/>
        <v>0</v>
      </c>
      <c r="AX20" s="65">
        <f t="shared" si="1"/>
        <v>0</v>
      </c>
      <c r="AY20" s="66"/>
      <c r="AZ20" s="31">
        <f t="shared" si="2"/>
        <v>1</v>
      </c>
      <c r="BA20" s="67">
        <f t="shared" si="3"/>
        <v>26.34</v>
      </c>
      <c r="BB20" s="66"/>
      <c r="BC20" s="31">
        <f t="shared" si="4"/>
        <v>1</v>
      </c>
      <c r="BD20" s="65">
        <f t="shared" si="5"/>
        <v>26.34</v>
      </c>
      <c r="BE20" s="66"/>
      <c r="BF20" s="31">
        <f t="shared" si="6"/>
        <v>0</v>
      </c>
      <c r="BG20" s="67">
        <f t="shared" si="7"/>
        <v>0</v>
      </c>
      <c r="BH20" s="66"/>
      <c r="BI20" s="31">
        <f t="shared" si="8"/>
        <v>1</v>
      </c>
      <c r="BJ20" s="65">
        <f t="shared" si="9"/>
        <v>26.34</v>
      </c>
      <c r="BK20" s="66"/>
      <c r="BL20" s="31">
        <f t="shared" si="10"/>
        <v>1</v>
      </c>
      <c r="BM20" s="67">
        <f t="shared" si="11"/>
        <v>26.34</v>
      </c>
      <c r="BN20" s="66"/>
      <c r="BO20" s="31">
        <f t="shared" si="12"/>
        <v>1</v>
      </c>
      <c r="BP20" s="65">
        <f t="shared" si="13"/>
        <v>26.34</v>
      </c>
      <c r="BQ20" s="66"/>
      <c r="BR20" s="31">
        <f t="shared" si="14"/>
        <v>1</v>
      </c>
      <c r="BS20" s="67">
        <f t="shared" si="15"/>
        <v>26.34</v>
      </c>
      <c r="BT20" s="66"/>
      <c r="BU20" s="31">
        <f t="shared" si="16"/>
        <v>1</v>
      </c>
      <c r="BV20" s="65">
        <f t="shared" si="17"/>
        <v>26.34</v>
      </c>
      <c r="BW20" s="66"/>
      <c r="BX20" s="31">
        <f t="shared" si="18"/>
        <v>0</v>
      </c>
      <c r="BY20" s="67">
        <f t="shared" si="19"/>
        <v>0</v>
      </c>
      <c r="BZ20" s="66"/>
      <c r="CA20" s="31">
        <f t="shared" si="20"/>
        <v>1</v>
      </c>
      <c r="CB20" s="65">
        <f t="shared" si="21"/>
        <v>26.34</v>
      </c>
      <c r="CC20" s="66"/>
      <c r="CD20" s="31">
        <f t="shared" si="22"/>
        <v>0</v>
      </c>
      <c r="CE20" s="67">
        <f t="shared" si="23"/>
        <v>0</v>
      </c>
      <c r="CF20" s="66"/>
      <c r="CG20" s="34">
        <f t="shared" si="24"/>
        <v>0</v>
      </c>
      <c r="CH20" s="67">
        <f t="shared" si="45"/>
        <v>0</v>
      </c>
      <c r="CI20" s="66"/>
      <c r="CJ20" s="34">
        <f t="shared" si="25"/>
        <v>0</v>
      </c>
      <c r="CK20" s="67">
        <f t="shared" si="26"/>
        <v>0</v>
      </c>
      <c r="CL20" s="66"/>
      <c r="CM20" s="34">
        <f t="shared" si="27"/>
        <v>0</v>
      </c>
      <c r="CN20" s="67">
        <f t="shared" si="28"/>
        <v>0</v>
      </c>
      <c r="CO20" s="66"/>
      <c r="CP20" s="34">
        <f t="shared" si="29"/>
        <v>0</v>
      </c>
      <c r="CQ20" s="67">
        <f t="shared" si="30"/>
        <v>0</v>
      </c>
      <c r="CR20" s="66"/>
      <c r="CS20" s="34">
        <f t="shared" si="31"/>
        <v>7</v>
      </c>
      <c r="CT20" s="65">
        <f t="shared" si="32"/>
        <v>184.38</v>
      </c>
      <c r="CU20" s="66"/>
      <c r="CV20" s="31">
        <f t="shared" si="33"/>
        <v>0</v>
      </c>
      <c r="CW20" s="67">
        <f t="shared" si="34"/>
        <v>0</v>
      </c>
      <c r="CX20" s="66"/>
      <c r="CY20" s="31">
        <f t="shared" si="35"/>
        <v>0</v>
      </c>
      <c r="CZ20" s="65">
        <f t="shared" si="36"/>
        <v>0</v>
      </c>
      <c r="DA20" s="66"/>
      <c r="DB20" s="31">
        <f t="shared" si="37"/>
        <v>4</v>
      </c>
      <c r="DC20" s="67">
        <f t="shared" si="38"/>
        <v>105.36</v>
      </c>
      <c r="DE20" s="76">
        <v>1789</v>
      </c>
      <c r="DF20" s="42"/>
      <c r="DG20" s="69">
        <f t="shared" si="39"/>
        <v>0</v>
      </c>
      <c r="DH20" s="42"/>
      <c r="DI20" s="70">
        <f t="shared" si="40"/>
        <v>19</v>
      </c>
      <c r="DJ20" s="42"/>
      <c r="DK20" s="70">
        <f t="shared" si="41"/>
        <v>1770</v>
      </c>
      <c r="DL20" s="42"/>
      <c r="DM20" s="71">
        <f t="shared" si="42"/>
        <v>38851.5</v>
      </c>
      <c r="DN20" s="42"/>
      <c r="DO20" s="72">
        <f t="shared" si="43"/>
        <v>93.15789473684211</v>
      </c>
      <c r="DP20" s="42"/>
      <c r="DQ20" s="71">
        <f t="shared" si="44"/>
        <v>46621.8</v>
      </c>
      <c r="DR20" s="42"/>
      <c r="DS20" s="69"/>
      <c r="DT20" s="42"/>
      <c r="DU20" s="71">
        <v>0</v>
      </c>
      <c r="DV20" s="42"/>
      <c r="DW20" s="73">
        <f t="shared" si="46"/>
        <v>0</v>
      </c>
      <c r="DX20" s="42"/>
      <c r="DY20" s="71">
        <f t="shared" si="47"/>
        <v>0</v>
      </c>
    </row>
    <row r="21" ht="12" customHeight="1" spans="1:129" x14ac:dyDescent="0.25">
      <c r="A21" s="74" t="s">
        <v>66</v>
      </c>
      <c r="B21" s="42"/>
      <c r="C21" s="75"/>
      <c r="D21" s="44"/>
      <c r="E21" s="78">
        <v>33.5</v>
      </c>
      <c r="F21" s="44"/>
      <c r="G21" s="61">
        <v>40.2</v>
      </c>
      <c r="I21" s="62">
        <v>1</v>
      </c>
      <c r="J21" s="63"/>
      <c r="K21" s="64">
        <v>1</v>
      </c>
      <c r="L21" s="3"/>
      <c r="M21" s="62">
        <v>1</v>
      </c>
      <c r="N21" s="3"/>
      <c r="O21" s="64"/>
      <c r="P21" s="3"/>
      <c r="Q21" s="62"/>
      <c r="R21" s="3"/>
      <c r="S21" s="64"/>
      <c r="T21" s="3"/>
      <c r="U21" s="62"/>
      <c r="V21" s="3"/>
      <c r="W21" s="64">
        <v>1</v>
      </c>
      <c r="X21" s="3"/>
      <c r="Y21" s="62">
        <v>1</v>
      </c>
      <c r="Z21" s="3"/>
      <c r="AA21" s="64"/>
      <c r="AB21" s="3"/>
      <c r="AC21" s="62"/>
      <c r="AD21" s="3"/>
      <c r="AE21" s="64"/>
      <c r="AF21" s="3"/>
      <c r="AG21" s="62"/>
      <c r="AH21" s="3"/>
      <c r="AI21" s="64"/>
      <c r="AJ21" s="3"/>
      <c r="AK21" s="62"/>
      <c r="AL21" s="3"/>
      <c r="AM21" s="64"/>
      <c r="AN21" s="3"/>
      <c r="AO21" s="62">
        <v>6</v>
      </c>
      <c r="AP21" s="3"/>
      <c r="AQ21" s="64"/>
      <c r="AR21" s="3"/>
      <c r="AS21" s="62">
        <v>2</v>
      </c>
      <c r="AT21" s="3"/>
      <c r="AU21" s="64"/>
      <c r="AW21" s="34">
        <f t="shared" si="0"/>
        <v>1</v>
      </c>
      <c r="AX21" s="65">
        <f t="shared" si="1"/>
        <v>40.2</v>
      </c>
      <c r="AY21" s="66"/>
      <c r="AZ21" s="31">
        <f t="shared" si="2"/>
        <v>1</v>
      </c>
      <c r="BA21" s="67">
        <f t="shared" si="3"/>
        <v>40.2</v>
      </c>
      <c r="BB21" s="66"/>
      <c r="BC21" s="31">
        <f t="shared" si="4"/>
        <v>1</v>
      </c>
      <c r="BD21" s="65">
        <f t="shared" si="5"/>
        <v>40.2</v>
      </c>
      <c r="BE21" s="66"/>
      <c r="BF21" s="31">
        <f t="shared" si="6"/>
        <v>0</v>
      </c>
      <c r="BG21" s="67">
        <f t="shared" si="7"/>
        <v>0</v>
      </c>
      <c r="BH21" s="66"/>
      <c r="BI21" s="31">
        <f t="shared" si="8"/>
        <v>0</v>
      </c>
      <c r="BJ21" s="65">
        <f t="shared" si="9"/>
        <v>0</v>
      </c>
      <c r="BK21" s="66"/>
      <c r="BL21" s="31">
        <f t="shared" si="10"/>
        <v>0</v>
      </c>
      <c r="BM21" s="67">
        <f t="shared" si="11"/>
        <v>0</v>
      </c>
      <c r="BN21" s="66"/>
      <c r="BO21" s="31">
        <f t="shared" si="12"/>
        <v>0</v>
      </c>
      <c r="BP21" s="65">
        <f t="shared" si="13"/>
        <v>0</v>
      </c>
      <c r="BQ21" s="66"/>
      <c r="BR21" s="31">
        <f t="shared" si="14"/>
        <v>1</v>
      </c>
      <c r="BS21" s="67">
        <f t="shared" si="15"/>
        <v>40.2</v>
      </c>
      <c r="BT21" s="66"/>
      <c r="BU21" s="31">
        <f t="shared" si="16"/>
        <v>1</v>
      </c>
      <c r="BV21" s="65">
        <f t="shared" si="17"/>
        <v>40.2</v>
      </c>
      <c r="BW21" s="66"/>
      <c r="BX21" s="31">
        <f t="shared" si="18"/>
        <v>0</v>
      </c>
      <c r="BY21" s="67">
        <f t="shared" si="19"/>
        <v>0</v>
      </c>
      <c r="BZ21" s="66"/>
      <c r="CA21" s="31">
        <f t="shared" si="20"/>
        <v>0</v>
      </c>
      <c r="CB21" s="65">
        <f t="shared" si="21"/>
        <v>0</v>
      </c>
      <c r="CC21" s="66"/>
      <c r="CD21" s="31">
        <f t="shared" si="22"/>
        <v>0</v>
      </c>
      <c r="CE21" s="67">
        <f t="shared" si="23"/>
        <v>0</v>
      </c>
      <c r="CF21" s="66"/>
      <c r="CG21" s="34">
        <f t="shared" si="24"/>
        <v>0</v>
      </c>
      <c r="CH21" s="67">
        <f t="shared" si="45"/>
        <v>0</v>
      </c>
      <c r="CI21" s="66"/>
      <c r="CJ21" s="34">
        <f t="shared" si="25"/>
        <v>0</v>
      </c>
      <c r="CK21" s="67">
        <f t="shared" si="26"/>
        <v>0</v>
      </c>
      <c r="CL21" s="66"/>
      <c r="CM21" s="34">
        <f t="shared" si="27"/>
        <v>0</v>
      </c>
      <c r="CN21" s="67">
        <f t="shared" si="28"/>
        <v>0</v>
      </c>
      <c r="CO21" s="66"/>
      <c r="CP21" s="34">
        <f t="shared" si="29"/>
        <v>0</v>
      </c>
      <c r="CQ21" s="67">
        <f t="shared" si="30"/>
        <v>0</v>
      </c>
      <c r="CR21" s="66"/>
      <c r="CS21" s="34">
        <f t="shared" si="31"/>
        <v>6</v>
      </c>
      <c r="CT21" s="65">
        <f t="shared" si="32"/>
        <v>241.20000000000002</v>
      </c>
      <c r="CU21" s="66"/>
      <c r="CV21" s="31">
        <f t="shared" si="33"/>
        <v>0</v>
      </c>
      <c r="CW21" s="67">
        <f t="shared" si="34"/>
        <v>0</v>
      </c>
      <c r="CX21" s="66"/>
      <c r="CY21" s="31">
        <f t="shared" si="35"/>
        <v>2</v>
      </c>
      <c r="CZ21" s="65">
        <f t="shared" si="36"/>
        <v>80.4</v>
      </c>
      <c r="DA21" s="66"/>
      <c r="DB21" s="31">
        <f t="shared" si="37"/>
        <v>0</v>
      </c>
      <c r="DC21" s="67">
        <f t="shared" si="38"/>
        <v>0</v>
      </c>
      <c r="DE21" s="76">
        <v>77</v>
      </c>
      <c r="DF21" s="42"/>
      <c r="DG21" s="69">
        <f t="shared" si="39"/>
        <v>0</v>
      </c>
      <c r="DH21" s="42"/>
      <c r="DI21" s="70">
        <f t="shared" si="40"/>
        <v>13</v>
      </c>
      <c r="DJ21" s="42"/>
      <c r="DK21" s="70">
        <f t="shared" si="41"/>
        <v>64</v>
      </c>
      <c r="DL21" s="42"/>
      <c r="DM21" s="71">
        <f t="shared" si="42"/>
        <v>2144</v>
      </c>
      <c r="DN21" s="42"/>
      <c r="DO21" s="72">
        <f t="shared" si="43"/>
        <v>4.923076923076923</v>
      </c>
      <c r="DP21" s="42"/>
      <c r="DQ21" s="71">
        <f t="shared" si="44"/>
        <v>2572.8</v>
      </c>
      <c r="DR21" s="42"/>
      <c r="DS21" s="69">
        <v>90</v>
      </c>
      <c r="DT21" s="42"/>
      <c r="DU21" s="71">
        <v>39.95</v>
      </c>
      <c r="DV21" s="42"/>
      <c r="DW21" s="73">
        <f t="shared" si="46"/>
        <v>47.940000000000005</v>
      </c>
      <c r="DX21" s="42"/>
      <c r="DY21" s="71">
        <f t="shared" si="47"/>
        <v>3595.5000000000005</v>
      </c>
    </row>
    <row r="22" ht="12.45" customHeight="1" spans="1:129" x14ac:dyDescent="0.25">
      <c r="A22" s="77" t="s">
        <v>67</v>
      </c>
      <c r="B22" s="42"/>
      <c r="C22" s="75"/>
      <c r="D22" s="44"/>
      <c r="E22" s="78">
        <v>35.71</v>
      </c>
      <c r="F22" s="44"/>
      <c r="G22" s="61">
        <v>42.85</v>
      </c>
      <c r="I22" s="62"/>
      <c r="J22" s="63"/>
      <c r="K22" s="64"/>
      <c r="L22" s="3"/>
      <c r="M22" s="62"/>
      <c r="N22" s="3"/>
      <c r="O22" s="64"/>
      <c r="P22" s="3"/>
      <c r="Q22" s="62"/>
      <c r="R22" s="3"/>
      <c r="S22" s="64"/>
      <c r="T22" s="3"/>
      <c r="U22" s="62"/>
      <c r="V22" s="3"/>
      <c r="W22" s="64"/>
      <c r="X22" s="3"/>
      <c r="Y22" s="62"/>
      <c r="Z22" s="3"/>
      <c r="AA22" s="64"/>
      <c r="AB22" s="3"/>
      <c r="AC22" s="62"/>
      <c r="AD22" s="3"/>
      <c r="AE22" s="64"/>
      <c r="AF22" s="3"/>
      <c r="AG22" s="62"/>
      <c r="AH22" s="3"/>
      <c r="AI22" s="64"/>
      <c r="AJ22" s="3"/>
      <c r="AK22" s="62"/>
      <c r="AL22" s="3"/>
      <c r="AM22" s="64"/>
      <c r="AN22" s="3"/>
      <c r="AO22" s="62"/>
      <c r="AP22" s="3"/>
      <c r="AQ22" s="64"/>
      <c r="AR22" s="3"/>
      <c r="AS22" s="62"/>
      <c r="AT22" s="3"/>
      <c r="AU22" s="64"/>
      <c r="AW22" s="34">
        <f t="shared" si="0"/>
        <v>0</v>
      </c>
      <c r="AX22" s="65">
        <f t="shared" si="1"/>
        <v>0</v>
      </c>
      <c r="AY22" s="66"/>
      <c r="AZ22" s="31">
        <f t="shared" si="2"/>
        <v>0</v>
      </c>
      <c r="BA22" s="67">
        <f t="shared" si="3"/>
        <v>0</v>
      </c>
      <c r="BB22" s="66"/>
      <c r="BC22" s="31">
        <f t="shared" si="4"/>
        <v>0</v>
      </c>
      <c r="BD22" s="65">
        <f t="shared" si="5"/>
        <v>0</v>
      </c>
      <c r="BE22" s="66"/>
      <c r="BF22" s="31">
        <f t="shared" si="6"/>
        <v>0</v>
      </c>
      <c r="BG22" s="67">
        <f t="shared" si="7"/>
        <v>0</v>
      </c>
      <c r="BH22" s="66"/>
      <c r="BI22" s="31">
        <f t="shared" si="8"/>
        <v>0</v>
      </c>
      <c r="BJ22" s="65">
        <f t="shared" si="9"/>
        <v>0</v>
      </c>
      <c r="BK22" s="66"/>
      <c r="BL22" s="31">
        <f t="shared" si="10"/>
        <v>0</v>
      </c>
      <c r="BM22" s="67">
        <f t="shared" si="11"/>
        <v>0</v>
      </c>
      <c r="BN22" s="66"/>
      <c r="BO22" s="31">
        <f t="shared" si="12"/>
        <v>0</v>
      </c>
      <c r="BP22" s="65">
        <f t="shared" si="13"/>
        <v>0</v>
      </c>
      <c r="BQ22" s="66"/>
      <c r="BR22" s="31">
        <f t="shared" si="14"/>
        <v>0</v>
      </c>
      <c r="BS22" s="67">
        <f t="shared" si="15"/>
        <v>0</v>
      </c>
      <c r="BT22" s="66"/>
      <c r="BU22" s="31">
        <f t="shared" si="16"/>
        <v>0</v>
      </c>
      <c r="BV22" s="65">
        <f t="shared" si="17"/>
        <v>0</v>
      </c>
      <c r="BW22" s="66"/>
      <c r="BX22" s="31">
        <f t="shared" si="18"/>
        <v>0</v>
      </c>
      <c r="BY22" s="67">
        <f t="shared" si="19"/>
        <v>0</v>
      </c>
      <c r="BZ22" s="66"/>
      <c r="CA22" s="31">
        <f t="shared" si="20"/>
        <v>0</v>
      </c>
      <c r="CB22" s="65">
        <f t="shared" si="21"/>
        <v>0</v>
      </c>
      <c r="CC22" s="66"/>
      <c r="CD22" s="31">
        <f t="shared" si="22"/>
        <v>0</v>
      </c>
      <c r="CE22" s="67">
        <f t="shared" si="23"/>
        <v>0</v>
      </c>
      <c r="CF22" s="66"/>
      <c r="CG22" s="34">
        <f t="shared" si="24"/>
        <v>0</v>
      </c>
      <c r="CH22" s="67">
        <f t="shared" si="45"/>
        <v>0</v>
      </c>
      <c r="CI22" s="66"/>
      <c r="CJ22" s="34">
        <f t="shared" si="25"/>
        <v>0</v>
      </c>
      <c r="CK22" s="67">
        <f t="shared" si="26"/>
        <v>0</v>
      </c>
      <c r="CL22" s="66"/>
      <c r="CM22" s="34">
        <f t="shared" si="27"/>
        <v>0</v>
      </c>
      <c r="CN22" s="67">
        <f t="shared" si="28"/>
        <v>0</v>
      </c>
      <c r="CO22" s="66"/>
      <c r="CP22" s="34">
        <f t="shared" si="29"/>
        <v>0</v>
      </c>
      <c r="CQ22" s="67">
        <f t="shared" si="30"/>
        <v>0</v>
      </c>
      <c r="CR22" s="66"/>
      <c r="CS22" s="34">
        <f t="shared" si="31"/>
        <v>0</v>
      </c>
      <c r="CT22" s="65">
        <f t="shared" si="32"/>
        <v>0</v>
      </c>
      <c r="CU22" s="66"/>
      <c r="CV22" s="31">
        <f t="shared" si="33"/>
        <v>0</v>
      </c>
      <c r="CW22" s="67">
        <f t="shared" si="34"/>
        <v>0</v>
      </c>
      <c r="CX22" s="66"/>
      <c r="CY22" s="31">
        <f t="shared" si="35"/>
        <v>0</v>
      </c>
      <c r="CZ22" s="65">
        <f t="shared" si="36"/>
        <v>0</v>
      </c>
      <c r="DA22" s="66"/>
      <c r="DB22" s="31">
        <f t="shared" si="37"/>
        <v>0</v>
      </c>
      <c r="DC22" s="67">
        <f t="shared" si="38"/>
        <v>0</v>
      </c>
      <c r="DE22" s="76">
        <v>13</v>
      </c>
      <c r="DF22" s="42"/>
      <c r="DG22" s="69">
        <f t="shared" si="39"/>
        <v>0</v>
      </c>
      <c r="DH22" s="42"/>
      <c r="DI22" s="70">
        <f t="shared" si="40"/>
        <v>0</v>
      </c>
      <c r="DJ22" s="42"/>
      <c r="DK22" s="70">
        <f t="shared" si="41"/>
        <v>13</v>
      </c>
      <c r="DL22" s="42"/>
      <c r="DM22" s="71">
        <f t="shared" si="42"/>
        <v>464.23</v>
      </c>
      <c r="DN22" s="42"/>
      <c r="DO22" s="72" t="e">
        <f t="shared" si="43"/>
        <v>#DIV/0!</v>
      </c>
      <c r="DP22" s="42"/>
      <c r="DQ22" s="71">
        <f t="shared" si="44"/>
        <v>557.0500000000001</v>
      </c>
      <c r="DR22" s="42"/>
      <c r="DS22" s="69"/>
      <c r="DT22" s="42"/>
      <c r="DU22" s="71">
        <v>0</v>
      </c>
      <c r="DV22" s="42"/>
      <c r="DW22" s="73">
        <f t="shared" si="46"/>
        <v>0</v>
      </c>
      <c r="DX22" s="42"/>
      <c r="DY22" s="71">
        <f t="shared" si="47"/>
        <v>0</v>
      </c>
    </row>
    <row r="23" ht="12" customHeight="1" spans="1:129" x14ac:dyDescent="0.25">
      <c r="A23" s="74" t="s">
        <v>68</v>
      </c>
      <c r="B23" s="42"/>
      <c r="C23" s="75"/>
      <c r="D23" s="44"/>
      <c r="E23" s="78">
        <v>77.2</v>
      </c>
      <c r="F23" s="44"/>
      <c r="G23" s="61">
        <v>96.5</v>
      </c>
      <c r="I23" s="62"/>
      <c r="J23" s="63"/>
      <c r="K23" s="64"/>
      <c r="L23" s="3"/>
      <c r="M23" s="62"/>
      <c r="N23" s="3"/>
      <c r="O23" s="64"/>
      <c r="P23" s="3"/>
      <c r="Q23" s="62"/>
      <c r="R23" s="3"/>
      <c r="S23" s="64"/>
      <c r="T23" s="3"/>
      <c r="U23" s="62"/>
      <c r="V23" s="3"/>
      <c r="W23" s="64">
        <v>1</v>
      </c>
      <c r="X23" s="3"/>
      <c r="Y23" s="62"/>
      <c r="Z23" s="3"/>
      <c r="AA23" s="64"/>
      <c r="AB23" s="3"/>
      <c r="AC23" s="62"/>
      <c r="AD23" s="3"/>
      <c r="AE23" s="64"/>
      <c r="AF23" s="3"/>
      <c r="AG23" s="62"/>
      <c r="AH23" s="3"/>
      <c r="AI23" s="64"/>
      <c r="AJ23" s="3"/>
      <c r="AK23" s="62"/>
      <c r="AL23" s="3"/>
      <c r="AM23" s="64"/>
      <c r="AN23" s="3"/>
      <c r="AO23" s="62"/>
      <c r="AP23" s="3"/>
      <c r="AQ23" s="64"/>
      <c r="AR23" s="3"/>
      <c r="AS23" s="62"/>
      <c r="AT23" s="3"/>
      <c r="AU23" s="64"/>
      <c r="AW23" s="34">
        <f t="shared" si="0"/>
        <v>0</v>
      </c>
      <c r="AX23" s="65">
        <f t="shared" si="1"/>
        <v>0</v>
      </c>
      <c r="AY23" s="66"/>
      <c r="AZ23" s="31">
        <f t="shared" si="2"/>
        <v>0</v>
      </c>
      <c r="BA23" s="67">
        <f t="shared" si="3"/>
        <v>0</v>
      </c>
      <c r="BB23" s="66"/>
      <c r="BC23" s="31">
        <f t="shared" si="4"/>
        <v>0</v>
      </c>
      <c r="BD23" s="65">
        <f t="shared" si="5"/>
        <v>0</v>
      </c>
      <c r="BE23" s="66"/>
      <c r="BF23" s="31">
        <f t="shared" si="6"/>
        <v>0</v>
      </c>
      <c r="BG23" s="67">
        <f t="shared" si="7"/>
        <v>0</v>
      </c>
      <c r="BH23" s="66"/>
      <c r="BI23" s="31">
        <f t="shared" si="8"/>
        <v>0</v>
      </c>
      <c r="BJ23" s="65">
        <f t="shared" si="9"/>
        <v>0</v>
      </c>
      <c r="BK23" s="66"/>
      <c r="BL23" s="31">
        <f t="shared" si="10"/>
        <v>0</v>
      </c>
      <c r="BM23" s="67">
        <f t="shared" si="11"/>
        <v>0</v>
      </c>
      <c r="BN23" s="66"/>
      <c r="BO23" s="31">
        <f t="shared" si="12"/>
        <v>0</v>
      </c>
      <c r="BP23" s="65">
        <f t="shared" si="13"/>
        <v>0</v>
      </c>
      <c r="BQ23" s="66"/>
      <c r="BR23" s="31">
        <f t="shared" si="14"/>
        <v>1</v>
      </c>
      <c r="BS23" s="67">
        <f t="shared" si="15"/>
        <v>96.5</v>
      </c>
      <c r="BT23" s="66"/>
      <c r="BU23" s="31">
        <f t="shared" si="16"/>
        <v>0</v>
      </c>
      <c r="BV23" s="65">
        <f t="shared" si="17"/>
        <v>0</v>
      </c>
      <c r="BW23" s="66"/>
      <c r="BX23" s="31">
        <f t="shared" si="18"/>
        <v>0</v>
      </c>
      <c r="BY23" s="67">
        <f t="shared" si="19"/>
        <v>0</v>
      </c>
      <c r="BZ23" s="66"/>
      <c r="CA23" s="31">
        <f t="shared" si="20"/>
        <v>0</v>
      </c>
      <c r="CB23" s="65">
        <f t="shared" si="21"/>
        <v>0</v>
      </c>
      <c r="CC23" s="66"/>
      <c r="CD23" s="31">
        <f t="shared" si="22"/>
        <v>0</v>
      </c>
      <c r="CE23" s="67">
        <f t="shared" si="23"/>
        <v>0</v>
      </c>
      <c r="CF23" s="66"/>
      <c r="CG23" s="34">
        <f t="shared" si="24"/>
        <v>0</v>
      </c>
      <c r="CH23" s="67">
        <f t="shared" si="45"/>
        <v>0</v>
      </c>
      <c r="CI23" s="66"/>
      <c r="CJ23" s="34">
        <f t="shared" si="25"/>
        <v>0</v>
      </c>
      <c r="CK23" s="67">
        <f t="shared" si="26"/>
        <v>0</v>
      </c>
      <c r="CL23" s="66"/>
      <c r="CM23" s="34">
        <f t="shared" si="27"/>
        <v>0</v>
      </c>
      <c r="CN23" s="67">
        <f t="shared" si="28"/>
        <v>0</v>
      </c>
      <c r="CO23" s="66"/>
      <c r="CP23" s="34">
        <f t="shared" si="29"/>
        <v>0</v>
      </c>
      <c r="CQ23" s="67">
        <f t="shared" si="30"/>
        <v>0</v>
      </c>
      <c r="CR23" s="66"/>
      <c r="CS23" s="34">
        <f t="shared" si="31"/>
        <v>0</v>
      </c>
      <c r="CT23" s="65">
        <f t="shared" si="32"/>
        <v>0</v>
      </c>
      <c r="CU23" s="66"/>
      <c r="CV23" s="31">
        <f t="shared" si="33"/>
        <v>0</v>
      </c>
      <c r="CW23" s="67">
        <f t="shared" si="34"/>
        <v>0</v>
      </c>
      <c r="CX23" s="66"/>
      <c r="CY23" s="31">
        <f t="shared" si="35"/>
        <v>0</v>
      </c>
      <c r="CZ23" s="65">
        <f t="shared" si="36"/>
        <v>0</v>
      </c>
      <c r="DA23" s="66"/>
      <c r="DB23" s="31">
        <f t="shared" si="37"/>
        <v>0</v>
      </c>
      <c r="DC23" s="67">
        <f t="shared" si="38"/>
        <v>0</v>
      </c>
      <c r="DE23" s="76">
        <v>155</v>
      </c>
      <c r="DF23" s="42"/>
      <c r="DG23" s="69">
        <f t="shared" si="39"/>
        <v>0</v>
      </c>
      <c r="DH23" s="42"/>
      <c r="DI23" s="70">
        <f t="shared" si="40"/>
        <v>1</v>
      </c>
      <c r="DJ23" s="42"/>
      <c r="DK23" s="70">
        <f t="shared" si="41"/>
        <v>154</v>
      </c>
      <c r="DL23" s="42"/>
      <c r="DM23" s="71">
        <f t="shared" si="42"/>
        <v>11888.800000000001</v>
      </c>
      <c r="DN23" s="42"/>
      <c r="DO23" s="72">
        <f t="shared" si="43"/>
        <v>154</v>
      </c>
      <c r="DP23" s="42"/>
      <c r="DQ23" s="71">
        <f t="shared" si="44"/>
        <v>14861</v>
      </c>
      <c r="DR23" s="42"/>
      <c r="DS23" s="69"/>
      <c r="DT23" s="42"/>
      <c r="DU23" s="71">
        <v>0</v>
      </c>
      <c r="DV23" s="42"/>
      <c r="DW23" s="73">
        <f t="shared" si="46"/>
        <v>0</v>
      </c>
      <c r="DX23" s="42"/>
      <c r="DY23" s="71">
        <f t="shared" si="47"/>
        <v>0</v>
      </c>
    </row>
    <row r="24" ht="12" customHeight="1" spans="1:129" x14ac:dyDescent="0.25">
      <c r="A24" s="77" t="s">
        <v>69</v>
      </c>
      <c r="B24" s="42"/>
      <c r="C24" s="75"/>
      <c r="D24" s="44"/>
      <c r="E24" s="78">
        <v>13.8</v>
      </c>
      <c r="F24" s="44"/>
      <c r="G24" s="61">
        <v>16.56</v>
      </c>
      <c r="I24" s="62"/>
      <c r="J24" s="63"/>
      <c r="K24" s="64">
        <v>4</v>
      </c>
      <c r="L24" s="3"/>
      <c r="M24" s="62">
        <v>1</v>
      </c>
      <c r="N24" s="3"/>
      <c r="O24" s="64">
        <v>2</v>
      </c>
      <c r="P24" s="3"/>
      <c r="Q24" s="62">
        <v>1</v>
      </c>
      <c r="R24" s="3"/>
      <c r="S24" s="64">
        <v>1</v>
      </c>
      <c r="T24" s="3"/>
      <c r="U24" s="62">
        <v>1</v>
      </c>
      <c r="V24" s="3"/>
      <c r="W24" s="64">
        <v>2</v>
      </c>
      <c r="X24" s="3"/>
      <c r="Y24" s="62">
        <v>2</v>
      </c>
      <c r="Z24" s="3"/>
      <c r="AA24" s="64"/>
      <c r="AB24" s="3"/>
      <c r="AC24" s="62">
        <v>1</v>
      </c>
      <c r="AD24" s="3"/>
      <c r="AE24" s="64"/>
      <c r="AF24" s="3"/>
      <c r="AG24" s="62"/>
      <c r="AH24" s="3"/>
      <c r="AI24" s="64"/>
      <c r="AJ24" s="3"/>
      <c r="AK24" s="62"/>
      <c r="AL24" s="3"/>
      <c r="AM24" s="64"/>
      <c r="AN24" s="3"/>
      <c r="AO24" s="62"/>
      <c r="AP24" s="3"/>
      <c r="AQ24" s="64"/>
      <c r="AR24" s="3"/>
      <c r="AS24" s="62"/>
      <c r="AT24" s="3"/>
      <c r="AU24" s="64"/>
      <c r="AW24" s="34">
        <f t="shared" si="0"/>
        <v>0</v>
      </c>
      <c r="AX24" s="65">
        <f t="shared" si="1"/>
        <v>0</v>
      </c>
      <c r="AY24" s="66"/>
      <c r="AZ24" s="31">
        <f t="shared" si="2"/>
        <v>4</v>
      </c>
      <c r="BA24" s="67">
        <f t="shared" si="3"/>
        <v>66.24</v>
      </c>
      <c r="BB24" s="66"/>
      <c r="BC24" s="31">
        <f t="shared" si="4"/>
        <v>1</v>
      </c>
      <c r="BD24" s="65">
        <f t="shared" si="5"/>
        <v>16.56</v>
      </c>
      <c r="BE24" s="66"/>
      <c r="BF24" s="31">
        <f t="shared" si="6"/>
        <v>2</v>
      </c>
      <c r="BG24" s="67">
        <f t="shared" si="7"/>
        <v>33.12</v>
      </c>
      <c r="BH24" s="66"/>
      <c r="BI24" s="31">
        <f t="shared" si="8"/>
        <v>1</v>
      </c>
      <c r="BJ24" s="65">
        <f t="shared" si="9"/>
        <v>16.56</v>
      </c>
      <c r="BK24" s="66"/>
      <c r="BL24" s="31">
        <f t="shared" si="10"/>
        <v>1</v>
      </c>
      <c r="BM24" s="67">
        <f t="shared" si="11"/>
        <v>16.56</v>
      </c>
      <c r="BN24" s="66"/>
      <c r="BO24" s="31">
        <f t="shared" si="12"/>
        <v>1</v>
      </c>
      <c r="BP24" s="65">
        <f t="shared" si="13"/>
        <v>16.56</v>
      </c>
      <c r="BQ24" s="66"/>
      <c r="BR24" s="31">
        <f t="shared" si="14"/>
        <v>2</v>
      </c>
      <c r="BS24" s="67">
        <f t="shared" si="15"/>
        <v>33.12</v>
      </c>
      <c r="BT24" s="66"/>
      <c r="BU24" s="31">
        <f t="shared" si="16"/>
        <v>2</v>
      </c>
      <c r="BV24" s="65">
        <f t="shared" si="17"/>
        <v>33.12</v>
      </c>
      <c r="BW24" s="66"/>
      <c r="BX24" s="31">
        <f t="shared" si="18"/>
        <v>0</v>
      </c>
      <c r="BY24" s="67">
        <f t="shared" si="19"/>
        <v>0</v>
      </c>
      <c r="BZ24" s="66"/>
      <c r="CA24" s="31">
        <f t="shared" si="20"/>
        <v>1</v>
      </c>
      <c r="CB24" s="65">
        <f t="shared" si="21"/>
        <v>16.56</v>
      </c>
      <c r="CC24" s="66"/>
      <c r="CD24" s="31">
        <f t="shared" si="22"/>
        <v>0</v>
      </c>
      <c r="CE24" s="67">
        <f t="shared" si="23"/>
        <v>0</v>
      </c>
      <c r="CF24" s="66"/>
      <c r="CG24" s="34">
        <f t="shared" si="24"/>
        <v>0</v>
      </c>
      <c r="CH24" s="67">
        <f t="shared" si="45"/>
        <v>0</v>
      </c>
      <c r="CI24" s="66"/>
      <c r="CJ24" s="34">
        <f t="shared" si="25"/>
        <v>0</v>
      </c>
      <c r="CK24" s="67">
        <f t="shared" si="26"/>
        <v>0</v>
      </c>
      <c r="CL24" s="66"/>
      <c r="CM24" s="34">
        <f t="shared" si="27"/>
        <v>0</v>
      </c>
      <c r="CN24" s="67">
        <f t="shared" si="28"/>
        <v>0</v>
      </c>
      <c r="CO24" s="66"/>
      <c r="CP24" s="34">
        <f t="shared" si="29"/>
        <v>0</v>
      </c>
      <c r="CQ24" s="67">
        <f t="shared" si="30"/>
        <v>0</v>
      </c>
      <c r="CR24" s="66"/>
      <c r="CS24" s="34">
        <f t="shared" si="31"/>
        <v>0</v>
      </c>
      <c r="CT24" s="65">
        <f t="shared" si="32"/>
        <v>0</v>
      </c>
      <c r="CU24" s="66"/>
      <c r="CV24" s="31">
        <f t="shared" si="33"/>
        <v>0</v>
      </c>
      <c r="CW24" s="67">
        <f t="shared" si="34"/>
        <v>0</v>
      </c>
      <c r="CX24" s="66"/>
      <c r="CY24" s="31">
        <f t="shared" si="35"/>
        <v>0</v>
      </c>
      <c r="CZ24" s="65">
        <f t="shared" si="36"/>
        <v>0</v>
      </c>
      <c r="DA24" s="66"/>
      <c r="DB24" s="31">
        <f t="shared" si="37"/>
        <v>0</v>
      </c>
      <c r="DC24" s="67">
        <f t="shared" si="38"/>
        <v>0</v>
      </c>
      <c r="DE24" s="76">
        <v>614</v>
      </c>
      <c r="DF24" s="42"/>
      <c r="DG24" s="69">
        <f t="shared" si="39"/>
        <v>0</v>
      </c>
      <c r="DH24" s="42"/>
      <c r="DI24" s="70">
        <f t="shared" si="40"/>
        <v>15</v>
      </c>
      <c r="DJ24" s="42"/>
      <c r="DK24" s="70">
        <f t="shared" si="41"/>
        <v>599</v>
      </c>
      <c r="DL24" s="42"/>
      <c r="DM24" s="71">
        <f t="shared" si="42"/>
        <v>8266.2</v>
      </c>
      <c r="DN24" s="42"/>
      <c r="DO24" s="72">
        <f t="shared" si="43"/>
        <v>39.93333333333333</v>
      </c>
      <c r="DP24" s="42"/>
      <c r="DQ24" s="71">
        <f t="shared" si="44"/>
        <v>9919.439999999999</v>
      </c>
      <c r="DR24" s="42"/>
      <c r="DS24" s="69"/>
      <c r="DT24" s="42"/>
      <c r="DU24" s="71">
        <v>0</v>
      </c>
      <c r="DV24" s="42"/>
      <c r="DW24" s="73">
        <f t="shared" si="46"/>
        <v>0</v>
      </c>
      <c r="DX24" s="42"/>
      <c r="DY24" s="71">
        <f t="shared" si="47"/>
        <v>0</v>
      </c>
    </row>
    <row r="25" ht="12" customHeight="1" spans="1:129" x14ac:dyDescent="0.25">
      <c r="A25" s="74" t="s">
        <v>70</v>
      </c>
      <c r="B25" s="42"/>
      <c r="C25" s="75"/>
      <c r="D25" s="44"/>
      <c r="E25" s="78">
        <v>27.99</v>
      </c>
      <c r="F25" s="44"/>
      <c r="G25" s="61">
        <v>33.59</v>
      </c>
      <c r="I25" s="62">
        <v>2</v>
      </c>
      <c r="J25" s="63"/>
      <c r="K25" s="64">
        <v>3</v>
      </c>
      <c r="L25" s="3"/>
      <c r="M25" s="62">
        <v>3</v>
      </c>
      <c r="N25" s="3"/>
      <c r="O25" s="64">
        <v>2</v>
      </c>
      <c r="P25" s="3"/>
      <c r="Q25" s="62">
        <v>1</v>
      </c>
      <c r="R25" s="3"/>
      <c r="S25" s="64">
        <v>1</v>
      </c>
      <c r="T25" s="3"/>
      <c r="U25" s="62">
        <v>2</v>
      </c>
      <c r="V25" s="3"/>
      <c r="W25" s="64">
        <v>1</v>
      </c>
      <c r="X25" s="3"/>
      <c r="Y25" s="62">
        <v>2</v>
      </c>
      <c r="Z25" s="3"/>
      <c r="AA25" s="64">
        <v>1</v>
      </c>
      <c r="AB25" s="3"/>
      <c r="AC25" s="62">
        <v>1</v>
      </c>
      <c r="AD25" s="3"/>
      <c r="AE25" s="64"/>
      <c r="AF25" s="3"/>
      <c r="AG25" s="62"/>
      <c r="AH25" s="3"/>
      <c r="AI25" s="64"/>
      <c r="AJ25" s="3"/>
      <c r="AK25" s="62"/>
      <c r="AL25" s="3"/>
      <c r="AM25" s="64"/>
      <c r="AN25" s="3"/>
      <c r="AO25" s="62"/>
      <c r="AP25" s="3"/>
      <c r="AQ25" s="64"/>
      <c r="AR25" s="3"/>
      <c r="AS25" s="62"/>
      <c r="AT25" s="3"/>
      <c r="AU25" s="64"/>
      <c r="AW25" s="34">
        <f t="shared" si="0"/>
        <v>2</v>
      </c>
      <c r="AX25" s="65">
        <f t="shared" si="1"/>
        <v>67.18</v>
      </c>
      <c r="AY25" s="66"/>
      <c r="AZ25" s="31">
        <f t="shared" si="2"/>
        <v>3</v>
      </c>
      <c r="BA25" s="67">
        <f t="shared" si="3"/>
        <v>100.77000000000001</v>
      </c>
      <c r="BB25" s="66"/>
      <c r="BC25" s="31">
        <f t="shared" si="4"/>
        <v>3</v>
      </c>
      <c r="BD25" s="65">
        <f t="shared" si="5"/>
        <v>100.77000000000001</v>
      </c>
      <c r="BE25" s="66"/>
      <c r="BF25" s="31">
        <f t="shared" si="6"/>
        <v>2</v>
      </c>
      <c r="BG25" s="67">
        <f t="shared" si="7"/>
        <v>67.18</v>
      </c>
      <c r="BH25" s="66"/>
      <c r="BI25" s="31">
        <f t="shared" si="8"/>
        <v>1</v>
      </c>
      <c r="BJ25" s="65">
        <f t="shared" si="9"/>
        <v>33.59</v>
      </c>
      <c r="BK25" s="66"/>
      <c r="BL25" s="31">
        <f t="shared" si="10"/>
        <v>1</v>
      </c>
      <c r="BM25" s="67">
        <f t="shared" si="11"/>
        <v>33.59</v>
      </c>
      <c r="BN25" s="66"/>
      <c r="BO25" s="31">
        <f t="shared" si="12"/>
        <v>2</v>
      </c>
      <c r="BP25" s="65">
        <f t="shared" si="13"/>
        <v>67.18</v>
      </c>
      <c r="BQ25" s="66"/>
      <c r="BR25" s="31">
        <f t="shared" si="14"/>
        <v>1</v>
      </c>
      <c r="BS25" s="67">
        <f t="shared" si="15"/>
        <v>33.59</v>
      </c>
      <c r="BT25" s="66"/>
      <c r="BU25" s="31">
        <f t="shared" si="16"/>
        <v>2</v>
      </c>
      <c r="BV25" s="65">
        <f t="shared" si="17"/>
        <v>67.18</v>
      </c>
      <c r="BW25" s="66"/>
      <c r="BX25" s="31">
        <f t="shared" si="18"/>
        <v>1</v>
      </c>
      <c r="BY25" s="67">
        <f t="shared" si="19"/>
        <v>33.59</v>
      </c>
      <c r="BZ25" s="66"/>
      <c r="CA25" s="31">
        <f t="shared" si="20"/>
        <v>1</v>
      </c>
      <c r="CB25" s="65">
        <f t="shared" si="21"/>
        <v>33.59</v>
      </c>
      <c r="CC25" s="66"/>
      <c r="CD25" s="31">
        <f t="shared" si="22"/>
        <v>0</v>
      </c>
      <c r="CE25" s="67">
        <f t="shared" si="23"/>
        <v>0</v>
      </c>
      <c r="CF25" s="66"/>
      <c r="CG25" s="34">
        <f t="shared" si="24"/>
        <v>0</v>
      </c>
      <c r="CH25" s="67">
        <f t="shared" si="45"/>
        <v>0</v>
      </c>
      <c r="CI25" s="66"/>
      <c r="CJ25" s="34">
        <f t="shared" si="25"/>
        <v>0</v>
      </c>
      <c r="CK25" s="67">
        <f t="shared" si="26"/>
        <v>0</v>
      </c>
      <c r="CL25" s="66"/>
      <c r="CM25" s="34">
        <f t="shared" si="27"/>
        <v>0</v>
      </c>
      <c r="CN25" s="67">
        <f t="shared" si="28"/>
        <v>0</v>
      </c>
      <c r="CO25" s="66"/>
      <c r="CP25" s="34">
        <f t="shared" si="29"/>
        <v>0</v>
      </c>
      <c r="CQ25" s="67">
        <f t="shared" si="30"/>
        <v>0</v>
      </c>
      <c r="CR25" s="66"/>
      <c r="CS25" s="34">
        <f t="shared" si="31"/>
        <v>0</v>
      </c>
      <c r="CT25" s="65">
        <f t="shared" si="32"/>
        <v>0</v>
      </c>
      <c r="CU25" s="66"/>
      <c r="CV25" s="31">
        <f t="shared" si="33"/>
        <v>0</v>
      </c>
      <c r="CW25" s="67">
        <f t="shared" si="34"/>
        <v>0</v>
      </c>
      <c r="CX25" s="66"/>
      <c r="CY25" s="31">
        <f t="shared" si="35"/>
        <v>0</v>
      </c>
      <c r="CZ25" s="65">
        <f t="shared" si="36"/>
        <v>0</v>
      </c>
      <c r="DA25" s="66"/>
      <c r="DB25" s="31">
        <f t="shared" si="37"/>
        <v>0</v>
      </c>
      <c r="DC25" s="67">
        <f t="shared" si="38"/>
        <v>0</v>
      </c>
      <c r="DE25" s="76">
        <v>76</v>
      </c>
      <c r="DF25" s="42"/>
      <c r="DG25" s="69">
        <f t="shared" si="39"/>
        <v>0</v>
      </c>
      <c r="DH25" s="42"/>
      <c r="DI25" s="70">
        <f t="shared" si="40"/>
        <v>19</v>
      </c>
      <c r="DJ25" s="42"/>
      <c r="DK25" s="70">
        <f t="shared" si="41"/>
        <v>57</v>
      </c>
      <c r="DL25" s="42"/>
      <c r="DM25" s="71">
        <f t="shared" si="42"/>
        <v>1595.4299999999998</v>
      </c>
      <c r="DN25" s="42"/>
      <c r="DO25" s="72">
        <f t="shared" si="43"/>
        <v>3</v>
      </c>
      <c r="DP25" s="42"/>
      <c r="DQ25" s="71">
        <f t="shared" si="44"/>
        <v>1914.63</v>
      </c>
      <c r="DR25" s="42"/>
      <c r="DS25" s="69"/>
      <c r="DT25" s="42"/>
      <c r="DU25" s="71">
        <v>0</v>
      </c>
      <c r="DV25" s="42"/>
      <c r="DW25" s="73">
        <f t="shared" si="46"/>
        <v>0</v>
      </c>
      <c r="DX25" s="42"/>
      <c r="DY25" s="71">
        <f t="shared" si="47"/>
        <v>0</v>
      </c>
    </row>
    <row r="26" ht="12" customHeight="1" spans="1:129" x14ac:dyDescent="0.25">
      <c r="A26" s="77" t="s">
        <v>71</v>
      </c>
      <c r="B26" s="42"/>
      <c r="C26" s="75"/>
      <c r="D26" s="44"/>
      <c r="E26" s="78">
        <v>32.99</v>
      </c>
      <c r="F26" s="44"/>
      <c r="G26" s="61">
        <v>39.59</v>
      </c>
      <c r="I26" s="62"/>
      <c r="J26" s="63"/>
      <c r="K26" s="64">
        <v>1</v>
      </c>
      <c r="L26" s="3"/>
      <c r="M26" s="62">
        <v>1</v>
      </c>
      <c r="N26" s="3"/>
      <c r="O26" s="64">
        <v>1</v>
      </c>
      <c r="P26" s="3"/>
      <c r="Q26" s="62">
        <v>1</v>
      </c>
      <c r="R26" s="3"/>
      <c r="S26" s="64">
        <v>1</v>
      </c>
      <c r="T26" s="3"/>
      <c r="U26" s="62"/>
      <c r="V26" s="3"/>
      <c r="W26" s="64">
        <v>1</v>
      </c>
      <c r="X26" s="3"/>
      <c r="Y26" s="62">
        <v>1</v>
      </c>
      <c r="Z26" s="3"/>
      <c r="AA26" s="64"/>
      <c r="AB26" s="3"/>
      <c r="AC26" s="62">
        <v>1</v>
      </c>
      <c r="AD26" s="3"/>
      <c r="AE26" s="64"/>
      <c r="AF26" s="3"/>
      <c r="AG26" s="62"/>
      <c r="AH26" s="3"/>
      <c r="AI26" s="64"/>
      <c r="AJ26" s="3"/>
      <c r="AK26" s="62"/>
      <c r="AL26" s="3"/>
      <c r="AM26" s="64"/>
      <c r="AN26" s="3"/>
      <c r="AO26" s="62"/>
      <c r="AP26" s="3"/>
      <c r="AQ26" s="64"/>
      <c r="AR26" s="3"/>
      <c r="AS26" s="62"/>
      <c r="AT26" s="3"/>
      <c r="AU26" s="64"/>
      <c r="AW26" s="34">
        <f t="shared" si="0"/>
        <v>0</v>
      </c>
      <c r="AX26" s="65">
        <f t="shared" si="1"/>
        <v>0</v>
      </c>
      <c r="AY26" s="66"/>
      <c r="AZ26" s="31">
        <f t="shared" si="2"/>
        <v>1</v>
      </c>
      <c r="BA26" s="67">
        <f t="shared" si="3"/>
        <v>39.59</v>
      </c>
      <c r="BB26" s="66"/>
      <c r="BC26" s="31">
        <f t="shared" si="4"/>
        <v>1</v>
      </c>
      <c r="BD26" s="65">
        <f t="shared" si="5"/>
        <v>39.59</v>
      </c>
      <c r="BE26" s="66"/>
      <c r="BF26" s="31">
        <f t="shared" si="6"/>
        <v>1</v>
      </c>
      <c r="BG26" s="67">
        <f t="shared" si="7"/>
        <v>39.59</v>
      </c>
      <c r="BH26" s="66"/>
      <c r="BI26" s="31">
        <f t="shared" si="8"/>
        <v>1</v>
      </c>
      <c r="BJ26" s="65">
        <f t="shared" si="9"/>
        <v>39.59</v>
      </c>
      <c r="BK26" s="66"/>
      <c r="BL26" s="31">
        <f t="shared" si="10"/>
        <v>1</v>
      </c>
      <c r="BM26" s="67">
        <f t="shared" si="11"/>
        <v>39.59</v>
      </c>
      <c r="BN26" s="66"/>
      <c r="BO26" s="31">
        <f t="shared" si="12"/>
        <v>0</v>
      </c>
      <c r="BP26" s="65">
        <f t="shared" si="13"/>
        <v>0</v>
      </c>
      <c r="BQ26" s="66"/>
      <c r="BR26" s="31">
        <f t="shared" si="14"/>
        <v>1</v>
      </c>
      <c r="BS26" s="67">
        <f t="shared" si="15"/>
        <v>39.59</v>
      </c>
      <c r="BT26" s="66"/>
      <c r="BU26" s="31">
        <f t="shared" si="16"/>
        <v>1</v>
      </c>
      <c r="BV26" s="65">
        <f t="shared" si="17"/>
        <v>39.59</v>
      </c>
      <c r="BW26" s="66"/>
      <c r="BX26" s="31">
        <f t="shared" si="18"/>
        <v>0</v>
      </c>
      <c r="BY26" s="67">
        <f t="shared" si="19"/>
        <v>0</v>
      </c>
      <c r="BZ26" s="66"/>
      <c r="CA26" s="31">
        <f t="shared" si="20"/>
        <v>1</v>
      </c>
      <c r="CB26" s="65">
        <f t="shared" si="21"/>
        <v>39.59</v>
      </c>
      <c r="CC26" s="66"/>
      <c r="CD26" s="31">
        <f t="shared" si="22"/>
        <v>0</v>
      </c>
      <c r="CE26" s="67">
        <f t="shared" si="23"/>
        <v>0</v>
      </c>
      <c r="CF26" s="66"/>
      <c r="CG26" s="34">
        <f t="shared" si="24"/>
        <v>0</v>
      </c>
      <c r="CH26" s="67">
        <f t="shared" si="45"/>
        <v>0</v>
      </c>
      <c r="CI26" s="66"/>
      <c r="CJ26" s="34">
        <f t="shared" si="25"/>
        <v>0</v>
      </c>
      <c r="CK26" s="67">
        <f t="shared" si="26"/>
        <v>0</v>
      </c>
      <c r="CL26" s="66"/>
      <c r="CM26" s="34">
        <f t="shared" si="27"/>
        <v>0</v>
      </c>
      <c r="CN26" s="67">
        <f t="shared" si="28"/>
        <v>0</v>
      </c>
      <c r="CO26" s="66"/>
      <c r="CP26" s="34">
        <f t="shared" si="29"/>
        <v>0</v>
      </c>
      <c r="CQ26" s="67">
        <f t="shared" si="30"/>
        <v>0</v>
      </c>
      <c r="CR26" s="66"/>
      <c r="CS26" s="34">
        <f t="shared" si="31"/>
        <v>0</v>
      </c>
      <c r="CT26" s="65">
        <f t="shared" si="32"/>
        <v>0</v>
      </c>
      <c r="CU26" s="66"/>
      <c r="CV26" s="31">
        <f t="shared" si="33"/>
        <v>0</v>
      </c>
      <c r="CW26" s="67">
        <f t="shared" si="34"/>
        <v>0</v>
      </c>
      <c r="CX26" s="66"/>
      <c r="CY26" s="31">
        <f t="shared" si="35"/>
        <v>0</v>
      </c>
      <c r="CZ26" s="65">
        <f t="shared" si="36"/>
        <v>0</v>
      </c>
      <c r="DA26" s="66"/>
      <c r="DB26" s="31">
        <f t="shared" si="37"/>
        <v>0</v>
      </c>
      <c r="DC26" s="67">
        <f t="shared" si="38"/>
        <v>0</v>
      </c>
      <c r="DE26" s="76">
        <v>83</v>
      </c>
      <c r="DF26" s="42"/>
      <c r="DG26" s="69">
        <f t="shared" si="39"/>
        <v>0</v>
      </c>
      <c r="DH26" s="42"/>
      <c r="DI26" s="70">
        <f t="shared" si="40"/>
        <v>8</v>
      </c>
      <c r="DJ26" s="42"/>
      <c r="DK26" s="70">
        <f t="shared" si="41"/>
        <v>75</v>
      </c>
      <c r="DL26" s="42"/>
      <c r="DM26" s="71">
        <f t="shared" si="42"/>
        <v>2474.25</v>
      </c>
      <c r="DN26" s="42"/>
      <c r="DO26" s="72">
        <f t="shared" si="43"/>
        <v>9.375</v>
      </c>
      <c r="DP26" s="42"/>
      <c r="DQ26" s="71">
        <f t="shared" si="44"/>
        <v>2969.2500000000005</v>
      </c>
      <c r="DR26" s="42"/>
      <c r="DS26" s="69"/>
      <c r="DT26" s="42"/>
      <c r="DU26" s="71">
        <v>0</v>
      </c>
      <c r="DV26" s="42"/>
      <c r="DW26" s="73">
        <f t="shared" si="46"/>
        <v>0</v>
      </c>
      <c r="DX26" s="42"/>
      <c r="DY26" s="71">
        <f t="shared" si="47"/>
        <v>0</v>
      </c>
    </row>
    <row r="27" ht="12" customHeight="1" spans="1:129" x14ac:dyDescent="0.25">
      <c r="A27" s="74" t="s">
        <v>72</v>
      </c>
      <c r="B27" s="42"/>
      <c r="C27" s="75"/>
      <c r="D27" s="44"/>
      <c r="E27" s="78">
        <v>23.05</v>
      </c>
      <c r="F27" s="44"/>
      <c r="G27" s="61">
        <v>27.66</v>
      </c>
      <c r="I27" s="62">
        <v>1</v>
      </c>
      <c r="J27" s="63"/>
      <c r="K27" s="64">
        <v>1</v>
      </c>
      <c r="L27" s="3"/>
      <c r="M27" s="62">
        <v>1</v>
      </c>
      <c r="N27" s="3"/>
      <c r="O27" s="64"/>
      <c r="P27" s="3"/>
      <c r="Q27" s="62">
        <v>1</v>
      </c>
      <c r="R27" s="3"/>
      <c r="S27" s="64">
        <v>1</v>
      </c>
      <c r="T27" s="3"/>
      <c r="U27" s="62"/>
      <c r="V27" s="3"/>
      <c r="W27" s="64">
        <v>1</v>
      </c>
      <c r="X27" s="3"/>
      <c r="Y27" s="62"/>
      <c r="Z27" s="3"/>
      <c r="AA27" s="64"/>
      <c r="AB27" s="3"/>
      <c r="AC27" s="62"/>
      <c r="AD27" s="3"/>
      <c r="AE27" s="64"/>
      <c r="AF27" s="3"/>
      <c r="AG27" s="62"/>
      <c r="AH27" s="3"/>
      <c r="AI27" s="64"/>
      <c r="AJ27" s="3"/>
      <c r="AK27" s="62"/>
      <c r="AL27" s="3"/>
      <c r="AM27" s="64"/>
      <c r="AN27" s="3"/>
      <c r="AO27" s="62"/>
      <c r="AP27" s="3"/>
      <c r="AQ27" s="64"/>
      <c r="AR27" s="3"/>
      <c r="AS27" s="62"/>
      <c r="AT27" s="3"/>
      <c r="AU27" s="64"/>
      <c r="AW27" s="34">
        <f t="shared" si="0"/>
        <v>1</v>
      </c>
      <c r="AX27" s="65">
        <f t="shared" si="1"/>
        <v>27.66</v>
      </c>
      <c r="AY27" s="66"/>
      <c r="AZ27" s="31">
        <f t="shared" si="2"/>
        <v>1</v>
      </c>
      <c r="BA27" s="67">
        <f t="shared" si="3"/>
        <v>27.66</v>
      </c>
      <c r="BB27" s="66"/>
      <c r="BC27" s="31">
        <f t="shared" si="4"/>
        <v>1</v>
      </c>
      <c r="BD27" s="65">
        <f t="shared" si="5"/>
        <v>27.66</v>
      </c>
      <c r="BE27" s="66"/>
      <c r="BF27" s="31">
        <f t="shared" si="6"/>
        <v>0</v>
      </c>
      <c r="BG27" s="67">
        <f t="shared" si="7"/>
        <v>0</v>
      </c>
      <c r="BH27" s="66"/>
      <c r="BI27" s="31">
        <f t="shared" si="8"/>
        <v>1</v>
      </c>
      <c r="BJ27" s="65">
        <f t="shared" si="9"/>
        <v>27.66</v>
      </c>
      <c r="BK27" s="66"/>
      <c r="BL27" s="31">
        <f t="shared" si="10"/>
        <v>1</v>
      </c>
      <c r="BM27" s="67">
        <f t="shared" si="11"/>
        <v>27.66</v>
      </c>
      <c r="BN27" s="66"/>
      <c r="BO27" s="31">
        <f t="shared" si="12"/>
        <v>0</v>
      </c>
      <c r="BP27" s="65">
        <f t="shared" si="13"/>
        <v>0</v>
      </c>
      <c r="BQ27" s="66"/>
      <c r="BR27" s="31">
        <f t="shared" si="14"/>
        <v>1</v>
      </c>
      <c r="BS27" s="67">
        <f t="shared" si="15"/>
        <v>27.66</v>
      </c>
      <c r="BT27" s="66"/>
      <c r="BU27" s="31">
        <f t="shared" si="16"/>
        <v>0</v>
      </c>
      <c r="BV27" s="65">
        <f t="shared" si="17"/>
        <v>0</v>
      </c>
      <c r="BW27" s="66"/>
      <c r="BX27" s="31">
        <f t="shared" si="18"/>
        <v>0</v>
      </c>
      <c r="BY27" s="67">
        <f t="shared" si="19"/>
        <v>0</v>
      </c>
      <c r="BZ27" s="66"/>
      <c r="CA27" s="31">
        <f t="shared" si="20"/>
        <v>0</v>
      </c>
      <c r="CB27" s="65">
        <f t="shared" si="21"/>
        <v>0</v>
      </c>
      <c r="CC27" s="66"/>
      <c r="CD27" s="31">
        <f t="shared" si="22"/>
        <v>0</v>
      </c>
      <c r="CE27" s="67">
        <f t="shared" si="23"/>
        <v>0</v>
      </c>
      <c r="CF27" s="66"/>
      <c r="CG27" s="34">
        <f t="shared" si="24"/>
        <v>0</v>
      </c>
      <c r="CH27" s="67">
        <f t="shared" si="45"/>
        <v>0</v>
      </c>
      <c r="CI27" s="66"/>
      <c r="CJ27" s="34">
        <f t="shared" si="25"/>
        <v>0</v>
      </c>
      <c r="CK27" s="67">
        <f t="shared" si="26"/>
        <v>0</v>
      </c>
      <c r="CL27" s="66"/>
      <c r="CM27" s="34">
        <f t="shared" si="27"/>
        <v>0</v>
      </c>
      <c r="CN27" s="67">
        <f t="shared" si="28"/>
        <v>0</v>
      </c>
      <c r="CO27" s="66"/>
      <c r="CP27" s="34">
        <f t="shared" si="29"/>
        <v>0</v>
      </c>
      <c r="CQ27" s="67">
        <f t="shared" si="30"/>
        <v>0</v>
      </c>
      <c r="CR27" s="66"/>
      <c r="CS27" s="34">
        <f t="shared" si="31"/>
        <v>0</v>
      </c>
      <c r="CT27" s="65">
        <f t="shared" si="32"/>
        <v>0</v>
      </c>
      <c r="CU27" s="66"/>
      <c r="CV27" s="31">
        <f t="shared" si="33"/>
        <v>0</v>
      </c>
      <c r="CW27" s="67">
        <f t="shared" si="34"/>
        <v>0</v>
      </c>
      <c r="CX27" s="66"/>
      <c r="CY27" s="31">
        <f t="shared" si="35"/>
        <v>0</v>
      </c>
      <c r="CZ27" s="65">
        <f t="shared" si="36"/>
        <v>0</v>
      </c>
      <c r="DA27" s="66"/>
      <c r="DB27" s="31">
        <f t="shared" si="37"/>
        <v>0</v>
      </c>
      <c r="DC27" s="67">
        <f t="shared" si="38"/>
        <v>0</v>
      </c>
      <c r="DE27" s="76">
        <v>131</v>
      </c>
      <c r="DF27" s="42"/>
      <c r="DG27" s="69">
        <f t="shared" si="39"/>
        <v>0</v>
      </c>
      <c r="DH27" s="42"/>
      <c r="DI27" s="70">
        <f t="shared" si="40"/>
        <v>6</v>
      </c>
      <c r="DJ27" s="42"/>
      <c r="DK27" s="70">
        <f t="shared" si="41"/>
        <v>125</v>
      </c>
      <c r="DL27" s="42"/>
      <c r="DM27" s="71">
        <f t="shared" si="42"/>
        <v>2881.25</v>
      </c>
      <c r="DN27" s="42"/>
      <c r="DO27" s="72">
        <f t="shared" si="43"/>
        <v>20.833333333333332</v>
      </c>
      <c r="DP27" s="42"/>
      <c r="DQ27" s="71">
        <f t="shared" si="44"/>
        <v>3457.5</v>
      </c>
      <c r="DR27" s="42"/>
      <c r="DS27" s="69"/>
      <c r="DT27" s="42"/>
      <c r="DU27" s="71">
        <v>0</v>
      </c>
      <c r="DV27" s="42"/>
      <c r="DW27" s="73">
        <f t="shared" si="46"/>
        <v>0</v>
      </c>
      <c r="DX27" s="42"/>
      <c r="DY27" s="71">
        <f t="shared" si="47"/>
        <v>0</v>
      </c>
    </row>
    <row r="28" ht="12" customHeight="1" spans="1:129" x14ac:dyDescent="0.25">
      <c r="A28" s="77" t="s">
        <v>73</v>
      </c>
      <c r="B28" s="42"/>
      <c r="C28" s="75"/>
      <c r="D28" s="44"/>
      <c r="E28" s="78">
        <v>26.11</v>
      </c>
      <c r="F28" s="44"/>
      <c r="G28" s="61">
        <v>31.33</v>
      </c>
      <c r="I28" s="62"/>
      <c r="J28" s="63"/>
      <c r="K28" s="64">
        <v>3</v>
      </c>
      <c r="L28" s="3"/>
      <c r="M28" s="62">
        <v>1</v>
      </c>
      <c r="N28" s="3"/>
      <c r="O28" s="64">
        <v>2</v>
      </c>
      <c r="P28" s="3"/>
      <c r="Q28" s="62">
        <v>1</v>
      </c>
      <c r="R28" s="3"/>
      <c r="S28" s="64">
        <v>1</v>
      </c>
      <c r="T28" s="3"/>
      <c r="U28" s="62">
        <v>2</v>
      </c>
      <c r="V28" s="3"/>
      <c r="W28" s="64">
        <v>2</v>
      </c>
      <c r="X28" s="3"/>
      <c r="Y28" s="62">
        <v>1</v>
      </c>
      <c r="Z28" s="3"/>
      <c r="AA28" s="64">
        <v>1</v>
      </c>
      <c r="AB28" s="3"/>
      <c r="AC28" s="62">
        <v>2</v>
      </c>
      <c r="AD28" s="3"/>
      <c r="AE28" s="64"/>
      <c r="AF28" s="3"/>
      <c r="AG28" s="62"/>
      <c r="AH28" s="3"/>
      <c r="AI28" s="64"/>
      <c r="AJ28" s="3"/>
      <c r="AK28" s="62"/>
      <c r="AL28" s="3"/>
      <c r="AM28" s="64"/>
      <c r="AN28" s="3"/>
      <c r="AO28" s="62"/>
      <c r="AP28" s="3"/>
      <c r="AQ28" s="64"/>
      <c r="AR28" s="3"/>
      <c r="AS28" s="62"/>
      <c r="AT28" s="3"/>
      <c r="AU28" s="64"/>
      <c r="AW28" s="34">
        <f t="shared" si="0"/>
        <v>0</v>
      </c>
      <c r="AX28" s="65">
        <f t="shared" si="1"/>
        <v>0</v>
      </c>
      <c r="AY28" s="66"/>
      <c r="AZ28" s="31">
        <f t="shared" si="2"/>
        <v>3</v>
      </c>
      <c r="BA28" s="67">
        <f t="shared" si="3"/>
        <v>93.99</v>
      </c>
      <c r="BB28" s="66"/>
      <c r="BC28" s="31">
        <f t="shared" si="4"/>
        <v>1</v>
      </c>
      <c r="BD28" s="65">
        <f t="shared" si="5"/>
        <v>31.33</v>
      </c>
      <c r="BE28" s="66"/>
      <c r="BF28" s="31">
        <f t="shared" si="6"/>
        <v>2</v>
      </c>
      <c r="BG28" s="67">
        <f t="shared" si="7"/>
        <v>62.66</v>
      </c>
      <c r="BH28" s="66"/>
      <c r="BI28" s="31">
        <f t="shared" si="8"/>
        <v>1</v>
      </c>
      <c r="BJ28" s="65">
        <f t="shared" si="9"/>
        <v>31.33</v>
      </c>
      <c r="BK28" s="66"/>
      <c r="BL28" s="31">
        <f t="shared" si="10"/>
        <v>1</v>
      </c>
      <c r="BM28" s="67">
        <f t="shared" si="11"/>
        <v>31.33</v>
      </c>
      <c r="BN28" s="66"/>
      <c r="BO28" s="31">
        <f t="shared" si="12"/>
        <v>2</v>
      </c>
      <c r="BP28" s="65">
        <f t="shared" si="13"/>
        <v>62.66</v>
      </c>
      <c r="BQ28" s="66"/>
      <c r="BR28" s="31">
        <f t="shared" si="14"/>
        <v>2</v>
      </c>
      <c r="BS28" s="67">
        <f t="shared" si="15"/>
        <v>62.66</v>
      </c>
      <c r="BT28" s="66"/>
      <c r="BU28" s="31">
        <f t="shared" si="16"/>
        <v>1</v>
      </c>
      <c r="BV28" s="65">
        <f t="shared" si="17"/>
        <v>31.33</v>
      </c>
      <c r="BW28" s="66"/>
      <c r="BX28" s="31">
        <f t="shared" si="18"/>
        <v>1</v>
      </c>
      <c r="BY28" s="67">
        <f t="shared" si="19"/>
        <v>31.33</v>
      </c>
      <c r="BZ28" s="66"/>
      <c r="CA28" s="31">
        <f t="shared" si="20"/>
        <v>2</v>
      </c>
      <c r="CB28" s="65">
        <f t="shared" si="21"/>
        <v>62.66</v>
      </c>
      <c r="CC28" s="66"/>
      <c r="CD28" s="31">
        <f t="shared" si="22"/>
        <v>0</v>
      </c>
      <c r="CE28" s="67">
        <f t="shared" si="23"/>
        <v>0</v>
      </c>
      <c r="CF28" s="66"/>
      <c r="CG28" s="34">
        <f t="shared" si="24"/>
        <v>0</v>
      </c>
      <c r="CH28" s="67">
        <f t="shared" si="45"/>
        <v>0</v>
      </c>
      <c r="CI28" s="66"/>
      <c r="CJ28" s="34">
        <f t="shared" si="25"/>
        <v>0</v>
      </c>
      <c r="CK28" s="67">
        <f t="shared" si="26"/>
        <v>0</v>
      </c>
      <c r="CL28" s="66"/>
      <c r="CM28" s="34">
        <f t="shared" si="27"/>
        <v>0</v>
      </c>
      <c r="CN28" s="67">
        <f t="shared" si="28"/>
        <v>0</v>
      </c>
      <c r="CO28" s="66"/>
      <c r="CP28" s="34">
        <f t="shared" si="29"/>
        <v>0</v>
      </c>
      <c r="CQ28" s="67">
        <f t="shared" si="30"/>
        <v>0</v>
      </c>
      <c r="CR28" s="66"/>
      <c r="CS28" s="34">
        <f t="shared" si="31"/>
        <v>0</v>
      </c>
      <c r="CT28" s="65">
        <f t="shared" si="32"/>
        <v>0</v>
      </c>
      <c r="CU28" s="66"/>
      <c r="CV28" s="31">
        <f t="shared" si="33"/>
        <v>0</v>
      </c>
      <c r="CW28" s="67">
        <f t="shared" si="34"/>
        <v>0</v>
      </c>
      <c r="CX28" s="66"/>
      <c r="CY28" s="31">
        <f t="shared" si="35"/>
        <v>0</v>
      </c>
      <c r="CZ28" s="65">
        <f t="shared" si="36"/>
        <v>0</v>
      </c>
      <c r="DA28" s="66"/>
      <c r="DB28" s="31">
        <f t="shared" si="37"/>
        <v>0</v>
      </c>
      <c r="DC28" s="67">
        <f t="shared" si="38"/>
        <v>0</v>
      </c>
      <c r="DE28" s="76">
        <v>72</v>
      </c>
      <c r="DF28" s="42"/>
      <c r="DG28" s="69">
        <f t="shared" si="39"/>
        <v>0</v>
      </c>
      <c r="DH28" s="42"/>
      <c r="DI28" s="70">
        <f t="shared" si="40"/>
        <v>16</v>
      </c>
      <c r="DJ28" s="42"/>
      <c r="DK28" s="70">
        <f t="shared" si="41"/>
        <v>56</v>
      </c>
      <c r="DL28" s="42"/>
      <c r="DM28" s="71">
        <f t="shared" si="42"/>
        <v>1462.1599999999999</v>
      </c>
      <c r="DN28" s="42"/>
      <c r="DO28" s="72">
        <f t="shared" si="43"/>
        <v>3.5</v>
      </c>
      <c r="DP28" s="42"/>
      <c r="DQ28" s="71">
        <f t="shared" si="44"/>
        <v>1754.48</v>
      </c>
      <c r="DR28" s="42"/>
      <c r="DS28" s="69"/>
      <c r="DT28" s="42"/>
      <c r="DU28" s="71">
        <v>0</v>
      </c>
      <c r="DV28" s="42"/>
      <c r="DW28" s="73">
        <f t="shared" si="46"/>
        <v>0</v>
      </c>
      <c r="DX28" s="42"/>
      <c r="DY28" s="71">
        <f t="shared" si="47"/>
        <v>0</v>
      </c>
    </row>
    <row r="29" ht="12" customHeight="1" spans="1:129" x14ac:dyDescent="0.25">
      <c r="A29" s="79" t="s">
        <v>74</v>
      </c>
      <c r="B29" s="42"/>
      <c r="C29" s="75"/>
      <c r="D29" s="44"/>
      <c r="E29" s="78">
        <v>42.24</v>
      </c>
      <c r="F29" s="44"/>
      <c r="G29" s="61">
        <v>50.69</v>
      </c>
      <c r="I29" s="62"/>
      <c r="J29" s="63"/>
      <c r="K29" s="64">
        <v>1</v>
      </c>
      <c r="L29" s="3"/>
      <c r="M29" s="62">
        <v>1</v>
      </c>
      <c r="N29" s="3"/>
      <c r="O29" s="64"/>
      <c r="P29" s="3"/>
      <c r="Q29" s="62">
        <v>1</v>
      </c>
      <c r="R29" s="3"/>
      <c r="S29" s="64">
        <v>1</v>
      </c>
      <c r="T29" s="3"/>
      <c r="U29" s="62"/>
      <c r="V29" s="3"/>
      <c r="W29" s="64">
        <v>1</v>
      </c>
      <c r="X29" s="3"/>
      <c r="Y29" s="62">
        <v>1</v>
      </c>
      <c r="Z29" s="3"/>
      <c r="AA29" s="64"/>
      <c r="AB29" s="3"/>
      <c r="AC29" s="62"/>
      <c r="AD29" s="3"/>
      <c r="AE29" s="64"/>
      <c r="AF29" s="3"/>
      <c r="AG29" s="62"/>
      <c r="AH29" s="3"/>
      <c r="AI29" s="64"/>
      <c r="AJ29" s="3"/>
      <c r="AK29" s="62"/>
      <c r="AL29" s="3"/>
      <c r="AM29" s="64"/>
      <c r="AN29" s="3"/>
      <c r="AO29" s="62"/>
      <c r="AP29" s="3"/>
      <c r="AQ29" s="64"/>
      <c r="AR29" s="3"/>
      <c r="AS29" s="62"/>
      <c r="AT29" s="3"/>
      <c r="AU29" s="64"/>
      <c r="AW29" s="34">
        <f t="shared" si="0"/>
        <v>0</v>
      </c>
      <c r="AX29" s="65">
        <f t="shared" si="1"/>
        <v>0</v>
      </c>
      <c r="AY29" s="66"/>
      <c r="AZ29" s="31">
        <f t="shared" si="2"/>
        <v>1</v>
      </c>
      <c r="BA29" s="67">
        <f t="shared" si="3"/>
        <v>50.69</v>
      </c>
      <c r="BB29" s="66"/>
      <c r="BC29" s="31">
        <f t="shared" si="4"/>
        <v>1</v>
      </c>
      <c r="BD29" s="65">
        <f t="shared" si="5"/>
        <v>50.69</v>
      </c>
      <c r="BE29" s="66"/>
      <c r="BF29" s="31">
        <f t="shared" si="6"/>
        <v>0</v>
      </c>
      <c r="BG29" s="67">
        <f t="shared" si="7"/>
        <v>0</v>
      </c>
      <c r="BH29" s="66"/>
      <c r="BI29" s="31">
        <f t="shared" si="8"/>
        <v>1</v>
      </c>
      <c r="BJ29" s="65">
        <f t="shared" si="9"/>
        <v>50.69</v>
      </c>
      <c r="BK29" s="66"/>
      <c r="BL29" s="31">
        <f t="shared" si="10"/>
        <v>1</v>
      </c>
      <c r="BM29" s="67">
        <f t="shared" si="11"/>
        <v>50.69</v>
      </c>
      <c r="BN29" s="66"/>
      <c r="BO29" s="31">
        <f t="shared" si="12"/>
        <v>0</v>
      </c>
      <c r="BP29" s="65">
        <f t="shared" si="13"/>
        <v>0</v>
      </c>
      <c r="BQ29" s="66"/>
      <c r="BR29" s="31">
        <f t="shared" si="14"/>
        <v>1</v>
      </c>
      <c r="BS29" s="67">
        <f t="shared" si="15"/>
        <v>50.69</v>
      </c>
      <c r="BT29" s="66"/>
      <c r="BU29" s="31">
        <f t="shared" si="16"/>
        <v>1</v>
      </c>
      <c r="BV29" s="65">
        <f t="shared" si="17"/>
        <v>50.69</v>
      </c>
      <c r="BW29" s="66"/>
      <c r="BX29" s="31">
        <f t="shared" si="18"/>
        <v>0</v>
      </c>
      <c r="BY29" s="67">
        <f t="shared" si="19"/>
        <v>0</v>
      </c>
      <c r="BZ29" s="66"/>
      <c r="CA29" s="31">
        <f t="shared" si="20"/>
        <v>0</v>
      </c>
      <c r="CB29" s="65">
        <f t="shared" si="21"/>
        <v>0</v>
      </c>
      <c r="CC29" s="66"/>
      <c r="CD29" s="31">
        <f t="shared" si="22"/>
        <v>0</v>
      </c>
      <c r="CE29" s="67">
        <f t="shared" si="23"/>
        <v>0</v>
      </c>
      <c r="CF29" s="66"/>
      <c r="CG29" s="34">
        <f t="shared" si="24"/>
        <v>0</v>
      </c>
      <c r="CH29" s="67">
        <f t="shared" si="45"/>
        <v>0</v>
      </c>
      <c r="CI29" s="66"/>
      <c r="CJ29" s="34">
        <f t="shared" si="25"/>
        <v>0</v>
      </c>
      <c r="CK29" s="67">
        <f t="shared" si="26"/>
        <v>0</v>
      </c>
      <c r="CL29" s="66"/>
      <c r="CM29" s="34">
        <f t="shared" si="27"/>
        <v>0</v>
      </c>
      <c r="CN29" s="67">
        <f t="shared" si="28"/>
        <v>0</v>
      </c>
      <c r="CO29" s="66"/>
      <c r="CP29" s="34">
        <f t="shared" si="29"/>
        <v>0</v>
      </c>
      <c r="CQ29" s="67">
        <f t="shared" si="30"/>
        <v>0</v>
      </c>
      <c r="CR29" s="66"/>
      <c r="CS29" s="34">
        <f t="shared" si="31"/>
        <v>0</v>
      </c>
      <c r="CT29" s="65">
        <f t="shared" si="32"/>
        <v>0</v>
      </c>
      <c r="CU29" s="66"/>
      <c r="CV29" s="31">
        <f t="shared" si="33"/>
        <v>0</v>
      </c>
      <c r="CW29" s="67">
        <f t="shared" si="34"/>
        <v>0</v>
      </c>
      <c r="CX29" s="66"/>
      <c r="CY29" s="31">
        <f t="shared" si="35"/>
        <v>0</v>
      </c>
      <c r="CZ29" s="65">
        <f t="shared" si="36"/>
        <v>0</v>
      </c>
      <c r="DA29" s="66"/>
      <c r="DB29" s="31">
        <f t="shared" si="37"/>
        <v>0</v>
      </c>
      <c r="DC29" s="67">
        <f t="shared" si="38"/>
        <v>0</v>
      </c>
      <c r="DE29" s="76">
        <v>87</v>
      </c>
      <c r="DF29" s="42"/>
      <c r="DG29" s="69">
        <f t="shared" si="39"/>
        <v>0</v>
      </c>
      <c r="DH29" s="42"/>
      <c r="DI29" s="70">
        <f t="shared" si="40"/>
        <v>6</v>
      </c>
      <c r="DJ29" s="42"/>
      <c r="DK29" s="70">
        <f t="shared" si="41"/>
        <v>81</v>
      </c>
      <c r="DL29" s="42"/>
      <c r="DM29" s="71">
        <f t="shared" si="42"/>
        <v>3421.44</v>
      </c>
      <c r="DN29" s="42"/>
      <c r="DO29" s="72">
        <f t="shared" si="43"/>
        <v>13.5</v>
      </c>
      <c r="DP29" s="42"/>
      <c r="DQ29" s="71">
        <f t="shared" si="44"/>
        <v>4105.889999999999</v>
      </c>
      <c r="DR29" s="42"/>
      <c r="DS29" s="69"/>
      <c r="DT29" s="42"/>
      <c r="DU29" s="71">
        <v>0</v>
      </c>
      <c r="DV29" s="42"/>
      <c r="DW29" s="73">
        <f t="shared" si="46"/>
        <v>0</v>
      </c>
      <c r="DX29" s="42"/>
      <c r="DY29" s="71">
        <f t="shared" si="47"/>
        <v>0</v>
      </c>
    </row>
    <row r="30" ht="12" customHeight="1" spans="1:129" x14ac:dyDescent="0.25">
      <c r="A30" s="77" t="s">
        <v>75</v>
      </c>
      <c r="B30" s="42"/>
      <c r="C30" s="75"/>
      <c r="D30" s="44"/>
      <c r="E30" s="78">
        <v>75.69</v>
      </c>
      <c r="F30" s="44"/>
      <c r="G30" s="61">
        <v>90.83</v>
      </c>
      <c r="I30" s="62"/>
      <c r="J30" s="63"/>
      <c r="K30" s="64">
        <v>1</v>
      </c>
      <c r="L30" s="3"/>
      <c r="M30" s="62"/>
      <c r="N30" s="3"/>
      <c r="O30" s="64"/>
      <c r="P30" s="3"/>
      <c r="Q30" s="62"/>
      <c r="R30" s="3"/>
      <c r="S30" s="64"/>
      <c r="T30" s="3"/>
      <c r="U30" s="62">
        <v>1</v>
      </c>
      <c r="V30" s="3"/>
      <c r="W30" s="64"/>
      <c r="X30" s="3"/>
      <c r="Y30" s="62"/>
      <c r="Z30" s="3"/>
      <c r="AA30" s="64"/>
      <c r="AB30" s="3"/>
      <c r="AC30" s="62">
        <v>1</v>
      </c>
      <c r="AD30" s="3"/>
      <c r="AE30" s="64"/>
      <c r="AF30" s="3"/>
      <c r="AG30" s="62"/>
      <c r="AH30" s="3"/>
      <c r="AI30" s="64"/>
      <c r="AJ30" s="3"/>
      <c r="AK30" s="62"/>
      <c r="AL30" s="3"/>
      <c r="AM30" s="64"/>
      <c r="AN30" s="3"/>
      <c r="AO30" s="62"/>
      <c r="AP30" s="3"/>
      <c r="AQ30" s="64"/>
      <c r="AR30" s="3"/>
      <c r="AS30" s="62"/>
      <c r="AT30" s="3"/>
      <c r="AU30" s="64"/>
      <c r="AW30" s="34">
        <f t="shared" si="0"/>
        <v>0</v>
      </c>
      <c r="AX30" s="65">
        <f t="shared" si="1"/>
        <v>0</v>
      </c>
      <c r="AY30" s="66"/>
      <c r="AZ30" s="31">
        <f t="shared" si="2"/>
        <v>1</v>
      </c>
      <c r="BA30" s="67">
        <f t="shared" si="3"/>
        <v>90.83</v>
      </c>
      <c r="BB30" s="66"/>
      <c r="BC30" s="31">
        <f t="shared" si="4"/>
        <v>0</v>
      </c>
      <c r="BD30" s="65">
        <f t="shared" si="5"/>
        <v>0</v>
      </c>
      <c r="BE30" s="66"/>
      <c r="BF30" s="31">
        <f t="shared" si="6"/>
        <v>0</v>
      </c>
      <c r="BG30" s="67">
        <f t="shared" si="7"/>
        <v>0</v>
      </c>
      <c r="BH30" s="66"/>
      <c r="BI30" s="31">
        <f t="shared" si="8"/>
        <v>0</v>
      </c>
      <c r="BJ30" s="65">
        <f t="shared" si="9"/>
        <v>0</v>
      </c>
      <c r="BK30" s="66"/>
      <c r="BL30" s="31">
        <f t="shared" si="10"/>
        <v>0</v>
      </c>
      <c r="BM30" s="67">
        <f t="shared" si="11"/>
        <v>0</v>
      </c>
      <c r="BN30" s="66"/>
      <c r="BO30" s="31">
        <f t="shared" si="12"/>
        <v>1</v>
      </c>
      <c r="BP30" s="65">
        <f t="shared" si="13"/>
        <v>90.83</v>
      </c>
      <c r="BQ30" s="66"/>
      <c r="BR30" s="31">
        <f t="shared" si="14"/>
        <v>0</v>
      </c>
      <c r="BS30" s="67">
        <f t="shared" si="15"/>
        <v>0</v>
      </c>
      <c r="BT30" s="66"/>
      <c r="BU30" s="31">
        <f t="shared" si="16"/>
        <v>0</v>
      </c>
      <c r="BV30" s="65">
        <f t="shared" si="17"/>
        <v>0</v>
      </c>
      <c r="BW30" s="66"/>
      <c r="BX30" s="31">
        <f t="shared" si="18"/>
        <v>0</v>
      </c>
      <c r="BY30" s="67">
        <f t="shared" si="19"/>
        <v>0</v>
      </c>
      <c r="BZ30" s="66"/>
      <c r="CA30" s="31">
        <f t="shared" si="20"/>
        <v>1</v>
      </c>
      <c r="CB30" s="65">
        <f t="shared" si="21"/>
        <v>90.83</v>
      </c>
      <c r="CC30" s="66"/>
      <c r="CD30" s="31">
        <f t="shared" si="22"/>
        <v>0</v>
      </c>
      <c r="CE30" s="67">
        <f t="shared" si="23"/>
        <v>0</v>
      </c>
      <c r="CF30" s="66"/>
      <c r="CG30" s="34">
        <f t="shared" si="24"/>
        <v>0</v>
      </c>
      <c r="CH30" s="67">
        <f t="shared" si="45"/>
        <v>0</v>
      </c>
      <c r="CI30" s="66"/>
      <c r="CJ30" s="34">
        <f t="shared" si="25"/>
        <v>0</v>
      </c>
      <c r="CK30" s="67">
        <f t="shared" si="26"/>
        <v>0</v>
      </c>
      <c r="CL30" s="66"/>
      <c r="CM30" s="34">
        <f t="shared" si="27"/>
        <v>0</v>
      </c>
      <c r="CN30" s="67">
        <f t="shared" si="28"/>
        <v>0</v>
      </c>
      <c r="CO30" s="66"/>
      <c r="CP30" s="34">
        <f t="shared" si="29"/>
        <v>0</v>
      </c>
      <c r="CQ30" s="67">
        <f t="shared" si="30"/>
        <v>0</v>
      </c>
      <c r="CR30" s="66"/>
      <c r="CS30" s="34">
        <f t="shared" si="31"/>
        <v>0</v>
      </c>
      <c r="CT30" s="65">
        <f t="shared" si="32"/>
        <v>0</v>
      </c>
      <c r="CU30" s="66"/>
      <c r="CV30" s="31">
        <f t="shared" si="33"/>
        <v>0</v>
      </c>
      <c r="CW30" s="67">
        <f t="shared" si="34"/>
        <v>0</v>
      </c>
      <c r="CX30" s="66"/>
      <c r="CY30" s="31">
        <f t="shared" si="35"/>
        <v>0</v>
      </c>
      <c r="CZ30" s="65">
        <f t="shared" si="36"/>
        <v>0</v>
      </c>
      <c r="DA30" s="66"/>
      <c r="DB30" s="31">
        <f t="shared" si="37"/>
        <v>0</v>
      </c>
      <c r="DC30" s="67">
        <f t="shared" si="38"/>
        <v>0</v>
      </c>
      <c r="DE30" s="76">
        <v>-4</v>
      </c>
      <c r="DF30" s="42"/>
      <c r="DG30" s="69">
        <f t="shared" si="39"/>
        <v>0</v>
      </c>
      <c r="DH30" s="42"/>
      <c r="DI30" s="70">
        <f t="shared" si="40"/>
        <v>3</v>
      </c>
      <c r="DJ30" s="42"/>
      <c r="DK30" s="70">
        <f t="shared" si="41"/>
        <v>-7</v>
      </c>
      <c r="DL30" s="42"/>
      <c r="DM30" s="71">
        <f t="shared" si="42"/>
        <v>-529.8299999999999</v>
      </c>
      <c r="DN30" s="42"/>
      <c r="DO30" s="72">
        <f t="shared" si="43"/>
        <v>-2.3333333333333335</v>
      </c>
      <c r="DP30" s="42"/>
      <c r="DQ30" s="71">
        <f t="shared" si="44"/>
        <v>-635.81</v>
      </c>
      <c r="DR30" s="42"/>
      <c r="DS30" s="69"/>
      <c r="DT30" s="42"/>
      <c r="DU30" s="71">
        <v>0</v>
      </c>
      <c r="DV30" s="42"/>
      <c r="DW30" s="73">
        <f t="shared" si="46"/>
        <v>0</v>
      </c>
      <c r="DX30" s="42"/>
      <c r="DY30" s="71">
        <f t="shared" si="47"/>
        <v>0</v>
      </c>
    </row>
    <row r="31" ht="12" customHeight="1" spans="1:129" x14ac:dyDescent="0.25">
      <c r="A31" s="74" t="s">
        <v>76</v>
      </c>
      <c r="B31" s="42"/>
      <c r="C31" s="75"/>
      <c r="D31" s="44"/>
      <c r="E31" s="78">
        <v>5</v>
      </c>
      <c r="F31" s="44"/>
      <c r="G31" s="61">
        <v>6</v>
      </c>
      <c r="I31" s="62"/>
      <c r="J31" s="63"/>
      <c r="K31" s="64"/>
      <c r="L31" s="3"/>
      <c r="M31" s="62"/>
      <c r="N31" s="3"/>
      <c r="O31" s="64"/>
      <c r="P31" s="3"/>
      <c r="Q31" s="62"/>
      <c r="R31" s="3"/>
      <c r="S31" s="64"/>
      <c r="T31" s="3"/>
      <c r="U31" s="62"/>
      <c r="V31" s="3"/>
      <c r="W31" s="64">
        <v>1</v>
      </c>
      <c r="X31" s="3"/>
      <c r="Y31" s="62">
        <v>1</v>
      </c>
      <c r="Z31" s="3"/>
      <c r="AA31" s="64"/>
      <c r="AB31" s="3"/>
      <c r="AC31" s="62"/>
      <c r="AD31" s="3"/>
      <c r="AE31" s="64"/>
      <c r="AF31" s="3"/>
      <c r="AG31" s="62"/>
      <c r="AH31" s="3"/>
      <c r="AI31" s="64"/>
      <c r="AJ31" s="3"/>
      <c r="AK31" s="62"/>
      <c r="AL31" s="3"/>
      <c r="AM31" s="64"/>
      <c r="AN31" s="3"/>
      <c r="AO31" s="62"/>
      <c r="AP31" s="3"/>
      <c r="AQ31" s="64"/>
      <c r="AR31" s="3"/>
      <c r="AS31" s="62"/>
      <c r="AT31" s="3"/>
      <c r="AU31" s="64"/>
      <c r="AW31" s="34">
        <f t="shared" si="0"/>
        <v>0</v>
      </c>
      <c r="AX31" s="65">
        <f t="shared" si="1"/>
        <v>0</v>
      </c>
      <c r="AY31" s="66"/>
      <c r="AZ31" s="31">
        <f t="shared" si="2"/>
        <v>0</v>
      </c>
      <c r="BA31" s="67">
        <f t="shared" si="3"/>
        <v>0</v>
      </c>
      <c r="BB31" s="66"/>
      <c r="BC31" s="31">
        <f t="shared" si="4"/>
        <v>0</v>
      </c>
      <c r="BD31" s="65">
        <f t="shared" si="5"/>
        <v>0</v>
      </c>
      <c r="BE31" s="66"/>
      <c r="BF31" s="31">
        <f t="shared" si="6"/>
        <v>0</v>
      </c>
      <c r="BG31" s="67">
        <f t="shared" si="7"/>
        <v>0</v>
      </c>
      <c r="BH31" s="66"/>
      <c r="BI31" s="31">
        <f t="shared" si="8"/>
        <v>0</v>
      </c>
      <c r="BJ31" s="65">
        <f t="shared" si="9"/>
        <v>0</v>
      </c>
      <c r="BK31" s="66"/>
      <c r="BL31" s="31">
        <f t="shared" si="10"/>
        <v>0</v>
      </c>
      <c r="BM31" s="67">
        <f t="shared" si="11"/>
        <v>0</v>
      </c>
      <c r="BN31" s="66"/>
      <c r="BO31" s="31">
        <f t="shared" si="12"/>
        <v>0</v>
      </c>
      <c r="BP31" s="65">
        <f t="shared" si="13"/>
        <v>0</v>
      </c>
      <c r="BQ31" s="66"/>
      <c r="BR31" s="31">
        <f t="shared" si="14"/>
        <v>1</v>
      </c>
      <c r="BS31" s="67">
        <f t="shared" si="15"/>
        <v>6</v>
      </c>
      <c r="BT31" s="66"/>
      <c r="BU31" s="31">
        <f t="shared" si="16"/>
        <v>1</v>
      </c>
      <c r="BV31" s="65">
        <f t="shared" si="17"/>
        <v>6</v>
      </c>
      <c r="BW31" s="66"/>
      <c r="BX31" s="31">
        <f t="shared" si="18"/>
        <v>0</v>
      </c>
      <c r="BY31" s="67">
        <f t="shared" si="19"/>
        <v>0</v>
      </c>
      <c r="BZ31" s="66"/>
      <c r="CA31" s="31">
        <f t="shared" si="20"/>
        <v>0</v>
      </c>
      <c r="CB31" s="65">
        <f t="shared" si="21"/>
        <v>0</v>
      </c>
      <c r="CC31" s="66"/>
      <c r="CD31" s="31">
        <f t="shared" si="22"/>
        <v>0</v>
      </c>
      <c r="CE31" s="67">
        <f t="shared" si="23"/>
        <v>0</v>
      </c>
      <c r="CF31" s="66"/>
      <c r="CG31" s="34">
        <f t="shared" si="24"/>
        <v>0</v>
      </c>
      <c r="CH31" s="67">
        <f t="shared" si="45"/>
        <v>0</v>
      </c>
      <c r="CI31" s="66"/>
      <c r="CJ31" s="34">
        <f t="shared" si="25"/>
        <v>0</v>
      </c>
      <c r="CK31" s="67">
        <f t="shared" si="26"/>
        <v>0</v>
      </c>
      <c r="CL31" s="66"/>
      <c r="CM31" s="34">
        <f t="shared" si="27"/>
        <v>0</v>
      </c>
      <c r="CN31" s="67">
        <f t="shared" si="28"/>
        <v>0</v>
      </c>
      <c r="CO31" s="66"/>
      <c r="CP31" s="34">
        <f t="shared" si="29"/>
        <v>0</v>
      </c>
      <c r="CQ31" s="67">
        <f t="shared" si="30"/>
        <v>0</v>
      </c>
      <c r="CR31" s="66"/>
      <c r="CS31" s="34">
        <f t="shared" si="31"/>
        <v>0</v>
      </c>
      <c r="CT31" s="65">
        <f t="shared" si="32"/>
        <v>0</v>
      </c>
      <c r="CU31" s="66"/>
      <c r="CV31" s="31">
        <f t="shared" si="33"/>
        <v>0</v>
      </c>
      <c r="CW31" s="67">
        <f t="shared" si="34"/>
        <v>0</v>
      </c>
      <c r="CX31" s="66"/>
      <c r="CY31" s="31">
        <f t="shared" si="35"/>
        <v>0</v>
      </c>
      <c r="CZ31" s="65">
        <f t="shared" si="36"/>
        <v>0</v>
      </c>
      <c r="DA31" s="66"/>
      <c r="DB31" s="31">
        <f t="shared" si="37"/>
        <v>0</v>
      </c>
      <c r="DC31" s="67">
        <f t="shared" si="38"/>
        <v>0</v>
      </c>
      <c r="DE31" s="76">
        <v>6</v>
      </c>
      <c r="DF31" s="42"/>
      <c r="DG31" s="69">
        <f t="shared" si="39"/>
        <v>0</v>
      </c>
      <c r="DH31" s="42"/>
      <c r="DI31" s="70">
        <f t="shared" si="40"/>
        <v>2</v>
      </c>
      <c r="DJ31" s="42"/>
      <c r="DK31" s="70">
        <f t="shared" si="41"/>
        <v>4</v>
      </c>
      <c r="DL31" s="42"/>
      <c r="DM31" s="71">
        <f t="shared" si="42"/>
        <v>20</v>
      </c>
      <c r="DN31" s="42"/>
      <c r="DO31" s="72">
        <f t="shared" si="43"/>
        <v>2</v>
      </c>
      <c r="DP31" s="42"/>
      <c r="DQ31" s="71">
        <f t="shared" si="44"/>
        <v>24</v>
      </c>
      <c r="DR31" s="42"/>
      <c r="DS31" s="69"/>
      <c r="DT31" s="42"/>
      <c r="DU31" s="71">
        <v>0</v>
      </c>
      <c r="DV31" s="42"/>
      <c r="DW31" s="73">
        <f t="shared" si="46"/>
        <v>0</v>
      </c>
      <c r="DX31" s="42"/>
      <c r="DY31" s="71">
        <f t="shared" si="47"/>
        <v>0</v>
      </c>
    </row>
    <row r="32" ht="12.45" customHeight="1" spans="1:129" s="6" customFormat="1" x14ac:dyDescent="0.25">
      <c r="A32" s="77" t="s">
        <v>77</v>
      </c>
      <c r="B32" s="42"/>
      <c r="C32" s="75"/>
      <c r="D32" s="44"/>
      <c r="E32" s="78">
        <v>30</v>
      </c>
      <c r="F32" s="44"/>
      <c r="G32" s="61">
        <v>36</v>
      </c>
      <c r="H32" s="2"/>
      <c r="I32" s="62"/>
      <c r="J32" s="63"/>
      <c r="K32" s="64"/>
      <c r="L32" s="3"/>
      <c r="M32" s="62"/>
      <c r="N32" s="3"/>
      <c r="O32" s="64"/>
      <c r="P32" s="3"/>
      <c r="Q32" s="62"/>
      <c r="R32" s="3"/>
      <c r="S32" s="64"/>
      <c r="T32" s="3"/>
      <c r="U32" s="62"/>
      <c r="V32" s="3"/>
      <c r="W32" s="64"/>
      <c r="X32" s="3"/>
      <c r="Y32" s="62"/>
      <c r="Z32" s="3"/>
      <c r="AA32" s="64"/>
      <c r="AB32" s="3"/>
      <c r="AC32" s="62"/>
      <c r="AD32" s="3"/>
      <c r="AE32" s="64"/>
      <c r="AF32" s="3"/>
      <c r="AG32" s="62"/>
      <c r="AH32" s="3"/>
      <c r="AI32" s="64"/>
      <c r="AJ32" s="3"/>
      <c r="AK32" s="62"/>
      <c r="AL32" s="3"/>
      <c r="AM32" s="64"/>
      <c r="AN32" s="3"/>
      <c r="AO32" s="62"/>
      <c r="AP32" s="3"/>
      <c r="AQ32" s="64"/>
      <c r="AR32" s="3"/>
      <c r="AS32" s="62"/>
      <c r="AT32" s="3"/>
      <c r="AU32" s="64"/>
      <c r="AV32" s="2"/>
      <c r="AW32" s="34">
        <f t="shared" si="0"/>
        <v>0</v>
      </c>
      <c r="AX32" s="65">
        <f t="shared" si="1"/>
        <v>0</v>
      </c>
      <c r="AY32" s="66"/>
      <c r="AZ32" s="31">
        <f t="shared" si="2"/>
        <v>0</v>
      </c>
      <c r="BA32" s="67">
        <f t="shared" si="3"/>
        <v>0</v>
      </c>
      <c r="BB32" s="66"/>
      <c r="BC32" s="31">
        <f t="shared" si="4"/>
        <v>0</v>
      </c>
      <c r="BD32" s="65">
        <f t="shared" si="5"/>
        <v>0</v>
      </c>
      <c r="BE32" s="66"/>
      <c r="BF32" s="31">
        <f t="shared" si="6"/>
        <v>0</v>
      </c>
      <c r="BG32" s="67">
        <f t="shared" si="7"/>
        <v>0</v>
      </c>
      <c r="BH32" s="66"/>
      <c r="BI32" s="31">
        <f t="shared" si="8"/>
        <v>0</v>
      </c>
      <c r="BJ32" s="65">
        <f t="shared" si="9"/>
        <v>0</v>
      </c>
      <c r="BK32" s="66"/>
      <c r="BL32" s="31">
        <f t="shared" si="10"/>
        <v>0</v>
      </c>
      <c r="BM32" s="67">
        <f t="shared" si="11"/>
        <v>0</v>
      </c>
      <c r="BN32" s="66"/>
      <c r="BO32" s="31">
        <f t="shared" si="12"/>
        <v>0</v>
      </c>
      <c r="BP32" s="65">
        <f t="shared" si="13"/>
        <v>0</v>
      </c>
      <c r="BQ32" s="66"/>
      <c r="BR32" s="31">
        <f t="shared" si="14"/>
        <v>0</v>
      </c>
      <c r="BS32" s="67">
        <f t="shared" si="15"/>
        <v>0</v>
      </c>
      <c r="BT32" s="66"/>
      <c r="BU32" s="31">
        <f t="shared" si="16"/>
        <v>0</v>
      </c>
      <c r="BV32" s="65">
        <f t="shared" si="17"/>
        <v>0</v>
      </c>
      <c r="BW32" s="66"/>
      <c r="BX32" s="31">
        <f t="shared" si="18"/>
        <v>0</v>
      </c>
      <c r="BY32" s="67">
        <f t="shared" si="19"/>
        <v>0</v>
      </c>
      <c r="BZ32" s="66"/>
      <c r="CA32" s="31">
        <f t="shared" si="20"/>
        <v>0</v>
      </c>
      <c r="CB32" s="65">
        <f t="shared" si="21"/>
        <v>0</v>
      </c>
      <c r="CC32" s="66"/>
      <c r="CD32" s="31">
        <f t="shared" si="22"/>
        <v>0</v>
      </c>
      <c r="CE32" s="67">
        <f t="shared" si="23"/>
        <v>0</v>
      </c>
      <c r="CF32" s="66"/>
      <c r="CG32" s="34">
        <f t="shared" si="24"/>
        <v>0</v>
      </c>
      <c r="CH32" s="67">
        <f t="shared" si="45"/>
        <v>0</v>
      </c>
      <c r="CI32" s="66"/>
      <c r="CJ32" s="34">
        <f t="shared" si="25"/>
        <v>0</v>
      </c>
      <c r="CK32" s="67">
        <f t="shared" si="26"/>
        <v>0</v>
      </c>
      <c r="CL32" s="66"/>
      <c r="CM32" s="34">
        <f t="shared" si="27"/>
        <v>0</v>
      </c>
      <c r="CN32" s="67">
        <f t="shared" si="28"/>
        <v>0</v>
      </c>
      <c r="CO32" s="66"/>
      <c r="CP32" s="34">
        <f t="shared" si="29"/>
        <v>0</v>
      </c>
      <c r="CQ32" s="67">
        <f t="shared" si="30"/>
        <v>0</v>
      </c>
      <c r="CR32" s="66"/>
      <c r="CS32" s="34">
        <f t="shared" si="31"/>
        <v>0</v>
      </c>
      <c r="CT32" s="65">
        <f t="shared" si="32"/>
        <v>0</v>
      </c>
      <c r="CU32" s="66"/>
      <c r="CV32" s="31">
        <f t="shared" si="33"/>
        <v>0</v>
      </c>
      <c r="CW32" s="67">
        <f t="shared" si="34"/>
        <v>0</v>
      </c>
      <c r="CX32" s="66"/>
      <c r="CY32" s="31">
        <f t="shared" si="35"/>
        <v>0</v>
      </c>
      <c r="CZ32" s="65">
        <f t="shared" si="36"/>
        <v>0</v>
      </c>
      <c r="DA32" s="66"/>
      <c r="DB32" s="31">
        <f t="shared" si="37"/>
        <v>0</v>
      </c>
      <c r="DC32" s="67">
        <f t="shared" si="38"/>
        <v>0</v>
      </c>
      <c r="DD32" s="2"/>
      <c r="DE32" s="76">
        <v>2</v>
      </c>
      <c r="DF32" s="42"/>
      <c r="DG32" s="69">
        <f t="shared" si="39"/>
        <v>0</v>
      </c>
      <c r="DH32" s="42"/>
      <c r="DI32" s="70">
        <f t="shared" si="40"/>
        <v>0</v>
      </c>
      <c r="DJ32" s="42"/>
      <c r="DK32" s="70">
        <f t="shared" si="41"/>
        <v>2</v>
      </c>
      <c r="DL32" s="42"/>
      <c r="DM32" s="71">
        <f t="shared" si="42"/>
        <v>60</v>
      </c>
      <c r="DN32" s="42"/>
      <c r="DO32" s="72" t="e">
        <f t="shared" si="43"/>
        <v>#DIV/0!</v>
      </c>
      <c r="DP32" s="42"/>
      <c r="DQ32" s="71">
        <f t="shared" si="44"/>
        <v>72</v>
      </c>
      <c r="DR32" s="42"/>
      <c r="DS32" s="69"/>
      <c r="DT32" s="42"/>
      <c r="DU32" s="71">
        <v>0</v>
      </c>
      <c r="DV32" s="42"/>
      <c r="DW32" s="73">
        <f t="shared" si="46"/>
        <v>0</v>
      </c>
      <c r="DX32" s="42"/>
      <c r="DY32" s="71">
        <f t="shared" si="47"/>
        <v>0</v>
      </c>
    </row>
    <row r="33" ht="12.45" customHeight="1" spans="1:129" x14ac:dyDescent="0.25">
      <c r="A33" s="74" t="s">
        <v>78</v>
      </c>
      <c r="B33" s="42"/>
      <c r="C33" s="75"/>
      <c r="D33" s="44"/>
      <c r="E33" s="78">
        <v>5</v>
      </c>
      <c r="F33" s="44"/>
      <c r="G33" s="61">
        <v>6</v>
      </c>
      <c r="I33" s="62"/>
      <c r="J33" s="63"/>
      <c r="K33" s="64"/>
      <c r="L33" s="3"/>
      <c r="M33" s="62"/>
      <c r="N33" s="3"/>
      <c r="O33" s="64"/>
      <c r="P33" s="3"/>
      <c r="Q33" s="62"/>
      <c r="R33" s="3"/>
      <c r="S33" s="64"/>
      <c r="T33" s="3"/>
      <c r="U33" s="62"/>
      <c r="V33" s="3"/>
      <c r="W33" s="64"/>
      <c r="X33" s="3"/>
      <c r="Y33" s="62"/>
      <c r="Z33" s="3"/>
      <c r="AA33" s="64"/>
      <c r="AB33" s="3"/>
      <c r="AC33" s="62"/>
      <c r="AD33" s="3"/>
      <c r="AE33" s="64"/>
      <c r="AF33" s="3"/>
      <c r="AG33" s="62"/>
      <c r="AH33" s="3"/>
      <c r="AI33" s="64"/>
      <c r="AJ33" s="3"/>
      <c r="AK33" s="62"/>
      <c r="AL33" s="3"/>
      <c r="AM33" s="64"/>
      <c r="AN33" s="3"/>
      <c r="AO33" s="62"/>
      <c r="AP33" s="3"/>
      <c r="AQ33" s="64"/>
      <c r="AR33" s="3"/>
      <c r="AS33" s="62"/>
      <c r="AT33" s="3"/>
      <c r="AU33" s="64"/>
      <c r="AW33" s="34">
        <f t="shared" si="0"/>
        <v>0</v>
      </c>
      <c r="AX33" s="65">
        <f t="shared" si="1"/>
        <v>0</v>
      </c>
      <c r="AY33" s="66"/>
      <c r="AZ33" s="31">
        <f t="shared" si="2"/>
        <v>0</v>
      </c>
      <c r="BA33" s="67">
        <f t="shared" si="3"/>
        <v>0</v>
      </c>
      <c r="BB33" s="66"/>
      <c r="BC33" s="31">
        <f t="shared" si="4"/>
        <v>0</v>
      </c>
      <c r="BD33" s="65">
        <f t="shared" si="5"/>
        <v>0</v>
      </c>
      <c r="BE33" s="66"/>
      <c r="BF33" s="31">
        <f t="shared" si="6"/>
        <v>0</v>
      </c>
      <c r="BG33" s="67">
        <f t="shared" si="7"/>
        <v>0</v>
      </c>
      <c r="BH33" s="66"/>
      <c r="BI33" s="31">
        <f t="shared" si="8"/>
        <v>0</v>
      </c>
      <c r="BJ33" s="65">
        <f t="shared" si="9"/>
        <v>0</v>
      </c>
      <c r="BK33" s="66"/>
      <c r="BL33" s="31">
        <f t="shared" si="10"/>
        <v>0</v>
      </c>
      <c r="BM33" s="67">
        <f t="shared" si="11"/>
        <v>0</v>
      </c>
      <c r="BN33" s="66"/>
      <c r="BO33" s="31">
        <f t="shared" si="12"/>
        <v>0</v>
      </c>
      <c r="BP33" s="65">
        <f t="shared" si="13"/>
        <v>0</v>
      </c>
      <c r="BQ33" s="66"/>
      <c r="BR33" s="31">
        <f t="shared" si="14"/>
        <v>0</v>
      </c>
      <c r="BS33" s="67">
        <f t="shared" si="15"/>
        <v>0</v>
      </c>
      <c r="BT33" s="66"/>
      <c r="BU33" s="31">
        <f t="shared" si="16"/>
        <v>0</v>
      </c>
      <c r="BV33" s="65">
        <f t="shared" si="17"/>
        <v>0</v>
      </c>
      <c r="BW33" s="66"/>
      <c r="BX33" s="31">
        <f t="shared" si="18"/>
        <v>0</v>
      </c>
      <c r="BY33" s="67">
        <f t="shared" si="19"/>
        <v>0</v>
      </c>
      <c r="BZ33" s="66"/>
      <c r="CA33" s="31">
        <f t="shared" si="20"/>
        <v>0</v>
      </c>
      <c r="CB33" s="65">
        <f t="shared" si="21"/>
        <v>0</v>
      </c>
      <c r="CC33" s="66"/>
      <c r="CD33" s="31">
        <f t="shared" si="22"/>
        <v>0</v>
      </c>
      <c r="CE33" s="67">
        <f t="shared" si="23"/>
        <v>0</v>
      </c>
      <c r="CF33" s="66"/>
      <c r="CG33" s="34">
        <f t="shared" si="24"/>
        <v>0</v>
      </c>
      <c r="CH33" s="67">
        <f t="shared" si="45"/>
        <v>0</v>
      </c>
      <c r="CI33" s="66"/>
      <c r="CJ33" s="34">
        <f t="shared" si="25"/>
        <v>0</v>
      </c>
      <c r="CK33" s="67">
        <f t="shared" si="26"/>
        <v>0</v>
      </c>
      <c r="CL33" s="66"/>
      <c r="CM33" s="34">
        <f t="shared" si="27"/>
        <v>0</v>
      </c>
      <c r="CN33" s="67">
        <f t="shared" si="28"/>
        <v>0</v>
      </c>
      <c r="CO33" s="66"/>
      <c r="CP33" s="34">
        <f t="shared" si="29"/>
        <v>0</v>
      </c>
      <c r="CQ33" s="67">
        <f t="shared" si="30"/>
        <v>0</v>
      </c>
      <c r="CR33" s="66"/>
      <c r="CS33" s="34">
        <f t="shared" si="31"/>
        <v>0</v>
      </c>
      <c r="CT33" s="65">
        <f t="shared" si="32"/>
        <v>0</v>
      </c>
      <c r="CU33" s="66"/>
      <c r="CV33" s="31">
        <f t="shared" si="33"/>
        <v>0</v>
      </c>
      <c r="CW33" s="67">
        <f t="shared" si="34"/>
        <v>0</v>
      </c>
      <c r="CX33" s="66"/>
      <c r="CY33" s="31">
        <f t="shared" si="35"/>
        <v>0</v>
      </c>
      <c r="CZ33" s="65">
        <f t="shared" si="36"/>
        <v>0</v>
      </c>
      <c r="DA33" s="66"/>
      <c r="DB33" s="31">
        <f t="shared" si="37"/>
        <v>0</v>
      </c>
      <c r="DC33" s="67">
        <f t="shared" si="38"/>
        <v>0</v>
      </c>
      <c r="DE33" s="76">
        <v>15</v>
      </c>
      <c r="DF33" s="42"/>
      <c r="DG33" s="69">
        <f t="shared" si="39"/>
        <v>0</v>
      </c>
      <c r="DH33" s="42"/>
      <c r="DI33" s="70">
        <f t="shared" si="40"/>
        <v>0</v>
      </c>
      <c r="DJ33" s="42"/>
      <c r="DK33" s="70">
        <f t="shared" si="41"/>
        <v>15</v>
      </c>
      <c r="DL33" s="42"/>
      <c r="DM33" s="71">
        <f t="shared" si="42"/>
        <v>75</v>
      </c>
      <c r="DN33" s="42"/>
      <c r="DO33" s="72" t="e">
        <f t="shared" si="43"/>
        <v>#DIV/0!</v>
      </c>
      <c r="DP33" s="42"/>
      <c r="DQ33" s="71">
        <f t="shared" si="44"/>
        <v>90</v>
      </c>
      <c r="DR33" s="42"/>
      <c r="DS33" s="69"/>
      <c r="DT33" s="42"/>
      <c r="DU33" s="71">
        <v>0</v>
      </c>
      <c r="DV33" s="42"/>
      <c r="DW33" s="73">
        <f t="shared" si="46"/>
        <v>0</v>
      </c>
      <c r="DX33" s="42"/>
      <c r="DY33" s="71">
        <f t="shared" si="47"/>
        <v>0</v>
      </c>
    </row>
    <row r="34" ht="12.45" customHeight="1" spans="1:129" x14ac:dyDescent="0.25">
      <c r="A34" s="77" t="s">
        <v>79</v>
      </c>
      <c r="B34" s="42"/>
      <c r="C34" s="75"/>
      <c r="D34" s="44"/>
      <c r="E34" s="78">
        <v>5</v>
      </c>
      <c r="F34" s="44"/>
      <c r="G34" s="61">
        <v>6</v>
      </c>
      <c r="I34" s="62"/>
      <c r="J34" s="63"/>
      <c r="K34" s="64"/>
      <c r="L34" s="3"/>
      <c r="M34" s="62">
        <v>1</v>
      </c>
      <c r="N34" s="3"/>
      <c r="O34" s="64"/>
      <c r="P34" s="3"/>
      <c r="Q34" s="62"/>
      <c r="R34" s="3"/>
      <c r="S34" s="64"/>
      <c r="T34" s="3"/>
      <c r="U34" s="62"/>
      <c r="V34" s="3"/>
      <c r="W34" s="64"/>
      <c r="X34" s="3"/>
      <c r="Y34" s="62"/>
      <c r="Z34" s="3"/>
      <c r="AA34" s="64"/>
      <c r="AB34" s="3"/>
      <c r="AC34" s="62"/>
      <c r="AD34" s="3"/>
      <c r="AE34" s="64"/>
      <c r="AF34" s="3"/>
      <c r="AG34" s="62"/>
      <c r="AH34" s="3"/>
      <c r="AI34" s="64"/>
      <c r="AJ34" s="3"/>
      <c r="AK34" s="62"/>
      <c r="AL34" s="3"/>
      <c r="AM34" s="64"/>
      <c r="AN34" s="3"/>
      <c r="AO34" s="62"/>
      <c r="AP34" s="3"/>
      <c r="AQ34" s="64"/>
      <c r="AR34" s="3"/>
      <c r="AS34" s="62"/>
      <c r="AT34" s="3"/>
      <c r="AU34" s="64"/>
      <c r="AW34" s="34">
        <f t="shared" ref="AW34:AW53" si="48">I34</f>
        <v>0</v>
      </c>
      <c r="AX34" s="65">
        <f t="shared" ref="AX34:AX53" si="49">AW34*G34</f>
        <v>0</v>
      </c>
      <c r="AY34" s="66"/>
      <c r="AZ34" s="31">
        <f t="shared" ref="AZ34:AZ53" si="50">K34</f>
        <v>0</v>
      </c>
      <c r="BA34" s="67">
        <f t="shared" ref="BA34:BA53" si="51">AZ34*G34</f>
        <v>0</v>
      </c>
      <c r="BB34" s="66"/>
      <c r="BC34" s="31">
        <f t="shared" ref="BC34:BC53" si="52">M34</f>
        <v>1</v>
      </c>
      <c r="BD34" s="65">
        <f t="shared" ref="BD34:BD53" si="53">BC34*G34</f>
        <v>6</v>
      </c>
      <c r="BE34" s="66"/>
      <c r="BF34" s="31">
        <f t="shared" ref="BF34:BF53" si="54">O34</f>
        <v>0</v>
      </c>
      <c r="BG34" s="67">
        <f t="shared" ref="BG34:BG53" si="55">BF34*G34</f>
        <v>0</v>
      </c>
      <c r="BH34" s="66"/>
      <c r="BI34" s="31">
        <f t="shared" ref="BI34:BI53" si="56">Q34</f>
        <v>0</v>
      </c>
      <c r="BJ34" s="65">
        <f t="shared" ref="BJ34:BJ53" si="57">BI34*G34</f>
        <v>0</v>
      </c>
      <c r="BK34" s="66"/>
      <c r="BL34" s="31">
        <f t="shared" ref="BL34:BL53" si="58">S34</f>
        <v>0</v>
      </c>
      <c r="BM34" s="67">
        <f t="shared" ref="BM34:BM53" si="59">BL34*G34</f>
        <v>0</v>
      </c>
      <c r="BN34" s="66"/>
      <c r="BO34" s="31">
        <f t="shared" ref="BO34:BO53" si="60">U34</f>
        <v>0</v>
      </c>
      <c r="BP34" s="65">
        <f t="shared" ref="BP34:BP53" si="61">BO34*G34</f>
        <v>0</v>
      </c>
      <c r="BQ34" s="66"/>
      <c r="BR34" s="31">
        <f t="shared" ref="BR34:BR53" si="62">W34</f>
        <v>0</v>
      </c>
      <c r="BS34" s="67">
        <f t="shared" ref="BS34:BS53" si="63">BR34*G34</f>
        <v>0</v>
      </c>
      <c r="BT34" s="66"/>
      <c r="BU34" s="31">
        <f t="shared" ref="BU34:BU53" si="64">Y34</f>
        <v>0</v>
      </c>
      <c r="BV34" s="65">
        <f t="shared" ref="BV34:BV53" si="65">BU34*G34</f>
        <v>0</v>
      </c>
      <c r="BW34" s="66"/>
      <c r="BX34" s="31">
        <f t="shared" ref="BX34:BX53" si="66">AA34</f>
        <v>0</v>
      </c>
      <c r="BY34" s="67">
        <f t="shared" ref="BY34:BY53" si="67">BX34*G34</f>
        <v>0</v>
      </c>
      <c r="BZ34" s="66"/>
      <c r="CA34" s="31">
        <f t="shared" ref="CA34:CA53" si="68">AC34</f>
        <v>0</v>
      </c>
      <c r="CB34" s="65">
        <f t="shared" ref="CB34:CB53" si="69">CA34*G34</f>
        <v>0</v>
      </c>
      <c r="CC34" s="66"/>
      <c r="CD34" s="31">
        <f t="shared" ref="CD34:CD53" si="70">AE34</f>
        <v>0</v>
      </c>
      <c r="CE34" s="67">
        <f t="shared" ref="CE34:CE53" si="71">CD34*G34</f>
        <v>0</v>
      </c>
      <c r="CF34" s="66"/>
      <c r="CG34" s="34">
        <f t="shared" ref="CG34:CG53" si="72">AG34</f>
        <v>0</v>
      </c>
      <c r="CH34" s="67">
        <f t="shared" si="45"/>
        <v>0</v>
      </c>
      <c r="CI34" s="66"/>
      <c r="CJ34" s="34">
        <f t="shared" ref="CJ34:CJ53" si="73">AI34</f>
        <v>0</v>
      </c>
      <c r="CK34" s="67">
        <f t="shared" ref="CK34:CK53" si="74">CJ34*G34</f>
        <v>0</v>
      </c>
      <c r="CL34" s="66"/>
      <c r="CM34" s="34">
        <f t="shared" ref="CM34:CM53" si="75">AK34</f>
        <v>0</v>
      </c>
      <c r="CN34" s="67">
        <f t="shared" ref="CN34:CN53" si="76">CM34*G34</f>
        <v>0</v>
      </c>
      <c r="CO34" s="66"/>
      <c r="CP34" s="34">
        <f t="shared" ref="CP34:CP53" si="77">AM34</f>
        <v>0</v>
      </c>
      <c r="CQ34" s="67">
        <f t="shared" ref="CQ34:CQ53" si="78">CP34*G34</f>
        <v>0</v>
      </c>
      <c r="CR34" s="66"/>
      <c r="CS34" s="34">
        <f t="shared" ref="CS34:CS53" si="79">AO34</f>
        <v>0</v>
      </c>
      <c r="CT34" s="65">
        <f t="shared" ref="CT34:CT53" si="80">CS34*G34</f>
        <v>0</v>
      </c>
      <c r="CU34" s="66"/>
      <c r="CV34" s="31">
        <f t="shared" ref="CV34:CV53" si="81">AQ34</f>
        <v>0</v>
      </c>
      <c r="CW34" s="67">
        <f t="shared" ref="CW34:CW53" si="82">CV34*G34</f>
        <v>0</v>
      </c>
      <c r="CX34" s="66"/>
      <c r="CY34" s="31">
        <f t="shared" ref="CY34:CY53" si="83">AS34</f>
        <v>0</v>
      </c>
      <c r="CZ34" s="65">
        <f t="shared" ref="CZ34:CZ53" si="84">CY34*G34</f>
        <v>0</v>
      </c>
      <c r="DA34" s="66"/>
      <c r="DB34" s="31">
        <f t="shared" ref="DB34:DB53" si="85">AU34</f>
        <v>0</v>
      </c>
      <c r="DC34" s="67">
        <f t="shared" ref="DC34:DC53" si="86">DB34*G34</f>
        <v>0</v>
      </c>
      <c r="DE34" s="76">
        <v>10</v>
      </c>
      <c r="DF34" s="42"/>
      <c r="DG34" s="69">
        <f t="shared" ref="DG34:DG53" si="87">C34</f>
        <v>0</v>
      </c>
      <c r="DH34" s="42"/>
      <c r="DI34" s="70">
        <f t="shared" ref="DI34:DI53" si="88">SUM(I34:AV34)</f>
        <v>1</v>
      </c>
      <c r="DJ34" s="42"/>
      <c r="DK34" s="70">
        <f t="shared" ref="DK34:DK53" si="89">DE34+DG34-DI34</f>
        <v>9</v>
      </c>
      <c r="DL34" s="42"/>
      <c r="DM34" s="71">
        <f t="shared" ref="DM34:DM53" si="90">E34*DK34</f>
        <v>45</v>
      </c>
      <c r="DN34" s="42"/>
      <c r="DO34" s="72">
        <f t="shared" ref="DO34:DO53" si="91">DK34/DI34</f>
        <v>9</v>
      </c>
      <c r="DP34" s="42"/>
      <c r="DQ34" s="71">
        <f t="shared" ref="DQ34:DQ53" si="92">G34*DK34</f>
        <v>54</v>
      </c>
      <c r="DR34" s="42"/>
      <c r="DS34" s="69"/>
      <c r="DT34" s="42"/>
      <c r="DU34" s="71">
        <v>0</v>
      </c>
      <c r="DV34" s="42"/>
      <c r="DW34" s="73">
        <f t="shared" si="46"/>
        <v>0</v>
      </c>
      <c r="DX34" s="42"/>
      <c r="DY34" s="71">
        <f t="shared" si="47"/>
        <v>0</v>
      </c>
    </row>
    <row r="35" ht="12.45" customHeight="1" spans="1:129" x14ac:dyDescent="0.25">
      <c r="A35" s="74" t="s">
        <v>80</v>
      </c>
      <c r="B35" s="42"/>
      <c r="C35" s="75"/>
      <c r="D35" s="44"/>
      <c r="E35" s="78">
        <v>5</v>
      </c>
      <c r="F35" s="44"/>
      <c r="G35" s="61">
        <v>6</v>
      </c>
      <c r="I35" s="62"/>
      <c r="J35" s="63"/>
      <c r="K35" s="64">
        <v>1</v>
      </c>
      <c r="L35" s="3"/>
      <c r="M35" s="62"/>
      <c r="N35" s="3"/>
      <c r="O35" s="64">
        <v>1</v>
      </c>
      <c r="P35" s="3"/>
      <c r="Q35" s="62">
        <v>1</v>
      </c>
      <c r="R35" s="3"/>
      <c r="S35" s="64">
        <v>1</v>
      </c>
      <c r="T35" s="3"/>
      <c r="U35" s="62">
        <v>1</v>
      </c>
      <c r="V35" s="3"/>
      <c r="W35" s="64">
        <v>1</v>
      </c>
      <c r="X35" s="3"/>
      <c r="Y35" s="62">
        <v>1</v>
      </c>
      <c r="Z35" s="3"/>
      <c r="AA35" s="64"/>
      <c r="AB35" s="3"/>
      <c r="AC35" s="62">
        <v>1</v>
      </c>
      <c r="AD35" s="3"/>
      <c r="AE35" s="64"/>
      <c r="AF35" s="3"/>
      <c r="AG35" s="62"/>
      <c r="AH35" s="3"/>
      <c r="AI35" s="64"/>
      <c r="AJ35" s="3"/>
      <c r="AK35" s="62"/>
      <c r="AL35" s="3"/>
      <c r="AM35" s="64"/>
      <c r="AN35" s="3"/>
      <c r="AO35" s="62"/>
      <c r="AP35" s="3"/>
      <c r="AQ35" s="64"/>
      <c r="AR35" s="3"/>
      <c r="AS35" s="62"/>
      <c r="AT35" s="3"/>
      <c r="AU35" s="64"/>
      <c r="AW35" s="34">
        <f t="shared" si="48"/>
        <v>0</v>
      </c>
      <c r="AX35" s="65">
        <f t="shared" si="49"/>
        <v>0</v>
      </c>
      <c r="AY35" s="66"/>
      <c r="AZ35" s="31">
        <f t="shared" si="50"/>
        <v>1</v>
      </c>
      <c r="BA35" s="67">
        <f t="shared" si="51"/>
        <v>6</v>
      </c>
      <c r="BB35" s="66"/>
      <c r="BC35" s="31">
        <f t="shared" si="52"/>
        <v>0</v>
      </c>
      <c r="BD35" s="65">
        <f t="shared" si="53"/>
        <v>0</v>
      </c>
      <c r="BE35" s="66"/>
      <c r="BF35" s="31">
        <f t="shared" si="54"/>
        <v>1</v>
      </c>
      <c r="BG35" s="67">
        <f t="shared" si="55"/>
        <v>6</v>
      </c>
      <c r="BH35" s="66"/>
      <c r="BI35" s="31">
        <f t="shared" si="56"/>
        <v>1</v>
      </c>
      <c r="BJ35" s="65">
        <f t="shared" si="57"/>
        <v>6</v>
      </c>
      <c r="BK35" s="66"/>
      <c r="BL35" s="31">
        <f t="shared" si="58"/>
        <v>1</v>
      </c>
      <c r="BM35" s="67">
        <f t="shared" si="59"/>
        <v>6</v>
      </c>
      <c r="BN35" s="66"/>
      <c r="BO35" s="31">
        <f t="shared" si="60"/>
        <v>1</v>
      </c>
      <c r="BP35" s="65">
        <f t="shared" si="61"/>
        <v>6</v>
      </c>
      <c r="BQ35" s="66"/>
      <c r="BR35" s="31">
        <f t="shared" si="62"/>
        <v>1</v>
      </c>
      <c r="BS35" s="67">
        <f t="shared" si="63"/>
        <v>6</v>
      </c>
      <c r="BT35" s="66"/>
      <c r="BU35" s="31">
        <f t="shared" si="64"/>
        <v>1</v>
      </c>
      <c r="BV35" s="65">
        <f t="shared" si="65"/>
        <v>6</v>
      </c>
      <c r="BW35" s="66"/>
      <c r="BX35" s="31">
        <f t="shared" si="66"/>
        <v>0</v>
      </c>
      <c r="BY35" s="67">
        <f t="shared" si="67"/>
        <v>0</v>
      </c>
      <c r="BZ35" s="66"/>
      <c r="CA35" s="31">
        <f t="shared" si="68"/>
        <v>1</v>
      </c>
      <c r="CB35" s="65">
        <f t="shared" si="69"/>
        <v>6</v>
      </c>
      <c r="CC35" s="66"/>
      <c r="CD35" s="31">
        <f t="shared" si="70"/>
        <v>0</v>
      </c>
      <c r="CE35" s="67">
        <f t="shared" si="71"/>
        <v>0</v>
      </c>
      <c r="CF35" s="66"/>
      <c r="CG35" s="34">
        <f t="shared" si="72"/>
        <v>0</v>
      </c>
      <c r="CH35" s="67">
        <f t="shared" ref="CH35:CH53" si="93">CG35*G35</f>
        <v>0</v>
      </c>
      <c r="CI35" s="66"/>
      <c r="CJ35" s="34">
        <f t="shared" si="73"/>
        <v>0</v>
      </c>
      <c r="CK35" s="67">
        <f t="shared" si="74"/>
        <v>0</v>
      </c>
      <c r="CL35" s="66"/>
      <c r="CM35" s="34">
        <f t="shared" si="75"/>
        <v>0</v>
      </c>
      <c r="CN35" s="67">
        <f t="shared" si="76"/>
        <v>0</v>
      </c>
      <c r="CO35" s="66"/>
      <c r="CP35" s="34">
        <f t="shared" si="77"/>
        <v>0</v>
      </c>
      <c r="CQ35" s="67">
        <f t="shared" si="78"/>
        <v>0</v>
      </c>
      <c r="CR35" s="66"/>
      <c r="CS35" s="34">
        <f t="shared" si="79"/>
        <v>0</v>
      </c>
      <c r="CT35" s="65">
        <f t="shared" si="80"/>
        <v>0</v>
      </c>
      <c r="CU35" s="66"/>
      <c r="CV35" s="31">
        <f t="shared" si="81"/>
        <v>0</v>
      </c>
      <c r="CW35" s="67">
        <f t="shared" si="82"/>
        <v>0</v>
      </c>
      <c r="CX35" s="66"/>
      <c r="CY35" s="31">
        <f t="shared" si="83"/>
        <v>0</v>
      </c>
      <c r="CZ35" s="65">
        <f t="shared" si="84"/>
        <v>0</v>
      </c>
      <c r="DA35" s="66"/>
      <c r="DB35" s="31">
        <f t="shared" si="85"/>
        <v>0</v>
      </c>
      <c r="DC35" s="67">
        <f t="shared" si="86"/>
        <v>0</v>
      </c>
      <c r="DE35" s="76">
        <v>-18</v>
      </c>
      <c r="DF35" s="42"/>
      <c r="DG35" s="69">
        <f t="shared" si="87"/>
        <v>0</v>
      </c>
      <c r="DH35" s="42"/>
      <c r="DI35" s="70">
        <f t="shared" si="88"/>
        <v>8</v>
      </c>
      <c r="DJ35" s="42"/>
      <c r="DK35" s="70">
        <f t="shared" si="89"/>
        <v>-26</v>
      </c>
      <c r="DL35" s="42"/>
      <c r="DM35" s="71">
        <f t="shared" si="90"/>
        <v>-130</v>
      </c>
      <c r="DN35" s="42"/>
      <c r="DO35" s="72">
        <f t="shared" si="91"/>
        <v>-3.25</v>
      </c>
      <c r="DP35" s="42"/>
      <c r="DQ35" s="71">
        <f t="shared" si="92"/>
        <v>-156</v>
      </c>
      <c r="DR35" s="42"/>
      <c r="DS35" s="69"/>
      <c r="DT35" s="42"/>
      <c r="DU35" s="71">
        <v>0</v>
      </c>
      <c r="DV35" s="42"/>
      <c r="DW35" s="73">
        <f t="shared" si="46"/>
        <v>0</v>
      </c>
      <c r="DX35" s="42"/>
      <c r="DY35" s="71">
        <f t="shared" si="47"/>
        <v>0</v>
      </c>
    </row>
    <row r="36" ht="12.45" customHeight="1" spans="1:129" x14ac:dyDescent="0.25">
      <c r="A36" s="77" t="s">
        <v>81</v>
      </c>
      <c r="B36" s="42"/>
      <c r="C36" s="75"/>
      <c r="D36" s="44"/>
      <c r="E36" s="78">
        <v>25</v>
      </c>
      <c r="F36" s="44"/>
      <c r="G36" s="61">
        <v>30</v>
      </c>
      <c r="I36" s="62"/>
      <c r="J36" s="63"/>
      <c r="K36" s="64"/>
      <c r="L36" s="3"/>
      <c r="M36" s="62"/>
      <c r="N36" s="3"/>
      <c r="O36" s="64"/>
      <c r="P36" s="3"/>
      <c r="Q36" s="62"/>
      <c r="R36" s="3"/>
      <c r="S36" s="64"/>
      <c r="T36" s="3"/>
      <c r="U36" s="62">
        <v>1</v>
      </c>
      <c r="V36" s="3"/>
      <c r="W36" s="64"/>
      <c r="X36" s="3"/>
      <c r="Y36" s="62"/>
      <c r="Z36" s="3"/>
      <c r="AA36" s="64"/>
      <c r="AB36" s="3"/>
      <c r="AC36" s="62"/>
      <c r="AD36" s="3"/>
      <c r="AE36" s="64"/>
      <c r="AF36" s="3"/>
      <c r="AG36" s="62"/>
      <c r="AH36" s="3"/>
      <c r="AI36" s="64"/>
      <c r="AJ36" s="3"/>
      <c r="AK36" s="62"/>
      <c r="AL36" s="3"/>
      <c r="AM36" s="64"/>
      <c r="AN36" s="3"/>
      <c r="AO36" s="62"/>
      <c r="AP36" s="3"/>
      <c r="AQ36" s="64"/>
      <c r="AR36" s="3"/>
      <c r="AS36" s="62"/>
      <c r="AT36" s="3"/>
      <c r="AU36" s="64"/>
      <c r="AW36" s="34">
        <f t="shared" si="48"/>
        <v>0</v>
      </c>
      <c r="AX36" s="65">
        <f t="shared" si="49"/>
        <v>0</v>
      </c>
      <c r="AY36" s="66"/>
      <c r="AZ36" s="31">
        <f t="shared" si="50"/>
        <v>0</v>
      </c>
      <c r="BA36" s="67">
        <f t="shared" si="51"/>
        <v>0</v>
      </c>
      <c r="BB36" s="66"/>
      <c r="BC36" s="31">
        <f t="shared" si="52"/>
        <v>0</v>
      </c>
      <c r="BD36" s="65">
        <f t="shared" si="53"/>
        <v>0</v>
      </c>
      <c r="BE36" s="66"/>
      <c r="BF36" s="31">
        <f t="shared" si="54"/>
        <v>0</v>
      </c>
      <c r="BG36" s="67">
        <f t="shared" si="55"/>
        <v>0</v>
      </c>
      <c r="BH36" s="66"/>
      <c r="BI36" s="31">
        <f t="shared" si="56"/>
        <v>0</v>
      </c>
      <c r="BJ36" s="65">
        <f t="shared" si="57"/>
        <v>0</v>
      </c>
      <c r="BK36" s="66"/>
      <c r="BL36" s="31">
        <f t="shared" si="58"/>
        <v>0</v>
      </c>
      <c r="BM36" s="67">
        <f t="shared" si="59"/>
        <v>0</v>
      </c>
      <c r="BN36" s="66"/>
      <c r="BO36" s="31">
        <f t="shared" si="60"/>
        <v>1</v>
      </c>
      <c r="BP36" s="65">
        <f t="shared" si="61"/>
        <v>30</v>
      </c>
      <c r="BQ36" s="66"/>
      <c r="BR36" s="31">
        <f t="shared" si="62"/>
        <v>0</v>
      </c>
      <c r="BS36" s="67">
        <f t="shared" si="63"/>
        <v>0</v>
      </c>
      <c r="BT36" s="66"/>
      <c r="BU36" s="31">
        <f t="shared" si="64"/>
        <v>0</v>
      </c>
      <c r="BV36" s="65">
        <f t="shared" si="65"/>
        <v>0</v>
      </c>
      <c r="BW36" s="66"/>
      <c r="BX36" s="31">
        <f t="shared" si="66"/>
        <v>0</v>
      </c>
      <c r="BY36" s="67">
        <f t="shared" si="67"/>
        <v>0</v>
      </c>
      <c r="BZ36" s="66"/>
      <c r="CA36" s="31">
        <f t="shared" si="68"/>
        <v>0</v>
      </c>
      <c r="CB36" s="65">
        <f t="shared" si="69"/>
        <v>0</v>
      </c>
      <c r="CC36" s="66"/>
      <c r="CD36" s="31">
        <f t="shared" si="70"/>
        <v>0</v>
      </c>
      <c r="CE36" s="67">
        <f t="shared" si="71"/>
        <v>0</v>
      </c>
      <c r="CF36" s="66"/>
      <c r="CG36" s="34">
        <f t="shared" si="72"/>
        <v>0</v>
      </c>
      <c r="CH36" s="67">
        <f t="shared" si="93"/>
        <v>0</v>
      </c>
      <c r="CI36" s="66"/>
      <c r="CJ36" s="34">
        <f t="shared" si="73"/>
        <v>0</v>
      </c>
      <c r="CK36" s="67">
        <f t="shared" si="74"/>
        <v>0</v>
      </c>
      <c r="CL36" s="66"/>
      <c r="CM36" s="34">
        <f t="shared" si="75"/>
        <v>0</v>
      </c>
      <c r="CN36" s="67">
        <f t="shared" si="76"/>
        <v>0</v>
      </c>
      <c r="CO36" s="66"/>
      <c r="CP36" s="34">
        <f t="shared" si="77"/>
        <v>0</v>
      </c>
      <c r="CQ36" s="67">
        <f t="shared" si="78"/>
        <v>0</v>
      </c>
      <c r="CR36" s="66"/>
      <c r="CS36" s="34">
        <f t="shared" si="79"/>
        <v>0</v>
      </c>
      <c r="CT36" s="65">
        <f t="shared" si="80"/>
        <v>0</v>
      </c>
      <c r="CU36" s="66"/>
      <c r="CV36" s="31">
        <f t="shared" si="81"/>
        <v>0</v>
      </c>
      <c r="CW36" s="67">
        <f t="shared" si="82"/>
        <v>0</v>
      </c>
      <c r="CX36" s="66"/>
      <c r="CY36" s="31">
        <f t="shared" si="83"/>
        <v>0</v>
      </c>
      <c r="CZ36" s="65">
        <f t="shared" si="84"/>
        <v>0</v>
      </c>
      <c r="DA36" s="66"/>
      <c r="DB36" s="31">
        <f t="shared" si="85"/>
        <v>0</v>
      </c>
      <c r="DC36" s="67">
        <f t="shared" si="86"/>
        <v>0</v>
      </c>
      <c r="DE36" s="76">
        <v>19</v>
      </c>
      <c r="DF36" s="42"/>
      <c r="DG36" s="69">
        <f t="shared" si="87"/>
        <v>0</v>
      </c>
      <c r="DH36" s="42"/>
      <c r="DI36" s="70">
        <f t="shared" si="88"/>
        <v>1</v>
      </c>
      <c r="DJ36" s="42"/>
      <c r="DK36" s="70">
        <f t="shared" si="89"/>
        <v>18</v>
      </c>
      <c r="DL36" s="42"/>
      <c r="DM36" s="71">
        <f t="shared" si="90"/>
        <v>450</v>
      </c>
      <c r="DN36" s="42"/>
      <c r="DO36" s="72">
        <f t="shared" si="91"/>
        <v>18</v>
      </c>
      <c r="DP36" s="42"/>
      <c r="DQ36" s="71">
        <f t="shared" si="92"/>
        <v>540</v>
      </c>
      <c r="DR36" s="42"/>
      <c r="DS36" s="69"/>
      <c r="DT36" s="42"/>
      <c r="DU36" s="71">
        <v>0</v>
      </c>
      <c r="DV36" s="42"/>
      <c r="DW36" s="73">
        <f t="shared" ref="DW36:DW53" si="94">DU36*1.2</f>
        <v>0</v>
      </c>
      <c r="DX36" s="42"/>
      <c r="DY36" s="71">
        <f t="shared" ref="DY36:DY53" si="95">DU36*DS36</f>
        <v>0</v>
      </c>
    </row>
    <row r="37" ht="12.45" customHeight="1" spans="1:129" x14ac:dyDescent="0.25">
      <c r="A37" s="79" t="s">
        <v>82</v>
      </c>
      <c r="B37" s="42"/>
      <c r="C37" s="75"/>
      <c r="D37" s="44"/>
      <c r="E37" s="78">
        <v>25</v>
      </c>
      <c r="F37" s="44"/>
      <c r="G37" s="61">
        <v>30</v>
      </c>
      <c r="I37" s="62"/>
      <c r="J37" s="63"/>
      <c r="K37" s="64"/>
      <c r="L37" s="3"/>
      <c r="M37" s="62"/>
      <c r="N37" s="3"/>
      <c r="O37" s="64">
        <v>1</v>
      </c>
      <c r="P37" s="3"/>
      <c r="Q37" s="62"/>
      <c r="R37" s="3"/>
      <c r="S37" s="64"/>
      <c r="T37" s="3"/>
      <c r="U37" s="62"/>
      <c r="V37" s="3"/>
      <c r="W37" s="64">
        <v>1</v>
      </c>
      <c r="X37" s="3"/>
      <c r="Y37" s="62">
        <v>1</v>
      </c>
      <c r="Z37" s="3"/>
      <c r="AA37" s="64"/>
      <c r="AB37" s="3"/>
      <c r="AC37" s="62"/>
      <c r="AD37" s="3"/>
      <c r="AE37" s="64"/>
      <c r="AF37" s="3"/>
      <c r="AG37" s="62"/>
      <c r="AH37" s="3"/>
      <c r="AI37" s="64"/>
      <c r="AJ37" s="3"/>
      <c r="AK37" s="62"/>
      <c r="AL37" s="3"/>
      <c r="AM37" s="64"/>
      <c r="AN37" s="3"/>
      <c r="AO37" s="62"/>
      <c r="AP37" s="3"/>
      <c r="AQ37" s="64"/>
      <c r="AR37" s="3"/>
      <c r="AS37" s="62"/>
      <c r="AT37" s="3"/>
      <c r="AU37" s="64"/>
      <c r="AW37" s="34">
        <f t="shared" si="48"/>
        <v>0</v>
      </c>
      <c r="AX37" s="65">
        <f t="shared" si="49"/>
        <v>0</v>
      </c>
      <c r="AY37" s="66"/>
      <c r="AZ37" s="31">
        <f t="shared" si="50"/>
        <v>0</v>
      </c>
      <c r="BA37" s="67">
        <f t="shared" si="51"/>
        <v>0</v>
      </c>
      <c r="BB37" s="66"/>
      <c r="BC37" s="31">
        <f t="shared" si="52"/>
        <v>0</v>
      </c>
      <c r="BD37" s="65">
        <f t="shared" si="53"/>
        <v>0</v>
      </c>
      <c r="BE37" s="66"/>
      <c r="BF37" s="31">
        <f t="shared" si="54"/>
        <v>1</v>
      </c>
      <c r="BG37" s="67">
        <f t="shared" si="55"/>
        <v>30</v>
      </c>
      <c r="BH37" s="66"/>
      <c r="BI37" s="31">
        <f t="shared" si="56"/>
        <v>0</v>
      </c>
      <c r="BJ37" s="65">
        <f t="shared" si="57"/>
        <v>0</v>
      </c>
      <c r="BK37" s="66"/>
      <c r="BL37" s="31">
        <f t="shared" si="58"/>
        <v>0</v>
      </c>
      <c r="BM37" s="67">
        <f t="shared" si="59"/>
        <v>0</v>
      </c>
      <c r="BN37" s="66"/>
      <c r="BO37" s="31">
        <f t="shared" si="60"/>
        <v>0</v>
      </c>
      <c r="BP37" s="65">
        <f t="shared" si="61"/>
        <v>0</v>
      </c>
      <c r="BQ37" s="66"/>
      <c r="BR37" s="31">
        <f t="shared" si="62"/>
        <v>1</v>
      </c>
      <c r="BS37" s="67">
        <f t="shared" si="63"/>
        <v>30</v>
      </c>
      <c r="BT37" s="66"/>
      <c r="BU37" s="31">
        <f t="shared" si="64"/>
        <v>1</v>
      </c>
      <c r="BV37" s="65">
        <f t="shared" si="65"/>
        <v>30</v>
      </c>
      <c r="BW37" s="66"/>
      <c r="BX37" s="31">
        <f t="shared" si="66"/>
        <v>0</v>
      </c>
      <c r="BY37" s="67">
        <f t="shared" si="67"/>
        <v>0</v>
      </c>
      <c r="BZ37" s="66"/>
      <c r="CA37" s="31">
        <f t="shared" si="68"/>
        <v>0</v>
      </c>
      <c r="CB37" s="65">
        <f t="shared" si="69"/>
        <v>0</v>
      </c>
      <c r="CC37" s="66"/>
      <c r="CD37" s="31">
        <f t="shared" si="70"/>
        <v>0</v>
      </c>
      <c r="CE37" s="67">
        <f t="shared" si="71"/>
        <v>0</v>
      </c>
      <c r="CF37" s="66"/>
      <c r="CG37" s="34">
        <f t="shared" si="72"/>
        <v>0</v>
      </c>
      <c r="CH37" s="67">
        <f t="shared" si="93"/>
        <v>0</v>
      </c>
      <c r="CI37" s="66"/>
      <c r="CJ37" s="34">
        <f t="shared" si="73"/>
        <v>0</v>
      </c>
      <c r="CK37" s="67">
        <f t="shared" si="74"/>
        <v>0</v>
      </c>
      <c r="CL37" s="66"/>
      <c r="CM37" s="34">
        <f t="shared" si="75"/>
        <v>0</v>
      </c>
      <c r="CN37" s="67">
        <f t="shared" si="76"/>
        <v>0</v>
      </c>
      <c r="CO37" s="66"/>
      <c r="CP37" s="34">
        <f t="shared" si="77"/>
        <v>0</v>
      </c>
      <c r="CQ37" s="67">
        <f t="shared" si="78"/>
        <v>0</v>
      </c>
      <c r="CR37" s="66"/>
      <c r="CS37" s="34">
        <f t="shared" si="79"/>
        <v>0</v>
      </c>
      <c r="CT37" s="65">
        <f t="shared" si="80"/>
        <v>0</v>
      </c>
      <c r="CU37" s="66"/>
      <c r="CV37" s="31">
        <f t="shared" si="81"/>
        <v>0</v>
      </c>
      <c r="CW37" s="67">
        <f t="shared" si="82"/>
        <v>0</v>
      </c>
      <c r="CX37" s="66"/>
      <c r="CY37" s="31">
        <f t="shared" si="83"/>
        <v>0</v>
      </c>
      <c r="CZ37" s="65">
        <f t="shared" si="84"/>
        <v>0</v>
      </c>
      <c r="DA37" s="66"/>
      <c r="DB37" s="31">
        <f t="shared" si="85"/>
        <v>0</v>
      </c>
      <c r="DC37" s="67">
        <f t="shared" si="86"/>
        <v>0</v>
      </c>
      <c r="DE37" s="76">
        <v>45</v>
      </c>
      <c r="DF37" s="42"/>
      <c r="DG37" s="69">
        <f t="shared" si="87"/>
        <v>0</v>
      </c>
      <c r="DH37" s="42"/>
      <c r="DI37" s="70">
        <f t="shared" si="88"/>
        <v>3</v>
      </c>
      <c r="DJ37" s="42"/>
      <c r="DK37" s="70">
        <f t="shared" si="89"/>
        <v>42</v>
      </c>
      <c r="DL37" s="42"/>
      <c r="DM37" s="71">
        <f t="shared" si="90"/>
        <v>1050</v>
      </c>
      <c r="DN37" s="42"/>
      <c r="DO37" s="72">
        <f t="shared" si="91"/>
        <v>14</v>
      </c>
      <c r="DP37" s="42"/>
      <c r="DQ37" s="71">
        <f t="shared" si="92"/>
        <v>1260</v>
      </c>
      <c r="DR37" s="42"/>
      <c r="DS37" s="69"/>
      <c r="DT37" s="42"/>
      <c r="DU37" s="71">
        <v>0</v>
      </c>
      <c r="DV37" s="42"/>
      <c r="DW37" s="73">
        <f t="shared" si="94"/>
        <v>0</v>
      </c>
      <c r="DX37" s="42"/>
      <c r="DY37" s="71">
        <f t="shared" si="95"/>
        <v>0</v>
      </c>
    </row>
    <row r="38" ht="12.45" customHeight="1" spans="1:129" x14ac:dyDescent="0.25">
      <c r="A38" s="77" t="s">
        <v>83</v>
      </c>
      <c r="B38" s="42"/>
      <c r="C38" s="75"/>
      <c r="D38" s="44"/>
      <c r="E38" s="78">
        <v>25</v>
      </c>
      <c r="F38" s="44"/>
      <c r="G38" s="61">
        <v>30</v>
      </c>
      <c r="I38" s="62">
        <v>1</v>
      </c>
      <c r="J38" s="63"/>
      <c r="K38" s="64"/>
      <c r="L38" s="3"/>
      <c r="M38" s="62"/>
      <c r="N38" s="3"/>
      <c r="O38" s="64"/>
      <c r="P38" s="3"/>
      <c r="Q38" s="62"/>
      <c r="R38" s="3"/>
      <c r="S38" s="64"/>
      <c r="T38" s="3"/>
      <c r="U38" s="62"/>
      <c r="V38" s="3"/>
      <c r="W38" s="64"/>
      <c r="X38" s="3"/>
      <c r="Y38" s="62"/>
      <c r="Z38" s="3"/>
      <c r="AA38" s="64">
        <v>1</v>
      </c>
      <c r="AB38" s="3"/>
      <c r="AC38" s="62"/>
      <c r="AD38" s="3"/>
      <c r="AE38" s="64"/>
      <c r="AF38" s="3"/>
      <c r="AG38" s="62"/>
      <c r="AH38" s="3"/>
      <c r="AI38" s="64"/>
      <c r="AJ38" s="3"/>
      <c r="AK38" s="62"/>
      <c r="AL38" s="3"/>
      <c r="AM38" s="64"/>
      <c r="AN38" s="3"/>
      <c r="AO38" s="62"/>
      <c r="AP38" s="3"/>
      <c r="AQ38" s="64"/>
      <c r="AR38" s="3"/>
      <c r="AS38" s="62"/>
      <c r="AT38" s="3"/>
      <c r="AU38" s="64"/>
      <c r="AW38" s="34">
        <f t="shared" si="48"/>
        <v>1</v>
      </c>
      <c r="AX38" s="65">
        <f t="shared" si="49"/>
        <v>30</v>
      </c>
      <c r="AY38" s="66"/>
      <c r="AZ38" s="31">
        <f t="shared" si="50"/>
        <v>0</v>
      </c>
      <c r="BA38" s="67">
        <f t="shared" si="51"/>
        <v>0</v>
      </c>
      <c r="BB38" s="66"/>
      <c r="BC38" s="31">
        <f t="shared" si="52"/>
        <v>0</v>
      </c>
      <c r="BD38" s="65">
        <f t="shared" si="53"/>
        <v>0</v>
      </c>
      <c r="BE38" s="66"/>
      <c r="BF38" s="31">
        <f t="shared" si="54"/>
        <v>0</v>
      </c>
      <c r="BG38" s="67">
        <f t="shared" si="55"/>
        <v>0</v>
      </c>
      <c r="BH38" s="66"/>
      <c r="BI38" s="31">
        <f t="shared" si="56"/>
        <v>0</v>
      </c>
      <c r="BJ38" s="65">
        <f t="shared" si="57"/>
        <v>0</v>
      </c>
      <c r="BK38" s="66"/>
      <c r="BL38" s="31">
        <f t="shared" si="58"/>
        <v>0</v>
      </c>
      <c r="BM38" s="67">
        <f t="shared" si="59"/>
        <v>0</v>
      </c>
      <c r="BN38" s="66"/>
      <c r="BO38" s="31">
        <f t="shared" si="60"/>
        <v>0</v>
      </c>
      <c r="BP38" s="65">
        <f t="shared" si="61"/>
        <v>0</v>
      </c>
      <c r="BQ38" s="66"/>
      <c r="BR38" s="31">
        <f t="shared" si="62"/>
        <v>0</v>
      </c>
      <c r="BS38" s="67">
        <f t="shared" si="63"/>
        <v>0</v>
      </c>
      <c r="BT38" s="66"/>
      <c r="BU38" s="31">
        <f t="shared" si="64"/>
        <v>0</v>
      </c>
      <c r="BV38" s="65">
        <f t="shared" si="65"/>
        <v>0</v>
      </c>
      <c r="BW38" s="66"/>
      <c r="BX38" s="31">
        <f t="shared" si="66"/>
        <v>1</v>
      </c>
      <c r="BY38" s="67">
        <f t="shared" si="67"/>
        <v>30</v>
      </c>
      <c r="BZ38" s="66"/>
      <c r="CA38" s="31">
        <f t="shared" si="68"/>
        <v>0</v>
      </c>
      <c r="CB38" s="65">
        <f t="shared" si="69"/>
        <v>0</v>
      </c>
      <c r="CC38" s="66"/>
      <c r="CD38" s="31">
        <f t="shared" si="70"/>
        <v>0</v>
      </c>
      <c r="CE38" s="67">
        <f t="shared" si="71"/>
        <v>0</v>
      </c>
      <c r="CF38" s="66"/>
      <c r="CG38" s="34">
        <f t="shared" si="72"/>
        <v>0</v>
      </c>
      <c r="CH38" s="67">
        <f t="shared" si="93"/>
        <v>0</v>
      </c>
      <c r="CI38" s="66"/>
      <c r="CJ38" s="34">
        <f t="shared" si="73"/>
        <v>0</v>
      </c>
      <c r="CK38" s="67">
        <f t="shared" si="74"/>
        <v>0</v>
      </c>
      <c r="CL38" s="66"/>
      <c r="CM38" s="34">
        <f t="shared" si="75"/>
        <v>0</v>
      </c>
      <c r="CN38" s="67">
        <f t="shared" si="76"/>
        <v>0</v>
      </c>
      <c r="CO38" s="66"/>
      <c r="CP38" s="34">
        <f t="shared" si="77"/>
        <v>0</v>
      </c>
      <c r="CQ38" s="67">
        <f t="shared" si="78"/>
        <v>0</v>
      </c>
      <c r="CR38" s="66"/>
      <c r="CS38" s="34">
        <f t="shared" si="79"/>
        <v>0</v>
      </c>
      <c r="CT38" s="65">
        <f t="shared" si="80"/>
        <v>0</v>
      </c>
      <c r="CU38" s="66"/>
      <c r="CV38" s="31">
        <f t="shared" si="81"/>
        <v>0</v>
      </c>
      <c r="CW38" s="67">
        <f t="shared" si="82"/>
        <v>0</v>
      </c>
      <c r="CX38" s="66"/>
      <c r="CY38" s="31">
        <f t="shared" si="83"/>
        <v>0</v>
      </c>
      <c r="CZ38" s="65">
        <f t="shared" si="84"/>
        <v>0</v>
      </c>
      <c r="DA38" s="66"/>
      <c r="DB38" s="31">
        <f t="shared" si="85"/>
        <v>0</v>
      </c>
      <c r="DC38" s="67">
        <f t="shared" si="86"/>
        <v>0</v>
      </c>
      <c r="DE38" s="76">
        <v>78</v>
      </c>
      <c r="DF38" s="42"/>
      <c r="DG38" s="69">
        <f t="shared" si="87"/>
        <v>0</v>
      </c>
      <c r="DH38" s="42"/>
      <c r="DI38" s="70">
        <f t="shared" si="88"/>
        <v>2</v>
      </c>
      <c r="DJ38" s="42"/>
      <c r="DK38" s="70">
        <f t="shared" si="89"/>
        <v>76</v>
      </c>
      <c r="DL38" s="42"/>
      <c r="DM38" s="71">
        <f t="shared" si="90"/>
        <v>1900</v>
      </c>
      <c r="DN38" s="42"/>
      <c r="DO38" s="72">
        <f t="shared" si="91"/>
        <v>38</v>
      </c>
      <c r="DP38" s="42"/>
      <c r="DQ38" s="71">
        <f t="shared" si="92"/>
        <v>2280</v>
      </c>
      <c r="DR38" s="42"/>
      <c r="DS38" s="69"/>
      <c r="DT38" s="42"/>
      <c r="DU38" s="71">
        <v>0</v>
      </c>
      <c r="DV38" s="42"/>
      <c r="DW38" s="73">
        <f t="shared" si="94"/>
        <v>0</v>
      </c>
      <c r="DX38" s="42"/>
      <c r="DY38" s="71">
        <f t="shared" si="95"/>
        <v>0</v>
      </c>
    </row>
    <row r="39" ht="12.45" customHeight="1" spans="1:129" x14ac:dyDescent="0.25">
      <c r="A39" s="74" t="s">
        <v>84</v>
      </c>
      <c r="B39" s="42"/>
      <c r="C39" s="75"/>
      <c r="D39" s="44"/>
      <c r="E39" s="78">
        <v>25</v>
      </c>
      <c r="F39" s="44"/>
      <c r="G39" s="61">
        <v>30</v>
      </c>
      <c r="I39" s="62"/>
      <c r="J39" s="63"/>
      <c r="K39" s="64"/>
      <c r="L39" s="3"/>
      <c r="M39" s="62"/>
      <c r="N39" s="3"/>
      <c r="O39" s="64"/>
      <c r="P39" s="3"/>
      <c r="Q39" s="62"/>
      <c r="R39" s="3"/>
      <c r="S39" s="64"/>
      <c r="T39" s="3"/>
      <c r="U39" s="62"/>
      <c r="V39" s="3"/>
      <c r="W39" s="64"/>
      <c r="X39" s="3"/>
      <c r="Y39" s="62"/>
      <c r="Z39" s="3"/>
      <c r="AA39" s="64"/>
      <c r="AB39" s="3"/>
      <c r="AC39" s="62"/>
      <c r="AD39" s="3"/>
      <c r="AE39" s="64"/>
      <c r="AF39" s="3"/>
      <c r="AG39" s="62"/>
      <c r="AH39" s="3"/>
      <c r="AI39" s="64"/>
      <c r="AJ39" s="3"/>
      <c r="AK39" s="62"/>
      <c r="AL39" s="3"/>
      <c r="AM39" s="64"/>
      <c r="AN39" s="3"/>
      <c r="AO39" s="62"/>
      <c r="AP39" s="3"/>
      <c r="AQ39" s="64"/>
      <c r="AR39" s="3"/>
      <c r="AS39" s="62"/>
      <c r="AT39" s="3"/>
      <c r="AU39" s="64"/>
      <c r="AW39" s="34">
        <f t="shared" si="48"/>
        <v>0</v>
      </c>
      <c r="AX39" s="65">
        <f t="shared" si="49"/>
        <v>0</v>
      </c>
      <c r="AY39" s="66"/>
      <c r="AZ39" s="31">
        <f t="shared" si="50"/>
        <v>0</v>
      </c>
      <c r="BA39" s="67">
        <f t="shared" si="51"/>
        <v>0</v>
      </c>
      <c r="BB39" s="66"/>
      <c r="BC39" s="31">
        <f t="shared" si="52"/>
        <v>0</v>
      </c>
      <c r="BD39" s="65">
        <f t="shared" si="53"/>
        <v>0</v>
      </c>
      <c r="BE39" s="66"/>
      <c r="BF39" s="31">
        <f t="shared" si="54"/>
        <v>0</v>
      </c>
      <c r="BG39" s="67">
        <f t="shared" si="55"/>
        <v>0</v>
      </c>
      <c r="BH39" s="66"/>
      <c r="BI39" s="31">
        <f t="shared" si="56"/>
        <v>0</v>
      </c>
      <c r="BJ39" s="65">
        <f t="shared" si="57"/>
        <v>0</v>
      </c>
      <c r="BK39" s="66"/>
      <c r="BL39" s="31">
        <f t="shared" si="58"/>
        <v>0</v>
      </c>
      <c r="BM39" s="67">
        <f t="shared" si="59"/>
        <v>0</v>
      </c>
      <c r="BN39" s="66"/>
      <c r="BO39" s="31">
        <f t="shared" si="60"/>
        <v>0</v>
      </c>
      <c r="BP39" s="65">
        <f t="shared" si="61"/>
        <v>0</v>
      </c>
      <c r="BQ39" s="66"/>
      <c r="BR39" s="31">
        <f t="shared" si="62"/>
        <v>0</v>
      </c>
      <c r="BS39" s="67">
        <f t="shared" si="63"/>
        <v>0</v>
      </c>
      <c r="BT39" s="66"/>
      <c r="BU39" s="31">
        <f t="shared" si="64"/>
        <v>0</v>
      </c>
      <c r="BV39" s="65">
        <f t="shared" si="65"/>
        <v>0</v>
      </c>
      <c r="BW39" s="66"/>
      <c r="BX39" s="31">
        <f t="shared" si="66"/>
        <v>0</v>
      </c>
      <c r="BY39" s="67">
        <f t="shared" si="67"/>
        <v>0</v>
      </c>
      <c r="BZ39" s="66"/>
      <c r="CA39" s="31">
        <f t="shared" si="68"/>
        <v>0</v>
      </c>
      <c r="CB39" s="65">
        <f t="shared" si="69"/>
        <v>0</v>
      </c>
      <c r="CC39" s="66"/>
      <c r="CD39" s="31">
        <f t="shared" si="70"/>
        <v>0</v>
      </c>
      <c r="CE39" s="67">
        <f t="shared" si="71"/>
        <v>0</v>
      </c>
      <c r="CF39" s="66"/>
      <c r="CG39" s="34">
        <f t="shared" si="72"/>
        <v>0</v>
      </c>
      <c r="CH39" s="67">
        <f t="shared" si="93"/>
        <v>0</v>
      </c>
      <c r="CI39" s="66"/>
      <c r="CJ39" s="34">
        <f t="shared" si="73"/>
        <v>0</v>
      </c>
      <c r="CK39" s="67">
        <f t="shared" si="74"/>
        <v>0</v>
      </c>
      <c r="CL39" s="66"/>
      <c r="CM39" s="34">
        <f t="shared" si="75"/>
        <v>0</v>
      </c>
      <c r="CN39" s="67">
        <f t="shared" si="76"/>
        <v>0</v>
      </c>
      <c r="CO39" s="66"/>
      <c r="CP39" s="34">
        <f t="shared" si="77"/>
        <v>0</v>
      </c>
      <c r="CQ39" s="67">
        <f t="shared" si="78"/>
        <v>0</v>
      </c>
      <c r="CR39" s="66"/>
      <c r="CS39" s="34">
        <f t="shared" si="79"/>
        <v>0</v>
      </c>
      <c r="CT39" s="65">
        <f t="shared" si="80"/>
        <v>0</v>
      </c>
      <c r="CU39" s="66"/>
      <c r="CV39" s="31">
        <f t="shared" si="81"/>
        <v>0</v>
      </c>
      <c r="CW39" s="67">
        <f t="shared" si="82"/>
        <v>0</v>
      </c>
      <c r="CX39" s="66"/>
      <c r="CY39" s="31">
        <f t="shared" si="83"/>
        <v>0</v>
      </c>
      <c r="CZ39" s="65">
        <f t="shared" si="84"/>
        <v>0</v>
      </c>
      <c r="DA39" s="66"/>
      <c r="DB39" s="31">
        <f t="shared" si="85"/>
        <v>0</v>
      </c>
      <c r="DC39" s="67">
        <f t="shared" si="86"/>
        <v>0</v>
      </c>
      <c r="DE39" s="76">
        <v>58</v>
      </c>
      <c r="DF39" s="42"/>
      <c r="DG39" s="69">
        <f t="shared" si="87"/>
        <v>0</v>
      </c>
      <c r="DH39" s="42"/>
      <c r="DI39" s="70">
        <f t="shared" si="88"/>
        <v>0</v>
      </c>
      <c r="DJ39" s="42"/>
      <c r="DK39" s="70">
        <f t="shared" si="89"/>
        <v>58</v>
      </c>
      <c r="DL39" s="42"/>
      <c r="DM39" s="71">
        <f t="shared" si="90"/>
        <v>1450</v>
      </c>
      <c r="DN39" s="42"/>
      <c r="DO39" s="72" t="e">
        <f t="shared" si="91"/>
        <v>#DIV/0!</v>
      </c>
      <c r="DP39" s="42"/>
      <c r="DQ39" s="71">
        <f t="shared" si="92"/>
        <v>1740</v>
      </c>
      <c r="DR39" s="42"/>
      <c r="DS39" s="69"/>
      <c r="DT39" s="42"/>
      <c r="DU39" s="71">
        <v>0</v>
      </c>
      <c r="DV39" s="42"/>
      <c r="DW39" s="73">
        <f t="shared" si="94"/>
        <v>0</v>
      </c>
      <c r="DX39" s="42"/>
      <c r="DY39" s="71">
        <f t="shared" si="95"/>
        <v>0</v>
      </c>
    </row>
    <row r="40" ht="12.45" customHeight="1" spans="1:129" s="6" customFormat="1" x14ac:dyDescent="0.25">
      <c r="A40" s="77" t="s">
        <v>85</v>
      </c>
      <c r="B40" s="42"/>
      <c r="C40" s="75"/>
      <c r="D40" s="44"/>
      <c r="E40" s="78">
        <v>25</v>
      </c>
      <c r="F40" s="44"/>
      <c r="G40" s="61">
        <v>30</v>
      </c>
      <c r="H40" s="2"/>
      <c r="I40" s="62"/>
      <c r="J40" s="63"/>
      <c r="K40" s="64"/>
      <c r="L40" s="3"/>
      <c r="M40" s="62"/>
      <c r="N40" s="3"/>
      <c r="O40" s="64"/>
      <c r="P40" s="3"/>
      <c r="Q40" s="62">
        <v>1</v>
      </c>
      <c r="R40" s="3"/>
      <c r="S40" s="64">
        <v>1</v>
      </c>
      <c r="T40" s="3"/>
      <c r="U40" s="62"/>
      <c r="V40" s="3"/>
      <c r="W40" s="64">
        <v>1</v>
      </c>
      <c r="X40" s="3"/>
      <c r="Y40" s="62"/>
      <c r="Z40" s="3"/>
      <c r="AA40" s="64"/>
      <c r="AB40" s="3"/>
      <c r="AC40" s="62"/>
      <c r="AD40" s="3"/>
      <c r="AE40" s="64"/>
      <c r="AF40" s="3"/>
      <c r="AG40" s="62"/>
      <c r="AH40" s="3"/>
      <c r="AI40" s="64"/>
      <c r="AJ40" s="3"/>
      <c r="AK40" s="62"/>
      <c r="AL40" s="3"/>
      <c r="AM40" s="64"/>
      <c r="AN40" s="3"/>
      <c r="AO40" s="62"/>
      <c r="AP40" s="3"/>
      <c r="AQ40" s="64"/>
      <c r="AR40" s="3"/>
      <c r="AS40" s="62"/>
      <c r="AT40" s="3"/>
      <c r="AU40" s="64"/>
      <c r="AV40" s="2"/>
      <c r="AW40" s="34">
        <f t="shared" si="48"/>
        <v>0</v>
      </c>
      <c r="AX40" s="65">
        <f t="shared" si="49"/>
        <v>0</v>
      </c>
      <c r="AY40" s="66"/>
      <c r="AZ40" s="31">
        <f t="shared" si="50"/>
        <v>0</v>
      </c>
      <c r="BA40" s="67">
        <f t="shared" si="51"/>
        <v>0</v>
      </c>
      <c r="BB40" s="66"/>
      <c r="BC40" s="31">
        <f t="shared" si="52"/>
        <v>0</v>
      </c>
      <c r="BD40" s="65">
        <f t="shared" si="53"/>
        <v>0</v>
      </c>
      <c r="BE40" s="66"/>
      <c r="BF40" s="31">
        <f t="shared" si="54"/>
        <v>0</v>
      </c>
      <c r="BG40" s="67">
        <f t="shared" si="55"/>
        <v>0</v>
      </c>
      <c r="BH40" s="66"/>
      <c r="BI40" s="31">
        <f t="shared" si="56"/>
        <v>1</v>
      </c>
      <c r="BJ40" s="65">
        <f t="shared" si="57"/>
        <v>30</v>
      </c>
      <c r="BK40" s="66"/>
      <c r="BL40" s="31">
        <f t="shared" si="58"/>
        <v>1</v>
      </c>
      <c r="BM40" s="67">
        <f t="shared" si="59"/>
        <v>30</v>
      </c>
      <c r="BN40" s="66"/>
      <c r="BO40" s="31">
        <f t="shared" si="60"/>
        <v>0</v>
      </c>
      <c r="BP40" s="65">
        <f t="shared" si="61"/>
        <v>0</v>
      </c>
      <c r="BQ40" s="66"/>
      <c r="BR40" s="31">
        <f t="shared" si="62"/>
        <v>1</v>
      </c>
      <c r="BS40" s="67">
        <f t="shared" si="63"/>
        <v>30</v>
      </c>
      <c r="BT40" s="66"/>
      <c r="BU40" s="31">
        <f t="shared" si="64"/>
        <v>0</v>
      </c>
      <c r="BV40" s="65">
        <f t="shared" si="65"/>
        <v>0</v>
      </c>
      <c r="BW40" s="66"/>
      <c r="BX40" s="31">
        <f t="shared" si="66"/>
        <v>0</v>
      </c>
      <c r="BY40" s="67">
        <f t="shared" si="67"/>
        <v>0</v>
      </c>
      <c r="BZ40" s="66"/>
      <c r="CA40" s="31">
        <f t="shared" si="68"/>
        <v>0</v>
      </c>
      <c r="CB40" s="65">
        <f t="shared" si="69"/>
        <v>0</v>
      </c>
      <c r="CC40" s="66"/>
      <c r="CD40" s="31">
        <f t="shared" si="70"/>
        <v>0</v>
      </c>
      <c r="CE40" s="67">
        <f t="shared" si="71"/>
        <v>0</v>
      </c>
      <c r="CF40" s="66"/>
      <c r="CG40" s="34">
        <f t="shared" si="72"/>
        <v>0</v>
      </c>
      <c r="CH40" s="67">
        <f t="shared" si="93"/>
        <v>0</v>
      </c>
      <c r="CI40" s="66"/>
      <c r="CJ40" s="34">
        <f t="shared" si="73"/>
        <v>0</v>
      </c>
      <c r="CK40" s="67">
        <f t="shared" si="74"/>
        <v>0</v>
      </c>
      <c r="CL40" s="66"/>
      <c r="CM40" s="34">
        <f t="shared" si="75"/>
        <v>0</v>
      </c>
      <c r="CN40" s="67">
        <f t="shared" si="76"/>
        <v>0</v>
      </c>
      <c r="CO40" s="66"/>
      <c r="CP40" s="34">
        <f t="shared" si="77"/>
        <v>0</v>
      </c>
      <c r="CQ40" s="67">
        <f t="shared" si="78"/>
        <v>0</v>
      </c>
      <c r="CR40" s="66"/>
      <c r="CS40" s="34">
        <f t="shared" si="79"/>
        <v>0</v>
      </c>
      <c r="CT40" s="65">
        <f t="shared" si="80"/>
        <v>0</v>
      </c>
      <c r="CU40" s="66"/>
      <c r="CV40" s="31">
        <f t="shared" si="81"/>
        <v>0</v>
      </c>
      <c r="CW40" s="67">
        <f t="shared" si="82"/>
        <v>0</v>
      </c>
      <c r="CX40" s="66"/>
      <c r="CY40" s="31">
        <f t="shared" si="83"/>
        <v>0</v>
      </c>
      <c r="CZ40" s="65">
        <f t="shared" si="84"/>
        <v>0</v>
      </c>
      <c r="DA40" s="66"/>
      <c r="DB40" s="31">
        <f t="shared" si="85"/>
        <v>0</v>
      </c>
      <c r="DC40" s="67">
        <f t="shared" si="86"/>
        <v>0</v>
      </c>
      <c r="DD40" s="2"/>
      <c r="DE40" s="76">
        <v>68</v>
      </c>
      <c r="DF40" s="42"/>
      <c r="DG40" s="69">
        <f t="shared" si="87"/>
        <v>0</v>
      </c>
      <c r="DH40" s="42"/>
      <c r="DI40" s="70">
        <f t="shared" si="88"/>
        <v>3</v>
      </c>
      <c r="DJ40" s="42"/>
      <c r="DK40" s="70">
        <f t="shared" si="89"/>
        <v>65</v>
      </c>
      <c r="DL40" s="42"/>
      <c r="DM40" s="71">
        <f t="shared" si="90"/>
        <v>1625</v>
      </c>
      <c r="DN40" s="42"/>
      <c r="DO40" s="72">
        <f t="shared" si="91"/>
        <v>21.666666666666668</v>
      </c>
      <c r="DP40" s="42"/>
      <c r="DQ40" s="71">
        <f t="shared" si="92"/>
        <v>1950</v>
      </c>
      <c r="DR40" s="42"/>
      <c r="DS40" s="69"/>
      <c r="DT40" s="42"/>
      <c r="DU40" s="71">
        <v>0</v>
      </c>
      <c r="DV40" s="42"/>
      <c r="DW40" s="73">
        <f t="shared" si="94"/>
        <v>0</v>
      </c>
      <c r="DX40" s="42"/>
      <c r="DY40" s="71">
        <f t="shared" si="95"/>
        <v>0</v>
      </c>
    </row>
    <row r="41" ht="12.45" customHeight="1" spans="1:129" x14ac:dyDescent="0.25">
      <c r="A41" s="74" t="s">
        <v>86</v>
      </c>
      <c r="B41" s="42"/>
      <c r="C41" s="75"/>
      <c r="D41" s="44"/>
      <c r="E41" s="78">
        <v>25</v>
      </c>
      <c r="F41" s="44"/>
      <c r="G41" s="61">
        <v>30</v>
      </c>
      <c r="I41" s="62"/>
      <c r="J41" s="63"/>
      <c r="K41" s="64"/>
      <c r="L41" s="3"/>
      <c r="M41" s="62"/>
      <c r="N41" s="3"/>
      <c r="O41" s="64"/>
      <c r="P41" s="3"/>
      <c r="Q41" s="62"/>
      <c r="R41" s="3"/>
      <c r="S41" s="64">
        <v>1</v>
      </c>
      <c r="T41" s="3"/>
      <c r="U41" s="62"/>
      <c r="V41" s="3"/>
      <c r="W41" s="64"/>
      <c r="X41" s="3"/>
      <c r="Y41" s="62"/>
      <c r="Z41" s="3"/>
      <c r="AA41" s="64"/>
      <c r="AB41" s="3"/>
      <c r="AC41" s="62">
        <v>1</v>
      </c>
      <c r="AD41" s="3"/>
      <c r="AE41" s="64"/>
      <c r="AF41" s="3"/>
      <c r="AG41" s="62"/>
      <c r="AH41" s="3"/>
      <c r="AI41" s="64"/>
      <c r="AJ41" s="3"/>
      <c r="AK41" s="62"/>
      <c r="AL41" s="3"/>
      <c r="AM41" s="64"/>
      <c r="AN41" s="3"/>
      <c r="AO41" s="62"/>
      <c r="AP41" s="3"/>
      <c r="AQ41" s="64"/>
      <c r="AR41" s="3"/>
      <c r="AS41" s="62"/>
      <c r="AT41" s="3"/>
      <c r="AU41" s="64"/>
      <c r="AW41" s="34">
        <f t="shared" si="48"/>
        <v>0</v>
      </c>
      <c r="AX41" s="65">
        <f t="shared" si="49"/>
        <v>0</v>
      </c>
      <c r="AY41" s="66"/>
      <c r="AZ41" s="31">
        <f t="shared" si="50"/>
        <v>0</v>
      </c>
      <c r="BA41" s="67">
        <f t="shared" si="51"/>
        <v>0</v>
      </c>
      <c r="BB41" s="66"/>
      <c r="BC41" s="31">
        <f t="shared" si="52"/>
        <v>0</v>
      </c>
      <c r="BD41" s="65">
        <f t="shared" si="53"/>
        <v>0</v>
      </c>
      <c r="BE41" s="66"/>
      <c r="BF41" s="31">
        <f t="shared" si="54"/>
        <v>0</v>
      </c>
      <c r="BG41" s="67">
        <f t="shared" si="55"/>
        <v>0</v>
      </c>
      <c r="BH41" s="66"/>
      <c r="BI41" s="31">
        <f t="shared" si="56"/>
        <v>0</v>
      </c>
      <c r="BJ41" s="65">
        <f t="shared" si="57"/>
        <v>0</v>
      </c>
      <c r="BK41" s="66"/>
      <c r="BL41" s="31">
        <f t="shared" si="58"/>
        <v>1</v>
      </c>
      <c r="BM41" s="67">
        <f t="shared" si="59"/>
        <v>30</v>
      </c>
      <c r="BN41" s="66"/>
      <c r="BO41" s="31">
        <f t="shared" si="60"/>
        <v>0</v>
      </c>
      <c r="BP41" s="65">
        <f t="shared" si="61"/>
        <v>0</v>
      </c>
      <c r="BQ41" s="66"/>
      <c r="BR41" s="31">
        <f t="shared" si="62"/>
        <v>0</v>
      </c>
      <c r="BS41" s="67">
        <f t="shared" si="63"/>
        <v>0</v>
      </c>
      <c r="BT41" s="66"/>
      <c r="BU41" s="31">
        <f t="shared" si="64"/>
        <v>0</v>
      </c>
      <c r="BV41" s="65">
        <f t="shared" si="65"/>
        <v>0</v>
      </c>
      <c r="BW41" s="66"/>
      <c r="BX41" s="31">
        <f t="shared" si="66"/>
        <v>0</v>
      </c>
      <c r="BY41" s="67">
        <f t="shared" si="67"/>
        <v>0</v>
      </c>
      <c r="BZ41" s="66"/>
      <c r="CA41" s="31">
        <f t="shared" si="68"/>
        <v>1</v>
      </c>
      <c r="CB41" s="65">
        <f t="shared" si="69"/>
        <v>30</v>
      </c>
      <c r="CC41" s="66"/>
      <c r="CD41" s="31">
        <f t="shared" si="70"/>
        <v>0</v>
      </c>
      <c r="CE41" s="67">
        <f t="shared" si="71"/>
        <v>0</v>
      </c>
      <c r="CF41" s="66"/>
      <c r="CG41" s="34">
        <f t="shared" si="72"/>
        <v>0</v>
      </c>
      <c r="CH41" s="67">
        <f t="shared" si="93"/>
        <v>0</v>
      </c>
      <c r="CI41" s="66"/>
      <c r="CJ41" s="34">
        <f t="shared" si="73"/>
        <v>0</v>
      </c>
      <c r="CK41" s="67">
        <f t="shared" si="74"/>
        <v>0</v>
      </c>
      <c r="CL41" s="66"/>
      <c r="CM41" s="34">
        <f t="shared" si="75"/>
        <v>0</v>
      </c>
      <c r="CN41" s="67">
        <f t="shared" si="76"/>
        <v>0</v>
      </c>
      <c r="CO41" s="66"/>
      <c r="CP41" s="34">
        <f t="shared" si="77"/>
        <v>0</v>
      </c>
      <c r="CQ41" s="67">
        <f t="shared" si="78"/>
        <v>0</v>
      </c>
      <c r="CR41" s="66"/>
      <c r="CS41" s="34">
        <f t="shared" si="79"/>
        <v>0</v>
      </c>
      <c r="CT41" s="65">
        <f t="shared" si="80"/>
        <v>0</v>
      </c>
      <c r="CU41" s="66"/>
      <c r="CV41" s="31">
        <f t="shared" si="81"/>
        <v>0</v>
      </c>
      <c r="CW41" s="67">
        <f t="shared" si="82"/>
        <v>0</v>
      </c>
      <c r="CX41" s="66"/>
      <c r="CY41" s="31">
        <f t="shared" si="83"/>
        <v>0</v>
      </c>
      <c r="CZ41" s="65">
        <f t="shared" si="84"/>
        <v>0</v>
      </c>
      <c r="DA41" s="66"/>
      <c r="DB41" s="31">
        <f t="shared" si="85"/>
        <v>0</v>
      </c>
      <c r="DC41" s="67">
        <f t="shared" si="86"/>
        <v>0</v>
      </c>
      <c r="DE41" s="76">
        <v>50</v>
      </c>
      <c r="DF41" s="42"/>
      <c r="DG41" s="69">
        <f t="shared" si="87"/>
        <v>0</v>
      </c>
      <c r="DH41" s="42"/>
      <c r="DI41" s="70">
        <f t="shared" si="88"/>
        <v>2</v>
      </c>
      <c r="DJ41" s="42"/>
      <c r="DK41" s="70">
        <f t="shared" si="89"/>
        <v>48</v>
      </c>
      <c r="DL41" s="42"/>
      <c r="DM41" s="71">
        <f t="shared" si="90"/>
        <v>1200</v>
      </c>
      <c r="DN41" s="42"/>
      <c r="DO41" s="72">
        <f t="shared" si="91"/>
        <v>24</v>
      </c>
      <c r="DP41" s="42"/>
      <c r="DQ41" s="71">
        <f t="shared" si="92"/>
        <v>1440</v>
      </c>
      <c r="DR41" s="42"/>
      <c r="DS41" s="69"/>
      <c r="DT41" s="42"/>
      <c r="DU41" s="71">
        <v>0</v>
      </c>
      <c r="DV41" s="42"/>
      <c r="DW41" s="73">
        <f t="shared" si="94"/>
        <v>0</v>
      </c>
      <c r="DX41" s="42"/>
      <c r="DY41" s="71">
        <f t="shared" si="95"/>
        <v>0</v>
      </c>
    </row>
    <row r="42" ht="12.45" customHeight="1" spans="1:129" x14ac:dyDescent="0.25">
      <c r="A42" s="77" t="s">
        <v>87</v>
      </c>
      <c r="B42" s="42"/>
      <c r="C42" s="75"/>
      <c r="D42" s="44"/>
      <c r="E42" s="78">
        <v>25</v>
      </c>
      <c r="F42" s="44"/>
      <c r="G42" s="61">
        <v>30</v>
      </c>
      <c r="I42" s="62"/>
      <c r="J42" s="63"/>
      <c r="K42" s="64"/>
      <c r="L42" s="3"/>
      <c r="M42" s="62"/>
      <c r="N42" s="3"/>
      <c r="O42" s="64"/>
      <c r="P42" s="3"/>
      <c r="Q42" s="62"/>
      <c r="R42" s="3"/>
      <c r="S42" s="64"/>
      <c r="T42" s="3"/>
      <c r="U42" s="62"/>
      <c r="V42" s="3"/>
      <c r="W42" s="64"/>
      <c r="X42" s="3"/>
      <c r="Y42" s="62">
        <v>1</v>
      </c>
      <c r="Z42" s="3"/>
      <c r="AA42" s="64"/>
      <c r="AB42" s="3"/>
      <c r="AC42" s="62"/>
      <c r="AD42" s="3"/>
      <c r="AE42" s="64"/>
      <c r="AF42" s="3"/>
      <c r="AG42" s="62"/>
      <c r="AH42" s="3"/>
      <c r="AI42" s="64"/>
      <c r="AJ42" s="3"/>
      <c r="AK42" s="62"/>
      <c r="AL42" s="3"/>
      <c r="AM42" s="64"/>
      <c r="AN42" s="3"/>
      <c r="AO42" s="62"/>
      <c r="AP42" s="3"/>
      <c r="AQ42" s="64"/>
      <c r="AR42" s="3"/>
      <c r="AS42" s="62"/>
      <c r="AT42" s="3"/>
      <c r="AU42" s="64"/>
      <c r="AW42" s="34">
        <f t="shared" si="48"/>
        <v>0</v>
      </c>
      <c r="AX42" s="65">
        <f t="shared" si="49"/>
        <v>0</v>
      </c>
      <c r="AY42" s="66"/>
      <c r="AZ42" s="31">
        <f t="shared" si="50"/>
        <v>0</v>
      </c>
      <c r="BA42" s="67">
        <f t="shared" si="51"/>
        <v>0</v>
      </c>
      <c r="BB42" s="66"/>
      <c r="BC42" s="31">
        <f t="shared" si="52"/>
        <v>0</v>
      </c>
      <c r="BD42" s="65">
        <f t="shared" si="53"/>
        <v>0</v>
      </c>
      <c r="BE42" s="66"/>
      <c r="BF42" s="31">
        <f t="shared" si="54"/>
        <v>0</v>
      </c>
      <c r="BG42" s="67">
        <f t="shared" si="55"/>
        <v>0</v>
      </c>
      <c r="BH42" s="66"/>
      <c r="BI42" s="31">
        <f t="shared" si="56"/>
        <v>0</v>
      </c>
      <c r="BJ42" s="65">
        <f t="shared" si="57"/>
        <v>0</v>
      </c>
      <c r="BK42" s="66"/>
      <c r="BL42" s="31">
        <f t="shared" si="58"/>
        <v>0</v>
      </c>
      <c r="BM42" s="67">
        <f t="shared" si="59"/>
        <v>0</v>
      </c>
      <c r="BN42" s="66"/>
      <c r="BO42" s="31">
        <f t="shared" si="60"/>
        <v>0</v>
      </c>
      <c r="BP42" s="65">
        <f t="shared" si="61"/>
        <v>0</v>
      </c>
      <c r="BQ42" s="66"/>
      <c r="BR42" s="31">
        <f t="shared" si="62"/>
        <v>0</v>
      </c>
      <c r="BS42" s="67">
        <f t="shared" si="63"/>
        <v>0</v>
      </c>
      <c r="BT42" s="66"/>
      <c r="BU42" s="31">
        <f t="shared" si="64"/>
        <v>1</v>
      </c>
      <c r="BV42" s="65">
        <f t="shared" si="65"/>
        <v>30</v>
      </c>
      <c r="BW42" s="66"/>
      <c r="BX42" s="31">
        <f t="shared" si="66"/>
        <v>0</v>
      </c>
      <c r="BY42" s="67">
        <f t="shared" si="67"/>
        <v>0</v>
      </c>
      <c r="BZ42" s="66"/>
      <c r="CA42" s="31">
        <f t="shared" si="68"/>
        <v>0</v>
      </c>
      <c r="CB42" s="65">
        <f t="shared" si="69"/>
        <v>0</v>
      </c>
      <c r="CC42" s="66"/>
      <c r="CD42" s="31">
        <f t="shared" si="70"/>
        <v>0</v>
      </c>
      <c r="CE42" s="67">
        <f t="shared" si="71"/>
        <v>0</v>
      </c>
      <c r="CF42" s="66"/>
      <c r="CG42" s="34">
        <f t="shared" si="72"/>
        <v>0</v>
      </c>
      <c r="CH42" s="67">
        <f t="shared" si="93"/>
        <v>0</v>
      </c>
      <c r="CI42" s="66"/>
      <c r="CJ42" s="34">
        <f t="shared" si="73"/>
        <v>0</v>
      </c>
      <c r="CK42" s="67">
        <f t="shared" si="74"/>
        <v>0</v>
      </c>
      <c r="CL42" s="66"/>
      <c r="CM42" s="34">
        <f t="shared" si="75"/>
        <v>0</v>
      </c>
      <c r="CN42" s="67">
        <f t="shared" si="76"/>
        <v>0</v>
      </c>
      <c r="CO42" s="66"/>
      <c r="CP42" s="34">
        <f t="shared" si="77"/>
        <v>0</v>
      </c>
      <c r="CQ42" s="67">
        <f t="shared" si="78"/>
        <v>0</v>
      </c>
      <c r="CR42" s="66"/>
      <c r="CS42" s="34">
        <f t="shared" si="79"/>
        <v>0</v>
      </c>
      <c r="CT42" s="65">
        <f t="shared" si="80"/>
        <v>0</v>
      </c>
      <c r="CU42" s="66"/>
      <c r="CV42" s="31">
        <f t="shared" si="81"/>
        <v>0</v>
      </c>
      <c r="CW42" s="67">
        <f t="shared" si="82"/>
        <v>0</v>
      </c>
      <c r="CX42" s="66"/>
      <c r="CY42" s="31">
        <f t="shared" si="83"/>
        <v>0</v>
      </c>
      <c r="CZ42" s="65">
        <f t="shared" si="84"/>
        <v>0</v>
      </c>
      <c r="DA42" s="66"/>
      <c r="DB42" s="31">
        <f t="shared" si="85"/>
        <v>0</v>
      </c>
      <c r="DC42" s="67">
        <f t="shared" si="86"/>
        <v>0</v>
      </c>
      <c r="DE42" s="76">
        <v>17</v>
      </c>
      <c r="DF42" s="42"/>
      <c r="DG42" s="69">
        <f t="shared" si="87"/>
        <v>0</v>
      </c>
      <c r="DH42" s="42"/>
      <c r="DI42" s="70">
        <f t="shared" si="88"/>
        <v>1</v>
      </c>
      <c r="DJ42" s="42"/>
      <c r="DK42" s="70">
        <f t="shared" si="89"/>
        <v>16</v>
      </c>
      <c r="DL42" s="42"/>
      <c r="DM42" s="71">
        <f t="shared" si="90"/>
        <v>400</v>
      </c>
      <c r="DN42" s="42"/>
      <c r="DO42" s="72">
        <f t="shared" si="91"/>
        <v>16</v>
      </c>
      <c r="DP42" s="42"/>
      <c r="DQ42" s="71">
        <f t="shared" si="92"/>
        <v>480</v>
      </c>
      <c r="DR42" s="42"/>
      <c r="DS42" s="69"/>
      <c r="DT42" s="42"/>
      <c r="DU42" s="71">
        <v>0</v>
      </c>
      <c r="DV42" s="42"/>
      <c r="DW42" s="73">
        <f t="shared" si="94"/>
        <v>0</v>
      </c>
      <c r="DX42" s="42"/>
      <c r="DY42" s="71">
        <f t="shared" si="95"/>
        <v>0</v>
      </c>
    </row>
    <row r="43" ht="12.45" customHeight="1" spans="1:129" x14ac:dyDescent="0.25">
      <c r="A43" s="74" t="s">
        <v>88</v>
      </c>
      <c r="B43" s="42"/>
      <c r="C43" s="75"/>
      <c r="D43" s="44"/>
      <c r="E43" s="78">
        <v>25</v>
      </c>
      <c r="F43" s="44"/>
      <c r="G43" s="61">
        <v>30</v>
      </c>
      <c r="I43" s="62"/>
      <c r="J43" s="63"/>
      <c r="K43" s="64">
        <v>1</v>
      </c>
      <c r="L43" s="3"/>
      <c r="M43" s="62"/>
      <c r="N43" s="3"/>
      <c r="O43" s="64">
        <v>1</v>
      </c>
      <c r="P43" s="3"/>
      <c r="Q43" s="62"/>
      <c r="R43" s="3"/>
      <c r="S43" s="64"/>
      <c r="T43" s="3"/>
      <c r="U43" s="62"/>
      <c r="V43" s="3"/>
      <c r="W43" s="64">
        <v>1</v>
      </c>
      <c r="X43" s="3"/>
      <c r="Y43" s="62"/>
      <c r="Z43" s="3"/>
      <c r="AA43" s="64"/>
      <c r="AB43" s="3"/>
      <c r="AC43" s="62"/>
      <c r="AD43" s="3"/>
      <c r="AE43" s="64"/>
      <c r="AF43" s="3"/>
      <c r="AG43" s="62"/>
      <c r="AH43" s="3"/>
      <c r="AI43" s="64"/>
      <c r="AJ43" s="3"/>
      <c r="AK43" s="62"/>
      <c r="AL43" s="3"/>
      <c r="AM43" s="64"/>
      <c r="AN43" s="3"/>
      <c r="AO43" s="62"/>
      <c r="AP43" s="3"/>
      <c r="AQ43" s="64"/>
      <c r="AR43" s="3"/>
      <c r="AS43" s="62"/>
      <c r="AT43" s="3"/>
      <c r="AU43" s="64"/>
      <c r="AW43" s="34">
        <f t="shared" si="48"/>
        <v>0</v>
      </c>
      <c r="AX43" s="65">
        <f t="shared" si="49"/>
        <v>0</v>
      </c>
      <c r="AY43" s="66"/>
      <c r="AZ43" s="31">
        <f t="shared" si="50"/>
        <v>1</v>
      </c>
      <c r="BA43" s="67">
        <f t="shared" si="51"/>
        <v>30</v>
      </c>
      <c r="BB43" s="66"/>
      <c r="BC43" s="31">
        <f t="shared" si="52"/>
        <v>0</v>
      </c>
      <c r="BD43" s="65">
        <f t="shared" si="53"/>
        <v>0</v>
      </c>
      <c r="BE43" s="66"/>
      <c r="BF43" s="31">
        <f t="shared" si="54"/>
        <v>1</v>
      </c>
      <c r="BG43" s="67">
        <f t="shared" si="55"/>
        <v>30</v>
      </c>
      <c r="BH43" s="66"/>
      <c r="BI43" s="31">
        <f t="shared" si="56"/>
        <v>0</v>
      </c>
      <c r="BJ43" s="65">
        <f t="shared" si="57"/>
        <v>0</v>
      </c>
      <c r="BK43" s="66"/>
      <c r="BL43" s="31">
        <f t="shared" si="58"/>
        <v>0</v>
      </c>
      <c r="BM43" s="67">
        <f t="shared" si="59"/>
        <v>0</v>
      </c>
      <c r="BN43" s="66"/>
      <c r="BO43" s="31">
        <f t="shared" si="60"/>
        <v>0</v>
      </c>
      <c r="BP43" s="65">
        <f t="shared" si="61"/>
        <v>0</v>
      </c>
      <c r="BQ43" s="66"/>
      <c r="BR43" s="31">
        <f t="shared" si="62"/>
        <v>1</v>
      </c>
      <c r="BS43" s="67">
        <f t="shared" si="63"/>
        <v>30</v>
      </c>
      <c r="BT43" s="66"/>
      <c r="BU43" s="31">
        <f t="shared" si="64"/>
        <v>0</v>
      </c>
      <c r="BV43" s="65">
        <f t="shared" si="65"/>
        <v>0</v>
      </c>
      <c r="BW43" s="66"/>
      <c r="BX43" s="31">
        <f t="shared" si="66"/>
        <v>0</v>
      </c>
      <c r="BY43" s="67">
        <f t="shared" si="67"/>
        <v>0</v>
      </c>
      <c r="BZ43" s="66"/>
      <c r="CA43" s="31">
        <f t="shared" si="68"/>
        <v>0</v>
      </c>
      <c r="CB43" s="65">
        <f t="shared" si="69"/>
        <v>0</v>
      </c>
      <c r="CC43" s="66"/>
      <c r="CD43" s="31">
        <f t="shared" si="70"/>
        <v>0</v>
      </c>
      <c r="CE43" s="67">
        <f t="shared" si="71"/>
        <v>0</v>
      </c>
      <c r="CF43" s="66"/>
      <c r="CG43" s="34">
        <f t="shared" si="72"/>
        <v>0</v>
      </c>
      <c r="CH43" s="67">
        <f t="shared" si="93"/>
        <v>0</v>
      </c>
      <c r="CI43" s="66"/>
      <c r="CJ43" s="34">
        <f t="shared" si="73"/>
        <v>0</v>
      </c>
      <c r="CK43" s="67">
        <f t="shared" si="74"/>
        <v>0</v>
      </c>
      <c r="CL43" s="66"/>
      <c r="CM43" s="34">
        <f t="shared" si="75"/>
        <v>0</v>
      </c>
      <c r="CN43" s="67">
        <f t="shared" si="76"/>
        <v>0</v>
      </c>
      <c r="CO43" s="66"/>
      <c r="CP43" s="34">
        <f t="shared" si="77"/>
        <v>0</v>
      </c>
      <c r="CQ43" s="67">
        <f t="shared" si="78"/>
        <v>0</v>
      </c>
      <c r="CR43" s="66"/>
      <c r="CS43" s="34">
        <f t="shared" si="79"/>
        <v>0</v>
      </c>
      <c r="CT43" s="65">
        <f t="shared" si="80"/>
        <v>0</v>
      </c>
      <c r="CU43" s="66"/>
      <c r="CV43" s="31">
        <f t="shared" si="81"/>
        <v>0</v>
      </c>
      <c r="CW43" s="67">
        <f t="shared" si="82"/>
        <v>0</v>
      </c>
      <c r="CX43" s="66"/>
      <c r="CY43" s="31">
        <f t="shared" si="83"/>
        <v>0</v>
      </c>
      <c r="CZ43" s="65">
        <f t="shared" si="84"/>
        <v>0</v>
      </c>
      <c r="DA43" s="66"/>
      <c r="DB43" s="31">
        <f t="shared" si="85"/>
        <v>0</v>
      </c>
      <c r="DC43" s="67">
        <f t="shared" si="86"/>
        <v>0</v>
      </c>
      <c r="DE43" s="76">
        <v>61</v>
      </c>
      <c r="DF43" s="42"/>
      <c r="DG43" s="69">
        <f t="shared" si="87"/>
        <v>0</v>
      </c>
      <c r="DH43" s="42"/>
      <c r="DI43" s="70">
        <f t="shared" si="88"/>
        <v>3</v>
      </c>
      <c r="DJ43" s="42"/>
      <c r="DK43" s="70">
        <f t="shared" si="89"/>
        <v>58</v>
      </c>
      <c r="DL43" s="42"/>
      <c r="DM43" s="71">
        <f t="shared" si="90"/>
        <v>1450</v>
      </c>
      <c r="DN43" s="42"/>
      <c r="DO43" s="72">
        <f t="shared" si="91"/>
        <v>19.333333333333332</v>
      </c>
      <c r="DP43" s="42"/>
      <c r="DQ43" s="71">
        <f t="shared" si="92"/>
        <v>1740</v>
      </c>
      <c r="DR43" s="42"/>
      <c r="DS43" s="69"/>
      <c r="DT43" s="42"/>
      <c r="DU43" s="71">
        <v>0</v>
      </c>
      <c r="DV43" s="42"/>
      <c r="DW43" s="73">
        <f t="shared" si="94"/>
        <v>0</v>
      </c>
      <c r="DX43" s="42"/>
      <c r="DY43" s="71">
        <f t="shared" si="95"/>
        <v>0</v>
      </c>
    </row>
    <row r="44" ht="12.45" customHeight="1" spans="1:129" x14ac:dyDescent="0.25">
      <c r="A44" s="77" t="s">
        <v>89</v>
      </c>
      <c r="B44" s="42"/>
      <c r="C44" s="75"/>
      <c r="D44" s="44"/>
      <c r="E44" s="78">
        <v>35</v>
      </c>
      <c r="F44" s="44"/>
      <c r="G44" s="61">
        <v>42</v>
      </c>
      <c r="I44" s="62">
        <v>1</v>
      </c>
      <c r="J44" s="63"/>
      <c r="K44" s="64">
        <v>2</v>
      </c>
      <c r="L44" s="3"/>
      <c r="M44" s="62">
        <v>1</v>
      </c>
      <c r="N44" s="3"/>
      <c r="O44" s="64">
        <v>1</v>
      </c>
      <c r="P44" s="3"/>
      <c r="Q44" s="62">
        <v>1</v>
      </c>
      <c r="R44" s="3"/>
      <c r="S44" s="64">
        <v>1</v>
      </c>
      <c r="T44" s="3"/>
      <c r="U44" s="62"/>
      <c r="V44" s="3"/>
      <c r="W44" s="64">
        <v>1</v>
      </c>
      <c r="X44" s="3"/>
      <c r="Y44" s="62">
        <v>2</v>
      </c>
      <c r="Z44" s="3"/>
      <c r="AA44" s="64"/>
      <c r="AB44" s="3"/>
      <c r="AC44" s="62">
        <v>1</v>
      </c>
      <c r="AD44" s="3"/>
      <c r="AE44" s="64"/>
      <c r="AF44" s="3"/>
      <c r="AG44" s="62"/>
      <c r="AH44" s="3"/>
      <c r="AI44" s="64"/>
      <c r="AJ44" s="3"/>
      <c r="AK44" s="62"/>
      <c r="AL44" s="3"/>
      <c r="AM44" s="64"/>
      <c r="AN44" s="3"/>
      <c r="AO44" s="62"/>
      <c r="AP44" s="3"/>
      <c r="AQ44" s="64"/>
      <c r="AR44" s="3"/>
      <c r="AS44" s="62"/>
      <c r="AT44" s="3"/>
      <c r="AU44" s="64"/>
      <c r="AW44" s="34">
        <f t="shared" si="48"/>
        <v>1</v>
      </c>
      <c r="AX44" s="65">
        <f t="shared" si="49"/>
        <v>42</v>
      </c>
      <c r="AY44" s="66"/>
      <c r="AZ44" s="31">
        <f t="shared" si="50"/>
        <v>2</v>
      </c>
      <c r="BA44" s="67">
        <f t="shared" si="51"/>
        <v>84</v>
      </c>
      <c r="BB44" s="66"/>
      <c r="BC44" s="31">
        <f t="shared" si="52"/>
        <v>1</v>
      </c>
      <c r="BD44" s="65">
        <f t="shared" si="53"/>
        <v>42</v>
      </c>
      <c r="BE44" s="66"/>
      <c r="BF44" s="31">
        <f t="shared" si="54"/>
        <v>1</v>
      </c>
      <c r="BG44" s="67">
        <f t="shared" si="55"/>
        <v>42</v>
      </c>
      <c r="BH44" s="66"/>
      <c r="BI44" s="31">
        <f t="shared" si="56"/>
        <v>1</v>
      </c>
      <c r="BJ44" s="65">
        <f t="shared" si="57"/>
        <v>42</v>
      </c>
      <c r="BK44" s="66"/>
      <c r="BL44" s="31">
        <f t="shared" si="58"/>
        <v>1</v>
      </c>
      <c r="BM44" s="67">
        <f t="shared" si="59"/>
        <v>42</v>
      </c>
      <c r="BN44" s="66"/>
      <c r="BO44" s="31">
        <f t="shared" si="60"/>
        <v>0</v>
      </c>
      <c r="BP44" s="65">
        <f t="shared" si="61"/>
        <v>0</v>
      </c>
      <c r="BQ44" s="66"/>
      <c r="BR44" s="31">
        <f t="shared" si="62"/>
        <v>1</v>
      </c>
      <c r="BS44" s="67">
        <f t="shared" si="63"/>
        <v>42</v>
      </c>
      <c r="BT44" s="66"/>
      <c r="BU44" s="31">
        <f t="shared" si="64"/>
        <v>2</v>
      </c>
      <c r="BV44" s="65">
        <f t="shared" si="65"/>
        <v>84</v>
      </c>
      <c r="BW44" s="66"/>
      <c r="BX44" s="31">
        <f t="shared" si="66"/>
        <v>0</v>
      </c>
      <c r="BY44" s="67">
        <f t="shared" si="67"/>
        <v>0</v>
      </c>
      <c r="BZ44" s="66"/>
      <c r="CA44" s="31">
        <f t="shared" si="68"/>
        <v>1</v>
      </c>
      <c r="CB44" s="65">
        <f t="shared" si="69"/>
        <v>42</v>
      </c>
      <c r="CC44" s="66"/>
      <c r="CD44" s="31">
        <f t="shared" si="70"/>
        <v>0</v>
      </c>
      <c r="CE44" s="67">
        <f t="shared" si="71"/>
        <v>0</v>
      </c>
      <c r="CF44" s="66"/>
      <c r="CG44" s="34">
        <f t="shared" si="72"/>
        <v>0</v>
      </c>
      <c r="CH44" s="67">
        <f t="shared" si="93"/>
        <v>0</v>
      </c>
      <c r="CI44" s="66"/>
      <c r="CJ44" s="34">
        <f t="shared" si="73"/>
        <v>0</v>
      </c>
      <c r="CK44" s="67">
        <f t="shared" si="74"/>
        <v>0</v>
      </c>
      <c r="CL44" s="66"/>
      <c r="CM44" s="34">
        <f t="shared" si="75"/>
        <v>0</v>
      </c>
      <c r="CN44" s="67">
        <f t="shared" si="76"/>
        <v>0</v>
      </c>
      <c r="CO44" s="66"/>
      <c r="CP44" s="34">
        <f t="shared" si="77"/>
        <v>0</v>
      </c>
      <c r="CQ44" s="67">
        <f t="shared" si="78"/>
        <v>0</v>
      </c>
      <c r="CR44" s="66"/>
      <c r="CS44" s="34">
        <f t="shared" si="79"/>
        <v>0</v>
      </c>
      <c r="CT44" s="65">
        <f t="shared" si="80"/>
        <v>0</v>
      </c>
      <c r="CU44" s="66"/>
      <c r="CV44" s="31">
        <f t="shared" si="81"/>
        <v>0</v>
      </c>
      <c r="CW44" s="67">
        <f t="shared" si="82"/>
        <v>0</v>
      </c>
      <c r="CX44" s="66"/>
      <c r="CY44" s="31">
        <f t="shared" si="83"/>
        <v>0</v>
      </c>
      <c r="CZ44" s="65">
        <f t="shared" si="84"/>
        <v>0</v>
      </c>
      <c r="DA44" s="66"/>
      <c r="DB44" s="31">
        <f t="shared" si="85"/>
        <v>0</v>
      </c>
      <c r="DC44" s="67">
        <f t="shared" si="86"/>
        <v>0</v>
      </c>
      <c r="DE44" s="76">
        <v>113</v>
      </c>
      <c r="DF44" s="42"/>
      <c r="DG44" s="69">
        <f t="shared" si="87"/>
        <v>0</v>
      </c>
      <c r="DH44" s="42"/>
      <c r="DI44" s="70">
        <f t="shared" si="88"/>
        <v>11</v>
      </c>
      <c r="DJ44" s="42"/>
      <c r="DK44" s="70">
        <f t="shared" si="89"/>
        <v>102</v>
      </c>
      <c r="DL44" s="42"/>
      <c r="DM44" s="71">
        <f t="shared" si="90"/>
        <v>3570</v>
      </c>
      <c r="DN44" s="42"/>
      <c r="DO44" s="72">
        <f t="shared" si="91"/>
        <v>9.272727272727273</v>
      </c>
      <c r="DP44" s="42"/>
      <c r="DQ44" s="71">
        <f t="shared" si="92"/>
        <v>4284</v>
      </c>
      <c r="DR44" s="42"/>
      <c r="DS44" s="69"/>
      <c r="DT44" s="42"/>
      <c r="DU44" s="71">
        <v>0</v>
      </c>
      <c r="DV44" s="42"/>
      <c r="DW44" s="73">
        <f t="shared" si="94"/>
        <v>0</v>
      </c>
      <c r="DX44" s="42"/>
      <c r="DY44" s="71">
        <f t="shared" si="95"/>
        <v>0</v>
      </c>
    </row>
    <row r="45" ht="12.45" customHeight="1" spans="1:129" x14ac:dyDescent="0.25">
      <c r="A45" s="74" t="s">
        <v>90</v>
      </c>
      <c r="B45" s="42"/>
      <c r="C45" s="75"/>
      <c r="D45" s="44"/>
      <c r="E45" s="78">
        <v>21.5</v>
      </c>
      <c r="F45" s="44"/>
      <c r="G45" s="61">
        <v>25.8</v>
      </c>
      <c r="I45" s="62">
        <v>1</v>
      </c>
      <c r="J45" s="63"/>
      <c r="K45" s="64"/>
      <c r="L45" s="3"/>
      <c r="M45" s="62"/>
      <c r="N45" s="3"/>
      <c r="O45" s="64"/>
      <c r="P45" s="3"/>
      <c r="Q45" s="62"/>
      <c r="R45" s="3"/>
      <c r="S45" s="64">
        <v>1</v>
      </c>
      <c r="T45" s="3"/>
      <c r="U45" s="62"/>
      <c r="V45" s="3"/>
      <c r="W45" s="64"/>
      <c r="X45" s="3"/>
      <c r="Y45" s="62"/>
      <c r="Z45" s="3"/>
      <c r="AA45" s="64"/>
      <c r="AB45" s="3"/>
      <c r="AC45" s="62"/>
      <c r="AD45" s="3"/>
      <c r="AE45" s="64"/>
      <c r="AF45" s="3"/>
      <c r="AG45" s="62"/>
      <c r="AH45" s="3"/>
      <c r="AI45" s="64"/>
      <c r="AJ45" s="3"/>
      <c r="AK45" s="62"/>
      <c r="AL45" s="3"/>
      <c r="AM45" s="64"/>
      <c r="AN45" s="3"/>
      <c r="AO45" s="62"/>
      <c r="AP45" s="3"/>
      <c r="AQ45" s="64"/>
      <c r="AR45" s="3"/>
      <c r="AS45" s="62"/>
      <c r="AT45" s="3"/>
      <c r="AU45" s="64"/>
      <c r="AW45" s="34">
        <f t="shared" si="48"/>
        <v>1</v>
      </c>
      <c r="AX45" s="65">
        <f t="shared" si="49"/>
        <v>25.8</v>
      </c>
      <c r="AY45" s="66"/>
      <c r="AZ45" s="31">
        <f t="shared" si="50"/>
        <v>0</v>
      </c>
      <c r="BA45" s="67">
        <f t="shared" si="51"/>
        <v>0</v>
      </c>
      <c r="BB45" s="66"/>
      <c r="BC45" s="31">
        <f t="shared" si="52"/>
        <v>0</v>
      </c>
      <c r="BD45" s="65">
        <f t="shared" si="53"/>
        <v>0</v>
      </c>
      <c r="BE45" s="66"/>
      <c r="BF45" s="31">
        <f t="shared" si="54"/>
        <v>0</v>
      </c>
      <c r="BG45" s="67">
        <f t="shared" si="55"/>
        <v>0</v>
      </c>
      <c r="BH45" s="66"/>
      <c r="BI45" s="31">
        <f t="shared" si="56"/>
        <v>0</v>
      </c>
      <c r="BJ45" s="65">
        <f t="shared" si="57"/>
        <v>0</v>
      </c>
      <c r="BK45" s="66"/>
      <c r="BL45" s="31">
        <f t="shared" si="58"/>
        <v>1</v>
      </c>
      <c r="BM45" s="67">
        <f t="shared" si="59"/>
        <v>25.8</v>
      </c>
      <c r="BN45" s="66"/>
      <c r="BO45" s="31">
        <f t="shared" si="60"/>
        <v>0</v>
      </c>
      <c r="BP45" s="65">
        <f t="shared" si="61"/>
        <v>0</v>
      </c>
      <c r="BQ45" s="66"/>
      <c r="BR45" s="31">
        <f t="shared" si="62"/>
        <v>0</v>
      </c>
      <c r="BS45" s="67">
        <f t="shared" si="63"/>
        <v>0</v>
      </c>
      <c r="BT45" s="66"/>
      <c r="BU45" s="31">
        <f t="shared" si="64"/>
        <v>0</v>
      </c>
      <c r="BV45" s="65">
        <f t="shared" si="65"/>
        <v>0</v>
      </c>
      <c r="BW45" s="66"/>
      <c r="BX45" s="31">
        <f t="shared" si="66"/>
        <v>0</v>
      </c>
      <c r="BY45" s="67">
        <f t="shared" si="67"/>
        <v>0</v>
      </c>
      <c r="BZ45" s="66"/>
      <c r="CA45" s="31">
        <f t="shared" si="68"/>
        <v>0</v>
      </c>
      <c r="CB45" s="65">
        <f t="shared" si="69"/>
        <v>0</v>
      </c>
      <c r="CC45" s="66"/>
      <c r="CD45" s="31">
        <f t="shared" si="70"/>
        <v>0</v>
      </c>
      <c r="CE45" s="67">
        <f t="shared" si="71"/>
        <v>0</v>
      </c>
      <c r="CF45" s="66"/>
      <c r="CG45" s="34">
        <f t="shared" si="72"/>
        <v>0</v>
      </c>
      <c r="CH45" s="67">
        <f t="shared" si="93"/>
        <v>0</v>
      </c>
      <c r="CI45" s="66"/>
      <c r="CJ45" s="34">
        <f t="shared" si="73"/>
        <v>0</v>
      </c>
      <c r="CK45" s="67">
        <f t="shared" si="74"/>
        <v>0</v>
      </c>
      <c r="CL45" s="66"/>
      <c r="CM45" s="34">
        <f t="shared" si="75"/>
        <v>0</v>
      </c>
      <c r="CN45" s="67">
        <f t="shared" si="76"/>
        <v>0</v>
      </c>
      <c r="CO45" s="66"/>
      <c r="CP45" s="34">
        <f t="shared" si="77"/>
        <v>0</v>
      </c>
      <c r="CQ45" s="67">
        <f t="shared" si="78"/>
        <v>0</v>
      </c>
      <c r="CR45" s="66"/>
      <c r="CS45" s="34">
        <f t="shared" si="79"/>
        <v>0</v>
      </c>
      <c r="CT45" s="65">
        <f t="shared" si="80"/>
        <v>0</v>
      </c>
      <c r="CU45" s="66"/>
      <c r="CV45" s="31">
        <f t="shared" si="81"/>
        <v>0</v>
      </c>
      <c r="CW45" s="67">
        <f t="shared" si="82"/>
        <v>0</v>
      </c>
      <c r="CX45" s="66"/>
      <c r="CY45" s="31">
        <f t="shared" si="83"/>
        <v>0</v>
      </c>
      <c r="CZ45" s="65">
        <f t="shared" si="84"/>
        <v>0</v>
      </c>
      <c r="DA45" s="66"/>
      <c r="DB45" s="31">
        <f t="shared" si="85"/>
        <v>0</v>
      </c>
      <c r="DC45" s="67">
        <f t="shared" si="86"/>
        <v>0</v>
      </c>
      <c r="DE45" s="76">
        <v>29</v>
      </c>
      <c r="DF45" s="42"/>
      <c r="DG45" s="69">
        <f t="shared" si="87"/>
        <v>0</v>
      </c>
      <c r="DH45" s="42"/>
      <c r="DI45" s="70">
        <f t="shared" si="88"/>
        <v>2</v>
      </c>
      <c r="DJ45" s="42"/>
      <c r="DK45" s="70">
        <f t="shared" si="89"/>
        <v>27</v>
      </c>
      <c r="DL45" s="42"/>
      <c r="DM45" s="71">
        <f t="shared" si="90"/>
        <v>580.5</v>
      </c>
      <c r="DN45" s="42"/>
      <c r="DO45" s="72">
        <f t="shared" si="91"/>
        <v>13.5</v>
      </c>
      <c r="DP45" s="42"/>
      <c r="DQ45" s="71">
        <f t="shared" si="92"/>
        <v>696.6</v>
      </c>
      <c r="DR45" s="42"/>
      <c r="DS45" s="69"/>
      <c r="DT45" s="42"/>
      <c r="DU45" s="71">
        <v>0</v>
      </c>
      <c r="DV45" s="42"/>
      <c r="DW45" s="73">
        <f t="shared" si="94"/>
        <v>0</v>
      </c>
      <c r="DX45" s="42"/>
      <c r="DY45" s="71">
        <f t="shared" si="95"/>
        <v>0</v>
      </c>
    </row>
    <row r="46" ht="12.45" customHeight="1" spans="1:129" x14ac:dyDescent="0.25">
      <c r="A46" s="77" t="s">
        <v>91</v>
      </c>
      <c r="B46" s="42"/>
      <c r="C46" s="75"/>
      <c r="D46" s="44"/>
      <c r="E46" s="78">
        <v>21.5</v>
      </c>
      <c r="F46" s="44"/>
      <c r="G46" s="61">
        <v>25.8</v>
      </c>
      <c r="I46" s="62">
        <v>1</v>
      </c>
      <c r="J46" s="63"/>
      <c r="K46" s="64"/>
      <c r="L46" s="3"/>
      <c r="M46" s="62"/>
      <c r="N46" s="3"/>
      <c r="O46" s="64"/>
      <c r="P46" s="3"/>
      <c r="Q46" s="62"/>
      <c r="R46" s="3"/>
      <c r="S46" s="64">
        <v>1</v>
      </c>
      <c r="T46" s="3"/>
      <c r="U46" s="62"/>
      <c r="V46" s="3"/>
      <c r="W46" s="64">
        <v>1</v>
      </c>
      <c r="X46" s="3"/>
      <c r="Y46" s="62"/>
      <c r="Z46" s="3"/>
      <c r="AA46" s="64"/>
      <c r="AB46" s="3"/>
      <c r="AC46" s="62"/>
      <c r="AD46" s="3"/>
      <c r="AE46" s="64"/>
      <c r="AF46" s="3"/>
      <c r="AG46" s="62"/>
      <c r="AH46" s="3"/>
      <c r="AI46" s="64"/>
      <c r="AJ46" s="3"/>
      <c r="AK46" s="62"/>
      <c r="AL46" s="3"/>
      <c r="AM46" s="64"/>
      <c r="AN46" s="3"/>
      <c r="AO46" s="62"/>
      <c r="AP46" s="3"/>
      <c r="AQ46" s="64"/>
      <c r="AR46" s="3"/>
      <c r="AS46" s="62"/>
      <c r="AT46" s="3"/>
      <c r="AU46" s="64"/>
      <c r="AW46" s="34">
        <f t="shared" si="48"/>
        <v>1</v>
      </c>
      <c r="AX46" s="65">
        <f t="shared" si="49"/>
        <v>25.8</v>
      </c>
      <c r="AY46" s="66"/>
      <c r="AZ46" s="31">
        <f t="shared" si="50"/>
        <v>0</v>
      </c>
      <c r="BA46" s="67">
        <f t="shared" si="51"/>
        <v>0</v>
      </c>
      <c r="BB46" s="66"/>
      <c r="BC46" s="31">
        <f t="shared" si="52"/>
        <v>0</v>
      </c>
      <c r="BD46" s="65">
        <f t="shared" si="53"/>
        <v>0</v>
      </c>
      <c r="BE46" s="66"/>
      <c r="BF46" s="31">
        <f t="shared" si="54"/>
        <v>0</v>
      </c>
      <c r="BG46" s="67">
        <f t="shared" si="55"/>
        <v>0</v>
      </c>
      <c r="BH46" s="66"/>
      <c r="BI46" s="31">
        <f t="shared" si="56"/>
        <v>0</v>
      </c>
      <c r="BJ46" s="65">
        <f t="shared" si="57"/>
        <v>0</v>
      </c>
      <c r="BK46" s="66"/>
      <c r="BL46" s="31">
        <f t="shared" si="58"/>
        <v>1</v>
      </c>
      <c r="BM46" s="67">
        <f t="shared" si="59"/>
        <v>25.8</v>
      </c>
      <c r="BN46" s="66"/>
      <c r="BO46" s="31">
        <f t="shared" si="60"/>
        <v>0</v>
      </c>
      <c r="BP46" s="65">
        <f t="shared" si="61"/>
        <v>0</v>
      </c>
      <c r="BQ46" s="66"/>
      <c r="BR46" s="31">
        <f t="shared" si="62"/>
        <v>1</v>
      </c>
      <c r="BS46" s="67">
        <f t="shared" si="63"/>
        <v>25.8</v>
      </c>
      <c r="BT46" s="66"/>
      <c r="BU46" s="31">
        <f t="shared" si="64"/>
        <v>0</v>
      </c>
      <c r="BV46" s="65">
        <f t="shared" si="65"/>
        <v>0</v>
      </c>
      <c r="BW46" s="66"/>
      <c r="BX46" s="31">
        <f t="shared" si="66"/>
        <v>0</v>
      </c>
      <c r="BY46" s="67">
        <f t="shared" si="67"/>
        <v>0</v>
      </c>
      <c r="BZ46" s="66"/>
      <c r="CA46" s="31">
        <f t="shared" si="68"/>
        <v>0</v>
      </c>
      <c r="CB46" s="65">
        <f t="shared" si="69"/>
        <v>0</v>
      </c>
      <c r="CC46" s="66"/>
      <c r="CD46" s="31">
        <f t="shared" si="70"/>
        <v>0</v>
      </c>
      <c r="CE46" s="67">
        <f t="shared" si="71"/>
        <v>0</v>
      </c>
      <c r="CF46" s="66"/>
      <c r="CG46" s="34">
        <f t="shared" si="72"/>
        <v>0</v>
      </c>
      <c r="CH46" s="67">
        <f t="shared" si="93"/>
        <v>0</v>
      </c>
      <c r="CI46" s="66"/>
      <c r="CJ46" s="34">
        <f t="shared" si="73"/>
        <v>0</v>
      </c>
      <c r="CK46" s="67">
        <f t="shared" si="74"/>
        <v>0</v>
      </c>
      <c r="CL46" s="66"/>
      <c r="CM46" s="34">
        <f t="shared" si="75"/>
        <v>0</v>
      </c>
      <c r="CN46" s="67">
        <f t="shared" si="76"/>
        <v>0</v>
      </c>
      <c r="CO46" s="66"/>
      <c r="CP46" s="34">
        <f t="shared" si="77"/>
        <v>0</v>
      </c>
      <c r="CQ46" s="67">
        <f t="shared" si="78"/>
        <v>0</v>
      </c>
      <c r="CR46" s="66"/>
      <c r="CS46" s="34">
        <f t="shared" si="79"/>
        <v>0</v>
      </c>
      <c r="CT46" s="65">
        <f t="shared" si="80"/>
        <v>0</v>
      </c>
      <c r="CU46" s="66"/>
      <c r="CV46" s="31">
        <f t="shared" si="81"/>
        <v>0</v>
      </c>
      <c r="CW46" s="67">
        <f t="shared" si="82"/>
        <v>0</v>
      </c>
      <c r="CX46" s="66"/>
      <c r="CY46" s="31">
        <f t="shared" si="83"/>
        <v>0</v>
      </c>
      <c r="CZ46" s="65">
        <f t="shared" si="84"/>
        <v>0</v>
      </c>
      <c r="DA46" s="66"/>
      <c r="DB46" s="31">
        <f t="shared" si="85"/>
        <v>0</v>
      </c>
      <c r="DC46" s="67">
        <f t="shared" si="86"/>
        <v>0</v>
      </c>
      <c r="DE46" s="76">
        <v>86</v>
      </c>
      <c r="DF46" s="42"/>
      <c r="DG46" s="69">
        <f t="shared" si="87"/>
        <v>0</v>
      </c>
      <c r="DH46" s="42"/>
      <c r="DI46" s="70">
        <f t="shared" si="88"/>
        <v>3</v>
      </c>
      <c r="DJ46" s="42"/>
      <c r="DK46" s="70">
        <f t="shared" si="89"/>
        <v>83</v>
      </c>
      <c r="DL46" s="42"/>
      <c r="DM46" s="71">
        <f t="shared" si="90"/>
        <v>1784.5</v>
      </c>
      <c r="DN46" s="42"/>
      <c r="DO46" s="72">
        <f t="shared" si="91"/>
        <v>27.666666666666668</v>
      </c>
      <c r="DP46" s="42"/>
      <c r="DQ46" s="71">
        <f t="shared" si="92"/>
        <v>2141.4</v>
      </c>
      <c r="DR46" s="42"/>
      <c r="DS46" s="69"/>
      <c r="DT46" s="42"/>
      <c r="DU46" s="71">
        <v>0</v>
      </c>
      <c r="DV46" s="42"/>
      <c r="DW46" s="73">
        <f t="shared" si="94"/>
        <v>0</v>
      </c>
      <c r="DX46" s="42"/>
      <c r="DY46" s="71">
        <f t="shared" si="95"/>
        <v>0</v>
      </c>
    </row>
    <row r="47" ht="12.45" customHeight="1" spans="1:129" x14ac:dyDescent="0.25">
      <c r="A47" s="74" t="s">
        <v>92</v>
      </c>
      <c r="B47" s="42"/>
      <c r="C47" s="75"/>
      <c r="D47" s="44"/>
      <c r="E47" s="78">
        <v>21.5</v>
      </c>
      <c r="F47" s="44"/>
      <c r="G47" s="61">
        <v>25.8</v>
      </c>
      <c r="I47" s="62">
        <v>1</v>
      </c>
      <c r="J47" s="63"/>
      <c r="K47" s="64">
        <v>1</v>
      </c>
      <c r="L47" s="3"/>
      <c r="M47" s="62">
        <v>1</v>
      </c>
      <c r="N47" s="3"/>
      <c r="O47" s="64"/>
      <c r="P47" s="3"/>
      <c r="Q47" s="62"/>
      <c r="R47" s="3"/>
      <c r="S47" s="64"/>
      <c r="T47" s="3"/>
      <c r="U47" s="62">
        <v>1</v>
      </c>
      <c r="V47" s="3"/>
      <c r="W47" s="64"/>
      <c r="X47" s="3"/>
      <c r="Y47" s="62"/>
      <c r="Z47" s="3"/>
      <c r="AA47" s="64"/>
      <c r="AB47" s="3"/>
      <c r="AC47" s="62">
        <v>1</v>
      </c>
      <c r="AD47" s="3"/>
      <c r="AE47" s="64"/>
      <c r="AF47" s="3"/>
      <c r="AG47" s="62"/>
      <c r="AH47" s="3"/>
      <c r="AI47" s="64"/>
      <c r="AJ47" s="3"/>
      <c r="AK47" s="62"/>
      <c r="AL47" s="3"/>
      <c r="AM47" s="64"/>
      <c r="AN47" s="3"/>
      <c r="AO47" s="62"/>
      <c r="AP47" s="3"/>
      <c r="AQ47" s="64"/>
      <c r="AR47" s="3"/>
      <c r="AS47" s="62"/>
      <c r="AT47" s="3"/>
      <c r="AU47" s="64"/>
      <c r="AW47" s="34">
        <f t="shared" si="48"/>
        <v>1</v>
      </c>
      <c r="AX47" s="65">
        <f t="shared" si="49"/>
        <v>25.8</v>
      </c>
      <c r="AY47" s="66"/>
      <c r="AZ47" s="31">
        <f t="shared" si="50"/>
        <v>1</v>
      </c>
      <c r="BA47" s="67">
        <f t="shared" si="51"/>
        <v>25.8</v>
      </c>
      <c r="BB47" s="66"/>
      <c r="BC47" s="31">
        <f t="shared" si="52"/>
        <v>1</v>
      </c>
      <c r="BD47" s="65">
        <f t="shared" si="53"/>
        <v>25.8</v>
      </c>
      <c r="BE47" s="66"/>
      <c r="BF47" s="31">
        <f t="shared" si="54"/>
        <v>0</v>
      </c>
      <c r="BG47" s="67">
        <f t="shared" si="55"/>
        <v>0</v>
      </c>
      <c r="BH47" s="66"/>
      <c r="BI47" s="31">
        <f t="shared" si="56"/>
        <v>0</v>
      </c>
      <c r="BJ47" s="65">
        <f t="shared" si="57"/>
        <v>0</v>
      </c>
      <c r="BK47" s="66"/>
      <c r="BL47" s="31">
        <f t="shared" si="58"/>
        <v>0</v>
      </c>
      <c r="BM47" s="67">
        <f t="shared" si="59"/>
        <v>0</v>
      </c>
      <c r="BN47" s="66"/>
      <c r="BO47" s="31">
        <f t="shared" si="60"/>
        <v>1</v>
      </c>
      <c r="BP47" s="65">
        <f t="shared" si="61"/>
        <v>25.8</v>
      </c>
      <c r="BQ47" s="66"/>
      <c r="BR47" s="31">
        <f t="shared" si="62"/>
        <v>0</v>
      </c>
      <c r="BS47" s="67">
        <f t="shared" si="63"/>
        <v>0</v>
      </c>
      <c r="BT47" s="66"/>
      <c r="BU47" s="31">
        <f t="shared" si="64"/>
        <v>0</v>
      </c>
      <c r="BV47" s="65">
        <f t="shared" si="65"/>
        <v>0</v>
      </c>
      <c r="BW47" s="66"/>
      <c r="BX47" s="31">
        <f t="shared" si="66"/>
        <v>0</v>
      </c>
      <c r="BY47" s="67">
        <f t="shared" si="67"/>
        <v>0</v>
      </c>
      <c r="BZ47" s="66"/>
      <c r="CA47" s="31">
        <f t="shared" si="68"/>
        <v>1</v>
      </c>
      <c r="CB47" s="65">
        <f t="shared" si="69"/>
        <v>25.8</v>
      </c>
      <c r="CC47" s="66"/>
      <c r="CD47" s="31">
        <f t="shared" si="70"/>
        <v>0</v>
      </c>
      <c r="CE47" s="67">
        <f t="shared" si="71"/>
        <v>0</v>
      </c>
      <c r="CF47" s="66"/>
      <c r="CG47" s="34">
        <f t="shared" si="72"/>
        <v>0</v>
      </c>
      <c r="CH47" s="67">
        <f t="shared" si="93"/>
        <v>0</v>
      </c>
      <c r="CI47" s="66"/>
      <c r="CJ47" s="34">
        <f t="shared" si="73"/>
        <v>0</v>
      </c>
      <c r="CK47" s="67">
        <f t="shared" si="74"/>
        <v>0</v>
      </c>
      <c r="CL47" s="66"/>
      <c r="CM47" s="34">
        <f t="shared" si="75"/>
        <v>0</v>
      </c>
      <c r="CN47" s="67">
        <f t="shared" si="76"/>
        <v>0</v>
      </c>
      <c r="CO47" s="66"/>
      <c r="CP47" s="34">
        <f t="shared" si="77"/>
        <v>0</v>
      </c>
      <c r="CQ47" s="67">
        <f t="shared" si="78"/>
        <v>0</v>
      </c>
      <c r="CR47" s="66"/>
      <c r="CS47" s="34">
        <f t="shared" si="79"/>
        <v>0</v>
      </c>
      <c r="CT47" s="65">
        <f t="shared" si="80"/>
        <v>0</v>
      </c>
      <c r="CU47" s="66"/>
      <c r="CV47" s="31">
        <f t="shared" si="81"/>
        <v>0</v>
      </c>
      <c r="CW47" s="67">
        <f t="shared" si="82"/>
        <v>0</v>
      </c>
      <c r="CX47" s="66"/>
      <c r="CY47" s="31">
        <f t="shared" si="83"/>
        <v>0</v>
      </c>
      <c r="CZ47" s="65">
        <f t="shared" si="84"/>
        <v>0</v>
      </c>
      <c r="DA47" s="66"/>
      <c r="DB47" s="31">
        <f t="shared" si="85"/>
        <v>0</v>
      </c>
      <c r="DC47" s="67">
        <f t="shared" si="86"/>
        <v>0</v>
      </c>
      <c r="DE47" s="76">
        <v>30</v>
      </c>
      <c r="DF47" s="42"/>
      <c r="DG47" s="69">
        <f t="shared" si="87"/>
        <v>0</v>
      </c>
      <c r="DH47" s="42"/>
      <c r="DI47" s="70">
        <f t="shared" si="88"/>
        <v>5</v>
      </c>
      <c r="DJ47" s="42"/>
      <c r="DK47" s="70">
        <f t="shared" si="89"/>
        <v>25</v>
      </c>
      <c r="DL47" s="42"/>
      <c r="DM47" s="71">
        <f t="shared" si="90"/>
        <v>537.5</v>
      </c>
      <c r="DN47" s="42"/>
      <c r="DO47" s="72">
        <f t="shared" si="91"/>
        <v>5</v>
      </c>
      <c r="DP47" s="42"/>
      <c r="DQ47" s="71">
        <f t="shared" si="92"/>
        <v>645</v>
      </c>
      <c r="DR47" s="42"/>
      <c r="DS47" s="69"/>
      <c r="DT47" s="42"/>
      <c r="DU47" s="71">
        <v>0</v>
      </c>
      <c r="DV47" s="42"/>
      <c r="DW47" s="73">
        <f t="shared" si="94"/>
        <v>0</v>
      </c>
      <c r="DX47" s="42"/>
      <c r="DY47" s="71">
        <f t="shared" si="95"/>
        <v>0</v>
      </c>
    </row>
    <row r="48" ht="12.45" customHeight="1" spans="1:129" x14ac:dyDescent="0.25">
      <c r="A48" s="80" t="s">
        <v>93</v>
      </c>
      <c r="B48" s="42"/>
      <c r="C48" s="81"/>
      <c r="D48" s="44"/>
      <c r="E48" s="82">
        <v>29.07</v>
      </c>
      <c r="F48" s="44"/>
      <c r="G48" s="83">
        <v>34.88</v>
      </c>
      <c r="I48" s="62"/>
      <c r="J48" s="63"/>
      <c r="K48" s="64"/>
      <c r="L48" s="3"/>
      <c r="M48" s="62"/>
      <c r="N48" s="3"/>
      <c r="O48" s="64"/>
      <c r="P48" s="3"/>
      <c r="Q48" s="62"/>
      <c r="R48" s="3"/>
      <c r="S48" s="64"/>
      <c r="T48" s="3"/>
      <c r="U48" s="62"/>
      <c r="V48" s="3"/>
      <c r="W48" s="64"/>
      <c r="X48" s="3"/>
      <c r="Y48" s="62"/>
      <c r="Z48" s="3"/>
      <c r="AA48" s="64"/>
      <c r="AB48" s="3"/>
      <c r="AC48" s="62"/>
      <c r="AD48" s="3"/>
      <c r="AE48" s="64"/>
      <c r="AF48" s="3"/>
      <c r="AG48" s="62"/>
      <c r="AH48" s="3"/>
      <c r="AI48" s="64"/>
      <c r="AJ48" s="3"/>
      <c r="AK48" s="62"/>
      <c r="AL48" s="3"/>
      <c r="AM48" s="64"/>
      <c r="AN48" s="3"/>
      <c r="AO48" s="62">
        <v>6</v>
      </c>
      <c r="AP48" s="3"/>
      <c r="AQ48" s="64">
        <v>4</v>
      </c>
      <c r="AR48" s="3"/>
      <c r="AS48" s="62"/>
      <c r="AT48" s="3"/>
      <c r="AU48" s="64">
        <v>4</v>
      </c>
      <c r="AW48" s="34">
        <f t="shared" si="48"/>
        <v>0</v>
      </c>
      <c r="AX48" s="65">
        <f t="shared" si="49"/>
        <v>0</v>
      </c>
      <c r="AY48" s="66"/>
      <c r="AZ48" s="31">
        <f t="shared" si="50"/>
        <v>0</v>
      </c>
      <c r="BA48" s="67">
        <f t="shared" si="51"/>
        <v>0</v>
      </c>
      <c r="BB48" s="66"/>
      <c r="BC48" s="31">
        <f t="shared" si="52"/>
        <v>0</v>
      </c>
      <c r="BD48" s="65">
        <f t="shared" si="53"/>
        <v>0</v>
      </c>
      <c r="BE48" s="66"/>
      <c r="BF48" s="31">
        <f t="shared" si="54"/>
        <v>0</v>
      </c>
      <c r="BG48" s="67">
        <f t="shared" si="55"/>
        <v>0</v>
      </c>
      <c r="BH48" s="66"/>
      <c r="BI48" s="31">
        <f t="shared" si="56"/>
        <v>0</v>
      </c>
      <c r="BJ48" s="65">
        <f t="shared" si="57"/>
        <v>0</v>
      </c>
      <c r="BK48" s="66"/>
      <c r="BL48" s="31">
        <f t="shared" si="58"/>
        <v>0</v>
      </c>
      <c r="BM48" s="67">
        <f t="shared" si="59"/>
        <v>0</v>
      </c>
      <c r="BN48" s="66"/>
      <c r="BO48" s="31">
        <f t="shared" si="60"/>
        <v>0</v>
      </c>
      <c r="BP48" s="65">
        <f t="shared" si="61"/>
        <v>0</v>
      </c>
      <c r="BQ48" s="66"/>
      <c r="BR48" s="31">
        <f t="shared" si="62"/>
        <v>0</v>
      </c>
      <c r="BS48" s="67">
        <f t="shared" si="63"/>
        <v>0</v>
      </c>
      <c r="BT48" s="66"/>
      <c r="BU48" s="31">
        <f t="shared" si="64"/>
        <v>0</v>
      </c>
      <c r="BV48" s="65">
        <f t="shared" si="65"/>
        <v>0</v>
      </c>
      <c r="BW48" s="66"/>
      <c r="BX48" s="31">
        <f t="shared" si="66"/>
        <v>0</v>
      </c>
      <c r="BY48" s="67">
        <f t="shared" si="67"/>
        <v>0</v>
      </c>
      <c r="BZ48" s="66"/>
      <c r="CA48" s="31">
        <f t="shared" si="68"/>
        <v>0</v>
      </c>
      <c r="CB48" s="65">
        <f t="shared" si="69"/>
        <v>0</v>
      </c>
      <c r="CC48" s="66"/>
      <c r="CD48" s="31">
        <f t="shared" si="70"/>
        <v>0</v>
      </c>
      <c r="CE48" s="67">
        <f t="shared" si="71"/>
        <v>0</v>
      </c>
      <c r="CF48" s="66"/>
      <c r="CG48" s="34">
        <f t="shared" si="72"/>
        <v>0</v>
      </c>
      <c r="CH48" s="67">
        <f t="shared" si="93"/>
        <v>0</v>
      </c>
      <c r="CI48" s="66"/>
      <c r="CJ48" s="34">
        <f t="shared" si="73"/>
        <v>0</v>
      </c>
      <c r="CK48" s="67">
        <f t="shared" si="74"/>
        <v>0</v>
      </c>
      <c r="CL48" s="66"/>
      <c r="CM48" s="34">
        <f t="shared" si="75"/>
        <v>0</v>
      </c>
      <c r="CN48" s="67">
        <f t="shared" si="76"/>
        <v>0</v>
      </c>
      <c r="CO48" s="66"/>
      <c r="CP48" s="34">
        <f t="shared" si="77"/>
        <v>0</v>
      </c>
      <c r="CQ48" s="67">
        <f t="shared" si="78"/>
        <v>0</v>
      </c>
      <c r="CR48" s="66"/>
      <c r="CS48" s="34">
        <f t="shared" si="79"/>
        <v>6</v>
      </c>
      <c r="CT48" s="65">
        <f t="shared" si="80"/>
        <v>209.28000000000003</v>
      </c>
      <c r="CU48" s="66"/>
      <c r="CV48" s="31">
        <f t="shared" si="81"/>
        <v>4</v>
      </c>
      <c r="CW48" s="67">
        <f t="shared" si="82"/>
        <v>139.52</v>
      </c>
      <c r="CX48" s="66"/>
      <c r="CY48" s="31">
        <f t="shared" si="83"/>
        <v>0</v>
      </c>
      <c r="CZ48" s="65">
        <f t="shared" si="84"/>
        <v>0</v>
      </c>
      <c r="DA48" s="66"/>
      <c r="DB48" s="31">
        <f t="shared" si="85"/>
        <v>4</v>
      </c>
      <c r="DC48" s="67">
        <f t="shared" si="86"/>
        <v>139.52</v>
      </c>
      <c r="DE48" s="76">
        <v>543</v>
      </c>
      <c r="DF48" s="42"/>
      <c r="DG48" s="69">
        <f t="shared" si="87"/>
        <v>0</v>
      </c>
      <c r="DH48" s="42"/>
      <c r="DI48" s="70">
        <f t="shared" si="88"/>
        <v>14</v>
      </c>
      <c r="DJ48" s="42"/>
      <c r="DK48" s="70">
        <f t="shared" si="89"/>
        <v>529</v>
      </c>
      <c r="DL48" s="42"/>
      <c r="DM48" s="71">
        <f t="shared" si="90"/>
        <v>15378.03</v>
      </c>
      <c r="DN48" s="42"/>
      <c r="DO48" s="72">
        <f t="shared" si="91"/>
        <v>37.785714285714285</v>
      </c>
      <c r="DP48" s="42"/>
      <c r="DQ48" s="71">
        <f t="shared" si="92"/>
        <v>18451.52</v>
      </c>
      <c r="DR48" s="42"/>
      <c r="DS48" s="69"/>
      <c r="DT48" s="42"/>
      <c r="DU48" s="71">
        <v>0</v>
      </c>
      <c r="DV48" s="42"/>
      <c r="DW48" s="73">
        <f t="shared" si="94"/>
        <v>0</v>
      </c>
      <c r="DX48" s="42"/>
      <c r="DY48" s="71">
        <f t="shared" si="95"/>
        <v>0</v>
      </c>
    </row>
    <row r="49" ht="12.45" customHeight="1" spans="1:129" x14ac:dyDescent="0.25">
      <c r="A49" s="84" t="s">
        <v>94</v>
      </c>
      <c r="B49" s="42"/>
      <c r="C49" s="81"/>
      <c r="D49" s="44"/>
      <c r="E49" s="82">
        <v>29.07</v>
      </c>
      <c r="F49" s="44"/>
      <c r="G49" s="83">
        <v>34.88</v>
      </c>
      <c r="I49" s="62"/>
      <c r="J49" s="63"/>
      <c r="K49" s="64"/>
      <c r="L49" s="3"/>
      <c r="M49" s="62"/>
      <c r="N49" s="3"/>
      <c r="O49" s="64"/>
      <c r="P49" s="3"/>
      <c r="Q49" s="62"/>
      <c r="R49" s="3"/>
      <c r="S49" s="64"/>
      <c r="T49" s="3"/>
      <c r="U49" s="62"/>
      <c r="V49" s="3"/>
      <c r="W49" s="64"/>
      <c r="X49" s="3"/>
      <c r="Y49" s="62"/>
      <c r="Z49" s="3"/>
      <c r="AA49" s="64"/>
      <c r="AB49" s="3"/>
      <c r="AC49" s="62"/>
      <c r="AD49" s="3"/>
      <c r="AE49" s="64"/>
      <c r="AF49" s="3"/>
      <c r="AG49" s="62"/>
      <c r="AH49" s="3"/>
      <c r="AI49" s="64"/>
      <c r="AJ49" s="3"/>
      <c r="AK49" s="62"/>
      <c r="AL49" s="3"/>
      <c r="AM49" s="64"/>
      <c r="AN49" s="3"/>
      <c r="AO49" s="62"/>
      <c r="AP49" s="3"/>
      <c r="AQ49" s="64"/>
      <c r="AR49" s="3"/>
      <c r="AS49" s="62"/>
      <c r="AT49" s="3"/>
      <c r="AU49" s="64">
        <v>2</v>
      </c>
      <c r="AW49" s="34">
        <f t="shared" si="48"/>
        <v>0</v>
      </c>
      <c r="AX49" s="65">
        <f t="shared" si="49"/>
        <v>0</v>
      </c>
      <c r="AY49" s="66"/>
      <c r="AZ49" s="31">
        <f t="shared" si="50"/>
        <v>0</v>
      </c>
      <c r="BA49" s="67">
        <f t="shared" si="51"/>
        <v>0</v>
      </c>
      <c r="BB49" s="66"/>
      <c r="BC49" s="31">
        <f t="shared" si="52"/>
        <v>0</v>
      </c>
      <c r="BD49" s="65">
        <f t="shared" si="53"/>
        <v>0</v>
      </c>
      <c r="BE49" s="66"/>
      <c r="BF49" s="31">
        <f t="shared" si="54"/>
        <v>0</v>
      </c>
      <c r="BG49" s="67">
        <f t="shared" si="55"/>
        <v>0</v>
      </c>
      <c r="BH49" s="66"/>
      <c r="BI49" s="31">
        <f t="shared" si="56"/>
        <v>0</v>
      </c>
      <c r="BJ49" s="65">
        <f t="shared" si="57"/>
        <v>0</v>
      </c>
      <c r="BK49" s="66"/>
      <c r="BL49" s="31">
        <f t="shared" si="58"/>
        <v>0</v>
      </c>
      <c r="BM49" s="67">
        <f t="shared" si="59"/>
        <v>0</v>
      </c>
      <c r="BN49" s="66"/>
      <c r="BO49" s="31">
        <f t="shared" si="60"/>
        <v>0</v>
      </c>
      <c r="BP49" s="65">
        <f t="shared" si="61"/>
        <v>0</v>
      </c>
      <c r="BQ49" s="66"/>
      <c r="BR49" s="31">
        <f t="shared" si="62"/>
        <v>0</v>
      </c>
      <c r="BS49" s="67">
        <f t="shared" si="63"/>
        <v>0</v>
      </c>
      <c r="BT49" s="66"/>
      <c r="BU49" s="31">
        <f t="shared" si="64"/>
        <v>0</v>
      </c>
      <c r="BV49" s="65">
        <f t="shared" si="65"/>
        <v>0</v>
      </c>
      <c r="BW49" s="66"/>
      <c r="BX49" s="31">
        <f t="shared" si="66"/>
        <v>0</v>
      </c>
      <c r="BY49" s="67">
        <f t="shared" si="67"/>
        <v>0</v>
      </c>
      <c r="BZ49" s="66"/>
      <c r="CA49" s="31">
        <f t="shared" si="68"/>
        <v>0</v>
      </c>
      <c r="CB49" s="65">
        <f t="shared" si="69"/>
        <v>0</v>
      </c>
      <c r="CC49" s="66"/>
      <c r="CD49" s="31">
        <f t="shared" si="70"/>
        <v>0</v>
      </c>
      <c r="CE49" s="67">
        <f t="shared" si="71"/>
        <v>0</v>
      </c>
      <c r="CF49" s="66"/>
      <c r="CG49" s="34">
        <f t="shared" si="72"/>
        <v>0</v>
      </c>
      <c r="CH49" s="67">
        <f t="shared" si="93"/>
        <v>0</v>
      </c>
      <c r="CI49" s="66"/>
      <c r="CJ49" s="34">
        <f t="shared" si="73"/>
        <v>0</v>
      </c>
      <c r="CK49" s="67">
        <f t="shared" si="74"/>
        <v>0</v>
      </c>
      <c r="CL49" s="66"/>
      <c r="CM49" s="34">
        <f t="shared" si="75"/>
        <v>0</v>
      </c>
      <c r="CN49" s="67">
        <f t="shared" si="76"/>
        <v>0</v>
      </c>
      <c r="CO49" s="66"/>
      <c r="CP49" s="34">
        <f t="shared" si="77"/>
        <v>0</v>
      </c>
      <c r="CQ49" s="67">
        <f t="shared" si="78"/>
        <v>0</v>
      </c>
      <c r="CR49" s="66"/>
      <c r="CS49" s="34">
        <f t="shared" si="79"/>
        <v>0</v>
      </c>
      <c r="CT49" s="65">
        <f t="shared" si="80"/>
        <v>0</v>
      </c>
      <c r="CU49" s="66"/>
      <c r="CV49" s="31">
        <f t="shared" si="81"/>
        <v>0</v>
      </c>
      <c r="CW49" s="67">
        <f t="shared" si="82"/>
        <v>0</v>
      </c>
      <c r="CX49" s="66"/>
      <c r="CY49" s="31">
        <f t="shared" si="83"/>
        <v>0</v>
      </c>
      <c r="CZ49" s="65">
        <f t="shared" si="84"/>
        <v>0</v>
      </c>
      <c r="DA49" s="66"/>
      <c r="DB49" s="31">
        <f t="shared" si="85"/>
        <v>2</v>
      </c>
      <c r="DC49" s="67">
        <f t="shared" si="86"/>
        <v>69.76</v>
      </c>
      <c r="DE49" s="76">
        <v>61</v>
      </c>
      <c r="DF49" s="42"/>
      <c r="DG49" s="69">
        <f t="shared" si="87"/>
        <v>0</v>
      </c>
      <c r="DH49" s="42"/>
      <c r="DI49" s="70">
        <f t="shared" si="88"/>
        <v>2</v>
      </c>
      <c r="DJ49" s="42"/>
      <c r="DK49" s="70">
        <f t="shared" si="89"/>
        <v>59</v>
      </c>
      <c r="DL49" s="42"/>
      <c r="DM49" s="71">
        <f t="shared" si="90"/>
        <v>1715.13</v>
      </c>
      <c r="DN49" s="42"/>
      <c r="DO49" s="72">
        <f t="shared" si="91"/>
        <v>29.5</v>
      </c>
      <c r="DP49" s="42"/>
      <c r="DQ49" s="71">
        <f t="shared" si="92"/>
        <v>2057.92</v>
      </c>
      <c r="DR49" s="42"/>
      <c r="DS49" s="69"/>
      <c r="DT49" s="42"/>
      <c r="DU49" s="71">
        <v>0</v>
      </c>
      <c r="DV49" s="42"/>
      <c r="DW49" s="73">
        <f t="shared" si="94"/>
        <v>0</v>
      </c>
      <c r="DX49" s="42"/>
      <c r="DY49" s="71">
        <f t="shared" si="95"/>
        <v>0</v>
      </c>
    </row>
    <row r="50" ht="12.45" customHeight="1" spans="1:129" x14ac:dyDescent="0.25">
      <c r="A50" s="80" t="s">
        <v>95</v>
      </c>
      <c r="B50" s="42"/>
      <c r="C50" s="81"/>
      <c r="D50" s="44"/>
      <c r="E50" s="82">
        <v>23.55</v>
      </c>
      <c r="F50" s="44"/>
      <c r="G50" s="83">
        <v>28.26</v>
      </c>
      <c r="I50" s="62"/>
      <c r="J50" s="63"/>
      <c r="K50" s="64"/>
      <c r="L50" s="3"/>
      <c r="M50" s="62"/>
      <c r="N50" s="3"/>
      <c r="O50" s="64"/>
      <c r="P50" s="3"/>
      <c r="Q50" s="62"/>
      <c r="R50" s="3"/>
      <c r="S50" s="64"/>
      <c r="T50" s="3"/>
      <c r="U50" s="62"/>
      <c r="V50" s="3"/>
      <c r="W50" s="64"/>
      <c r="X50" s="3"/>
      <c r="Y50" s="62"/>
      <c r="Z50" s="3"/>
      <c r="AA50" s="64"/>
      <c r="AB50" s="3"/>
      <c r="AC50" s="62"/>
      <c r="AD50" s="3"/>
      <c r="AE50" s="64"/>
      <c r="AF50" s="3"/>
      <c r="AG50" s="62"/>
      <c r="AH50" s="3"/>
      <c r="AI50" s="64"/>
      <c r="AJ50" s="3"/>
      <c r="AK50" s="62"/>
      <c r="AL50" s="3"/>
      <c r="AM50" s="64"/>
      <c r="AN50" s="3"/>
      <c r="AO50" s="62">
        <v>2</v>
      </c>
      <c r="AP50" s="3"/>
      <c r="AQ50" s="64"/>
      <c r="AR50" s="3"/>
      <c r="AS50" s="62"/>
      <c r="AT50" s="3"/>
      <c r="AU50" s="64">
        <v>2</v>
      </c>
      <c r="AW50" s="34">
        <f t="shared" si="48"/>
        <v>0</v>
      </c>
      <c r="AX50" s="65">
        <f t="shared" si="49"/>
        <v>0</v>
      </c>
      <c r="AY50" s="66"/>
      <c r="AZ50" s="31">
        <f t="shared" si="50"/>
        <v>0</v>
      </c>
      <c r="BA50" s="67">
        <f t="shared" si="51"/>
        <v>0</v>
      </c>
      <c r="BB50" s="66"/>
      <c r="BC50" s="31">
        <f t="shared" si="52"/>
        <v>0</v>
      </c>
      <c r="BD50" s="65">
        <f t="shared" si="53"/>
        <v>0</v>
      </c>
      <c r="BE50" s="66"/>
      <c r="BF50" s="31">
        <f t="shared" si="54"/>
        <v>0</v>
      </c>
      <c r="BG50" s="67">
        <f t="shared" si="55"/>
        <v>0</v>
      </c>
      <c r="BH50" s="66"/>
      <c r="BI50" s="31">
        <f t="shared" si="56"/>
        <v>0</v>
      </c>
      <c r="BJ50" s="65">
        <f t="shared" si="57"/>
        <v>0</v>
      </c>
      <c r="BK50" s="66"/>
      <c r="BL50" s="31">
        <f t="shared" si="58"/>
        <v>0</v>
      </c>
      <c r="BM50" s="67">
        <f t="shared" si="59"/>
        <v>0</v>
      </c>
      <c r="BN50" s="66"/>
      <c r="BO50" s="31">
        <f t="shared" si="60"/>
        <v>0</v>
      </c>
      <c r="BP50" s="65">
        <f t="shared" si="61"/>
        <v>0</v>
      </c>
      <c r="BQ50" s="66"/>
      <c r="BR50" s="31">
        <f t="shared" si="62"/>
        <v>0</v>
      </c>
      <c r="BS50" s="67">
        <f t="shared" si="63"/>
        <v>0</v>
      </c>
      <c r="BT50" s="66"/>
      <c r="BU50" s="31">
        <f t="shared" si="64"/>
        <v>0</v>
      </c>
      <c r="BV50" s="65">
        <f t="shared" si="65"/>
        <v>0</v>
      </c>
      <c r="BW50" s="66"/>
      <c r="BX50" s="31">
        <f t="shared" si="66"/>
        <v>0</v>
      </c>
      <c r="BY50" s="67">
        <f t="shared" si="67"/>
        <v>0</v>
      </c>
      <c r="BZ50" s="66"/>
      <c r="CA50" s="31">
        <f t="shared" si="68"/>
        <v>0</v>
      </c>
      <c r="CB50" s="65">
        <f t="shared" si="69"/>
        <v>0</v>
      </c>
      <c r="CC50" s="66"/>
      <c r="CD50" s="31">
        <f t="shared" si="70"/>
        <v>0</v>
      </c>
      <c r="CE50" s="67">
        <f t="shared" si="71"/>
        <v>0</v>
      </c>
      <c r="CF50" s="66"/>
      <c r="CG50" s="34">
        <f t="shared" si="72"/>
        <v>0</v>
      </c>
      <c r="CH50" s="67">
        <f t="shared" si="93"/>
        <v>0</v>
      </c>
      <c r="CI50" s="66"/>
      <c r="CJ50" s="34">
        <f t="shared" si="73"/>
        <v>0</v>
      </c>
      <c r="CK50" s="67">
        <f t="shared" si="74"/>
        <v>0</v>
      </c>
      <c r="CL50" s="66"/>
      <c r="CM50" s="34">
        <f t="shared" si="75"/>
        <v>0</v>
      </c>
      <c r="CN50" s="67">
        <f t="shared" si="76"/>
        <v>0</v>
      </c>
      <c r="CO50" s="66"/>
      <c r="CP50" s="34">
        <f t="shared" si="77"/>
        <v>0</v>
      </c>
      <c r="CQ50" s="67">
        <f t="shared" si="78"/>
        <v>0</v>
      </c>
      <c r="CR50" s="66"/>
      <c r="CS50" s="34">
        <f t="shared" si="79"/>
        <v>2</v>
      </c>
      <c r="CT50" s="65">
        <f t="shared" si="80"/>
        <v>56.52</v>
      </c>
      <c r="CU50" s="66"/>
      <c r="CV50" s="31">
        <f t="shared" si="81"/>
        <v>0</v>
      </c>
      <c r="CW50" s="67">
        <f t="shared" si="82"/>
        <v>0</v>
      </c>
      <c r="CX50" s="66"/>
      <c r="CY50" s="31">
        <f t="shared" si="83"/>
        <v>0</v>
      </c>
      <c r="CZ50" s="65">
        <f t="shared" si="84"/>
        <v>0</v>
      </c>
      <c r="DA50" s="66"/>
      <c r="DB50" s="31">
        <f t="shared" si="85"/>
        <v>2</v>
      </c>
      <c r="DC50" s="67">
        <f t="shared" si="86"/>
        <v>56.52</v>
      </c>
      <c r="DE50" s="76">
        <v>170</v>
      </c>
      <c r="DF50" s="42"/>
      <c r="DG50" s="69">
        <f t="shared" si="87"/>
        <v>0</v>
      </c>
      <c r="DH50" s="42"/>
      <c r="DI50" s="70">
        <f t="shared" si="88"/>
        <v>4</v>
      </c>
      <c r="DJ50" s="42"/>
      <c r="DK50" s="70">
        <f t="shared" si="89"/>
        <v>166</v>
      </c>
      <c r="DL50" s="42"/>
      <c r="DM50" s="71">
        <f t="shared" si="90"/>
        <v>3909.3</v>
      </c>
      <c r="DN50" s="42"/>
      <c r="DO50" s="72">
        <f t="shared" si="91"/>
        <v>41.5</v>
      </c>
      <c r="DP50" s="42"/>
      <c r="DQ50" s="71">
        <f t="shared" si="92"/>
        <v>4691.16</v>
      </c>
      <c r="DR50" s="42"/>
      <c r="DS50" s="69"/>
      <c r="DT50" s="42"/>
      <c r="DU50" s="71">
        <v>0</v>
      </c>
      <c r="DV50" s="42"/>
      <c r="DW50" s="73">
        <f t="shared" si="94"/>
        <v>0</v>
      </c>
      <c r="DX50" s="42"/>
      <c r="DY50" s="71">
        <f t="shared" si="95"/>
        <v>0</v>
      </c>
    </row>
    <row r="51" ht="12.45" customHeight="1" spans="1:129" x14ac:dyDescent="0.25">
      <c r="A51" s="74" t="s">
        <v>96</v>
      </c>
      <c r="B51" s="42"/>
      <c r="C51" s="75"/>
      <c r="D51" s="44"/>
      <c r="E51" s="78">
        <v>27.55</v>
      </c>
      <c r="F51" s="44"/>
      <c r="G51" s="61">
        <v>33.06</v>
      </c>
      <c r="I51" s="62"/>
      <c r="J51" s="63"/>
      <c r="K51" s="64"/>
      <c r="L51" s="3"/>
      <c r="M51" s="62"/>
      <c r="N51" s="3"/>
      <c r="O51" s="64"/>
      <c r="P51" s="3"/>
      <c r="Q51" s="62"/>
      <c r="R51" s="3"/>
      <c r="S51" s="64"/>
      <c r="T51" s="3"/>
      <c r="U51" s="62"/>
      <c r="V51" s="3"/>
      <c r="W51" s="64"/>
      <c r="X51" s="3"/>
      <c r="Y51" s="62"/>
      <c r="Z51" s="3"/>
      <c r="AA51" s="64"/>
      <c r="AB51" s="3"/>
      <c r="AC51" s="62"/>
      <c r="AD51" s="3"/>
      <c r="AE51" s="64"/>
      <c r="AF51" s="3"/>
      <c r="AG51" s="62"/>
      <c r="AH51" s="3"/>
      <c r="AI51" s="64"/>
      <c r="AJ51" s="3"/>
      <c r="AK51" s="62"/>
      <c r="AL51" s="3"/>
      <c r="AM51" s="64"/>
      <c r="AN51" s="3"/>
      <c r="AO51" s="62"/>
      <c r="AP51" s="3"/>
      <c r="AQ51" s="64"/>
      <c r="AR51" s="3"/>
      <c r="AS51" s="62"/>
      <c r="AT51" s="3"/>
      <c r="AU51" s="64"/>
      <c r="AW51" s="34">
        <f t="shared" si="48"/>
        <v>0</v>
      </c>
      <c r="AX51" s="65">
        <f t="shared" si="49"/>
        <v>0</v>
      </c>
      <c r="AY51" s="66"/>
      <c r="AZ51" s="31">
        <f t="shared" si="50"/>
        <v>0</v>
      </c>
      <c r="BA51" s="67">
        <f t="shared" si="51"/>
        <v>0</v>
      </c>
      <c r="BB51" s="66"/>
      <c r="BC51" s="31">
        <f t="shared" si="52"/>
        <v>0</v>
      </c>
      <c r="BD51" s="65">
        <f t="shared" si="53"/>
        <v>0</v>
      </c>
      <c r="BE51" s="66"/>
      <c r="BF51" s="31">
        <f t="shared" si="54"/>
        <v>0</v>
      </c>
      <c r="BG51" s="67">
        <f t="shared" si="55"/>
        <v>0</v>
      </c>
      <c r="BH51" s="66"/>
      <c r="BI51" s="31">
        <f t="shared" si="56"/>
        <v>0</v>
      </c>
      <c r="BJ51" s="65">
        <f t="shared" si="57"/>
        <v>0</v>
      </c>
      <c r="BK51" s="66"/>
      <c r="BL51" s="31">
        <f t="shared" si="58"/>
        <v>0</v>
      </c>
      <c r="BM51" s="67">
        <f t="shared" si="59"/>
        <v>0</v>
      </c>
      <c r="BN51" s="66"/>
      <c r="BO51" s="31">
        <f t="shared" si="60"/>
        <v>0</v>
      </c>
      <c r="BP51" s="65">
        <f t="shared" si="61"/>
        <v>0</v>
      </c>
      <c r="BQ51" s="66"/>
      <c r="BR51" s="31">
        <f t="shared" si="62"/>
        <v>0</v>
      </c>
      <c r="BS51" s="67">
        <f t="shared" si="63"/>
        <v>0</v>
      </c>
      <c r="BT51" s="66"/>
      <c r="BU51" s="31">
        <f t="shared" si="64"/>
        <v>0</v>
      </c>
      <c r="BV51" s="65">
        <f t="shared" si="65"/>
        <v>0</v>
      </c>
      <c r="BW51" s="66"/>
      <c r="BX51" s="31">
        <f t="shared" si="66"/>
        <v>0</v>
      </c>
      <c r="BY51" s="67">
        <f t="shared" si="67"/>
        <v>0</v>
      </c>
      <c r="BZ51" s="66"/>
      <c r="CA51" s="31">
        <f t="shared" si="68"/>
        <v>0</v>
      </c>
      <c r="CB51" s="65">
        <f t="shared" si="69"/>
        <v>0</v>
      </c>
      <c r="CC51" s="66"/>
      <c r="CD51" s="31">
        <f t="shared" si="70"/>
        <v>0</v>
      </c>
      <c r="CE51" s="67">
        <f t="shared" si="71"/>
        <v>0</v>
      </c>
      <c r="CF51" s="66"/>
      <c r="CG51" s="34">
        <f t="shared" si="72"/>
        <v>0</v>
      </c>
      <c r="CH51" s="67">
        <f t="shared" si="93"/>
        <v>0</v>
      </c>
      <c r="CI51" s="66"/>
      <c r="CJ51" s="34">
        <f t="shared" si="73"/>
        <v>0</v>
      </c>
      <c r="CK51" s="67">
        <f t="shared" si="74"/>
        <v>0</v>
      </c>
      <c r="CL51" s="66"/>
      <c r="CM51" s="34">
        <f t="shared" si="75"/>
        <v>0</v>
      </c>
      <c r="CN51" s="67">
        <f t="shared" si="76"/>
        <v>0</v>
      </c>
      <c r="CO51" s="66"/>
      <c r="CP51" s="34">
        <f t="shared" si="77"/>
        <v>0</v>
      </c>
      <c r="CQ51" s="67">
        <f t="shared" si="78"/>
        <v>0</v>
      </c>
      <c r="CR51" s="66"/>
      <c r="CS51" s="34">
        <f t="shared" si="79"/>
        <v>0</v>
      </c>
      <c r="CT51" s="65">
        <f t="shared" si="80"/>
        <v>0</v>
      </c>
      <c r="CU51" s="66"/>
      <c r="CV51" s="31">
        <f t="shared" si="81"/>
        <v>0</v>
      </c>
      <c r="CW51" s="67">
        <f t="shared" si="82"/>
        <v>0</v>
      </c>
      <c r="CX51" s="66"/>
      <c r="CY51" s="31">
        <f t="shared" si="83"/>
        <v>0</v>
      </c>
      <c r="CZ51" s="65">
        <f t="shared" si="84"/>
        <v>0</v>
      </c>
      <c r="DA51" s="66"/>
      <c r="DB51" s="31">
        <f t="shared" si="85"/>
        <v>0</v>
      </c>
      <c r="DC51" s="67">
        <f t="shared" si="86"/>
        <v>0</v>
      </c>
      <c r="DE51" s="76">
        <v>184</v>
      </c>
      <c r="DF51" s="42"/>
      <c r="DG51" s="69">
        <f t="shared" si="87"/>
        <v>0</v>
      </c>
      <c r="DH51" s="42"/>
      <c r="DI51" s="70">
        <f t="shared" si="88"/>
        <v>0</v>
      </c>
      <c r="DJ51" s="42"/>
      <c r="DK51" s="70">
        <f t="shared" si="89"/>
        <v>184</v>
      </c>
      <c r="DL51" s="42"/>
      <c r="DM51" s="71">
        <f t="shared" si="90"/>
        <v>5069.2</v>
      </c>
      <c r="DN51" s="42"/>
      <c r="DO51" s="72" t="e">
        <f t="shared" si="91"/>
        <v>#DIV/0!</v>
      </c>
      <c r="DP51" s="42"/>
      <c r="DQ51" s="71">
        <f t="shared" si="92"/>
        <v>6083.040000000001</v>
      </c>
      <c r="DR51" s="42"/>
      <c r="DS51" s="69"/>
      <c r="DT51" s="42"/>
      <c r="DU51" s="71">
        <v>0</v>
      </c>
      <c r="DV51" s="42"/>
      <c r="DW51" s="73">
        <f t="shared" si="94"/>
        <v>0</v>
      </c>
      <c r="DX51" s="42"/>
      <c r="DY51" s="71">
        <f t="shared" si="95"/>
        <v>0</v>
      </c>
    </row>
    <row r="52" ht="12.45" customHeight="1" spans="1:129" x14ac:dyDescent="0.25">
      <c r="A52" s="77" t="s">
        <v>97</v>
      </c>
      <c r="B52" s="42"/>
      <c r="C52" s="75"/>
      <c r="D52" s="44"/>
      <c r="E52" s="78">
        <v>20.46</v>
      </c>
      <c r="F52" s="44"/>
      <c r="G52" s="61">
        <v>24.55</v>
      </c>
      <c r="I52" s="62"/>
      <c r="J52" s="63"/>
      <c r="K52" s="64"/>
      <c r="L52" s="3"/>
      <c r="M52" s="62"/>
      <c r="N52" s="3"/>
      <c r="O52" s="64"/>
      <c r="P52" s="3"/>
      <c r="Q52" s="62"/>
      <c r="R52" s="3"/>
      <c r="S52" s="64"/>
      <c r="T52" s="3"/>
      <c r="U52" s="62"/>
      <c r="V52" s="3"/>
      <c r="W52" s="64"/>
      <c r="X52" s="3"/>
      <c r="Y52" s="62"/>
      <c r="Z52" s="3"/>
      <c r="AA52" s="64"/>
      <c r="AB52" s="3"/>
      <c r="AC52" s="62"/>
      <c r="AD52" s="3"/>
      <c r="AE52" s="64"/>
      <c r="AF52" s="3"/>
      <c r="AG52" s="62"/>
      <c r="AH52" s="3"/>
      <c r="AI52" s="64"/>
      <c r="AJ52" s="3"/>
      <c r="AK52" s="62"/>
      <c r="AL52" s="3"/>
      <c r="AM52" s="64"/>
      <c r="AN52" s="3"/>
      <c r="AO52" s="62"/>
      <c r="AP52" s="3"/>
      <c r="AQ52" s="64"/>
      <c r="AR52" s="3"/>
      <c r="AS52" s="62"/>
      <c r="AT52" s="3"/>
      <c r="AU52" s="64"/>
      <c r="AW52" s="34">
        <f t="shared" si="48"/>
        <v>0</v>
      </c>
      <c r="AX52" s="65">
        <f t="shared" si="49"/>
        <v>0</v>
      </c>
      <c r="AY52" s="66"/>
      <c r="AZ52" s="31">
        <f t="shared" si="50"/>
        <v>0</v>
      </c>
      <c r="BA52" s="67">
        <f t="shared" si="51"/>
        <v>0</v>
      </c>
      <c r="BB52" s="66"/>
      <c r="BC52" s="31">
        <f t="shared" si="52"/>
        <v>0</v>
      </c>
      <c r="BD52" s="65">
        <f t="shared" si="53"/>
        <v>0</v>
      </c>
      <c r="BE52" s="66"/>
      <c r="BF52" s="31">
        <f t="shared" si="54"/>
        <v>0</v>
      </c>
      <c r="BG52" s="67">
        <f t="shared" si="55"/>
        <v>0</v>
      </c>
      <c r="BH52" s="66"/>
      <c r="BI52" s="31">
        <f t="shared" si="56"/>
        <v>0</v>
      </c>
      <c r="BJ52" s="65">
        <f t="shared" si="57"/>
        <v>0</v>
      </c>
      <c r="BK52" s="66"/>
      <c r="BL52" s="31">
        <f t="shared" si="58"/>
        <v>0</v>
      </c>
      <c r="BM52" s="67">
        <f t="shared" si="59"/>
        <v>0</v>
      </c>
      <c r="BN52" s="66"/>
      <c r="BO52" s="31">
        <f t="shared" si="60"/>
        <v>0</v>
      </c>
      <c r="BP52" s="65">
        <f t="shared" si="61"/>
        <v>0</v>
      </c>
      <c r="BQ52" s="66"/>
      <c r="BR52" s="31">
        <f t="shared" si="62"/>
        <v>0</v>
      </c>
      <c r="BS52" s="67">
        <f t="shared" si="63"/>
        <v>0</v>
      </c>
      <c r="BT52" s="66"/>
      <c r="BU52" s="31">
        <f t="shared" si="64"/>
        <v>0</v>
      </c>
      <c r="BV52" s="65">
        <f t="shared" si="65"/>
        <v>0</v>
      </c>
      <c r="BW52" s="66"/>
      <c r="BX52" s="31">
        <f t="shared" si="66"/>
        <v>0</v>
      </c>
      <c r="BY52" s="67">
        <f t="shared" si="67"/>
        <v>0</v>
      </c>
      <c r="BZ52" s="66"/>
      <c r="CA52" s="31">
        <f t="shared" si="68"/>
        <v>0</v>
      </c>
      <c r="CB52" s="65">
        <f t="shared" si="69"/>
        <v>0</v>
      </c>
      <c r="CC52" s="66"/>
      <c r="CD52" s="31">
        <f t="shared" si="70"/>
        <v>0</v>
      </c>
      <c r="CE52" s="67">
        <f t="shared" si="71"/>
        <v>0</v>
      </c>
      <c r="CF52" s="66"/>
      <c r="CG52" s="34">
        <f t="shared" si="72"/>
        <v>0</v>
      </c>
      <c r="CH52" s="67">
        <f t="shared" si="93"/>
        <v>0</v>
      </c>
      <c r="CI52" s="66"/>
      <c r="CJ52" s="34">
        <f t="shared" si="73"/>
        <v>0</v>
      </c>
      <c r="CK52" s="67">
        <f t="shared" si="74"/>
        <v>0</v>
      </c>
      <c r="CL52" s="66"/>
      <c r="CM52" s="34">
        <f t="shared" si="75"/>
        <v>0</v>
      </c>
      <c r="CN52" s="67">
        <f t="shared" si="76"/>
        <v>0</v>
      </c>
      <c r="CO52" s="66"/>
      <c r="CP52" s="34">
        <f t="shared" si="77"/>
        <v>0</v>
      </c>
      <c r="CQ52" s="67">
        <f t="shared" si="78"/>
        <v>0</v>
      </c>
      <c r="CR52" s="66"/>
      <c r="CS52" s="34">
        <f t="shared" si="79"/>
        <v>0</v>
      </c>
      <c r="CT52" s="65">
        <f t="shared" si="80"/>
        <v>0</v>
      </c>
      <c r="CU52" s="66"/>
      <c r="CV52" s="31">
        <f t="shared" si="81"/>
        <v>0</v>
      </c>
      <c r="CW52" s="67">
        <f t="shared" si="82"/>
        <v>0</v>
      </c>
      <c r="CX52" s="66"/>
      <c r="CY52" s="31">
        <f t="shared" si="83"/>
        <v>0</v>
      </c>
      <c r="CZ52" s="65">
        <f t="shared" si="84"/>
        <v>0</v>
      </c>
      <c r="DA52" s="66"/>
      <c r="DB52" s="31">
        <f t="shared" si="85"/>
        <v>0</v>
      </c>
      <c r="DC52" s="67">
        <f t="shared" si="86"/>
        <v>0</v>
      </c>
      <c r="DE52" s="76">
        <v>0</v>
      </c>
      <c r="DF52" s="42"/>
      <c r="DG52" s="69">
        <f t="shared" si="87"/>
        <v>0</v>
      </c>
      <c r="DH52" s="42"/>
      <c r="DI52" s="70">
        <f t="shared" si="88"/>
        <v>0</v>
      </c>
      <c r="DJ52" s="42"/>
      <c r="DK52" s="70">
        <f t="shared" si="89"/>
        <v>0</v>
      </c>
      <c r="DL52" s="42"/>
      <c r="DM52" s="71">
        <f t="shared" si="90"/>
        <v>0</v>
      </c>
      <c r="DN52" s="42"/>
      <c r="DO52" s="72" t="e">
        <f t="shared" si="91"/>
        <v>#DIV/0!</v>
      </c>
      <c r="DP52" s="42"/>
      <c r="DQ52" s="71">
        <f t="shared" si="92"/>
        <v>0</v>
      </c>
      <c r="DR52" s="42"/>
      <c r="DS52" s="69"/>
      <c r="DT52" s="42"/>
      <c r="DU52" s="71">
        <v>0</v>
      </c>
      <c r="DV52" s="42"/>
      <c r="DW52" s="73">
        <f t="shared" si="94"/>
        <v>0</v>
      </c>
      <c r="DX52" s="42"/>
      <c r="DY52" s="71">
        <f t="shared" si="95"/>
        <v>0</v>
      </c>
    </row>
    <row r="53" ht="12.45" customHeight="1" spans="1:129" x14ac:dyDescent="0.25">
      <c r="A53" s="84" t="s">
        <v>98</v>
      </c>
      <c r="B53" s="42"/>
      <c r="C53" s="81"/>
      <c r="D53" s="44"/>
      <c r="E53" s="82">
        <v>20</v>
      </c>
      <c r="F53" s="44"/>
      <c r="G53" s="83">
        <v>24</v>
      </c>
      <c r="I53" s="62"/>
      <c r="J53" s="63"/>
      <c r="K53" s="64"/>
      <c r="L53" s="3"/>
      <c r="M53" s="62"/>
      <c r="N53" s="3"/>
      <c r="O53" s="64"/>
      <c r="P53" s="3"/>
      <c r="Q53" s="62"/>
      <c r="R53" s="3"/>
      <c r="S53" s="64"/>
      <c r="T53" s="3"/>
      <c r="U53" s="62"/>
      <c r="V53" s="3"/>
      <c r="W53" s="64">
        <v>1</v>
      </c>
      <c r="X53" s="3"/>
      <c r="Y53" s="62"/>
      <c r="Z53" s="3"/>
      <c r="AA53" s="64"/>
      <c r="AB53" s="3"/>
      <c r="AC53" s="62"/>
      <c r="AD53" s="3"/>
      <c r="AE53" s="64"/>
      <c r="AF53" s="3"/>
      <c r="AG53" s="62"/>
      <c r="AH53" s="3"/>
      <c r="AI53" s="64"/>
      <c r="AJ53" s="3"/>
      <c r="AK53" s="62"/>
      <c r="AL53" s="3"/>
      <c r="AM53" s="64"/>
      <c r="AN53" s="3"/>
      <c r="AO53" s="62"/>
      <c r="AP53" s="3"/>
      <c r="AQ53" s="64"/>
      <c r="AR53" s="3"/>
      <c r="AS53" s="62"/>
      <c r="AT53" s="3"/>
      <c r="AU53" s="64"/>
      <c r="AW53" s="34">
        <f t="shared" si="48"/>
        <v>0</v>
      </c>
      <c r="AX53" s="65">
        <f t="shared" si="49"/>
        <v>0</v>
      </c>
      <c r="AY53" s="66"/>
      <c r="AZ53" s="31">
        <f t="shared" si="50"/>
        <v>0</v>
      </c>
      <c r="BA53" s="67">
        <f t="shared" si="51"/>
        <v>0</v>
      </c>
      <c r="BB53" s="66"/>
      <c r="BC53" s="31">
        <f t="shared" si="52"/>
        <v>0</v>
      </c>
      <c r="BD53" s="65">
        <f t="shared" si="53"/>
        <v>0</v>
      </c>
      <c r="BE53" s="66"/>
      <c r="BF53" s="31">
        <f t="shared" si="54"/>
        <v>0</v>
      </c>
      <c r="BG53" s="67">
        <f t="shared" si="55"/>
        <v>0</v>
      </c>
      <c r="BH53" s="66"/>
      <c r="BI53" s="31">
        <f t="shared" si="56"/>
        <v>0</v>
      </c>
      <c r="BJ53" s="65">
        <f t="shared" si="57"/>
        <v>0</v>
      </c>
      <c r="BK53" s="66"/>
      <c r="BL53" s="31">
        <f t="shared" si="58"/>
        <v>0</v>
      </c>
      <c r="BM53" s="67">
        <f t="shared" si="59"/>
        <v>0</v>
      </c>
      <c r="BN53" s="66"/>
      <c r="BO53" s="31">
        <f t="shared" si="60"/>
        <v>0</v>
      </c>
      <c r="BP53" s="65">
        <f t="shared" si="61"/>
        <v>0</v>
      </c>
      <c r="BQ53" s="66"/>
      <c r="BR53" s="31">
        <f t="shared" si="62"/>
        <v>1</v>
      </c>
      <c r="BS53" s="67">
        <f t="shared" si="63"/>
        <v>24</v>
      </c>
      <c r="BT53" s="66"/>
      <c r="BU53" s="31">
        <f t="shared" si="64"/>
        <v>0</v>
      </c>
      <c r="BV53" s="65">
        <f t="shared" si="65"/>
        <v>0</v>
      </c>
      <c r="BW53" s="66"/>
      <c r="BX53" s="31">
        <f t="shared" si="66"/>
        <v>0</v>
      </c>
      <c r="BY53" s="67">
        <f t="shared" si="67"/>
        <v>0</v>
      </c>
      <c r="BZ53" s="66"/>
      <c r="CA53" s="31">
        <f t="shared" si="68"/>
        <v>0</v>
      </c>
      <c r="CB53" s="65">
        <f t="shared" si="69"/>
        <v>0</v>
      </c>
      <c r="CC53" s="66"/>
      <c r="CD53" s="31">
        <f t="shared" si="70"/>
        <v>0</v>
      </c>
      <c r="CE53" s="67">
        <f t="shared" si="71"/>
        <v>0</v>
      </c>
      <c r="CF53" s="66"/>
      <c r="CG53" s="34">
        <f t="shared" si="72"/>
        <v>0</v>
      </c>
      <c r="CH53" s="67">
        <f t="shared" si="93"/>
        <v>0</v>
      </c>
      <c r="CI53" s="66"/>
      <c r="CJ53" s="34">
        <f t="shared" si="73"/>
        <v>0</v>
      </c>
      <c r="CK53" s="67">
        <f t="shared" si="74"/>
        <v>0</v>
      </c>
      <c r="CL53" s="66"/>
      <c r="CM53" s="34">
        <f t="shared" si="75"/>
        <v>0</v>
      </c>
      <c r="CN53" s="67">
        <f t="shared" si="76"/>
        <v>0</v>
      </c>
      <c r="CO53" s="66"/>
      <c r="CP53" s="34">
        <f t="shared" si="77"/>
        <v>0</v>
      </c>
      <c r="CQ53" s="67">
        <f t="shared" si="78"/>
        <v>0</v>
      </c>
      <c r="CR53" s="66"/>
      <c r="CS53" s="34">
        <f t="shared" si="79"/>
        <v>0</v>
      </c>
      <c r="CT53" s="65">
        <f t="shared" si="80"/>
        <v>0</v>
      </c>
      <c r="CU53" s="66"/>
      <c r="CV53" s="31">
        <f t="shared" si="81"/>
        <v>0</v>
      </c>
      <c r="CW53" s="67">
        <f t="shared" si="82"/>
        <v>0</v>
      </c>
      <c r="CX53" s="66"/>
      <c r="CY53" s="31">
        <f t="shared" si="83"/>
        <v>0</v>
      </c>
      <c r="CZ53" s="65">
        <f t="shared" si="84"/>
        <v>0</v>
      </c>
      <c r="DA53" s="66"/>
      <c r="DB53" s="31">
        <f t="shared" si="85"/>
        <v>0</v>
      </c>
      <c r="DC53" s="67">
        <f t="shared" si="86"/>
        <v>0</v>
      </c>
      <c r="DE53" s="76">
        <v>0</v>
      </c>
      <c r="DF53" s="42"/>
      <c r="DG53" s="69">
        <f t="shared" si="87"/>
        <v>0</v>
      </c>
      <c r="DH53" s="42"/>
      <c r="DI53" s="70">
        <f t="shared" si="88"/>
        <v>1</v>
      </c>
      <c r="DJ53" s="42"/>
      <c r="DK53" s="70">
        <f t="shared" si="89"/>
        <v>-1</v>
      </c>
      <c r="DL53" s="42"/>
      <c r="DM53" s="71">
        <f t="shared" si="90"/>
        <v>-20</v>
      </c>
      <c r="DN53" s="42"/>
      <c r="DO53" s="72">
        <f t="shared" si="91"/>
        <v>-1</v>
      </c>
      <c r="DP53" s="42"/>
      <c r="DQ53" s="71">
        <f t="shared" si="92"/>
        <v>-24</v>
      </c>
      <c r="DR53" s="42"/>
      <c r="DS53" s="69"/>
      <c r="DT53" s="42"/>
      <c r="DU53" s="71">
        <v>0</v>
      </c>
      <c r="DV53" s="42"/>
      <c r="DW53" s="73">
        <f t="shared" si="94"/>
        <v>0</v>
      </c>
      <c r="DX53" s="42"/>
      <c r="DY53" s="71">
        <f t="shared" si="95"/>
        <v>0</v>
      </c>
    </row>
    <row r="54" ht="12.45" customHeight="1" spans="1:129" x14ac:dyDescent="0.25">
      <c r="A54" s="85" t="s">
        <v>99</v>
      </c>
      <c r="B54" s="27"/>
      <c r="C54" s="86"/>
      <c r="D54" s="29"/>
      <c r="E54" s="87"/>
      <c r="F54" s="29"/>
      <c r="G54" s="86"/>
      <c r="H54" s="8"/>
      <c r="I54" s="88">
        <f>SUM(I2:I53)</f>
        <v>17</v>
      </c>
      <c r="J54" s="8"/>
      <c r="K54" s="89">
        <f>SUM(K2:L53)</f>
        <v>49</v>
      </c>
      <c r="L54" s="8"/>
      <c r="M54" s="88">
        <f>SUM(M2:M53)</f>
        <v>28</v>
      </c>
      <c r="N54" s="8"/>
      <c r="O54" s="89">
        <f>SUM(O2:P53)</f>
        <v>27</v>
      </c>
      <c r="P54" s="8"/>
      <c r="Q54" s="88">
        <f>SUM(Q2:Q53)</f>
        <v>25</v>
      </c>
      <c r="R54" s="8"/>
      <c r="S54" s="89">
        <f>SUM(S2:T53)</f>
        <v>23</v>
      </c>
      <c r="T54" s="8"/>
      <c r="U54" s="88">
        <f>SUM(U2:U53)</f>
        <v>21</v>
      </c>
      <c r="V54" s="8"/>
      <c r="W54" s="89">
        <f>SUM(W2:X53)</f>
        <v>34</v>
      </c>
      <c r="X54" s="8"/>
      <c r="Y54" s="88">
        <f>SUM(Y2:Y53)</f>
        <v>24</v>
      </c>
      <c r="Z54" s="8"/>
      <c r="AA54" s="89">
        <f>SUM(AA2:AB53)</f>
        <v>7</v>
      </c>
      <c r="AB54" s="8"/>
      <c r="AC54" s="88">
        <f>SUM(AC2:AC53)</f>
        <v>23</v>
      </c>
      <c r="AD54" s="8"/>
      <c r="AE54" s="89">
        <f>SUM(AE2:AF53)</f>
        <v>0</v>
      </c>
      <c r="AF54" s="8"/>
      <c r="AG54" s="88">
        <f>SUM(AG2:AG53)</f>
        <v>0</v>
      </c>
      <c r="AH54" s="8"/>
      <c r="AI54" s="89">
        <f>SUM(AI2:AJ53)</f>
        <v>0</v>
      </c>
      <c r="AJ54" s="8"/>
      <c r="AK54" s="88">
        <f>SUM(AK2:AK53)</f>
        <v>0</v>
      </c>
      <c r="AL54" s="8"/>
      <c r="AM54" s="89">
        <f>SUM(AM2:AM53)</f>
        <v>0</v>
      </c>
      <c r="AN54" s="8"/>
      <c r="AO54" s="88">
        <f>SUM(AO2:AO53)</f>
        <v>21</v>
      </c>
      <c r="AP54" s="8"/>
      <c r="AQ54" s="89">
        <f>SUM(AQ2:AQ53)</f>
        <v>4</v>
      </c>
      <c r="AR54" s="8"/>
      <c r="AS54" s="88">
        <f>SUM(AS2:AS53)</f>
        <v>2</v>
      </c>
      <c r="AT54" s="8"/>
      <c r="AU54" s="89">
        <f>SUM(AU2:AU53)</f>
        <v>12</v>
      </c>
      <c r="AV54" s="8"/>
      <c r="AW54" s="90">
        <f>SUM(AW1:AW39)</f>
        <v>13</v>
      </c>
      <c r="AX54" s="91">
        <f>SUM(AX2:AX53)</f>
        <v>557.64</v>
      </c>
      <c r="AY54" s="33"/>
      <c r="AZ54" s="90">
        <f>SUM(AZ1:AZ53)</f>
        <v>49</v>
      </c>
      <c r="BA54" s="91">
        <f>SUM(BA2:BA53)</f>
        <v>1493.29</v>
      </c>
      <c r="BB54" s="33"/>
      <c r="BC54" s="90">
        <f>SUM(BC1:BC53)</f>
        <v>28</v>
      </c>
      <c r="BD54" s="91">
        <f>SUM(BD2:BD53)</f>
        <v>840.54</v>
      </c>
      <c r="BE54" s="33"/>
      <c r="BF54" s="90">
        <f>SUM(BF1:BF53)</f>
        <v>27</v>
      </c>
      <c r="BG54" s="91">
        <f>SUM(BG2:BG53)</f>
        <v>763.39</v>
      </c>
      <c r="BH54" s="33"/>
      <c r="BI54" s="90">
        <f>SUM(BI1:BI53)</f>
        <v>25</v>
      </c>
      <c r="BJ54" s="91">
        <f>SUM(BJ2:BJ53)</f>
        <v>748.1400000000001</v>
      </c>
      <c r="BK54" s="33"/>
      <c r="BL54" s="90">
        <f>SUM(BL1:BL53)</f>
        <v>23</v>
      </c>
      <c r="BM54" s="91">
        <f>SUM(BM2:BM53)</f>
        <v>730.3399999999999</v>
      </c>
      <c r="BN54" s="33"/>
      <c r="BO54" s="90">
        <f>SUM(BO1:BO53)</f>
        <v>21</v>
      </c>
      <c r="BP54" s="92">
        <f>SUM(BP2:BP53)</f>
        <v>634.39</v>
      </c>
      <c r="BQ54" s="33"/>
      <c r="BR54" s="90">
        <f>SUM(BR1:BR53)</f>
        <v>34</v>
      </c>
      <c r="BS54" s="91">
        <f>SUM(BS2:BS53)</f>
        <v>1020.28</v>
      </c>
      <c r="BT54" s="33"/>
      <c r="BU54" s="90">
        <f>SUM(BU1:BU53)</f>
        <v>24</v>
      </c>
      <c r="BV54" s="91">
        <f>SUM(BV2:BV53)</f>
        <v>721.45</v>
      </c>
      <c r="BW54" s="33"/>
      <c r="BX54" s="90">
        <f>SUM(BX1:BX53)</f>
        <v>7</v>
      </c>
      <c r="BY54" s="91">
        <f>SUM(BY2:BY53)</f>
        <v>226.8</v>
      </c>
      <c r="BZ54" s="33"/>
      <c r="CA54" s="90">
        <f>SUM(CA1:CA53)</f>
        <v>23</v>
      </c>
      <c r="CB54" s="91">
        <f>SUM(CB2:CB53)</f>
        <v>713.74</v>
      </c>
      <c r="CC54" s="33"/>
      <c r="CD54" s="90">
        <f>SUM(CD1:CD53)</f>
        <v>0</v>
      </c>
      <c r="CE54" s="91">
        <f>SUM(CE2:CE53)</f>
        <v>0</v>
      </c>
      <c r="CF54" s="33"/>
      <c r="CG54" s="90">
        <f>SUM(CG1:CG53)</f>
        <v>0</v>
      </c>
      <c r="CH54" s="91">
        <f>SUM(CH2:CH53)</f>
        <v>0</v>
      </c>
      <c r="CI54" s="33"/>
      <c r="CJ54" s="90">
        <f>SUM(CJ1:CJ53)</f>
        <v>0</v>
      </c>
      <c r="CK54" s="91">
        <f>SUM(CK2:CK53)</f>
        <v>0</v>
      </c>
      <c r="CL54" s="33"/>
      <c r="CM54" s="90">
        <f>SUM(CM1:CM53)</f>
        <v>0</v>
      </c>
      <c r="CN54" s="91">
        <f>SUM(CN2:CN53)</f>
        <v>0</v>
      </c>
      <c r="CO54" s="33"/>
      <c r="CP54" s="90">
        <f>SUM(CP1:CP53)</f>
        <v>0</v>
      </c>
      <c r="CQ54" s="91">
        <f>SUM(CQ2:CQ53)</f>
        <v>0</v>
      </c>
      <c r="CR54" s="33"/>
      <c r="CS54" s="90">
        <f>SUM(CS1:CS53)</f>
        <v>21</v>
      </c>
      <c r="CT54" s="91">
        <f>SUM(CT2:CT53)</f>
        <v>691.3800000000001</v>
      </c>
      <c r="CU54" s="33"/>
      <c r="CV54" s="90">
        <f>SUM(CV1:CV53)</f>
        <v>4</v>
      </c>
      <c r="CW54" s="91">
        <f>SUM(CW2:CW53)</f>
        <v>139.52</v>
      </c>
      <c r="CX54" s="33"/>
      <c r="CY54" s="90">
        <f>SUM(CY1:CY53)</f>
        <v>2</v>
      </c>
      <c r="CZ54" s="91">
        <f>SUM(CZ2:CZ53)</f>
        <v>80.4</v>
      </c>
      <c r="DA54" s="33"/>
      <c r="DB54" s="90">
        <f>SUM(DB1:DB53)</f>
        <v>12</v>
      </c>
      <c r="DC54" s="91">
        <f>SUM(DC2:DC53)</f>
        <v>371.15999999999997</v>
      </c>
      <c r="DD54" s="8"/>
      <c r="DE54" s="93">
        <f>SUM(DE2:DE53)</f>
        <v>8920</v>
      </c>
      <c r="DF54" s="27"/>
      <c r="DG54" s="94">
        <f>SUM(DG2:DG53)</f>
        <v>0</v>
      </c>
      <c r="DH54" s="27"/>
      <c r="DI54" s="94">
        <f>SUM(DI2:DI53)</f>
        <v>317</v>
      </c>
      <c r="DJ54" s="27"/>
      <c r="DK54" s="94">
        <f>SUM(DK2:DK53)</f>
        <v>8603</v>
      </c>
      <c r="DL54" s="27"/>
      <c r="DM54" s="95">
        <f>SUM(DM2:DM53)</f>
        <v>225668.76500000004</v>
      </c>
      <c r="DN54" s="27"/>
      <c r="DO54" s="96">
        <f>DM54+DY54</f>
        <v>254984.26500000004</v>
      </c>
      <c r="DP54" s="27"/>
      <c r="DQ54" s="95">
        <f>SUM(DQ2:DQ53)</f>
        <v>270586.81999999995</v>
      </c>
      <c r="DR54" s="27"/>
      <c r="DS54" s="97"/>
      <c r="DT54" s="27"/>
      <c r="DU54" s="98"/>
      <c r="DV54" s="27"/>
      <c r="DW54" s="99"/>
      <c r="DX54" s="27"/>
      <c r="DY54" s="100">
        <f>SUM(DY4:DY53)</f>
        <v>29315.5</v>
      </c>
    </row>
    <row r="55" ht="12.45" customHeight="1" spans="3:128" x14ac:dyDescent="0.25">
      <c r="C55" s="4"/>
      <c r="E55" s="101"/>
      <c r="DM55" s="6"/>
      <c r="DN55" s="102">
        <f>AX54+BA54+BD54+BG54+BJ54+BM54+BP54+BS54+BV54+BY54+CB54+CT54+CW54+DC54+CZ54</f>
        <v>9732.460000000001</v>
      </c>
      <c r="DO55" s="102"/>
      <c r="DP55" s="6"/>
      <c r="DQ55" s="6"/>
      <c r="DR55" s="6"/>
      <c r="DT55" s="6"/>
      <c r="DV55" s="6"/>
      <c r="DX55" s="6"/>
    </row>
  </sheetData>
  <mergeCells count="22">
    <mergeCell ref="AW1:AX1"/>
    <mergeCell ref="AZ1:BA1"/>
    <mergeCell ref="BC1:BD1"/>
    <mergeCell ref="BF1:BG1"/>
    <mergeCell ref="BI1:BJ1"/>
    <mergeCell ref="BL1:BM1"/>
    <mergeCell ref="BO1:BP1"/>
    <mergeCell ref="BR1:BS1"/>
    <mergeCell ref="BU1:BV1"/>
    <mergeCell ref="BX1:BY1"/>
    <mergeCell ref="CA1:CB1"/>
    <mergeCell ref="CD1:CE1"/>
    <mergeCell ref="CG1:CH1"/>
    <mergeCell ref="CJ1:CK1"/>
    <mergeCell ref="CM1:CN1"/>
    <mergeCell ref="CP1:CQ1"/>
    <mergeCell ref="CS1:CT1"/>
    <mergeCell ref="CV1:CW1"/>
    <mergeCell ref="CY1:CZ1"/>
    <mergeCell ref="DB1:DC1"/>
    <mergeCell ref="DS1:DY3"/>
    <mergeCell ref="DN55:DO5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55"/>
  <sheetViews>
    <sheetView workbookViewId="0" zoomScale="72" zoomScaleNormal="72">
      <pane xSplit="1" topLeftCell="DD1" activePane="topRight" state="frozen"/>
      <selection pane="topRight" activeCell="DK2" sqref="DK2"/>
    </sheetView>
  </sheetViews>
  <sheetFormatPr defaultRowHeight="13.8" outlineLevelRow="0" outlineLevelCol="0" x14ac:dyDescent="0.3" defaultColWidth="9.109375" customHeight="1"/>
  <cols>
    <col min="1" max="1" width="30.77734375" style="1" customWidth="1"/>
    <col min="2" max="2" width="3.33203125" style="2" customWidth="1"/>
    <col min="3" max="3" width="14.77734375" style="1" customWidth="1"/>
    <col min="4" max="4" width="3.33203125" style="3" customWidth="1"/>
    <col min="5" max="5" width="14.77734375" style="4" customWidth="1"/>
    <col min="6" max="6" width="3.33203125" style="3" customWidth="1"/>
    <col min="7" max="7" width="14.77734375" style="4" customWidth="1"/>
    <col min="8" max="8" width="3.33203125" style="2" customWidth="1"/>
    <col min="9" max="9" width="7.77734375" style="5" customWidth="1"/>
    <col min="10" max="10" width="3.33203125" style="2" customWidth="1"/>
    <col min="11" max="11" width="7.77734375" style="5" customWidth="1"/>
    <col min="12" max="12" width="3.33203125" style="2" customWidth="1"/>
    <col min="13" max="13" width="7.77734375" style="5" customWidth="1"/>
    <col min="14" max="14" width="3.33203125" style="2" customWidth="1"/>
    <col min="15" max="15" width="7.77734375" style="5" customWidth="1"/>
    <col min="16" max="16" width="3.33203125" style="2" customWidth="1"/>
    <col min="17" max="17" width="7.77734375" style="5" customWidth="1"/>
    <col min="18" max="18" width="3.33203125" style="2" customWidth="1"/>
    <col min="19" max="19" width="7.77734375" style="5" customWidth="1"/>
    <col min="20" max="20" width="3.33203125" style="2" customWidth="1"/>
    <col min="21" max="21" width="7.77734375" style="5" customWidth="1"/>
    <col min="22" max="22" width="3.33203125" style="2" customWidth="1"/>
    <col min="23" max="23" width="7.77734375" style="5" customWidth="1"/>
    <col min="24" max="24" width="3.33203125" style="2" customWidth="1"/>
    <col min="25" max="25" width="7.77734375" style="5" customWidth="1"/>
    <col min="26" max="26" width="3.33203125" style="2" customWidth="1"/>
    <col min="27" max="27" width="7.77734375" style="5" customWidth="1"/>
    <col min="28" max="28" width="3.33203125" style="2" customWidth="1"/>
    <col min="29" max="29" width="7.77734375" style="5" customWidth="1"/>
    <col min="30" max="30" width="3.33203125" style="2" hidden="1" customWidth="1"/>
    <col min="31" max="31" width="7.77734375" style="5" hidden="1" customWidth="1"/>
    <col min="32" max="32" width="3.33203125" style="2" hidden="1" customWidth="1"/>
    <col min="33" max="33" width="7.77734375" style="5" hidden="1" customWidth="1"/>
    <col min="34" max="34" width="3.33203125" style="2" hidden="1" customWidth="1"/>
    <col min="35" max="35" width="7.77734375" style="5" hidden="1" customWidth="1"/>
    <col min="36" max="36" width="3.33203125" style="2" hidden="1" customWidth="1"/>
    <col min="37" max="37" width="7.77734375" style="5" hidden="1" customWidth="1"/>
    <col min="38" max="38" width="3.33203125" style="2" hidden="1" customWidth="1"/>
    <col min="39" max="39" width="7.77734375" style="5" hidden="1" customWidth="1"/>
    <col min="40" max="40" width="3.33203125" style="2" customWidth="1"/>
    <col min="41" max="41" width="7.77734375" style="5" customWidth="1"/>
    <col min="42" max="42" width="3.33203125" style="2" customWidth="1"/>
    <col min="43" max="43" width="7.77734375" style="5" customWidth="1"/>
    <col min="44" max="44" width="3.33203125" style="2" customWidth="1"/>
    <col min="45" max="45" width="7.77734375" style="5" customWidth="1"/>
    <col min="46" max="46" width="3.33203125" style="2" customWidth="1"/>
    <col min="47" max="47" width="7.77734375" style="5" customWidth="1"/>
    <col min="48" max="48" width="3.33203125" style="2" customWidth="1"/>
    <col min="49" max="49" width="3.77734375" style="2" customWidth="1"/>
    <col min="50" max="50" width="8.77734375" style="5" customWidth="1"/>
    <col min="51" max="51" width="3.33203125" style="2" customWidth="1"/>
    <col min="52" max="52" width="3.77734375" style="2" customWidth="1"/>
    <col min="53" max="53" width="8.77734375" style="5" customWidth="1"/>
    <col min="54" max="54" width="3.33203125" style="2" customWidth="1"/>
    <col min="55" max="55" width="3.77734375" style="2" customWidth="1"/>
    <col min="56" max="56" width="8.77734375" style="5" customWidth="1"/>
    <col min="57" max="57" width="3.33203125" style="2" customWidth="1"/>
    <col min="58" max="58" width="3.77734375" style="2" customWidth="1"/>
    <col min="59" max="59" width="8.77734375" style="5" customWidth="1"/>
    <col min="60" max="60" width="3.33203125" style="2" customWidth="1"/>
    <col min="61" max="61" width="3.77734375" style="2" customWidth="1"/>
    <col min="62" max="62" width="8.77734375" style="5" customWidth="1"/>
    <col min="63" max="63" width="3.33203125" style="2" customWidth="1"/>
    <col min="64" max="64" width="3.77734375" style="2" customWidth="1"/>
    <col min="65" max="65" width="8.77734375" style="5" customWidth="1"/>
    <col min="66" max="66" width="3.33203125" style="2" customWidth="1"/>
    <col min="67" max="67" width="3.77734375" style="2" customWidth="1"/>
    <col min="68" max="68" width="8.77734375" style="5" customWidth="1"/>
    <col min="69" max="69" width="3.33203125" style="2" customWidth="1"/>
    <col min="70" max="70" width="3.77734375" style="2" customWidth="1"/>
    <col min="71" max="71" width="8.77734375" style="5" customWidth="1"/>
    <col min="72" max="72" width="3.33203125" style="2" customWidth="1"/>
    <col min="73" max="73" width="3.77734375" style="2" customWidth="1"/>
    <col min="74" max="74" width="8.77734375" style="5" customWidth="1"/>
    <col min="75" max="75" width="3.33203125" style="2" customWidth="1"/>
    <col min="76" max="76" width="3.77734375" style="2" customWidth="1"/>
    <col min="77" max="77" width="8.77734375" style="5" customWidth="1"/>
    <col min="78" max="78" width="3.33203125" style="2" customWidth="1"/>
    <col min="79" max="79" width="3.77734375" style="2" customWidth="1"/>
    <col min="80" max="80" width="8.77734375" style="5" customWidth="1"/>
    <col min="81" max="81" width="3.33203125" style="2" hidden="1" customWidth="1"/>
    <col min="82" max="82" width="3.77734375" style="2" hidden="1" customWidth="1"/>
    <col min="83" max="83" width="8.77734375" style="5" hidden="1" customWidth="1"/>
    <col min="84" max="84" width="3.33203125" style="2" hidden="1" customWidth="1"/>
    <col min="85" max="85" width="3.77734375" style="2" hidden="1" customWidth="1"/>
    <col min="86" max="86" width="8.77734375" style="5" hidden="1" customWidth="1"/>
    <col min="87" max="87" width="3.33203125" style="2" hidden="1" customWidth="1"/>
    <col min="88" max="88" width="3.77734375" style="2" hidden="1" customWidth="1"/>
    <col min="89" max="89" width="8.77734375" style="5" hidden="1" customWidth="1"/>
    <col min="90" max="90" width="3.33203125" style="2" hidden="1" customWidth="1"/>
    <col min="91" max="91" width="3.77734375" style="2" hidden="1" customWidth="1"/>
    <col min="92" max="92" width="8.77734375" style="5" hidden="1" customWidth="1"/>
    <col min="93" max="93" width="3.33203125" style="2" hidden="1" customWidth="1"/>
    <col min="94" max="94" width="3.77734375" style="2" hidden="1" customWidth="1"/>
    <col min="95" max="95" width="8.77734375" style="5" hidden="1" customWidth="1"/>
    <col min="96" max="96" width="3.33203125" style="2" customWidth="1"/>
    <col min="97" max="97" width="3.77734375" style="2" customWidth="1"/>
    <col min="98" max="98" width="8.77734375" style="5" customWidth="1"/>
    <col min="99" max="99" width="3.33203125" style="2" customWidth="1"/>
    <col min="100" max="100" width="3.77734375" style="2" customWidth="1"/>
    <col min="101" max="101" width="8.77734375" style="5" customWidth="1"/>
    <col min="102" max="102" width="3.33203125" style="2" customWidth="1"/>
    <col min="103" max="103" width="3.77734375" style="2" customWidth="1"/>
    <col min="104" max="104" width="8.77734375" style="5" customWidth="1"/>
    <col min="105" max="105" width="3.33203125" style="2" customWidth="1"/>
    <col min="106" max="106" width="3.77734375" style="2" customWidth="1"/>
    <col min="107" max="107" width="8.77734375" style="5" customWidth="1"/>
    <col min="108" max="108" width="3.33203125" style="2" customWidth="1"/>
    <col min="109" max="109" width="11.77734375" style="6" customWidth="1"/>
    <col min="110" max="110" width="3.33203125" style="2" customWidth="1"/>
    <col min="111" max="111" width="11.77734375" style="6" customWidth="1"/>
    <col min="112" max="112" width="3.33203125" style="2" customWidth="1"/>
    <col min="113" max="113" width="11.77734375" style="6" customWidth="1"/>
    <col min="114" max="114" width="3.33203125" style="2" customWidth="1"/>
    <col min="115" max="115" width="11.77734375" style="6" customWidth="1"/>
    <col min="116" max="116" width="3.33203125" style="2" customWidth="1"/>
    <col min="117" max="117" width="13.77734375" style="7" customWidth="1"/>
    <col min="118" max="118" width="3.33203125" style="2" customWidth="1"/>
    <col min="119" max="119" width="13.77734375" style="8" customWidth="1"/>
    <col min="120" max="120" width="3.33203125" style="2" customWidth="1"/>
    <col min="121" max="121" width="13.77734375" style="7" customWidth="1"/>
    <col min="122" max="122" width="3.33203125" style="2" customWidth="1"/>
    <col min="123" max="123" width="7.88671875" style="6" customWidth="1"/>
    <col min="124" max="124" width="3.33203125" style="2" customWidth="1"/>
    <col min="125" max="125" width="7.88671875" style="6" customWidth="1"/>
    <col min="126" max="126" width="3.33203125" style="2" customWidth="1"/>
    <col min="127" max="127" width="13.77734375" style="6" customWidth="1"/>
    <col min="128" max="128" width="3.33203125" style="2" customWidth="1"/>
    <col min="129" max="129" width="13.77734375" style="6" customWidth="1"/>
    <col min="130" max="16384" width="9.109375" style="2" customWidth="1"/>
  </cols>
  <sheetData>
    <row r="1" ht="18" customHeight="1" spans="1:129" s="1" customFormat="1" x14ac:dyDescent="0.25">
      <c r="A1" s="9" t="s">
        <v>0</v>
      </c>
      <c r="B1" s="10"/>
      <c r="C1" s="11" t="s">
        <v>1</v>
      </c>
      <c r="D1" s="12"/>
      <c r="E1" s="13" t="s">
        <v>2</v>
      </c>
      <c r="F1" s="12"/>
      <c r="G1" s="14" t="s">
        <v>3</v>
      </c>
      <c r="H1" s="15"/>
      <c r="I1" s="16" t="s">
        <v>4</v>
      </c>
      <c r="J1" s="12"/>
      <c r="K1" s="16" t="s">
        <v>5</v>
      </c>
      <c r="L1" s="12"/>
      <c r="M1" s="16" t="s">
        <v>6</v>
      </c>
      <c r="N1" s="12"/>
      <c r="O1" s="16" t="s">
        <v>7</v>
      </c>
      <c r="P1" s="12"/>
      <c r="Q1" s="16" t="s">
        <v>8</v>
      </c>
      <c r="R1" s="12"/>
      <c r="S1" s="16" t="s">
        <v>9</v>
      </c>
      <c r="T1" s="12"/>
      <c r="U1" s="16" t="s">
        <v>10</v>
      </c>
      <c r="V1" s="12"/>
      <c r="W1" s="16" t="s">
        <v>11</v>
      </c>
      <c r="X1" s="12"/>
      <c r="Y1" s="16" t="s">
        <v>12</v>
      </c>
      <c r="Z1" s="12"/>
      <c r="AA1" s="16" t="s">
        <v>13</v>
      </c>
      <c r="AB1" s="12"/>
      <c r="AC1" s="16" t="s">
        <v>14</v>
      </c>
      <c r="AD1" s="12"/>
      <c r="AE1" s="16" t="s">
        <v>15</v>
      </c>
      <c r="AF1" s="17"/>
      <c r="AG1" s="16" t="s">
        <v>16</v>
      </c>
      <c r="AH1" s="12"/>
      <c r="AI1" s="16" t="s">
        <v>17</v>
      </c>
      <c r="AJ1" s="17"/>
      <c r="AK1" s="16" t="s">
        <v>18</v>
      </c>
      <c r="AL1" s="12"/>
      <c r="AM1" s="16" t="s">
        <v>19</v>
      </c>
      <c r="AN1" s="17"/>
      <c r="AO1" s="16" t="s">
        <v>20</v>
      </c>
      <c r="AP1" s="17"/>
      <c r="AQ1" s="16" t="s">
        <v>21</v>
      </c>
      <c r="AR1" s="17"/>
      <c r="AS1" s="16" t="s">
        <v>22</v>
      </c>
      <c r="AT1" s="17"/>
      <c r="AU1" s="18" t="s">
        <v>23</v>
      </c>
      <c r="AV1" s="17"/>
      <c r="AW1" s="19" t="s">
        <v>24</v>
      </c>
      <c r="AX1" s="20"/>
      <c r="AY1" s="17"/>
      <c r="AZ1" s="19" t="s">
        <v>25</v>
      </c>
      <c r="BA1" s="20"/>
      <c r="BB1" s="17"/>
      <c r="BC1" s="19" t="s">
        <v>26</v>
      </c>
      <c r="BD1" s="20"/>
      <c r="BE1" s="17"/>
      <c r="BF1" s="19" t="s">
        <v>27</v>
      </c>
      <c r="BG1" s="20"/>
      <c r="BH1" s="17"/>
      <c r="BI1" s="19" t="s">
        <v>28</v>
      </c>
      <c r="BJ1" s="20"/>
      <c r="BK1" s="17"/>
      <c r="BL1" s="19" t="s">
        <v>29</v>
      </c>
      <c r="BM1" s="20"/>
      <c r="BN1" s="17"/>
      <c r="BO1" s="19" t="s">
        <v>30</v>
      </c>
      <c r="BP1" s="20"/>
      <c r="BQ1" s="17"/>
      <c r="BR1" s="19" t="s">
        <v>31</v>
      </c>
      <c r="BS1" s="20"/>
      <c r="BT1" s="17"/>
      <c r="BU1" s="19" t="s">
        <v>32</v>
      </c>
      <c r="BV1" s="20"/>
      <c r="BW1" s="17"/>
      <c r="BX1" s="21" t="s">
        <v>33</v>
      </c>
      <c r="BY1" s="22"/>
      <c r="BZ1" s="17"/>
      <c r="CA1" s="19" t="s">
        <v>34</v>
      </c>
      <c r="CB1" s="20"/>
      <c r="CC1" s="17"/>
      <c r="CD1" s="21" t="s">
        <v>35</v>
      </c>
      <c r="CE1" s="22"/>
      <c r="CF1" s="17"/>
      <c r="CG1" s="21" t="s">
        <v>36</v>
      </c>
      <c r="CH1" s="22"/>
      <c r="CI1" s="17"/>
      <c r="CJ1" s="21" t="s">
        <v>37</v>
      </c>
      <c r="CK1" s="22"/>
      <c r="CL1" s="17"/>
      <c r="CM1" s="21" t="s">
        <v>38</v>
      </c>
      <c r="CN1" s="22"/>
      <c r="CO1" s="17"/>
      <c r="CP1" s="21" t="s">
        <v>39</v>
      </c>
      <c r="CQ1" s="22"/>
      <c r="CR1" s="17"/>
      <c r="CS1" s="21" t="s">
        <v>20</v>
      </c>
      <c r="CT1" s="22"/>
      <c r="CU1" s="17"/>
      <c r="CV1" s="21" t="s">
        <v>21</v>
      </c>
      <c r="CW1" s="22"/>
      <c r="CX1" s="17"/>
      <c r="CY1" s="21" t="s">
        <v>22</v>
      </c>
      <c r="CZ1" s="22"/>
      <c r="DA1" s="17"/>
      <c r="DB1" s="21" t="s">
        <v>23</v>
      </c>
      <c r="DC1" s="22"/>
      <c r="DD1" s="17"/>
      <c r="DE1" s="18" t="s">
        <v>40</v>
      </c>
      <c r="DF1" s="17"/>
      <c r="DG1" s="16" t="s">
        <v>41</v>
      </c>
      <c r="DH1" s="17"/>
      <c r="DI1" s="16" t="s">
        <v>42</v>
      </c>
      <c r="DJ1" s="17"/>
      <c r="DK1" s="23" t="s">
        <v>43</v>
      </c>
      <c r="DL1" s="17"/>
      <c r="DM1" s="24" t="s">
        <v>44</v>
      </c>
      <c r="DN1" s="17"/>
      <c r="DO1" s="23" t="s">
        <v>45</v>
      </c>
      <c r="DP1" s="17"/>
      <c r="DQ1" s="24" t="s">
        <v>3</v>
      </c>
      <c r="DR1" s="17"/>
      <c r="DS1" s="25" t="s">
        <v>46</v>
      </c>
      <c r="DT1" s="25"/>
      <c r="DU1" s="25"/>
      <c r="DV1" s="25"/>
      <c r="DW1" s="25"/>
      <c r="DX1" s="25"/>
      <c r="DY1" s="25"/>
    </row>
    <row r="2" ht="12" customHeight="1" spans="1:129" x14ac:dyDescent="0.25">
      <c r="A2" s="26" t="s">
        <v>47</v>
      </c>
      <c r="B2" s="27"/>
      <c r="C2" s="28"/>
      <c r="D2" s="29"/>
      <c r="E2" s="28">
        <v>54</v>
      </c>
      <c r="F2" s="29"/>
      <c r="G2" s="28">
        <v>62.1</v>
      </c>
      <c r="H2" s="8"/>
      <c r="I2" s="30"/>
      <c r="J2" s="8"/>
      <c r="K2" s="30"/>
      <c r="L2" s="8"/>
      <c r="M2" s="30"/>
      <c r="N2" s="8"/>
      <c r="O2" s="30"/>
      <c r="P2" s="8"/>
      <c r="Q2" s="30"/>
      <c r="R2" s="8"/>
      <c r="S2" s="30"/>
      <c r="T2" s="8"/>
      <c r="U2" s="30"/>
      <c r="V2" s="8"/>
      <c r="W2" s="30"/>
      <c r="X2" s="8"/>
      <c r="Y2" s="30"/>
      <c r="Z2" s="8"/>
      <c r="AA2" s="30"/>
      <c r="AB2" s="8"/>
      <c r="AC2" s="30"/>
      <c r="AD2" s="8"/>
      <c r="AE2" s="30"/>
      <c r="AG2" s="30"/>
      <c r="AH2" s="8"/>
      <c r="AI2" s="30"/>
      <c r="AJ2" s="8"/>
      <c r="AK2" s="30"/>
      <c r="AL2" s="8"/>
      <c r="AM2" s="30"/>
      <c r="AN2" s="8"/>
      <c r="AO2" s="30"/>
      <c r="AP2" s="8"/>
      <c r="AQ2" s="30"/>
      <c r="AR2" s="8"/>
      <c r="AS2" s="30"/>
      <c r="AT2" s="8"/>
      <c r="AU2" s="30"/>
      <c r="AV2" s="8"/>
      <c r="AW2" s="31">
        <f t="shared" ref="AW2:AW33" si="0">I2</f>
        <v>0</v>
      </c>
      <c r="AX2" s="32">
        <f t="shared" ref="AX2:AX33" si="1">AW2*G2</f>
        <v>0</v>
      </c>
      <c r="AY2" s="33"/>
      <c r="AZ2" s="31">
        <f t="shared" ref="AZ2:AZ33" si="2">K2</f>
        <v>0</v>
      </c>
      <c r="BA2" s="32">
        <f t="shared" ref="BA2:BA33" si="3">AZ2*G2</f>
        <v>0</v>
      </c>
      <c r="BB2" s="33"/>
      <c r="BC2" s="31">
        <f t="shared" ref="BC2:BC33" si="4">M2</f>
        <v>0</v>
      </c>
      <c r="BD2" s="32">
        <f t="shared" ref="BD2:BD33" si="5">BC2*G2</f>
        <v>0</v>
      </c>
      <c r="BE2" s="33"/>
      <c r="BF2" s="31">
        <f t="shared" ref="BF2:BF33" si="6">O2</f>
        <v>0</v>
      </c>
      <c r="BG2" s="32">
        <f t="shared" ref="BG2:BG33" si="7">BF2*G2</f>
        <v>0</v>
      </c>
      <c r="BH2" s="33"/>
      <c r="BI2" s="31">
        <f t="shared" ref="BI2:BI33" si="8">Q2</f>
        <v>0</v>
      </c>
      <c r="BJ2" s="32">
        <f t="shared" ref="BJ2:BJ33" si="9">BI2*G2</f>
        <v>0</v>
      </c>
      <c r="BK2" s="33"/>
      <c r="BL2" s="31">
        <f t="shared" ref="BL2:BL33" si="10">S2</f>
        <v>0</v>
      </c>
      <c r="BM2" s="32">
        <f t="shared" ref="BM2:BM33" si="11">BL2*G2</f>
        <v>0</v>
      </c>
      <c r="BN2" s="33"/>
      <c r="BO2" s="31">
        <f t="shared" ref="BO2:BO33" si="12">U2</f>
        <v>0</v>
      </c>
      <c r="BP2" s="32">
        <f t="shared" ref="BP2:BP33" si="13">BO2*G2</f>
        <v>0</v>
      </c>
      <c r="BQ2" s="33"/>
      <c r="BR2" s="31">
        <f t="shared" ref="BR2:BR33" si="14">W2</f>
        <v>0</v>
      </c>
      <c r="BS2" s="32">
        <f t="shared" ref="BS2:BS33" si="15">BR2*G2</f>
        <v>0</v>
      </c>
      <c r="BT2" s="33"/>
      <c r="BU2" s="31">
        <f t="shared" ref="BU2:BU33" si="16">Y2</f>
        <v>0</v>
      </c>
      <c r="BV2" s="32">
        <f t="shared" ref="BV2:BV33" si="17">BU2*G2</f>
        <v>0</v>
      </c>
      <c r="BW2" s="33"/>
      <c r="BX2" s="31">
        <f t="shared" ref="BX2:BX33" si="18">AA2</f>
        <v>0</v>
      </c>
      <c r="BY2" s="32">
        <f t="shared" ref="BY2:BY33" si="19">BX2*G2</f>
        <v>0</v>
      </c>
      <c r="BZ2" s="33"/>
      <c r="CA2" s="31">
        <f t="shared" ref="CA2:CA33" si="20">AC2</f>
        <v>0</v>
      </c>
      <c r="CB2" s="32">
        <f t="shared" ref="CB2:CB33" si="21">CA2*G2</f>
        <v>0</v>
      </c>
      <c r="CC2" s="33"/>
      <c r="CD2" s="31">
        <f t="shared" ref="CD2:CD33" si="22">AE2</f>
        <v>0</v>
      </c>
      <c r="CE2" s="32">
        <f t="shared" ref="CE2:CE33" si="23">CD2*G2</f>
        <v>0</v>
      </c>
      <c r="CF2" s="33"/>
      <c r="CG2" s="34">
        <f t="shared" ref="CG2:CG33" si="24">AG2</f>
        <v>0</v>
      </c>
      <c r="CH2" s="32">
        <f>CG2*JJ2</f>
        <v>0</v>
      </c>
      <c r="CI2" s="33"/>
      <c r="CJ2" s="34">
        <f t="shared" ref="CJ2:CJ33" si="25">AI2</f>
        <v>0</v>
      </c>
      <c r="CK2" s="32">
        <f t="shared" ref="CK2:CK33" si="26">CJ2*G2</f>
        <v>0</v>
      </c>
      <c r="CL2" s="33"/>
      <c r="CM2" s="34">
        <f t="shared" ref="CM2:CM33" si="27">AK2</f>
        <v>0</v>
      </c>
      <c r="CN2" s="32">
        <f t="shared" ref="CN2:CN33" si="28">CM2*G2</f>
        <v>0</v>
      </c>
      <c r="CO2" s="33"/>
      <c r="CP2" s="34">
        <f t="shared" ref="CP2:CP33" si="29">AM2</f>
        <v>0</v>
      </c>
      <c r="CQ2" s="32">
        <f t="shared" ref="CQ2:CQ33" si="30">CP2*G2</f>
        <v>0</v>
      </c>
      <c r="CR2" s="33"/>
      <c r="CS2" s="34">
        <f t="shared" ref="CS2:CS33" si="31">AO2</f>
        <v>0</v>
      </c>
      <c r="CT2" s="32">
        <f t="shared" ref="CT2:CT33" si="32">CS2*G2</f>
        <v>0</v>
      </c>
      <c r="CU2" s="33"/>
      <c r="CV2" s="31">
        <f t="shared" ref="CV2:CV33" si="33">AQ2</f>
        <v>0</v>
      </c>
      <c r="CW2" s="32">
        <f t="shared" ref="CW2:CW33" si="34">CV2*G2</f>
        <v>0</v>
      </c>
      <c r="CX2" s="33"/>
      <c r="CY2" s="31">
        <f t="shared" ref="CY2:CY33" si="35">AS2</f>
        <v>0</v>
      </c>
      <c r="CZ2" s="32">
        <f t="shared" ref="CZ2:CZ33" si="36">CY2*G2</f>
        <v>0</v>
      </c>
      <c r="DA2" s="33"/>
      <c r="DB2" s="31">
        <f t="shared" ref="DB2:DB33" si="37">AU2</f>
        <v>0</v>
      </c>
      <c r="DC2" s="32">
        <f t="shared" ref="DC2:DC33" si="38">DB2*G2</f>
        <v>0</v>
      </c>
      <c r="DD2" s="8"/>
      <c r="DE2" s="35">
        <v>177</v>
      </c>
      <c r="DF2" s="27"/>
      <c r="DG2" s="36">
        <f t="shared" ref="DG2:DG33" si="39">C2</f>
        <v>0</v>
      </c>
      <c r="DH2" s="27"/>
      <c r="DI2" s="36">
        <f t="shared" ref="DI2:DI33" si="40">SUM(I2:AV2)</f>
        <v>0</v>
      </c>
      <c r="DJ2" s="27"/>
      <c r="DK2" s="37">
        <f t="shared" ref="DK2:DK33" si="41">DE2+DG2-DI2</f>
        <v>177</v>
      </c>
      <c r="DL2" s="27"/>
      <c r="DM2" s="38">
        <f t="shared" ref="DM2:DM33" si="42">E2*DK2</f>
        <v>9558</v>
      </c>
      <c r="DN2" s="27"/>
      <c r="DO2" s="39" t="e">
        <f t="shared" ref="DO2:DO33" si="43">DK2/DI2</f>
        <v>#DIV/0!</v>
      </c>
      <c r="DP2" s="27"/>
      <c r="DQ2" s="38">
        <f t="shared" ref="DQ2:DQ33" si="44">G2*DK2</f>
        <v>10991.7</v>
      </c>
      <c r="DR2" s="27"/>
      <c r="DS2" s="40"/>
      <c r="DT2" s="40"/>
      <c r="DU2" s="40"/>
      <c r="DV2" s="40"/>
      <c r="DW2" s="40"/>
      <c r="DX2" s="40"/>
      <c r="DY2" s="40"/>
    </row>
    <row r="3" ht="12" customHeight="1" spans="1:129" x14ac:dyDescent="0.25">
      <c r="A3" s="41" t="s">
        <v>48</v>
      </c>
      <c r="B3" s="42"/>
      <c r="C3" s="43"/>
      <c r="D3" s="44"/>
      <c r="E3" s="45">
        <v>36.93</v>
      </c>
      <c r="F3" s="44"/>
      <c r="G3" s="45">
        <v>42.47</v>
      </c>
      <c r="I3" s="46"/>
      <c r="J3" s="47"/>
      <c r="K3" s="46"/>
      <c r="L3" s="47"/>
      <c r="M3" s="46"/>
      <c r="N3" s="47"/>
      <c r="O3" s="46"/>
      <c r="P3" s="47"/>
      <c r="Q3" s="46"/>
      <c r="R3" s="47"/>
      <c r="S3" s="46"/>
      <c r="T3" s="47"/>
      <c r="U3" s="46"/>
      <c r="V3" s="47"/>
      <c r="W3" s="46"/>
      <c r="X3" s="47"/>
      <c r="Y3" s="46"/>
      <c r="Z3" s="47"/>
      <c r="AA3" s="46"/>
      <c r="AB3" s="47"/>
      <c r="AC3" s="46"/>
      <c r="AD3" s="47"/>
      <c r="AE3" s="46"/>
      <c r="AF3" s="48"/>
      <c r="AG3" s="46"/>
      <c r="AH3" s="47"/>
      <c r="AI3" s="46"/>
      <c r="AJ3" s="47"/>
      <c r="AK3" s="46"/>
      <c r="AL3" s="47"/>
      <c r="AM3" s="46"/>
      <c r="AN3" s="47"/>
      <c r="AO3" s="46"/>
      <c r="AP3" s="47"/>
      <c r="AQ3" s="46"/>
      <c r="AR3" s="47"/>
      <c r="AS3" s="46"/>
      <c r="AT3" s="47"/>
      <c r="AU3" s="46"/>
      <c r="AV3" s="47"/>
      <c r="AW3" s="31">
        <f t="shared" si="0"/>
        <v>0</v>
      </c>
      <c r="AX3" s="49">
        <f t="shared" si="1"/>
        <v>0</v>
      </c>
      <c r="AY3" s="50"/>
      <c r="AZ3" s="31">
        <f t="shared" si="2"/>
        <v>0</v>
      </c>
      <c r="BA3" s="49">
        <f t="shared" si="3"/>
        <v>0</v>
      </c>
      <c r="BB3" s="50"/>
      <c r="BC3" s="31">
        <f t="shared" si="4"/>
        <v>0</v>
      </c>
      <c r="BD3" s="49">
        <f t="shared" si="5"/>
        <v>0</v>
      </c>
      <c r="BE3" s="50"/>
      <c r="BF3" s="31">
        <f t="shared" si="6"/>
        <v>0</v>
      </c>
      <c r="BG3" s="49">
        <f t="shared" si="7"/>
        <v>0</v>
      </c>
      <c r="BH3" s="50"/>
      <c r="BI3" s="31">
        <f t="shared" si="8"/>
        <v>0</v>
      </c>
      <c r="BJ3" s="49">
        <f t="shared" si="9"/>
        <v>0</v>
      </c>
      <c r="BK3" s="50"/>
      <c r="BL3" s="31">
        <f t="shared" si="10"/>
        <v>0</v>
      </c>
      <c r="BM3" s="49">
        <f t="shared" si="11"/>
        <v>0</v>
      </c>
      <c r="BN3" s="50"/>
      <c r="BO3" s="31">
        <f t="shared" si="12"/>
        <v>0</v>
      </c>
      <c r="BP3" s="49">
        <f t="shared" si="13"/>
        <v>0</v>
      </c>
      <c r="BQ3" s="50"/>
      <c r="BR3" s="31">
        <f t="shared" si="14"/>
        <v>0</v>
      </c>
      <c r="BS3" s="49">
        <f t="shared" si="15"/>
        <v>0</v>
      </c>
      <c r="BT3" s="50"/>
      <c r="BU3" s="31">
        <f t="shared" si="16"/>
        <v>0</v>
      </c>
      <c r="BV3" s="49">
        <f t="shared" si="17"/>
        <v>0</v>
      </c>
      <c r="BW3" s="50"/>
      <c r="BX3" s="31">
        <f t="shared" si="18"/>
        <v>0</v>
      </c>
      <c r="BY3" s="49">
        <f t="shared" si="19"/>
        <v>0</v>
      </c>
      <c r="BZ3" s="50"/>
      <c r="CA3" s="31">
        <f t="shared" si="20"/>
        <v>0</v>
      </c>
      <c r="CB3" s="49">
        <f t="shared" si="21"/>
        <v>0</v>
      </c>
      <c r="CC3" s="50"/>
      <c r="CD3" s="31">
        <f t="shared" si="22"/>
        <v>0</v>
      </c>
      <c r="CE3" s="49">
        <f t="shared" si="23"/>
        <v>0</v>
      </c>
      <c r="CF3" s="50"/>
      <c r="CG3" s="34">
        <f t="shared" si="24"/>
        <v>0</v>
      </c>
      <c r="CH3" s="49">
        <f t="shared" ref="CH3:CH34" si="45">CG3*G3</f>
        <v>0</v>
      </c>
      <c r="CI3" s="50"/>
      <c r="CJ3" s="34">
        <f t="shared" si="25"/>
        <v>0</v>
      </c>
      <c r="CK3" s="49">
        <f t="shared" si="26"/>
        <v>0</v>
      </c>
      <c r="CL3" s="50"/>
      <c r="CM3" s="34">
        <f t="shared" si="27"/>
        <v>0</v>
      </c>
      <c r="CN3" s="49">
        <f t="shared" si="28"/>
        <v>0</v>
      </c>
      <c r="CO3" s="50"/>
      <c r="CP3" s="34">
        <f t="shared" si="29"/>
        <v>0</v>
      </c>
      <c r="CQ3" s="49">
        <f t="shared" si="30"/>
        <v>0</v>
      </c>
      <c r="CR3" s="50"/>
      <c r="CS3" s="34">
        <f t="shared" si="31"/>
        <v>0</v>
      </c>
      <c r="CT3" s="49">
        <f t="shared" si="32"/>
        <v>0</v>
      </c>
      <c r="CU3" s="50"/>
      <c r="CV3" s="31">
        <f t="shared" si="33"/>
        <v>0</v>
      </c>
      <c r="CW3" s="49">
        <f t="shared" si="34"/>
        <v>0</v>
      </c>
      <c r="CX3" s="50"/>
      <c r="CY3" s="31">
        <f t="shared" si="35"/>
        <v>0</v>
      </c>
      <c r="CZ3" s="49">
        <f t="shared" si="36"/>
        <v>0</v>
      </c>
      <c r="DA3" s="50"/>
      <c r="DB3" s="31">
        <f t="shared" si="37"/>
        <v>0</v>
      </c>
      <c r="DC3" s="49">
        <f t="shared" si="38"/>
        <v>0</v>
      </c>
      <c r="DD3" s="47"/>
      <c r="DE3" s="51">
        <v>178</v>
      </c>
      <c r="DF3" s="52"/>
      <c r="DG3" s="53">
        <f t="shared" si="39"/>
        <v>0</v>
      </c>
      <c r="DH3" s="52"/>
      <c r="DI3" s="53">
        <f t="shared" si="40"/>
        <v>0</v>
      </c>
      <c r="DJ3" s="52"/>
      <c r="DK3" s="54">
        <f t="shared" si="41"/>
        <v>178</v>
      </c>
      <c r="DL3" s="52"/>
      <c r="DM3" s="55">
        <f t="shared" si="42"/>
        <v>6573.54</v>
      </c>
      <c r="DN3" s="52"/>
      <c r="DO3" s="56" t="e">
        <f t="shared" si="43"/>
        <v>#DIV/0!</v>
      </c>
      <c r="DP3" s="52"/>
      <c r="DQ3" s="55">
        <f t="shared" si="44"/>
        <v>7559.66</v>
      </c>
      <c r="DR3" s="52"/>
      <c r="DS3" s="57"/>
      <c r="DT3" s="57"/>
      <c r="DU3" s="57"/>
      <c r="DV3" s="57"/>
      <c r="DW3" s="57"/>
      <c r="DX3" s="57"/>
      <c r="DY3" s="57"/>
    </row>
    <row r="4" ht="12" customHeight="1" spans="1:129" x14ac:dyDescent="0.25">
      <c r="A4" s="58" t="s">
        <v>49</v>
      </c>
      <c r="B4" s="42"/>
      <c r="C4" s="59"/>
      <c r="D4" s="44"/>
      <c r="E4" s="60">
        <v>29.95</v>
      </c>
      <c r="F4" s="44"/>
      <c r="G4" s="61">
        <v>35.94</v>
      </c>
      <c r="I4" s="62">
        <v>1</v>
      </c>
      <c r="J4" s="63"/>
      <c r="K4" s="64">
        <v>4</v>
      </c>
      <c r="L4" s="3"/>
      <c r="M4" s="62">
        <v>1</v>
      </c>
      <c r="N4" s="3"/>
      <c r="O4" s="64">
        <v>2</v>
      </c>
      <c r="P4" s="3"/>
      <c r="Q4" s="62"/>
      <c r="R4" s="3"/>
      <c r="S4" s="64">
        <v>1</v>
      </c>
      <c r="T4" s="3"/>
      <c r="U4" s="62">
        <v>2</v>
      </c>
      <c r="V4" s="3"/>
      <c r="W4" s="64">
        <v>1</v>
      </c>
      <c r="X4" s="3"/>
      <c r="Y4" s="62">
        <v>1</v>
      </c>
      <c r="Z4" s="3"/>
      <c r="AA4" s="64">
        <v>1</v>
      </c>
      <c r="AB4" s="3"/>
      <c r="AC4" s="62">
        <v>1</v>
      </c>
      <c r="AD4" s="3"/>
      <c r="AE4" s="64"/>
      <c r="AF4" s="3"/>
      <c r="AG4" s="62"/>
      <c r="AH4" s="3"/>
      <c r="AI4" s="64"/>
      <c r="AJ4" s="3"/>
      <c r="AK4" s="62"/>
      <c r="AL4" s="3"/>
      <c r="AM4" s="64"/>
      <c r="AN4" s="3"/>
      <c r="AO4" s="62"/>
      <c r="AP4" s="3"/>
      <c r="AQ4" s="64"/>
      <c r="AR4" s="3"/>
      <c r="AS4" s="62"/>
      <c r="AT4" s="3"/>
      <c r="AU4" s="64"/>
      <c r="AW4" s="34">
        <f t="shared" si="0"/>
        <v>1</v>
      </c>
      <c r="AX4" s="65">
        <f t="shared" si="1"/>
        <v>35.94</v>
      </c>
      <c r="AY4" s="66"/>
      <c r="AZ4" s="34">
        <f t="shared" si="2"/>
        <v>4</v>
      </c>
      <c r="BA4" s="67">
        <f t="shared" si="3"/>
        <v>143.76</v>
      </c>
      <c r="BB4" s="66"/>
      <c r="BC4" s="34">
        <f t="shared" si="4"/>
        <v>1</v>
      </c>
      <c r="BD4" s="65">
        <f t="shared" si="5"/>
        <v>35.94</v>
      </c>
      <c r="BE4" s="66"/>
      <c r="BF4" s="34">
        <f t="shared" si="6"/>
        <v>2</v>
      </c>
      <c r="BG4" s="67">
        <f t="shared" si="7"/>
        <v>71.88</v>
      </c>
      <c r="BH4" s="66"/>
      <c r="BI4" s="34">
        <f t="shared" si="8"/>
        <v>0</v>
      </c>
      <c r="BJ4" s="65">
        <f t="shared" si="9"/>
        <v>0</v>
      </c>
      <c r="BK4" s="66"/>
      <c r="BL4" s="34">
        <f t="shared" si="10"/>
        <v>1</v>
      </c>
      <c r="BM4" s="67">
        <f t="shared" si="11"/>
        <v>35.94</v>
      </c>
      <c r="BN4" s="66"/>
      <c r="BO4" s="34">
        <f t="shared" si="12"/>
        <v>2</v>
      </c>
      <c r="BP4" s="65">
        <f t="shared" si="13"/>
        <v>71.88</v>
      </c>
      <c r="BQ4" s="66"/>
      <c r="BR4" s="34">
        <f t="shared" si="14"/>
        <v>1</v>
      </c>
      <c r="BS4" s="67">
        <f t="shared" si="15"/>
        <v>35.94</v>
      </c>
      <c r="BT4" s="66"/>
      <c r="BU4" s="34">
        <f t="shared" si="16"/>
        <v>1</v>
      </c>
      <c r="BV4" s="65">
        <f t="shared" si="17"/>
        <v>35.94</v>
      </c>
      <c r="BW4" s="66"/>
      <c r="BX4" s="34">
        <f t="shared" si="18"/>
        <v>1</v>
      </c>
      <c r="BY4" s="67">
        <f t="shared" si="19"/>
        <v>35.94</v>
      </c>
      <c r="BZ4" s="66"/>
      <c r="CA4" s="34">
        <f t="shared" si="20"/>
        <v>1</v>
      </c>
      <c r="CB4" s="65">
        <f t="shared" si="21"/>
        <v>35.94</v>
      </c>
      <c r="CC4" s="66"/>
      <c r="CD4" s="34">
        <f t="shared" si="22"/>
        <v>0</v>
      </c>
      <c r="CE4" s="67">
        <f t="shared" si="23"/>
        <v>0</v>
      </c>
      <c r="CF4" s="66"/>
      <c r="CG4" s="34">
        <f t="shared" si="24"/>
        <v>0</v>
      </c>
      <c r="CH4" s="67">
        <f t="shared" si="45"/>
        <v>0</v>
      </c>
      <c r="CI4" s="66"/>
      <c r="CJ4" s="34">
        <f t="shared" si="25"/>
        <v>0</v>
      </c>
      <c r="CK4" s="67">
        <f t="shared" si="26"/>
        <v>0</v>
      </c>
      <c r="CL4" s="66"/>
      <c r="CM4" s="34">
        <f t="shared" si="27"/>
        <v>0</v>
      </c>
      <c r="CN4" s="67">
        <f t="shared" si="28"/>
        <v>0</v>
      </c>
      <c r="CO4" s="66"/>
      <c r="CP4" s="34">
        <f t="shared" si="29"/>
        <v>0</v>
      </c>
      <c r="CQ4" s="67">
        <f t="shared" si="30"/>
        <v>0</v>
      </c>
      <c r="CR4" s="66"/>
      <c r="CS4" s="34">
        <f t="shared" si="31"/>
        <v>0</v>
      </c>
      <c r="CT4" s="65">
        <f t="shared" si="32"/>
        <v>0</v>
      </c>
      <c r="CU4" s="66"/>
      <c r="CV4" s="34">
        <f t="shared" si="33"/>
        <v>0</v>
      </c>
      <c r="CW4" s="67">
        <f t="shared" si="34"/>
        <v>0</v>
      </c>
      <c r="CX4" s="66"/>
      <c r="CY4" s="34">
        <f t="shared" si="35"/>
        <v>0</v>
      </c>
      <c r="CZ4" s="65">
        <f t="shared" si="36"/>
        <v>0</v>
      </c>
      <c r="DA4" s="66"/>
      <c r="DB4" s="34">
        <f t="shared" si="37"/>
        <v>0</v>
      </c>
      <c r="DC4" s="67">
        <f t="shared" si="38"/>
        <v>0</v>
      </c>
      <c r="DE4" s="68">
        <v>784</v>
      </c>
      <c r="DF4" s="42"/>
      <c r="DG4" s="69">
        <f t="shared" si="39"/>
        <v>0</v>
      </c>
      <c r="DH4" s="42"/>
      <c r="DI4" s="70">
        <f t="shared" si="40"/>
        <v>15</v>
      </c>
      <c r="DJ4" s="42"/>
      <c r="DK4" s="70">
        <f t="shared" si="41"/>
        <v>769</v>
      </c>
      <c r="DL4" s="42"/>
      <c r="DM4" s="71">
        <f t="shared" si="42"/>
        <v>23031.55</v>
      </c>
      <c r="DN4" s="42"/>
      <c r="DO4" s="72">
        <f t="shared" si="43"/>
        <v>51.266666666666666</v>
      </c>
      <c r="DP4" s="42"/>
      <c r="DQ4" s="71">
        <f t="shared" si="44"/>
        <v>27637.859999999997</v>
      </c>
      <c r="DR4" s="42"/>
      <c r="DS4" s="69"/>
      <c r="DT4" s="42"/>
      <c r="DU4" s="71">
        <v>0</v>
      </c>
      <c r="DV4" s="42"/>
      <c r="DW4" s="73">
        <f t="shared" ref="DW4:DW35" si="46">DU4*1.2</f>
        <v>0</v>
      </c>
      <c r="DX4" s="42"/>
      <c r="DY4" s="71">
        <f t="shared" ref="DY4:DY35" si="47">DU4*DS4</f>
        <v>0</v>
      </c>
    </row>
    <row r="5" ht="12" customHeight="1" spans="1:129" x14ac:dyDescent="0.25">
      <c r="A5" s="74" t="s">
        <v>50</v>
      </c>
      <c r="B5" s="42"/>
      <c r="C5" s="75"/>
      <c r="D5" s="44"/>
      <c r="E5" s="60">
        <v>23</v>
      </c>
      <c r="F5" s="44"/>
      <c r="G5" s="61">
        <v>27.6</v>
      </c>
      <c r="I5" s="62">
        <v>1</v>
      </c>
      <c r="J5" s="63"/>
      <c r="K5" s="64">
        <v>6</v>
      </c>
      <c r="L5" s="3"/>
      <c r="M5" s="62">
        <v>5</v>
      </c>
      <c r="N5" s="3"/>
      <c r="O5" s="64">
        <v>4</v>
      </c>
      <c r="P5" s="3"/>
      <c r="Q5" s="62">
        <v>3</v>
      </c>
      <c r="R5" s="3"/>
      <c r="S5" s="64">
        <v>3</v>
      </c>
      <c r="T5" s="3"/>
      <c r="U5" s="62">
        <v>4</v>
      </c>
      <c r="V5" s="3"/>
      <c r="W5" s="64">
        <v>3</v>
      </c>
      <c r="X5" s="3"/>
      <c r="Y5" s="62">
        <v>3</v>
      </c>
      <c r="Z5" s="3"/>
      <c r="AA5" s="64">
        <v>2</v>
      </c>
      <c r="AB5" s="3"/>
      <c r="AC5" s="62">
        <v>3</v>
      </c>
      <c r="AD5" s="3"/>
      <c r="AE5" s="64"/>
      <c r="AF5" s="3"/>
      <c r="AG5" s="62"/>
      <c r="AH5" s="3"/>
      <c r="AI5" s="64"/>
      <c r="AJ5" s="3"/>
      <c r="AK5" s="62"/>
      <c r="AL5" s="3"/>
      <c r="AM5" s="64"/>
      <c r="AN5" s="3"/>
      <c r="AO5" s="62"/>
      <c r="AP5" s="3"/>
      <c r="AQ5" s="64"/>
      <c r="AR5" s="3"/>
      <c r="AS5" s="62"/>
      <c r="AT5" s="3"/>
      <c r="AU5" s="64"/>
      <c r="AW5" s="34">
        <f t="shared" si="0"/>
        <v>1</v>
      </c>
      <c r="AX5" s="65">
        <f t="shared" si="1"/>
        <v>27.6</v>
      </c>
      <c r="AY5" s="66"/>
      <c r="AZ5" s="31">
        <f t="shared" si="2"/>
        <v>6</v>
      </c>
      <c r="BA5" s="67">
        <f t="shared" si="3"/>
        <v>165.60000000000002</v>
      </c>
      <c r="BB5" s="66"/>
      <c r="BC5" s="31">
        <f t="shared" si="4"/>
        <v>5</v>
      </c>
      <c r="BD5" s="65">
        <f t="shared" si="5"/>
        <v>138</v>
      </c>
      <c r="BE5" s="66"/>
      <c r="BF5" s="31">
        <f t="shared" si="6"/>
        <v>4</v>
      </c>
      <c r="BG5" s="67">
        <f t="shared" si="7"/>
        <v>110.4</v>
      </c>
      <c r="BH5" s="66"/>
      <c r="BI5" s="31">
        <f t="shared" si="8"/>
        <v>3</v>
      </c>
      <c r="BJ5" s="65">
        <f t="shared" si="9"/>
        <v>82.80000000000001</v>
      </c>
      <c r="BK5" s="66"/>
      <c r="BL5" s="31">
        <f t="shared" si="10"/>
        <v>3</v>
      </c>
      <c r="BM5" s="67">
        <f t="shared" si="11"/>
        <v>82.80000000000001</v>
      </c>
      <c r="BN5" s="66"/>
      <c r="BO5" s="31">
        <f t="shared" si="12"/>
        <v>4</v>
      </c>
      <c r="BP5" s="65">
        <f t="shared" si="13"/>
        <v>110.4</v>
      </c>
      <c r="BQ5" s="66"/>
      <c r="BR5" s="31">
        <f t="shared" si="14"/>
        <v>3</v>
      </c>
      <c r="BS5" s="67">
        <f t="shared" si="15"/>
        <v>82.80000000000001</v>
      </c>
      <c r="BT5" s="66"/>
      <c r="BU5" s="31">
        <f t="shared" si="16"/>
        <v>3</v>
      </c>
      <c r="BV5" s="65">
        <f t="shared" si="17"/>
        <v>82.80000000000001</v>
      </c>
      <c r="BW5" s="66"/>
      <c r="BX5" s="31">
        <f t="shared" si="18"/>
        <v>2</v>
      </c>
      <c r="BY5" s="67">
        <f t="shared" si="19"/>
        <v>55.2</v>
      </c>
      <c r="BZ5" s="66"/>
      <c r="CA5" s="31">
        <f t="shared" si="20"/>
        <v>3</v>
      </c>
      <c r="CB5" s="65">
        <f t="shared" si="21"/>
        <v>82.80000000000001</v>
      </c>
      <c r="CC5" s="66"/>
      <c r="CD5" s="31">
        <f t="shared" si="22"/>
        <v>0</v>
      </c>
      <c r="CE5" s="67">
        <f t="shared" si="23"/>
        <v>0</v>
      </c>
      <c r="CF5" s="66"/>
      <c r="CG5" s="34">
        <f t="shared" si="24"/>
        <v>0</v>
      </c>
      <c r="CH5" s="67">
        <f t="shared" si="45"/>
        <v>0</v>
      </c>
      <c r="CI5" s="66"/>
      <c r="CJ5" s="34">
        <f t="shared" si="25"/>
        <v>0</v>
      </c>
      <c r="CK5" s="67">
        <f t="shared" si="26"/>
        <v>0</v>
      </c>
      <c r="CL5" s="66"/>
      <c r="CM5" s="34">
        <f t="shared" si="27"/>
        <v>0</v>
      </c>
      <c r="CN5" s="67">
        <f t="shared" si="28"/>
        <v>0</v>
      </c>
      <c r="CO5" s="66"/>
      <c r="CP5" s="34">
        <f t="shared" si="29"/>
        <v>0</v>
      </c>
      <c r="CQ5" s="67">
        <f t="shared" si="30"/>
        <v>0</v>
      </c>
      <c r="CR5" s="66"/>
      <c r="CS5" s="34">
        <f t="shared" si="31"/>
        <v>0</v>
      </c>
      <c r="CT5" s="65">
        <f t="shared" si="32"/>
        <v>0</v>
      </c>
      <c r="CU5" s="66"/>
      <c r="CV5" s="31">
        <f t="shared" si="33"/>
        <v>0</v>
      </c>
      <c r="CW5" s="67">
        <f t="shared" si="34"/>
        <v>0</v>
      </c>
      <c r="CX5" s="66"/>
      <c r="CY5" s="31">
        <f t="shared" si="35"/>
        <v>0</v>
      </c>
      <c r="CZ5" s="65">
        <f t="shared" si="36"/>
        <v>0</v>
      </c>
      <c r="DA5" s="66"/>
      <c r="DB5" s="31">
        <f t="shared" si="37"/>
        <v>0</v>
      </c>
      <c r="DC5" s="67">
        <f t="shared" si="38"/>
        <v>0</v>
      </c>
      <c r="DE5" s="76">
        <v>771</v>
      </c>
      <c r="DF5" s="42"/>
      <c r="DG5" s="69">
        <f t="shared" si="39"/>
        <v>0</v>
      </c>
      <c r="DH5" s="42"/>
      <c r="DI5" s="70">
        <f t="shared" si="40"/>
        <v>37</v>
      </c>
      <c r="DJ5" s="42"/>
      <c r="DK5" s="70">
        <f t="shared" si="41"/>
        <v>734</v>
      </c>
      <c r="DL5" s="42"/>
      <c r="DM5" s="71">
        <f t="shared" si="42"/>
        <v>16882</v>
      </c>
      <c r="DN5" s="42"/>
      <c r="DO5" s="72">
        <f t="shared" si="43"/>
        <v>19.83783783783784</v>
      </c>
      <c r="DP5" s="42"/>
      <c r="DQ5" s="71">
        <f t="shared" si="44"/>
        <v>20258.4</v>
      </c>
      <c r="DR5" s="42"/>
      <c r="DS5" s="69">
        <v>600</v>
      </c>
      <c r="DT5" s="42"/>
      <c r="DU5" s="71">
        <v>28.75</v>
      </c>
      <c r="DV5" s="42"/>
      <c r="DW5" s="73">
        <f t="shared" si="46"/>
        <v>34.5</v>
      </c>
      <c r="DX5" s="42"/>
      <c r="DY5" s="71">
        <f t="shared" si="47"/>
        <v>17250</v>
      </c>
    </row>
    <row r="6" ht="12" customHeight="1" spans="1:129" x14ac:dyDescent="0.25">
      <c r="A6" s="77" t="s">
        <v>51</v>
      </c>
      <c r="B6" s="42"/>
      <c r="C6" s="75"/>
      <c r="D6" s="44"/>
      <c r="E6" s="60">
        <v>38.95</v>
      </c>
      <c r="F6" s="44"/>
      <c r="G6" s="61">
        <v>46.74</v>
      </c>
      <c r="I6" s="62">
        <v>1</v>
      </c>
      <c r="J6" s="63"/>
      <c r="K6" s="64">
        <v>2</v>
      </c>
      <c r="L6" s="3"/>
      <c r="M6" s="62">
        <v>1</v>
      </c>
      <c r="N6" s="3"/>
      <c r="O6" s="64">
        <v>1</v>
      </c>
      <c r="P6" s="3"/>
      <c r="Q6" s="62">
        <v>1</v>
      </c>
      <c r="R6" s="3"/>
      <c r="S6" s="64">
        <v>1</v>
      </c>
      <c r="T6" s="3"/>
      <c r="U6" s="62">
        <v>1</v>
      </c>
      <c r="V6" s="3"/>
      <c r="W6" s="64">
        <v>1</v>
      </c>
      <c r="X6" s="3"/>
      <c r="Y6" s="62">
        <v>1</v>
      </c>
      <c r="Z6" s="3"/>
      <c r="AA6" s="64">
        <v>1</v>
      </c>
      <c r="AB6" s="3"/>
      <c r="AC6" s="62">
        <v>1</v>
      </c>
      <c r="AD6" s="3"/>
      <c r="AE6" s="64"/>
      <c r="AF6" s="3"/>
      <c r="AG6" s="62"/>
      <c r="AH6" s="3"/>
      <c r="AI6" s="64"/>
      <c r="AJ6" s="3"/>
      <c r="AK6" s="62"/>
      <c r="AL6" s="3"/>
      <c r="AM6" s="64"/>
      <c r="AN6" s="3"/>
      <c r="AO6" s="62"/>
      <c r="AP6" s="3"/>
      <c r="AQ6" s="64"/>
      <c r="AR6" s="3"/>
      <c r="AS6" s="62"/>
      <c r="AT6" s="3"/>
      <c r="AU6" s="64"/>
      <c r="AW6" s="34">
        <f t="shared" si="0"/>
        <v>1</v>
      </c>
      <c r="AX6" s="65">
        <f t="shared" si="1"/>
        <v>46.74</v>
      </c>
      <c r="AY6" s="66"/>
      <c r="AZ6" s="31">
        <f t="shared" si="2"/>
        <v>2</v>
      </c>
      <c r="BA6" s="67">
        <f t="shared" si="3"/>
        <v>93.48</v>
      </c>
      <c r="BB6" s="66"/>
      <c r="BC6" s="31">
        <f t="shared" si="4"/>
        <v>1</v>
      </c>
      <c r="BD6" s="65">
        <f t="shared" si="5"/>
        <v>46.74</v>
      </c>
      <c r="BE6" s="66"/>
      <c r="BF6" s="31">
        <f t="shared" si="6"/>
        <v>1</v>
      </c>
      <c r="BG6" s="67">
        <f t="shared" si="7"/>
        <v>46.74</v>
      </c>
      <c r="BH6" s="66"/>
      <c r="BI6" s="31">
        <f t="shared" si="8"/>
        <v>1</v>
      </c>
      <c r="BJ6" s="65">
        <f t="shared" si="9"/>
        <v>46.74</v>
      </c>
      <c r="BK6" s="66"/>
      <c r="BL6" s="31">
        <f t="shared" si="10"/>
        <v>1</v>
      </c>
      <c r="BM6" s="67">
        <f t="shared" si="11"/>
        <v>46.74</v>
      </c>
      <c r="BN6" s="66"/>
      <c r="BO6" s="31">
        <f t="shared" si="12"/>
        <v>1</v>
      </c>
      <c r="BP6" s="65">
        <f t="shared" si="13"/>
        <v>46.74</v>
      </c>
      <c r="BQ6" s="66"/>
      <c r="BR6" s="31">
        <f t="shared" si="14"/>
        <v>1</v>
      </c>
      <c r="BS6" s="67">
        <f t="shared" si="15"/>
        <v>46.74</v>
      </c>
      <c r="BT6" s="66"/>
      <c r="BU6" s="31">
        <f t="shared" si="16"/>
        <v>1</v>
      </c>
      <c r="BV6" s="65">
        <f t="shared" si="17"/>
        <v>46.74</v>
      </c>
      <c r="BW6" s="66"/>
      <c r="BX6" s="31">
        <f t="shared" si="18"/>
        <v>1</v>
      </c>
      <c r="BY6" s="67">
        <f t="shared" si="19"/>
        <v>46.74</v>
      </c>
      <c r="BZ6" s="66"/>
      <c r="CA6" s="31">
        <f t="shared" si="20"/>
        <v>1</v>
      </c>
      <c r="CB6" s="65">
        <f t="shared" si="21"/>
        <v>46.74</v>
      </c>
      <c r="CC6" s="66"/>
      <c r="CD6" s="31">
        <f t="shared" si="22"/>
        <v>0</v>
      </c>
      <c r="CE6" s="67">
        <f t="shared" si="23"/>
        <v>0</v>
      </c>
      <c r="CF6" s="66"/>
      <c r="CG6" s="34">
        <f t="shared" si="24"/>
        <v>0</v>
      </c>
      <c r="CH6" s="67">
        <f t="shared" si="45"/>
        <v>0</v>
      </c>
      <c r="CI6" s="66"/>
      <c r="CJ6" s="34">
        <f t="shared" si="25"/>
        <v>0</v>
      </c>
      <c r="CK6" s="67">
        <f t="shared" si="26"/>
        <v>0</v>
      </c>
      <c r="CL6" s="66"/>
      <c r="CM6" s="34">
        <f t="shared" si="27"/>
        <v>0</v>
      </c>
      <c r="CN6" s="67">
        <f t="shared" si="28"/>
        <v>0</v>
      </c>
      <c r="CO6" s="66"/>
      <c r="CP6" s="34">
        <f t="shared" si="29"/>
        <v>0</v>
      </c>
      <c r="CQ6" s="67">
        <f t="shared" si="30"/>
        <v>0</v>
      </c>
      <c r="CR6" s="66"/>
      <c r="CS6" s="34">
        <f t="shared" si="31"/>
        <v>0</v>
      </c>
      <c r="CT6" s="65">
        <f t="shared" si="32"/>
        <v>0</v>
      </c>
      <c r="CU6" s="66"/>
      <c r="CV6" s="31">
        <f t="shared" si="33"/>
        <v>0</v>
      </c>
      <c r="CW6" s="67">
        <f t="shared" si="34"/>
        <v>0</v>
      </c>
      <c r="CX6" s="66"/>
      <c r="CY6" s="31">
        <f t="shared" si="35"/>
        <v>0</v>
      </c>
      <c r="CZ6" s="65">
        <f t="shared" si="36"/>
        <v>0</v>
      </c>
      <c r="DA6" s="66"/>
      <c r="DB6" s="31">
        <f t="shared" si="37"/>
        <v>0</v>
      </c>
      <c r="DC6" s="67">
        <f t="shared" si="38"/>
        <v>0</v>
      </c>
      <c r="DE6" s="76">
        <v>233</v>
      </c>
      <c r="DF6" s="42"/>
      <c r="DG6" s="69">
        <f t="shared" si="39"/>
        <v>0</v>
      </c>
      <c r="DH6" s="42"/>
      <c r="DI6" s="70">
        <f t="shared" si="40"/>
        <v>12</v>
      </c>
      <c r="DJ6" s="42"/>
      <c r="DK6" s="70">
        <f t="shared" si="41"/>
        <v>221</v>
      </c>
      <c r="DL6" s="42"/>
      <c r="DM6" s="71">
        <f t="shared" si="42"/>
        <v>8607.95</v>
      </c>
      <c r="DN6" s="42"/>
      <c r="DO6" s="72">
        <f t="shared" si="43"/>
        <v>18.416666666666668</v>
      </c>
      <c r="DP6" s="42"/>
      <c r="DQ6" s="71">
        <f t="shared" si="44"/>
        <v>10329.54</v>
      </c>
      <c r="DR6" s="42"/>
      <c r="DS6" s="69"/>
      <c r="DT6" s="42"/>
      <c r="DU6" s="71">
        <v>0</v>
      </c>
      <c r="DV6" s="42"/>
      <c r="DW6" s="73">
        <f t="shared" si="46"/>
        <v>0</v>
      </c>
      <c r="DX6" s="42"/>
      <c r="DY6" s="71">
        <f t="shared" si="47"/>
        <v>0</v>
      </c>
    </row>
    <row r="7" ht="12" customHeight="1" spans="1:129" x14ac:dyDescent="0.25">
      <c r="A7" s="74" t="s">
        <v>52</v>
      </c>
      <c r="B7" s="42"/>
      <c r="C7" s="75"/>
      <c r="D7" s="44"/>
      <c r="E7" s="60">
        <v>44.95</v>
      </c>
      <c r="F7" s="44"/>
      <c r="G7" s="61">
        <v>53.94</v>
      </c>
      <c r="I7" s="62"/>
      <c r="J7" s="63"/>
      <c r="K7" s="64"/>
      <c r="L7" s="3"/>
      <c r="M7" s="62"/>
      <c r="N7" s="3"/>
      <c r="O7" s="64"/>
      <c r="P7" s="3"/>
      <c r="Q7" s="62"/>
      <c r="R7" s="3"/>
      <c r="S7" s="64"/>
      <c r="T7" s="3"/>
      <c r="U7" s="62"/>
      <c r="V7" s="3"/>
      <c r="W7" s="64"/>
      <c r="X7" s="3"/>
      <c r="Y7" s="62"/>
      <c r="Z7" s="3"/>
      <c r="AA7" s="64"/>
      <c r="AB7" s="3"/>
      <c r="AC7" s="62"/>
      <c r="AD7" s="3"/>
      <c r="AE7" s="64"/>
      <c r="AF7" s="3"/>
      <c r="AG7" s="62"/>
      <c r="AH7" s="3"/>
      <c r="AI7" s="64"/>
      <c r="AJ7" s="3"/>
      <c r="AK7" s="62"/>
      <c r="AL7" s="3"/>
      <c r="AM7" s="64"/>
      <c r="AN7" s="3"/>
      <c r="AO7" s="62"/>
      <c r="AP7" s="3"/>
      <c r="AQ7" s="64"/>
      <c r="AR7" s="3"/>
      <c r="AS7" s="62"/>
      <c r="AT7" s="3"/>
      <c r="AU7" s="64"/>
      <c r="AW7" s="34">
        <f t="shared" si="0"/>
        <v>0</v>
      </c>
      <c r="AX7" s="65">
        <f t="shared" si="1"/>
        <v>0</v>
      </c>
      <c r="AY7" s="66"/>
      <c r="AZ7" s="31">
        <f t="shared" si="2"/>
        <v>0</v>
      </c>
      <c r="BA7" s="67">
        <f t="shared" si="3"/>
        <v>0</v>
      </c>
      <c r="BB7" s="66"/>
      <c r="BC7" s="31">
        <f t="shared" si="4"/>
        <v>0</v>
      </c>
      <c r="BD7" s="65">
        <f t="shared" si="5"/>
        <v>0</v>
      </c>
      <c r="BE7" s="66"/>
      <c r="BF7" s="31">
        <f t="shared" si="6"/>
        <v>0</v>
      </c>
      <c r="BG7" s="67">
        <f t="shared" si="7"/>
        <v>0</v>
      </c>
      <c r="BH7" s="66"/>
      <c r="BI7" s="31">
        <f t="shared" si="8"/>
        <v>0</v>
      </c>
      <c r="BJ7" s="65">
        <f t="shared" si="9"/>
        <v>0</v>
      </c>
      <c r="BK7" s="66"/>
      <c r="BL7" s="31">
        <f t="shared" si="10"/>
        <v>0</v>
      </c>
      <c r="BM7" s="67">
        <f t="shared" si="11"/>
        <v>0</v>
      </c>
      <c r="BN7" s="66"/>
      <c r="BO7" s="31">
        <f t="shared" si="12"/>
        <v>0</v>
      </c>
      <c r="BP7" s="65">
        <f t="shared" si="13"/>
        <v>0</v>
      </c>
      <c r="BQ7" s="66"/>
      <c r="BR7" s="31">
        <f t="shared" si="14"/>
        <v>0</v>
      </c>
      <c r="BS7" s="67">
        <f t="shared" si="15"/>
        <v>0</v>
      </c>
      <c r="BT7" s="66"/>
      <c r="BU7" s="31">
        <f t="shared" si="16"/>
        <v>0</v>
      </c>
      <c r="BV7" s="65">
        <f t="shared" si="17"/>
        <v>0</v>
      </c>
      <c r="BW7" s="66"/>
      <c r="BX7" s="31">
        <f t="shared" si="18"/>
        <v>0</v>
      </c>
      <c r="BY7" s="67">
        <f t="shared" si="19"/>
        <v>0</v>
      </c>
      <c r="BZ7" s="66"/>
      <c r="CA7" s="31">
        <f t="shared" si="20"/>
        <v>0</v>
      </c>
      <c r="CB7" s="65">
        <f t="shared" si="21"/>
        <v>0</v>
      </c>
      <c r="CC7" s="66"/>
      <c r="CD7" s="31">
        <f t="shared" si="22"/>
        <v>0</v>
      </c>
      <c r="CE7" s="67">
        <f t="shared" si="23"/>
        <v>0</v>
      </c>
      <c r="CF7" s="66"/>
      <c r="CG7" s="34">
        <f t="shared" si="24"/>
        <v>0</v>
      </c>
      <c r="CH7" s="67">
        <f t="shared" si="45"/>
        <v>0</v>
      </c>
      <c r="CI7" s="66"/>
      <c r="CJ7" s="34">
        <f t="shared" si="25"/>
        <v>0</v>
      </c>
      <c r="CK7" s="67">
        <f t="shared" si="26"/>
        <v>0</v>
      </c>
      <c r="CL7" s="66"/>
      <c r="CM7" s="34">
        <f t="shared" si="27"/>
        <v>0</v>
      </c>
      <c r="CN7" s="67">
        <f t="shared" si="28"/>
        <v>0</v>
      </c>
      <c r="CO7" s="66"/>
      <c r="CP7" s="34">
        <f t="shared" si="29"/>
        <v>0</v>
      </c>
      <c r="CQ7" s="67">
        <f t="shared" si="30"/>
        <v>0</v>
      </c>
      <c r="CR7" s="66"/>
      <c r="CS7" s="34">
        <f t="shared" si="31"/>
        <v>0</v>
      </c>
      <c r="CT7" s="65">
        <f t="shared" si="32"/>
        <v>0</v>
      </c>
      <c r="CU7" s="66"/>
      <c r="CV7" s="31">
        <f t="shared" si="33"/>
        <v>0</v>
      </c>
      <c r="CW7" s="67">
        <f t="shared" si="34"/>
        <v>0</v>
      </c>
      <c r="CX7" s="66"/>
      <c r="CY7" s="31">
        <f t="shared" si="35"/>
        <v>0</v>
      </c>
      <c r="CZ7" s="65">
        <f t="shared" si="36"/>
        <v>0</v>
      </c>
      <c r="DA7" s="66"/>
      <c r="DB7" s="31">
        <f t="shared" si="37"/>
        <v>0</v>
      </c>
      <c r="DC7" s="67">
        <f t="shared" si="38"/>
        <v>0</v>
      </c>
      <c r="DE7" s="76">
        <v>65</v>
      </c>
      <c r="DF7" s="42"/>
      <c r="DG7" s="69">
        <f t="shared" si="39"/>
        <v>0</v>
      </c>
      <c r="DH7" s="42"/>
      <c r="DI7" s="70">
        <f t="shared" si="40"/>
        <v>0</v>
      </c>
      <c r="DJ7" s="42"/>
      <c r="DK7" s="70">
        <f t="shared" si="41"/>
        <v>65</v>
      </c>
      <c r="DL7" s="42"/>
      <c r="DM7" s="71">
        <f t="shared" si="42"/>
        <v>2921.75</v>
      </c>
      <c r="DN7" s="42"/>
      <c r="DO7" s="72" t="e">
        <f t="shared" si="43"/>
        <v>#DIV/0!</v>
      </c>
      <c r="DP7" s="42"/>
      <c r="DQ7" s="71">
        <f t="shared" si="44"/>
        <v>3506.1</v>
      </c>
      <c r="DR7" s="42"/>
      <c r="DS7" s="69"/>
      <c r="DT7" s="42"/>
      <c r="DU7" s="71">
        <v>0</v>
      </c>
      <c r="DV7" s="42"/>
      <c r="DW7" s="73">
        <f t="shared" si="46"/>
        <v>0</v>
      </c>
      <c r="DX7" s="42"/>
      <c r="DY7" s="71">
        <f t="shared" si="47"/>
        <v>0</v>
      </c>
    </row>
    <row r="8" ht="12" customHeight="1" spans="1:129" x14ac:dyDescent="0.25">
      <c r="A8" s="77" t="s">
        <v>53</v>
      </c>
      <c r="B8" s="42"/>
      <c r="C8" s="75"/>
      <c r="D8" s="44"/>
      <c r="E8" s="60">
        <v>18.25</v>
      </c>
      <c r="F8" s="44"/>
      <c r="G8" s="61">
        <v>21.9</v>
      </c>
      <c r="I8" s="62"/>
      <c r="J8" s="63"/>
      <c r="K8" s="64">
        <v>1</v>
      </c>
      <c r="L8" s="3"/>
      <c r="M8" s="62">
        <v>1</v>
      </c>
      <c r="N8" s="3"/>
      <c r="O8" s="64">
        <v>1</v>
      </c>
      <c r="P8" s="3"/>
      <c r="Q8" s="62"/>
      <c r="R8" s="3"/>
      <c r="S8" s="64">
        <v>1</v>
      </c>
      <c r="T8" s="3"/>
      <c r="U8" s="62">
        <v>1</v>
      </c>
      <c r="V8" s="3"/>
      <c r="W8" s="64"/>
      <c r="X8" s="3"/>
      <c r="Y8" s="62"/>
      <c r="Z8" s="3"/>
      <c r="AA8" s="64">
        <v>1</v>
      </c>
      <c r="AB8" s="3"/>
      <c r="AC8" s="62"/>
      <c r="AD8" s="3"/>
      <c r="AE8" s="64"/>
      <c r="AF8" s="3"/>
      <c r="AG8" s="62"/>
      <c r="AH8" s="3"/>
      <c r="AI8" s="64"/>
      <c r="AJ8" s="3"/>
      <c r="AK8" s="62"/>
      <c r="AL8" s="3"/>
      <c r="AM8" s="64"/>
      <c r="AN8" s="3"/>
      <c r="AO8" s="62"/>
      <c r="AP8" s="3"/>
      <c r="AQ8" s="64"/>
      <c r="AR8" s="3"/>
      <c r="AS8" s="62"/>
      <c r="AT8" s="3"/>
      <c r="AU8" s="64"/>
      <c r="AW8" s="34">
        <f t="shared" si="0"/>
        <v>0</v>
      </c>
      <c r="AX8" s="65">
        <f t="shared" si="1"/>
        <v>0</v>
      </c>
      <c r="AY8" s="66"/>
      <c r="AZ8" s="31">
        <f t="shared" si="2"/>
        <v>1</v>
      </c>
      <c r="BA8" s="67">
        <f t="shared" si="3"/>
        <v>21.9</v>
      </c>
      <c r="BB8" s="66"/>
      <c r="BC8" s="31">
        <f t="shared" si="4"/>
        <v>1</v>
      </c>
      <c r="BD8" s="65">
        <f t="shared" si="5"/>
        <v>21.9</v>
      </c>
      <c r="BE8" s="66"/>
      <c r="BF8" s="31">
        <f t="shared" si="6"/>
        <v>1</v>
      </c>
      <c r="BG8" s="67">
        <f t="shared" si="7"/>
        <v>21.9</v>
      </c>
      <c r="BH8" s="66"/>
      <c r="BI8" s="31">
        <f t="shared" si="8"/>
        <v>0</v>
      </c>
      <c r="BJ8" s="65">
        <f t="shared" si="9"/>
        <v>0</v>
      </c>
      <c r="BK8" s="66"/>
      <c r="BL8" s="31">
        <f t="shared" si="10"/>
        <v>1</v>
      </c>
      <c r="BM8" s="67">
        <f t="shared" si="11"/>
        <v>21.9</v>
      </c>
      <c r="BN8" s="66"/>
      <c r="BO8" s="31">
        <f t="shared" si="12"/>
        <v>1</v>
      </c>
      <c r="BP8" s="65">
        <f t="shared" si="13"/>
        <v>21.9</v>
      </c>
      <c r="BQ8" s="66"/>
      <c r="BR8" s="31">
        <f t="shared" si="14"/>
        <v>0</v>
      </c>
      <c r="BS8" s="67">
        <f t="shared" si="15"/>
        <v>0</v>
      </c>
      <c r="BT8" s="66"/>
      <c r="BU8" s="31">
        <f t="shared" si="16"/>
        <v>0</v>
      </c>
      <c r="BV8" s="65">
        <f t="shared" si="17"/>
        <v>0</v>
      </c>
      <c r="BW8" s="66"/>
      <c r="BX8" s="31">
        <f t="shared" si="18"/>
        <v>1</v>
      </c>
      <c r="BY8" s="67">
        <f t="shared" si="19"/>
        <v>21.9</v>
      </c>
      <c r="BZ8" s="66"/>
      <c r="CA8" s="31">
        <f t="shared" si="20"/>
        <v>0</v>
      </c>
      <c r="CB8" s="65">
        <f t="shared" si="21"/>
        <v>0</v>
      </c>
      <c r="CC8" s="66"/>
      <c r="CD8" s="31">
        <f t="shared" si="22"/>
        <v>0</v>
      </c>
      <c r="CE8" s="67">
        <f t="shared" si="23"/>
        <v>0</v>
      </c>
      <c r="CF8" s="66"/>
      <c r="CG8" s="34">
        <f t="shared" si="24"/>
        <v>0</v>
      </c>
      <c r="CH8" s="67">
        <f t="shared" si="45"/>
        <v>0</v>
      </c>
      <c r="CI8" s="66"/>
      <c r="CJ8" s="34">
        <f t="shared" si="25"/>
        <v>0</v>
      </c>
      <c r="CK8" s="67">
        <f t="shared" si="26"/>
        <v>0</v>
      </c>
      <c r="CL8" s="66"/>
      <c r="CM8" s="34">
        <f t="shared" si="27"/>
        <v>0</v>
      </c>
      <c r="CN8" s="67">
        <f t="shared" si="28"/>
        <v>0</v>
      </c>
      <c r="CO8" s="66"/>
      <c r="CP8" s="34">
        <f t="shared" si="29"/>
        <v>0</v>
      </c>
      <c r="CQ8" s="67">
        <f t="shared" si="30"/>
        <v>0</v>
      </c>
      <c r="CR8" s="66"/>
      <c r="CS8" s="34">
        <f t="shared" si="31"/>
        <v>0</v>
      </c>
      <c r="CT8" s="65">
        <f t="shared" si="32"/>
        <v>0</v>
      </c>
      <c r="CU8" s="66"/>
      <c r="CV8" s="31">
        <f t="shared" si="33"/>
        <v>0</v>
      </c>
      <c r="CW8" s="67">
        <f t="shared" si="34"/>
        <v>0</v>
      </c>
      <c r="CX8" s="66"/>
      <c r="CY8" s="31">
        <f t="shared" si="35"/>
        <v>0</v>
      </c>
      <c r="CZ8" s="65">
        <f t="shared" si="36"/>
        <v>0</v>
      </c>
      <c r="DA8" s="66"/>
      <c r="DB8" s="31">
        <f t="shared" si="37"/>
        <v>0</v>
      </c>
      <c r="DC8" s="67">
        <f t="shared" si="38"/>
        <v>0</v>
      </c>
      <c r="DE8" s="76">
        <v>116</v>
      </c>
      <c r="DF8" s="42"/>
      <c r="DG8" s="69">
        <f t="shared" si="39"/>
        <v>0</v>
      </c>
      <c r="DH8" s="42"/>
      <c r="DI8" s="70">
        <f t="shared" si="40"/>
        <v>6</v>
      </c>
      <c r="DJ8" s="42"/>
      <c r="DK8" s="70">
        <f t="shared" si="41"/>
        <v>110</v>
      </c>
      <c r="DL8" s="42"/>
      <c r="DM8" s="71">
        <f t="shared" si="42"/>
        <v>2007.5</v>
      </c>
      <c r="DN8" s="42"/>
      <c r="DO8" s="72">
        <f t="shared" si="43"/>
        <v>18.333333333333332</v>
      </c>
      <c r="DP8" s="42"/>
      <c r="DQ8" s="71">
        <f t="shared" si="44"/>
        <v>2409</v>
      </c>
      <c r="DR8" s="42"/>
      <c r="DS8" s="69"/>
      <c r="DT8" s="42"/>
      <c r="DU8" s="71">
        <v>0</v>
      </c>
      <c r="DV8" s="42"/>
      <c r="DW8" s="73">
        <f t="shared" si="46"/>
        <v>0</v>
      </c>
      <c r="DX8" s="42"/>
      <c r="DY8" s="71">
        <f t="shared" si="47"/>
        <v>0</v>
      </c>
    </row>
    <row r="9" ht="12" customHeight="1" spans="1:129" x14ac:dyDescent="0.25">
      <c r="A9" s="74" t="s">
        <v>54</v>
      </c>
      <c r="B9" s="42"/>
      <c r="C9" s="75"/>
      <c r="D9" s="44"/>
      <c r="E9" s="78">
        <v>29.95</v>
      </c>
      <c r="F9" s="44"/>
      <c r="G9" s="61">
        <v>35.94</v>
      </c>
      <c r="I9" s="62"/>
      <c r="J9" s="63"/>
      <c r="K9" s="64">
        <v>1</v>
      </c>
      <c r="L9" s="3"/>
      <c r="M9" s="62"/>
      <c r="N9" s="3"/>
      <c r="O9" s="64"/>
      <c r="P9" s="3"/>
      <c r="Q9" s="62"/>
      <c r="R9" s="3"/>
      <c r="S9" s="64"/>
      <c r="T9" s="3"/>
      <c r="U9" s="62"/>
      <c r="V9" s="3"/>
      <c r="W9" s="64"/>
      <c r="X9" s="3"/>
      <c r="Y9" s="62"/>
      <c r="Z9" s="3"/>
      <c r="AA9" s="64"/>
      <c r="AB9" s="3"/>
      <c r="AC9" s="62"/>
      <c r="AD9" s="3"/>
      <c r="AE9" s="64"/>
      <c r="AF9" s="3"/>
      <c r="AG9" s="62"/>
      <c r="AH9" s="3"/>
      <c r="AI9" s="64"/>
      <c r="AJ9" s="3"/>
      <c r="AK9" s="62"/>
      <c r="AL9" s="3"/>
      <c r="AM9" s="64"/>
      <c r="AN9" s="3"/>
      <c r="AO9" s="62"/>
      <c r="AP9" s="3"/>
      <c r="AQ9" s="64">
        <v>1</v>
      </c>
      <c r="AR9" s="3"/>
      <c r="AS9" s="62"/>
      <c r="AT9" s="3"/>
      <c r="AU9" s="64"/>
      <c r="AW9" s="34">
        <f t="shared" si="0"/>
        <v>0</v>
      </c>
      <c r="AX9" s="65">
        <f t="shared" si="1"/>
        <v>0</v>
      </c>
      <c r="AY9" s="66"/>
      <c r="AZ9" s="31">
        <f t="shared" si="2"/>
        <v>1</v>
      </c>
      <c r="BA9" s="67">
        <f t="shared" si="3"/>
        <v>35.94</v>
      </c>
      <c r="BB9" s="66"/>
      <c r="BC9" s="31">
        <f t="shared" si="4"/>
        <v>0</v>
      </c>
      <c r="BD9" s="65">
        <f t="shared" si="5"/>
        <v>0</v>
      </c>
      <c r="BE9" s="66"/>
      <c r="BF9" s="31">
        <f t="shared" si="6"/>
        <v>0</v>
      </c>
      <c r="BG9" s="67">
        <f t="shared" si="7"/>
        <v>0</v>
      </c>
      <c r="BH9" s="66"/>
      <c r="BI9" s="31">
        <f t="shared" si="8"/>
        <v>0</v>
      </c>
      <c r="BJ9" s="65">
        <f t="shared" si="9"/>
        <v>0</v>
      </c>
      <c r="BK9" s="66"/>
      <c r="BL9" s="31">
        <f t="shared" si="10"/>
        <v>0</v>
      </c>
      <c r="BM9" s="67">
        <f t="shared" si="11"/>
        <v>0</v>
      </c>
      <c r="BN9" s="66"/>
      <c r="BO9" s="31">
        <f t="shared" si="12"/>
        <v>0</v>
      </c>
      <c r="BP9" s="65">
        <f t="shared" si="13"/>
        <v>0</v>
      </c>
      <c r="BQ9" s="66"/>
      <c r="BR9" s="31">
        <f t="shared" si="14"/>
        <v>0</v>
      </c>
      <c r="BS9" s="67">
        <f t="shared" si="15"/>
        <v>0</v>
      </c>
      <c r="BT9" s="66"/>
      <c r="BU9" s="31">
        <f t="shared" si="16"/>
        <v>0</v>
      </c>
      <c r="BV9" s="65">
        <f t="shared" si="17"/>
        <v>0</v>
      </c>
      <c r="BW9" s="66"/>
      <c r="BX9" s="31">
        <f t="shared" si="18"/>
        <v>0</v>
      </c>
      <c r="BY9" s="67">
        <f t="shared" si="19"/>
        <v>0</v>
      </c>
      <c r="BZ9" s="66"/>
      <c r="CA9" s="31">
        <f t="shared" si="20"/>
        <v>0</v>
      </c>
      <c r="CB9" s="65">
        <f t="shared" si="21"/>
        <v>0</v>
      </c>
      <c r="CC9" s="66"/>
      <c r="CD9" s="31">
        <f t="shared" si="22"/>
        <v>0</v>
      </c>
      <c r="CE9" s="67">
        <f t="shared" si="23"/>
        <v>0</v>
      </c>
      <c r="CF9" s="66"/>
      <c r="CG9" s="34">
        <f t="shared" si="24"/>
        <v>0</v>
      </c>
      <c r="CH9" s="67">
        <f t="shared" si="45"/>
        <v>0</v>
      </c>
      <c r="CI9" s="66"/>
      <c r="CJ9" s="34">
        <f t="shared" si="25"/>
        <v>0</v>
      </c>
      <c r="CK9" s="67">
        <f t="shared" si="26"/>
        <v>0</v>
      </c>
      <c r="CL9" s="66"/>
      <c r="CM9" s="34">
        <f t="shared" si="27"/>
        <v>0</v>
      </c>
      <c r="CN9" s="67">
        <f t="shared" si="28"/>
        <v>0</v>
      </c>
      <c r="CO9" s="66"/>
      <c r="CP9" s="34">
        <f t="shared" si="29"/>
        <v>0</v>
      </c>
      <c r="CQ9" s="67">
        <f t="shared" si="30"/>
        <v>0</v>
      </c>
      <c r="CR9" s="66"/>
      <c r="CS9" s="34">
        <f t="shared" si="31"/>
        <v>0</v>
      </c>
      <c r="CT9" s="65">
        <f t="shared" si="32"/>
        <v>0</v>
      </c>
      <c r="CU9" s="66"/>
      <c r="CV9" s="31">
        <f t="shared" si="33"/>
        <v>1</v>
      </c>
      <c r="CW9" s="67">
        <f t="shared" si="34"/>
        <v>35.94</v>
      </c>
      <c r="CX9" s="66"/>
      <c r="CY9" s="31">
        <f t="shared" si="35"/>
        <v>0</v>
      </c>
      <c r="CZ9" s="65">
        <f t="shared" si="36"/>
        <v>0</v>
      </c>
      <c r="DA9" s="66"/>
      <c r="DB9" s="31">
        <f t="shared" si="37"/>
        <v>0</v>
      </c>
      <c r="DC9" s="67">
        <f t="shared" si="38"/>
        <v>0</v>
      </c>
      <c r="DE9" s="76">
        <v>38</v>
      </c>
      <c r="DF9" s="42"/>
      <c r="DG9" s="69">
        <f t="shared" si="39"/>
        <v>0</v>
      </c>
      <c r="DH9" s="42"/>
      <c r="DI9" s="70">
        <f t="shared" si="40"/>
        <v>2</v>
      </c>
      <c r="DJ9" s="42"/>
      <c r="DK9" s="70">
        <f t="shared" si="41"/>
        <v>36</v>
      </c>
      <c r="DL9" s="42"/>
      <c r="DM9" s="71">
        <f t="shared" si="42"/>
        <v>1078.2</v>
      </c>
      <c r="DN9" s="42"/>
      <c r="DO9" s="72">
        <f t="shared" si="43"/>
        <v>18</v>
      </c>
      <c r="DP9" s="42"/>
      <c r="DQ9" s="71">
        <f t="shared" si="44"/>
        <v>1293.84</v>
      </c>
      <c r="DR9" s="42"/>
      <c r="DS9" s="69"/>
      <c r="DT9" s="42"/>
      <c r="DU9" s="71">
        <v>0</v>
      </c>
      <c r="DV9" s="42"/>
      <c r="DW9" s="73">
        <f t="shared" si="46"/>
        <v>0</v>
      </c>
      <c r="DX9" s="42"/>
      <c r="DY9" s="71">
        <f t="shared" si="47"/>
        <v>0</v>
      </c>
    </row>
    <row r="10" ht="12" customHeight="1" spans="1:129" x14ac:dyDescent="0.25">
      <c r="A10" s="77" t="s">
        <v>55</v>
      </c>
      <c r="B10" s="42"/>
      <c r="C10" s="75"/>
      <c r="D10" s="44"/>
      <c r="E10" s="78">
        <v>22.95</v>
      </c>
      <c r="F10" s="44"/>
      <c r="G10" s="61">
        <v>27.54</v>
      </c>
      <c r="I10" s="62"/>
      <c r="J10" s="63"/>
      <c r="K10" s="64"/>
      <c r="L10" s="3"/>
      <c r="M10" s="62"/>
      <c r="N10" s="3"/>
      <c r="O10" s="64"/>
      <c r="P10" s="3"/>
      <c r="Q10" s="62"/>
      <c r="R10" s="3"/>
      <c r="S10" s="64"/>
      <c r="T10" s="3"/>
      <c r="U10" s="62"/>
      <c r="V10" s="3"/>
      <c r="W10" s="64"/>
      <c r="X10" s="3"/>
      <c r="Y10" s="62"/>
      <c r="Z10" s="3"/>
      <c r="AA10" s="64"/>
      <c r="AB10" s="3"/>
      <c r="AC10" s="62"/>
      <c r="AD10" s="3"/>
      <c r="AE10" s="64"/>
      <c r="AF10" s="3"/>
      <c r="AG10" s="62"/>
      <c r="AH10" s="3"/>
      <c r="AI10" s="64"/>
      <c r="AJ10" s="3"/>
      <c r="AK10" s="62"/>
      <c r="AL10" s="3"/>
      <c r="AM10" s="64"/>
      <c r="AN10" s="3"/>
      <c r="AO10" s="62"/>
      <c r="AP10" s="3"/>
      <c r="AQ10" s="64"/>
      <c r="AR10" s="3"/>
      <c r="AS10" s="62"/>
      <c r="AT10" s="3"/>
      <c r="AU10" s="64"/>
      <c r="AW10" s="34">
        <f t="shared" si="0"/>
        <v>0</v>
      </c>
      <c r="AX10" s="65">
        <f t="shared" si="1"/>
        <v>0</v>
      </c>
      <c r="AY10" s="66"/>
      <c r="AZ10" s="31">
        <f t="shared" si="2"/>
        <v>0</v>
      </c>
      <c r="BA10" s="67">
        <f t="shared" si="3"/>
        <v>0</v>
      </c>
      <c r="BB10" s="66"/>
      <c r="BC10" s="31">
        <f t="shared" si="4"/>
        <v>0</v>
      </c>
      <c r="BD10" s="65">
        <f t="shared" si="5"/>
        <v>0</v>
      </c>
      <c r="BE10" s="66"/>
      <c r="BF10" s="31">
        <f t="shared" si="6"/>
        <v>0</v>
      </c>
      <c r="BG10" s="67">
        <f t="shared" si="7"/>
        <v>0</v>
      </c>
      <c r="BH10" s="66"/>
      <c r="BI10" s="31">
        <f t="shared" si="8"/>
        <v>0</v>
      </c>
      <c r="BJ10" s="65">
        <f t="shared" si="9"/>
        <v>0</v>
      </c>
      <c r="BK10" s="66"/>
      <c r="BL10" s="31">
        <f t="shared" si="10"/>
        <v>0</v>
      </c>
      <c r="BM10" s="67">
        <f t="shared" si="11"/>
        <v>0</v>
      </c>
      <c r="BN10" s="66"/>
      <c r="BO10" s="31">
        <f t="shared" si="12"/>
        <v>0</v>
      </c>
      <c r="BP10" s="65">
        <f t="shared" si="13"/>
        <v>0</v>
      </c>
      <c r="BQ10" s="66"/>
      <c r="BR10" s="31">
        <f t="shared" si="14"/>
        <v>0</v>
      </c>
      <c r="BS10" s="67">
        <f t="shared" si="15"/>
        <v>0</v>
      </c>
      <c r="BT10" s="66"/>
      <c r="BU10" s="31">
        <f t="shared" si="16"/>
        <v>0</v>
      </c>
      <c r="BV10" s="65">
        <f t="shared" si="17"/>
        <v>0</v>
      </c>
      <c r="BW10" s="66"/>
      <c r="BX10" s="31">
        <f t="shared" si="18"/>
        <v>0</v>
      </c>
      <c r="BY10" s="67">
        <f t="shared" si="19"/>
        <v>0</v>
      </c>
      <c r="BZ10" s="66"/>
      <c r="CA10" s="31">
        <f t="shared" si="20"/>
        <v>0</v>
      </c>
      <c r="CB10" s="65">
        <f t="shared" si="21"/>
        <v>0</v>
      </c>
      <c r="CC10" s="66"/>
      <c r="CD10" s="31">
        <f t="shared" si="22"/>
        <v>0</v>
      </c>
      <c r="CE10" s="67">
        <f t="shared" si="23"/>
        <v>0</v>
      </c>
      <c r="CF10" s="66"/>
      <c r="CG10" s="34">
        <f t="shared" si="24"/>
        <v>0</v>
      </c>
      <c r="CH10" s="67">
        <f t="shared" si="45"/>
        <v>0</v>
      </c>
      <c r="CI10" s="66"/>
      <c r="CJ10" s="34">
        <f t="shared" si="25"/>
        <v>0</v>
      </c>
      <c r="CK10" s="67">
        <f t="shared" si="26"/>
        <v>0</v>
      </c>
      <c r="CL10" s="66"/>
      <c r="CM10" s="34">
        <f t="shared" si="27"/>
        <v>0</v>
      </c>
      <c r="CN10" s="67">
        <f t="shared" si="28"/>
        <v>0</v>
      </c>
      <c r="CO10" s="66"/>
      <c r="CP10" s="34">
        <f t="shared" si="29"/>
        <v>0</v>
      </c>
      <c r="CQ10" s="67">
        <f t="shared" si="30"/>
        <v>0</v>
      </c>
      <c r="CR10" s="66"/>
      <c r="CS10" s="34">
        <f t="shared" si="31"/>
        <v>0</v>
      </c>
      <c r="CT10" s="65">
        <f t="shared" si="32"/>
        <v>0</v>
      </c>
      <c r="CU10" s="66"/>
      <c r="CV10" s="31">
        <f t="shared" si="33"/>
        <v>0</v>
      </c>
      <c r="CW10" s="67">
        <f t="shared" si="34"/>
        <v>0</v>
      </c>
      <c r="CX10" s="66"/>
      <c r="CY10" s="31">
        <f t="shared" si="35"/>
        <v>0</v>
      </c>
      <c r="CZ10" s="65">
        <f t="shared" si="36"/>
        <v>0</v>
      </c>
      <c r="DA10" s="66"/>
      <c r="DB10" s="31">
        <f t="shared" si="37"/>
        <v>0</v>
      </c>
      <c r="DC10" s="67">
        <f t="shared" si="38"/>
        <v>0</v>
      </c>
      <c r="DE10" s="76">
        <v>97</v>
      </c>
      <c r="DF10" s="42"/>
      <c r="DG10" s="69">
        <f t="shared" si="39"/>
        <v>0</v>
      </c>
      <c r="DH10" s="42"/>
      <c r="DI10" s="70">
        <f t="shared" si="40"/>
        <v>0</v>
      </c>
      <c r="DJ10" s="42"/>
      <c r="DK10" s="70">
        <f t="shared" si="41"/>
        <v>97</v>
      </c>
      <c r="DL10" s="42"/>
      <c r="DM10" s="71">
        <f t="shared" si="42"/>
        <v>2226.15</v>
      </c>
      <c r="DN10" s="42"/>
      <c r="DO10" s="72" t="e">
        <f t="shared" si="43"/>
        <v>#DIV/0!</v>
      </c>
      <c r="DP10" s="42"/>
      <c r="DQ10" s="71">
        <f t="shared" si="44"/>
        <v>2671.38</v>
      </c>
      <c r="DR10" s="42"/>
      <c r="DS10" s="69"/>
      <c r="DT10" s="42"/>
      <c r="DU10" s="71">
        <v>0</v>
      </c>
      <c r="DV10" s="42"/>
      <c r="DW10" s="73">
        <f t="shared" si="46"/>
        <v>0</v>
      </c>
      <c r="DX10" s="42"/>
      <c r="DY10" s="71">
        <f t="shared" si="47"/>
        <v>0</v>
      </c>
    </row>
    <row r="11" ht="12" customHeight="1" spans="1:129" x14ac:dyDescent="0.25">
      <c r="A11" s="74" t="s">
        <v>56</v>
      </c>
      <c r="B11" s="42"/>
      <c r="C11" s="75"/>
      <c r="D11" s="44"/>
      <c r="E11" s="78">
        <v>21.99</v>
      </c>
      <c r="F11" s="44"/>
      <c r="G11" s="61">
        <v>26.39</v>
      </c>
      <c r="I11" s="62"/>
      <c r="J11" s="63"/>
      <c r="K11" s="64">
        <v>2</v>
      </c>
      <c r="L11" s="3"/>
      <c r="M11" s="62">
        <v>2</v>
      </c>
      <c r="N11" s="3"/>
      <c r="O11" s="64">
        <v>1</v>
      </c>
      <c r="P11" s="3"/>
      <c r="Q11" s="62">
        <v>1</v>
      </c>
      <c r="R11" s="3"/>
      <c r="S11" s="64">
        <v>1</v>
      </c>
      <c r="T11" s="3"/>
      <c r="U11" s="62">
        <v>2</v>
      </c>
      <c r="V11" s="3"/>
      <c r="W11" s="64">
        <v>1</v>
      </c>
      <c r="X11" s="3"/>
      <c r="Y11" s="62"/>
      <c r="Z11" s="3"/>
      <c r="AA11" s="64">
        <v>1</v>
      </c>
      <c r="AB11" s="3"/>
      <c r="AC11" s="62"/>
      <c r="AD11" s="3"/>
      <c r="AE11" s="64"/>
      <c r="AF11" s="3"/>
      <c r="AG11" s="62"/>
      <c r="AH11" s="3"/>
      <c r="AI11" s="64"/>
      <c r="AJ11" s="3"/>
      <c r="AK11" s="62"/>
      <c r="AL11" s="3"/>
      <c r="AM11" s="64"/>
      <c r="AN11" s="3"/>
      <c r="AO11" s="62"/>
      <c r="AP11" s="3"/>
      <c r="AQ11" s="64"/>
      <c r="AR11" s="3"/>
      <c r="AS11" s="62"/>
      <c r="AT11" s="3"/>
      <c r="AU11" s="64"/>
      <c r="AW11" s="34">
        <f t="shared" si="0"/>
        <v>0</v>
      </c>
      <c r="AX11" s="65">
        <f t="shared" si="1"/>
        <v>0</v>
      </c>
      <c r="AY11" s="66"/>
      <c r="AZ11" s="31">
        <f t="shared" si="2"/>
        <v>2</v>
      </c>
      <c r="BA11" s="67">
        <f t="shared" si="3"/>
        <v>52.78</v>
      </c>
      <c r="BB11" s="66"/>
      <c r="BC11" s="31">
        <f t="shared" si="4"/>
        <v>2</v>
      </c>
      <c r="BD11" s="65">
        <f t="shared" si="5"/>
        <v>52.78</v>
      </c>
      <c r="BE11" s="66"/>
      <c r="BF11" s="31">
        <f t="shared" si="6"/>
        <v>1</v>
      </c>
      <c r="BG11" s="67">
        <f t="shared" si="7"/>
        <v>26.39</v>
      </c>
      <c r="BH11" s="66"/>
      <c r="BI11" s="31">
        <f t="shared" si="8"/>
        <v>1</v>
      </c>
      <c r="BJ11" s="65">
        <f t="shared" si="9"/>
        <v>26.39</v>
      </c>
      <c r="BK11" s="66"/>
      <c r="BL11" s="31">
        <f t="shared" si="10"/>
        <v>1</v>
      </c>
      <c r="BM11" s="67">
        <f t="shared" si="11"/>
        <v>26.39</v>
      </c>
      <c r="BN11" s="66"/>
      <c r="BO11" s="31">
        <f t="shared" si="12"/>
        <v>2</v>
      </c>
      <c r="BP11" s="65">
        <f t="shared" si="13"/>
        <v>52.78</v>
      </c>
      <c r="BQ11" s="66"/>
      <c r="BR11" s="31">
        <f t="shared" si="14"/>
        <v>1</v>
      </c>
      <c r="BS11" s="67">
        <f t="shared" si="15"/>
        <v>26.39</v>
      </c>
      <c r="BT11" s="66"/>
      <c r="BU11" s="31">
        <f t="shared" si="16"/>
        <v>0</v>
      </c>
      <c r="BV11" s="65">
        <f t="shared" si="17"/>
        <v>0</v>
      </c>
      <c r="BW11" s="66"/>
      <c r="BX11" s="31">
        <f t="shared" si="18"/>
        <v>1</v>
      </c>
      <c r="BY11" s="67">
        <f t="shared" si="19"/>
        <v>26.39</v>
      </c>
      <c r="BZ11" s="66"/>
      <c r="CA11" s="31">
        <f t="shared" si="20"/>
        <v>0</v>
      </c>
      <c r="CB11" s="65">
        <f t="shared" si="21"/>
        <v>0</v>
      </c>
      <c r="CC11" s="66"/>
      <c r="CD11" s="31">
        <f t="shared" si="22"/>
        <v>0</v>
      </c>
      <c r="CE11" s="67">
        <f t="shared" si="23"/>
        <v>0</v>
      </c>
      <c r="CF11" s="66"/>
      <c r="CG11" s="34">
        <f t="shared" si="24"/>
        <v>0</v>
      </c>
      <c r="CH11" s="67">
        <f t="shared" si="45"/>
        <v>0</v>
      </c>
      <c r="CI11" s="66"/>
      <c r="CJ11" s="34">
        <f t="shared" si="25"/>
        <v>0</v>
      </c>
      <c r="CK11" s="67">
        <f t="shared" si="26"/>
        <v>0</v>
      </c>
      <c r="CL11" s="66"/>
      <c r="CM11" s="34">
        <f t="shared" si="27"/>
        <v>0</v>
      </c>
      <c r="CN11" s="67">
        <f t="shared" si="28"/>
        <v>0</v>
      </c>
      <c r="CO11" s="66"/>
      <c r="CP11" s="34">
        <f t="shared" si="29"/>
        <v>0</v>
      </c>
      <c r="CQ11" s="67">
        <f t="shared" si="30"/>
        <v>0</v>
      </c>
      <c r="CR11" s="66"/>
      <c r="CS11" s="34">
        <f t="shared" si="31"/>
        <v>0</v>
      </c>
      <c r="CT11" s="65">
        <f t="shared" si="32"/>
        <v>0</v>
      </c>
      <c r="CU11" s="66"/>
      <c r="CV11" s="31">
        <f t="shared" si="33"/>
        <v>0</v>
      </c>
      <c r="CW11" s="67">
        <f t="shared" si="34"/>
        <v>0</v>
      </c>
      <c r="CX11" s="66"/>
      <c r="CY11" s="31">
        <f t="shared" si="35"/>
        <v>0</v>
      </c>
      <c r="CZ11" s="65">
        <f t="shared" si="36"/>
        <v>0</v>
      </c>
      <c r="DA11" s="66"/>
      <c r="DB11" s="31">
        <f t="shared" si="37"/>
        <v>0</v>
      </c>
      <c r="DC11" s="67">
        <f t="shared" si="38"/>
        <v>0</v>
      </c>
      <c r="DE11" s="76">
        <v>368</v>
      </c>
      <c r="DF11" s="42"/>
      <c r="DG11" s="69">
        <f t="shared" si="39"/>
        <v>0</v>
      </c>
      <c r="DH11" s="42"/>
      <c r="DI11" s="70">
        <f t="shared" si="40"/>
        <v>11</v>
      </c>
      <c r="DJ11" s="42"/>
      <c r="DK11" s="70">
        <f t="shared" si="41"/>
        <v>357</v>
      </c>
      <c r="DL11" s="42"/>
      <c r="DM11" s="71">
        <f t="shared" si="42"/>
        <v>7850.429999999999</v>
      </c>
      <c r="DN11" s="42"/>
      <c r="DO11" s="72">
        <f t="shared" si="43"/>
        <v>32.45454545454545</v>
      </c>
      <c r="DP11" s="42"/>
      <c r="DQ11" s="71">
        <f t="shared" si="44"/>
        <v>9421.23</v>
      </c>
      <c r="DR11" s="42"/>
      <c r="DS11" s="69"/>
      <c r="DT11" s="42"/>
      <c r="DU11" s="71">
        <v>0</v>
      </c>
      <c r="DV11" s="42"/>
      <c r="DW11" s="73">
        <f t="shared" si="46"/>
        <v>0</v>
      </c>
      <c r="DX11" s="42"/>
      <c r="DY11" s="71">
        <f t="shared" si="47"/>
        <v>0</v>
      </c>
    </row>
    <row r="12" ht="12" customHeight="1" spans="1:129" x14ac:dyDescent="0.25">
      <c r="A12" s="77" t="s">
        <v>57</v>
      </c>
      <c r="B12" s="42"/>
      <c r="C12" s="75"/>
      <c r="D12" s="44"/>
      <c r="E12" s="78">
        <v>18.745</v>
      </c>
      <c r="F12" s="44"/>
      <c r="G12" s="61">
        <v>22.49</v>
      </c>
      <c r="I12" s="62">
        <v>1</v>
      </c>
      <c r="J12" s="63"/>
      <c r="K12" s="64">
        <v>2</v>
      </c>
      <c r="L12" s="3"/>
      <c r="M12" s="62">
        <v>2</v>
      </c>
      <c r="N12" s="3"/>
      <c r="O12" s="64">
        <v>2</v>
      </c>
      <c r="P12" s="3"/>
      <c r="Q12" s="62">
        <v>1</v>
      </c>
      <c r="R12" s="3"/>
      <c r="S12" s="64">
        <v>1</v>
      </c>
      <c r="T12" s="3"/>
      <c r="U12" s="62">
        <v>2</v>
      </c>
      <c r="V12" s="3"/>
      <c r="W12" s="64">
        <v>1</v>
      </c>
      <c r="X12" s="3"/>
      <c r="Y12" s="62"/>
      <c r="Z12" s="3"/>
      <c r="AA12" s="64">
        <v>1</v>
      </c>
      <c r="AB12" s="3"/>
      <c r="AC12" s="62">
        <v>1</v>
      </c>
      <c r="AD12" s="3"/>
      <c r="AE12" s="64"/>
      <c r="AF12" s="3"/>
      <c r="AG12" s="62"/>
      <c r="AH12" s="3"/>
      <c r="AI12" s="64"/>
      <c r="AJ12" s="3"/>
      <c r="AK12" s="62"/>
      <c r="AL12" s="3"/>
      <c r="AM12" s="64"/>
      <c r="AN12" s="3"/>
      <c r="AO12" s="62"/>
      <c r="AP12" s="3"/>
      <c r="AQ12" s="64"/>
      <c r="AR12" s="3"/>
      <c r="AS12" s="62"/>
      <c r="AT12" s="3"/>
      <c r="AU12" s="64"/>
      <c r="AW12" s="34">
        <f t="shared" si="0"/>
        <v>1</v>
      </c>
      <c r="AX12" s="65">
        <f t="shared" si="1"/>
        <v>22.49</v>
      </c>
      <c r="AY12" s="66"/>
      <c r="AZ12" s="31">
        <f t="shared" si="2"/>
        <v>2</v>
      </c>
      <c r="BA12" s="67">
        <f t="shared" si="3"/>
        <v>44.98</v>
      </c>
      <c r="BB12" s="66"/>
      <c r="BC12" s="31">
        <f t="shared" si="4"/>
        <v>2</v>
      </c>
      <c r="BD12" s="65">
        <f t="shared" si="5"/>
        <v>44.98</v>
      </c>
      <c r="BE12" s="66"/>
      <c r="BF12" s="31">
        <f t="shared" si="6"/>
        <v>2</v>
      </c>
      <c r="BG12" s="67">
        <f t="shared" si="7"/>
        <v>44.98</v>
      </c>
      <c r="BH12" s="66"/>
      <c r="BI12" s="31">
        <f t="shared" si="8"/>
        <v>1</v>
      </c>
      <c r="BJ12" s="65">
        <f t="shared" si="9"/>
        <v>22.49</v>
      </c>
      <c r="BK12" s="66"/>
      <c r="BL12" s="31">
        <f t="shared" si="10"/>
        <v>1</v>
      </c>
      <c r="BM12" s="67">
        <f t="shared" si="11"/>
        <v>22.49</v>
      </c>
      <c r="BN12" s="66"/>
      <c r="BO12" s="31">
        <f t="shared" si="12"/>
        <v>2</v>
      </c>
      <c r="BP12" s="65">
        <f t="shared" si="13"/>
        <v>44.98</v>
      </c>
      <c r="BQ12" s="66"/>
      <c r="BR12" s="31">
        <f t="shared" si="14"/>
        <v>1</v>
      </c>
      <c r="BS12" s="67">
        <f t="shared" si="15"/>
        <v>22.49</v>
      </c>
      <c r="BT12" s="66"/>
      <c r="BU12" s="31">
        <f t="shared" si="16"/>
        <v>0</v>
      </c>
      <c r="BV12" s="65">
        <f t="shared" si="17"/>
        <v>0</v>
      </c>
      <c r="BW12" s="66"/>
      <c r="BX12" s="31">
        <f t="shared" si="18"/>
        <v>1</v>
      </c>
      <c r="BY12" s="67">
        <f t="shared" si="19"/>
        <v>22.49</v>
      </c>
      <c r="BZ12" s="66"/>
      <c r="CA12" s="31">
        <f t="shared" si="20"/>
        <v>1</v>
      </c>
      <c r="CB12" s="65">
        <f t="shared" si="21"/>
        <v>22.49</v>
      </c>
      <c r="CC12" s="66"/>
      <c r="CD12" s="31">
        <f t="shared" si="22"/>
        <v>0</v>
      </c>
      <c r="CE12" s="67">
        <f t="shared" si="23"/>
        <v>0</v>
      </c>
      <c r="CF12" s="66"/>
      <c r="CG12" s="34">
        <f t="shared" si="24"/>
        <v>0</v>
      </c>
      <c r="CH12" s="67">
        <f t="shared" si="45"/>
        <v>0</v>
      </c>
      <c r="CI12" s="66"/>
      <c r="CJ12" s="34">
        <f t="shared" si="25"/>
        <v>0</v>
      </c>
      <c r="CK12" s="67">
        <f t="shared" si="26"/>
        <v>0</v>
      </c>
      <c r="CL12" s="66"/>
      <c r="CM12" s="34">
        <f t="shared" si="27"/>
        <v>0</v>
      </c>
      <c r="CN12" s="67">
        <f t="shared" si="28"/>
        <v>0</v>
      </c>
      <c r="CO12" s="66"/>
      <c r="CP12" s="34">
        <f t="shared" si="29"/>
        <v>0</v>
      </c>
      <c r="CQ12" s="67">
        <f t="shared" si="30"/>
        <v>0</v>
      </c>
      <c r="CR12" s="66"/>
      <c r="CS12" s="34">
        <f t="shared" si="31"/>
        <v>0</v>
      </c>
      <c r="CT12" s="65">
        <f t="shared" si="32"/>
        <v>0</v>
      </c>
      <c r="CU12" s="66"/>
      <c r="CV12" s="31">
        <f t="shared" si="33"/>
        <v>0</v>
      </c>
      <c r="CW12" s="67">
        <f t="shared" si="34"/>
        <v>0</v>
      </c>
      <c r="CX12" s="66"/>
      <c r="CY12" s="31">
        <f t="shared" si="35"/>
        <v>0</v>
      </c>
      <c r="CZ12" s="65">
        <f t="shared" si="36"/>
        <v>0</v>
      </c>
      <c r="DA12" s="66"/>
      <c r="DB12" s="31">
        <f t="shared" si="37"/>
        <v>0</v>
      </c>
      <c r="DC12" s="67">
        <f t="shared" si="38"/>
        <v>0</v>
      </c>
      <c r="DE12" s="76">
        <v>505</v>
      </c>
      <c r="DF12" s="42"/>
      <c r="DG12" s="69">
        <f t="shared" si="39"/>
        <v>0</v>
      </c>
      <c r="DH12" s="42"/>
      <c r="DI12" s="70">
        <f t="shared" si="40"/>
        <v>14</v>
      </c>
      <c r="DJ12" s="42"/>
      <c r="DK12" s="70">
        <f t="shared" si="41"/>
        <v>491</v>
      </c>
      <c r="DL12" s="42"/>
      <c r="DM12" s="71">
        <f t="shared" si="42"/>
        <v>9203.795</v>
      </c>
      <c r="DN12" s="42"/>
      <c r="DO12" s="72">
        <f t="shared" si="43"/>
        <v>35.07142857142857</v>
      </c>
      <c r="DP12" s="42"/>
      <c r="DQ12" s="71">
        <f t="shared" si="44"/>
        <v>11042.589999999998</v>
      </c>
      <c r="DR12" s="42"/>
      <c r="DS12" s="69"/>
      <c r="DT12" s="42"/>
      <c r="DU12" s="71">
        <v>0</v>
      </c>
      <c r="DV12" s="42"/>
      <c r="DW12" s="73">
        <f t="shared" si="46"/>
        <v>0</v>
      </c>
      <c r="DX12" s="42"/>
      <c r="DY12" s="71">
        <f t="shared" si="47"/>
        <v>0</v>
      </c>
    </row>
    <row r="13" ht="12" customHeight="1" spans="1:129" x14ac:dyDescent="0.25">
      <c r="A13" s="74" t="s">
        <v>58</v>
      </c>
      <c r="B13" s="27"/>
      <c r="C13" s="75">
        <v>308</v>
      </c>
      <c r="D13" s="29"/>
      <c r="E13" s="78">
        <v>27.5</v>
      </c>
      <c r="F13" s="29"/>
      <c r="G13" s="61">
        <v>33</v>
      </c>
      <c r="H13" s="8"/>
      <c r="I13" s="62">
        <v>3</v>
      </c>
      <c r="J13" s="63"/>
      <c r="K13" s="64">
        <v>3</v>
      </c>
      <c r="L13" s="3"/>
      <c r="M13" s="62">
        <v>2</v>
      </c>
      <c r="N13" s="3"/>
      <c r="O13" s="64">
        <v>2</v>
      </c>
      <c r="P13" s="3"/>
      <c r="Q13" s="62"/>
      <c r="R13" s="3"/>
      <c r="S13" s="64"/>
      <c r="T13" s="3"/>
      <c r="U13" s="62">
        <v>1</v>
      </c>
      <c r="V13" s="3"/>
      <c r="W13" s="64">
        <v>1</v>
      </c>
      <c r="X13" s="3"/>
      <c r="Y13" s="62">
        <v>1</v>
      </c>
      <c r="Z13" s="3"/>
      <c r="AA13" s="64">
        <v>1</v>
      </c>
      <c r="AB13" s="3"/>
      <c r="AC13" s="62">
        <v>1</v>
      </c>
      <c r="AD13" s="3"/>
      <c r="AE13" s="64"/>
      <c r="AF13" s="3"/>
      <c r="AG13" s="62"/>
      <c r="AH13" s="3"/>
      <c r="AI13" s="64"/>
      <c r="AJ13" s="3"/>
      <c r="AK13" s="62"/>
      <c r="AL13" s="3"/>
      <c r="AM13" s="64"/>
      <c r="AN13" s="3"/>
      <c r="AO13" s="62"/>
      <c r="AP13" s="3"/>
      <c r="AQ13" s="64"/>
      <c r="AR13" s="3"/>
      <c r="AS13" s="62"/>
      <c r="AT13" s="3"/>
      <c r="AU13" s="64"/>
      <c r="AW13" s="34">
        <f t="shared" si="0"/>
        <v>3</v>
      </c>
      <c r="AX13" s="65">
        <f t="shared" si="1"/>
        <v>99</v>
      </c>
      <c r="AY13" s="66"/>
      <c r="AZ13" s="31">
        <f t="shared" si="2"/>
        <v>3</v>
      </c>
      <c r="BA13" s="67">
        <f t="shared" si="3"/>
        <v>99</v>
      </c>
      <c r="BB13" s="66"/>
      <c r="BC13" s="31">
        <f t="shared" si="4"/>
        <v>2</v>
      </c>
      <c r="BD13" s="65">
        <f t="shared" si="5"/>
        <v>66</v>
      </c>
      <c r="BE13" s="66"/>
      <c r="BF13" s="31">
        <f t="shared" si="6"/>
        <v>2</v>
      </c>
      <c r="BG13" s="67">
        <f t="shared" si="7"/>
        <v>66</v>
      </c>
      <c r="BH13" s="66"/>
      <c r="BI13" s="31">
        <f t="shared" si="8"/>
        <v>0</v>
      </c>
      <c r="BJ13" s="65">
        <f t="shared" si="9"/>
        <v>0</v>
      </c>
      <c r="BK13" s="66"/>
      <c r="BL13" s="31">
        <f t="shared" si="10"/>
        <v>0</v>
      </c>
      <c r="BM13" s="67">
        <f t="shared" si="11"/>
        <v>0</v>
      </c>
      <c r="BN13" s="66"/>
      <c r="BO13" s="31">
        <f t="shared" si="12"/>
        <v>1</v>
      </c>
      <c r="BP13" s="65">
        <f t="shared" si="13"/>
        <v>33</v>
      </c>
      <c r="BQ13" s="66"/>
      <c r="BR13" s="31">
        <f t="shared" si="14"/>
        <v>1</v>
      </c>
      <c r="BS13" s="67">
        <f t="shared" si="15"/>
        <v>33</v>
      </c>
      <c r="BT13" s="66"/>
      <c r="BU13" s="31">
        <f t="shared" si="16"/>
        <v>1</v>
      </c>
      <c r="BV13" s="65">
        <f t="shared" si="17"/>
        <v>33</v>
      </c>
      <c r="BW13" s="66"/>
      <c r="BX13" s="31">
        <f t="shared" si="18"/>
        <v>1</v>
      </c>
      <c r="BY13" s="67">
        <f t="shared" si="19"/>
        <v>33</v>
      </c>
      <c r="BZ13" s="66"/>
      <c r="CA13" s="31">
        <f t="shared" si="20"/>
        <v>1</v>
      </c>
      <c r="CB13" s="65">
        <f t="shared" si="21"/>
        <v>33</v>
      </c>
      <c r="CC13" s="66"/>
      <c r="CD13" s="31">
        <f t="shared" si="22"/>
        <v>0</v>
      </c>
      <c r="CE13" s="67">
        <f t="shared" si="23"/>
        <v>0</v>
      </c>
      <c r="CF13" s="66"/>
      <c r="CG13" s="34">
        <f t="shared" si="24"/>
        <v>0</v>
      </c>
      <c r="CH13" s="67">
        <f t="shared" si="45"/>
        <v>0</v>
      </c>
      <c r="CI13" s="66"/>
      <c r="CJ13" s="34">
        <f t="shared" si="25"/>
        <v>0</v>
      </c>
      <c r="CK13" s="67">
        <f t="shared" si="26"/>
        <v>0</v>
      </c>
      <c r="CL13" s="66"/>
      <c r="CM13" s="34">
        <f t="shared" si="27"/>
        <v>0</v>
      </c>
      <c r="CN13" s="67">
        <f t="shared" si="28"/>
        <v>0</v>
      </c>
      <c r="CO13" s="66"/>
      <c r="CP13" s="34">
        <f t="shared" si="29"/>
        <v>0</v>
      </c>
      <c r="CQ13" s="67">
        <f t="shared" si="30"/>
        <v>0</v>
      </c>
      <c r="CR13" s="66"/>
      <c r="CS13" s="34">
        <f t="shared" si="31"/>
        <v>0</v>
      </c>
      <c r="CT13" s="65">
        <f t="shared" si="32"/>
        <v>0</v>
      </c>
      <c r="CU13" s="66"/>
      <c r="CV13" s="31">
        <f t="shared" si="33"/>
        <v>0</v>
      </c>
      <c r="CW13" s="67">
        <f t="shared" si="34"/>
        <v>0</v>
      </c>
      <c r="CX13" s="66"/>
      <c r="CY13" s="31">
        <f t="shared" si="35"/>
        <v>0</v>
      </c>
      <c r="CZ13" s="65">
        <f t="shared" si="36"/>
        <v>0</v>
      </c>
      <c r="DA13" s="66"/>
      <c r="DB13" s="31">
        <f t="shared" si="37"/>
        <v>0</v>
      </c>
      <c r="DC13" s="67">
        <f t="shared" si="38"/>
        <v>0</v>
      </c>
      <c r="DE13" s="76">
        <v>7</v>
      </c>
      <c r="DF13" s="42"/>
      <c r="DG13" s="69">
        <f t="shared" si="39"/>
        <v>308</v>
      </c>
      <c r="DH13" s="42"/>
      <c r="DI13" s="70">
        <f t="shared" si="40"/>
        <v>15</v>
      </c>
      <c r="DJ13" s="42"/>
      <c r="DK13" s="70">
        <f t="shared" si="41"/>
        <v>300</v>
      </c>
      <c r="DL13" s="42"/>
      <c r="DM13" s="71">
        <f t="shared" si="42"/>
        <v>8250</v>
      </c>
      <c r="DN13" s="42"/>
      <c r="DO13" s="72">
        <f t="shared" si="43"/>
        <v>20</v>
      </c>
      <c r="DP13" s="42"/>
      <c r="DQ13" s="71">
        <f t="shared" si="44"/>
        <v>9900</v>
      </c>
      <c r="DR13" s="42"/>
      <c r="DS13" s="69"/>
      <c r="DT13" s="42"/>
      <c r="DU13" s="71">
        <v>0</v>
      </c>
      <c r="DV13" s="42"/>
      <c r="DW13" s="73">
        <f t="shared" si="46"/>
        <v>0</v>
      </c>
      <c r="DX13" s="42"/>
      <c r="DY13" s="71">
        <f t="shared" si="47"/>
        <v>0</v>
      </c>
    </row>
    <row r="14" ht="12" customHeight="1" spans="1:129" x14ac:dyDescent="0.25">
      <c r="A14" s="58" t="s">
        <v>59</v>
      </c>
      <c r="B14" s="42"/>
      <c r="C14" s="75"/>
      <c r="D14" s="44"/>
      <c r="E14" s="78">
        <v>11.07</v>
      </c>
      <c r="F14" s="44"/>
      <c r="G14" s="61">
        <v>13.28</v>
      </c>
      <c r="I14" s="62"/>
      <c r="J14" s="63"/>
      <c r="K14" s="64"/>
      <c r="L14" s="3"/>
      <c r="M14" s="62">
        <v>1</v>
      </c>
      <c r="N14" s="3"/>
      <c r="O14" s="64"/>
      <c r="P14" s="3"/>
      <c r="Q14" s="62"/>
      <c r="R14" s="3"/>
      <c r="S14" s="64"/>
      <c r="T14" s="3"/>
      <c r="U14" s="62"/>
      <c r="V14" s="3"/>
      <c r="W14" s="64"/>
      <c r="X14" s="3"/>
      <c r="Y14" s="62">
        <v>1</v>
      </c>
      <c r="Z14" s="3"/>
      <c r="AA14" s="64">
        <v>1</v>
      </c>
      <c r="AB14" s="3"/>
      <c r="AC14" s="62"/>
      <c r="AD14" s="3"/>
      <c r="AE14" s="64"/>
      <c r="AF14" s="3"/>
      <c r="AG14" s="62"/>
      <c r="AH14" s="3"/>
      <c r="AI14" s="64"/>
      <c r="AJ14" s="3"/>
      <c r="AK14" s="62"/>
      <c r="AL14" s="3"/>
      <c r="AM14" s="64"/>
      <c r="AN14" s="3"/>
      <c r="AO14" s="62"/>
      <c r="AP14" s="3"/>
      <c r="AQ14" s="64"/>
      <c r="AR14" s="3"/>
      <c r="AS14" s="62"/>
      <c r="AT14" s="3"/>
      <c r="AU14" s="64"/>
      <c r="AW14" s="34">
        <f t="shared" si="0"/>
        <v>0</v>
      </c>
      <c r="AX14" s="65">
        <f t="shared" si="1"/>
        <v>0</v>
      </c>
      <c r="AY14" s="66"/>
      <c r="AZ14" s="31">
        <f t="shared" si="2"/>
        <v>0</v>
      </c>
      <c r="BA14" s="67">
        <f t="shared" si="3"/>
        <v>0</v>
      </c>
      <c r="BB14" s="66"/>
      <c r="BC14" s="31">
        <f t="shared" si="4"/>
        <v>1</v>
      </c>
      <c r="BD14" s="65">
        <f t="shared" si="5"/>
        <v>13.28</v>
      </c>
      <c r="BE14" s="66"/>
      <c r="BF14" s="31">
        <f t="shared" si="6"/>
        <v>0</v>
      </c>
      <c r="BG14" s="67">
        <f t="shared" si="7"/>
        <v>0</v>
      </c>
      <c r="BH14" s="66"/>
      <c r="BI14" s="31">
        <f t="shared" si="8"/>
        <v>0</v>
      </c>
      <c r="BJ14" s="65">
        <f t="shared" si="9"/>
        <v>0</v>
      </c>
      <c r="BK14" s="66"/>
      <c r="BL14" s="31">
        <f t="shared" si="10"/>
        <v>0</v>
      </c>
      <c r="BM14" s="67">
        <f t="shared" si="11"/>
        <v>0</v>
      </c>
      <c r="BN14" s="66"/>
      <c r="BO14" s="31">
        <f t="shared" si="12"/>
        <v>0</v>
      </c>
      <c r="BP14" s="65">
        <f t="shared" si="13"/>
        <v>0</v>
      </c>
      <c r="BQ14" s="66"/>
      <c r="BR14" s="31">
        <f t="shared" si="14"/>
        <v>0</v>
      </c>
      <c r="BS14" s="67">
        <f t="shared" si="15"/>
        <v>0</v>
      </c>
      <c r="BT14" s="66"/>
      <c r="BU14" s="31">
        <f t="shared" si="16"/>
        <v>1</v>
      </c>
      <c r="BV14" s="65">
        <f t="shared" si="17"/>
        <v>13.28</v>
      </c>
      <c r="BW14" s="66"/>
      <c r="BX14" s="31">
        <f t="shared" si="18"/>
        <v>1</v>
      </c>
      <c r="BY14" s="67">
        <f t="shared" si="19"/>
        <v>13.28</v>
      </c>
      <c r="BZ14" s="66"/>
      <c r="CA14" s="31">
        <f t="shared" si="20"/>
        <v>0</v>
      </c>
      <c r="CB14" s="65">
        <f t="shared" si="21"/>
        <v>0</v>
      </c>
      <c r="CC14" s="66"/>
      <c r="CD14" s="31">
        <f t="shared" si="22"/>
        <v>0</v>
      </c>
      <c r="CE14" s="67">
        <f t="shared" si="23"/>
        <v>0</v>
      </c>
      <c r="CF14" s="66"/>
      <c r="CG14" s="34">
        <f t="shared" si="24"/>
        <v>0</v>
      </c>
      <c r="CH14" s="67">
        <f t="shared" si="45"/>
        <v>0</v>
      </c>
      <c r="CI14" s="66"/>
      <c r="CJ14" s="34">
        <f t="shared" si="25"/>
        <v>0</v>
      </c>
      <c r="CK14" s="67">
        <f t="shared" si="26"/>
        <v>0</v>
      </c>
      <c r="CL14" s="66"/>
      <c r="CM14" s="34">
        <f t="shared" si="27"/>
        <v>0</v>
      </c>
      <c r="CN14" s="67">
        <f t="shared" si="28"/>
        <v>0</v>
      </c>
      <c r="CO14" s="66"/>
      <c r="CP14" s="34">
        <f t="shared" si="29"/>
        <v>0</v>
      </c>
      <c r="CQ14" s="67">
        <f t="shared" si="30"/>
        <v>0</v>
      </c>
      <c r="CR14" s="66"/>
      <c r="CS14" s="34">
        <f t="shared" si="31"/>
        <v>0</v>
      </c>
      <c r="CT14" s="65">
        <f t="shared" si="32"/>
        <v>0</v>
      </c>
      <c r="CU14" s="66"/>
      <c r="CV14" s="31">
        <f t="shared" si="33"/>
        <v>0</v>
      </c>
      <c r="CW14" s="67">
        <f t="shared" si="34"/>
        <v>0</v>
      </c>
      <c r="CX14" s="66"/>
      <c r="CY14" s="31">
        <f t="shared" si="35"/>
        <v>0</v>
      </c>
      <c r="CZ14" s="65">
        <f t="shared" si="36"/>
        <v>0</v>
      </c>
      <c r="DA14" s="66"/>
      <c r="DB14" s="31">
        <f t="shared" si="37"/>
        <v>0</v>
      </c>
      <c r="DC14" s="67">
        <f t="shared" si="38"/>
        <v>0</v>
      </c>
      <c r="DE14" s="76">
        <v>114</v>
      </c>
      <c r="DF14" s="42"/>
      <c r="DG14" s="69">
        <f t="shared" si="39"/>
        <v>0</v>
      </c>
      <c r="DH14" s="42"/>
      <c r="DI14" s="70">
        <f t="shared" si="40"/>
        <v>3</v>
      </c>
      <c r="DJ14" s="42"/>
      <c r="DK14" s="70">
        <f t="shared" si="41"/>
        <v>111</v>
      </c>
      <c r="DL14" s="42"/>
      <c r="DM14" s="71">
        <f t="shared" si="42"/>
        <v>1228.77</v>
      </c>
      <c r="DN14" s="42"/>
      <c r="DO14" s="72">
        <f t="shared" si="43"/>
        <v>37</v>
      </c>
      <c r="DP14" s="42"/>
      <c r="DQ14" s="71">
        <f t="shared" si="44"/>
        <v>1474.08</v>
      </c>
      <c r="DR14" s="42"/>
      <c r="DS14" s="69"/>
      <c r="DT14" s="42"/>
      <c r="DU14" s="71">
        <v>0</v>
      </c>
      <c r="DV14" s="42"/>
      <c r="DW14" s="73">
        <f t="shared" si="46"/>
        <v>0</v>
      </c>
      <c r="DX14" s="42"/>
      <c r="DY14" s="71">
        <f t="shared" si="47"/>
        <v>0</v>
      </c>
    </row>
    <row r="15" ht="12" customHeight="1" spans="1:129" x14ac:dyDescent="0.25">
      <c r="A15" s="79" t="s">
        <v>60</v>
      </c>
      <c r="B15" s="42"/>
      <c r="C15" s="75"/>
      <c r="D15" s="44"/>
      <c r="E15" s="78">
        <v>13.03</v>
      </c>
      <c r="F15" s="44"/>
      <c r="G15" s="61">
        <v>15.64</v>
      </c>
      <c r="I15" s="62"/>
      <c r="J15" s="63"/>
      <c r="K15" s="64"/>
      <c r="L15" s="3"/>
      <c r="M15" s="62"/>
      <c r="N15" s="3"/>
      <c r="O15" s="64"/>
      <c r="P15" s="3"/>
      <c r="Q15" s="62"/>
      <c r="R15" s="3"/>
      <c r="S15" s="64"/>
      <c r="T15" s="3"/>
      <c r="U15" s="62">
        <v>1</v>
      </c>
      <c r="V15" s="3"/>
      <c r="W15" s="64"/>
      <c r="X15" s="3"/>
      <c r="Y15" s="62"/>
      <c r="Z15" s="3"/>
      <c r="AA15" s="64"/>
      <c r="AB15" s="3"/>
      <c r="AC15" s="62"/>
      <c r="AD15" s="3"/>
      <c r="AE15" s="64"/>
      <c r="AF15" s="3"/>
      <c r="AG15" s="62"/>
      <c r="AH15" s="3"/>
      <c r="AI15" s="64"/>
      <c r="AJ15" s="3"/>
      <c r="AK15" s="62"/>
      <c r="AL15" s="3"/>
      <c r="AM15" s="64"/>
      <c r="AN15" s="3"/>
      <c r="AO15" s="62"/>
      <c r="AP15" s="3"/>
      <c r="AQ15" s="64"/>
      <c r="AR15" s="3"/>
      <c r="AS15" s="62"/>
      <c r="AT15" s="3"/>
      <c r="AU15" s="64"/>
      <c r="AW15" s="34">
        <f t="shared" si="0"/>
        <v>0</v>
      </c>
      <c r="AX15" s="65">
        <f t="shared" si="1"/>
        <v>0</v>
      </c>
      <c r="AY15" s="66"/>
      <c r="AZ15" s="31">
        <f t="shared" si="2"/>
        <v>0</v>
      </c>
      <c r="BA15" s="67">
        <f t="shared" si="3"/>
        <v>0</v>
      </c>
      <c r="BB15" s="66"/>
      <c r="BC15" s="31">
        <f t="shared" si="4"/>
        <v>0</v>
      </c>
      <c r="BD15" s="65">
        <f t="shared" si="5"/>
        <v>0</v>
      </c>
      <c r="BE15" s="66"/>
      <c r="BF15" s="31">
        <f t="shared" si="6"/>
        <v>0</v>
      </c>
      <c r="BG15" s="67">
        <f t="shared" si="7"/>
        <v>0</v>
      </c>
      <c r="BH15" s="66"/>
      <c r="BI15" s="31">
        <f t="shared" si="8"/>
        <v>0</v>
      </c>
      <c r="BJ15" s="65">
        <f t="shared" si="9"/>
        <v>0</v>
      </c>
      <c r="BK15" s="66"/>
      <c r="BL15" s="31">
        <f t="shared" si="10"/>
        <v>0</v>
      </c>
      <c r="BM15" s="67">
        <f t="shared" si="11"/>
        <v>0</v>
      </c>
      <c r="BN15" s="66"/>
      <c r="BO15" s="31">
        <f t="shared" si="12"/>
        <v>1</v>
      </c>
      <c r="BP15" s="65">
        <f t="shared" si="13"/>
        <v>15.64</v>
      </c>
      <c r="BQ15" s="66"/>
      <c r="BR15" s="31">
        <f t="shared" si="14"/>
        <v>0</v>
      </c>
      <c r="BS15" s="67">
        <f t="shared" si="15"/>
        <v>0</v>
      </c>
      <c r="BT15" s="66"/>
      <c r="BU15" s="31">
        <f t="shared" si="16"/>
        <v>0</v>
      </c>
      <c r="BV15" s="65">
        <f t="shared" si="17"/>
        <v>0</v>
      </c>
      <c r="BW15" s="66"/>
      <c r="BX15" s="31">
        <f t="shared" si="18"/>
        <v>0</v>
      </c>
      <c r="BY15" s="67">
        <f t="shared" si="19"/>
        <v>0</v>
      </c>
      <c r="BZ15" s="66"/>
      <c r="CA15" s="31">
        <f t="shared" si="20"/>
        <v>0</v>
      </c>
      <c r="CB15" s="65">
        <f t="shared" si="21"/>
        <v>0</v>
      </c>
      <c r="CC15" s="66"/>
      <c r="CD15" s="31">
        <f t="shared" si="22"/>
        <v>0</v>
      </c>
      <c r="CE15" s="67">
        <f t="shared" si="23"/>
        <v>0</v>
      </c>
      <c r="CF15" s="66"/>
      <c r="CG15" s="34">
        <f t="shared" si="24"/>
        <v>0</v>
      </c>
      <c r="CH15" s="67">
        <f t="shared" si="45"/>
        <v>0</v>
      </c>
      <c r="CI15" s="66"/>
      <c r="CJ15" s="34">
        <f t="shared" si="25"/>
        <v>0</v>
      </c>
      <c r="CK15" s="67">
        <f t="shared" si="26"/>
        <v>0</v>
      </c>
      <c r="CL15" s="66"/>
      <c r="CM15" s="34">
        <f t="shared" si="27"/>
        <v>0</v>
      </c>
      <c r="CN15" s="67">
        <f t="shared" si="28"/>
        <v>0</v>
      </c>
      <c r="CO15" s="66"/>
      <c r="CP15" s="34">
        <f t="shared" si="29"/>
        <v>0</v>
      </c>
      <c r="CQ15" s="67">
        <f t="shared" si="30"/>
        <v>0</v>
      </c>
      <c r="CR15" s="66"/>
      <c r="CS15" s="34">
        <f t="shared" si="31"/>
        <v>0</v>
      </c>
      <c r="CT15" s="65">
        <f t="shared" si="32"/>
        <v>0</v>
      </c>
      <c r="CU15" s="66"/>
      <c r="CV15" s="31">
        <f t="shared" si="33"/>
        <v>0</v>
      </c>
      <c r="CW15" s="67">
        <f t="shared" si="34"/>
        <v>0</v>
      </c>
      <c r="CX15" s="66"/>
      <c r="CY15" s="31">
        <f t="shared" si="35"/>
        <v>0</v>
      </c>
      <c r="CZ15" s="65">
        <f t="shared" si="36"/>
        <v>0</v>
      </c>
      <c r="DA15" s="66"/>
      <c r="DB15" s="31">
        <f t="shared" si="37"/>
        <v>0</v>
      </c>
      <c r="DC15" s="67">
        <f t="shared" si="38"/>
        <v>0</v>
      </c>
      <c r="DE15" s="76">
        <v>49</v>
      </c>
      <c r="DF15" s="42"/>
      <c r="DG15" s="69">
        <f t="shared" si="39"/>
        <v>0</v>
      </c>
      <c r="DH15" s="42"/>
      <c r="DI15" s="70">
        <f t="shared" si="40"/>
        <v>1</v>
      </c>
      <c r="DJ15" s="42"/>
      <c r="DK15" s="70">
        <f t="shared" si="41"/>
        <v>48</v>
      </c>
      <c r="DL15" s="42"/>
      <c r="DM15" s="71">
        <f t="shared" si="42"/>
        <v>625.4399999999999</v>
      </c>
      <c r="DN15" s="42"/>
      <c r="DO15" s="72">
        <f t="shared" si="43"/>
        <v>48</v>
      </c>
      <c r="DP15" s="42"/>
      <c r="DQ15" s="71">
        <f t="shared" si="44"/>
        <v>750.72</v>
      </c>
      <c r="DR15" s="42"/>
      <c r="DS15" s="69"/>
      <c r="DT15" s="42"/>
      <c r="DU15" s="71">
        <v>0</v>
      </c>
      <c r="DV15" s="42"/>
      <c r="DW15" s="73">
        <f t="shared" si="46"/>
        <v>0</v>
      </c>
      <c r="DX15" s="42"/>
      <c r="DY15" s="71">
        <f t="shared" si="47"/>
        <v>0</v>
      </c>
    </row>
    <row r="16" ht="12.45" customHeight="1" spans="1:129" x14ac:dyDescent="0.25">
      <c r="A16" s="77" t="s">
        <v>61</v>
      </c>
      <c r="B16" s="42"/>
      <c r="C16" s="75"/>
      <c r="D16" s="44"/>
      <c r="E16" s="78">
        <v>18.95</v>
      </c>
      <c r="F16" s="44"/>
      <c r="G16" s="61">
        <v>22.74</v>
      </c>
      <c r="I16" s="62">
        <v>1</v>
      </c>
      <c r="J16" s="63"/>
      <c r="K16" s="64">
        <v>1</v>
      </c>
      <c r="L16" s="3"/>
      <c r="M16" s="62">
        <v>1</v>
      </c>
      <c r="N16" s="3"/>
      <c r="O16" s="64"/>
      <c r="P16" s="3"/>
      <c r="Q16" s="62"/>
      <c r="R16" s="3"/>
      <c r="S16" s="64"/>
      <c r="T16" s="3"/>
      <c r="U16" s="62">
        <v>1</v>
      </c>
      <c r="V16" s="3"/>
      <c r="W16" s="64">
        <v>1</v>
      </c>
      <c r="X16" s="3"/>
      <c r="Y16" s="62">
        <v>1</v>
      </c>
      <c r="Z16" s="3"/>
      <c r="AA16" s="64"/>
      <c r="AB16" s="3"/>
      <c r="AC16" s="62"/>
      <c r="AD16" s="3"/>
      <c r="AE16" s="64"/>
      <c r="AF16" s="3"/>
      <c r="AG16" s="62"/>
      <c r="AH16" s="3"/>
      <c r="AI16" s="64"/>
      <c r="AJ16" s="3"/>
      <c r="AK16" s="62"/>
      <c r="AL16" s="3"/>
      <c r="AM16" s="64"/>
      <c r="AN16" s="3"/>
      <c r="AO16" s="62"/>
      <c r="AP16" s="3"/>
      <c r="AQ16" s="64"/>
      <c r="AR16" s="3"/>
      <c r="AS16" s="62"/>
      <c r="AT16" s="3"/>
      <c r="AU16" s="64"/>
      <c r="AW16" s="34">
        <f t="shared" si="0"/>
        <v>1</v>
      </c>
      <c r="AX16" s="65">
        <f t="shared" si="1"/>
        <v>22.74</v>
      </c>
      <c r="AY16" s="66"/>
      <c r="AZ16" s="31">
        <f t="shared" si="2"/>
        <v>1</v>
      </c>
      <c r="BA16" s="67">
        <f t="shared" si="3"/>
        <v>22.74</v>
      </c>
      <c r="BB16" s="66"/>
      <c r="BC16" s="31">
        <f t="shared" si="4"/>
        <v>1</v>
      </c>
      <c r="BD16" s="65">
        <f t="shared" si="5"/>
        <v>22.74</v>
      </c>
      <c r="BE16" s="66"/>
      <c r="BF16" s="31">
        <f t="shared" si="6"/>
        <v>0</v>
      </c>
      <c r="BG16" s="67">
        <f t="shared" si="7"/>
        <v>0</v>
      </c>
      <c r="BH16" s="66"/>
      <c r="BI16" s="31">
        <f t="shared" si="8"/>
        <v>0</v>
      </c>
      <c r="BJ16" s="65">
        <f t="shared" si="9"/>
        <v>0</v>
      </c>
      <c r="BK16" s="66"/>
      <c r="BL16" s="31">
        <f t="shared" si="10"/>
        <v>0</v>
      </c>
      <c r="BM16" s="67">
        <f t="shared" si="11"/>
        <v>0</v>
      </c>
      <c r="BN16" s="66"/>
      <c r="BO16" s="31">
        <f t="shared" si="12"/>
        <v>1</v>
      </c>
      <c r="BP16" s="65">
        <f t="shared" si="13"/>
        <v>22.74</v>
      </c>
      <c r="BQ16" s="66"/>
      <c r="BR16" s="31">
        <f t="shared" si="14"/>
        <v>1</v>
      </c>
      <c r="BS16" s="67">
        <f t="shared" si="15"/>
        <v>22.74</v>
      </c>
      <c r="BT16" s="66"/>
      <c r="BU16" s="31">
        <f t="shared" si="16"/>
        <v>1</v>
      </c>
      <c r="BV16" s="65">
        <f t="shared" si="17"/>
        <v>22.74</v>
      </c>
      <c r="BW16" s="66"/>
      <c r="BX16" s="31">
        <f t="shared" si="18"/>
        <v>0</v>
      </c>
      <c r="BY16" s="67">
        <f t="shared" si="19"/>
        <v>0</v>
      </c>
      <c r="BZ16" s="66"/>
      <c r="CA16" s="31">
        <f t="shared" si="20"/>
        <v>0</v>
      </c>
      <c r="CB16" s="65">
        <f t="shared" si="21"/>
        <v>0</v>
      </c>
      <c r="CC16" s="66"/>
      <c r="CD16" s="31">
        <f t="shared" si="22"/>
        <v>0</v>
      </c>
      <c r="CE16" s="67">
        <f t="shared" si="23"/>
        <v>0</v>
      </c>
      <c r="CF16" s="66"/>
      <c r="CG16" s="34">
        <f t="shared" si="24"/>
        <v>0</v>
      </c>
      <c r="CH16" s="67">
        <f t="shared" si="45"/>
        <v>0</v>
      </c>
      <c r="CI16" s="66"/>
      <c r="CJ16" s="34">
        <f t="shared" si="25"/>
        <v>0</v>
      </c>
      <c r="CK16" s="67">
        <f t="shared" si="26"/>
        <v>0</v>
      </c>
      <c r="CL16" s="66"/>
      <c r="CM16" s="34">
        <f t="shared" si="27"/>
        <v>0</v>
      </c>
      <c r="CN16" s="67">
        <f t="shared" si="28"/>
        <v>0</v>
      </c>
      <c r="CO16" s="66"/>
      <c r="CP16" s="34">
        <f t="shared" si="29"/>
        <v>0</v>
      </c>
      <c r="CQ16" s="67">
        <f t="shared" si="30"/>
        <v>0</v>
      </c>
      <c r="CR16" s="66"/>
      <c r="CS16" s="34">
        <f t="shared" si="31"/>
        <v>0</v>
      </c>
      <c r="CT16" s="65">
        <f t="shared" si="32"/>
        <v>0</v>
      </c>
      <c r="CU16" s="66"/>
      <c r="CV16" s="31">
        <f t="shared" si="33"/>
        <v>0</v>
      </c>
      <c r="CW16" s="67">
        <f t="shared" si="34"/>
        <v>0</v>
      </c>
      <c r="CX16" s="66"/>
      <c r="CY16" s="31">
        <f t="shared" si="35"/>
        <v>0</v>
      </c>
      <c r="CZ16" s="65">
        <f t="shared" si="36"/>
        <v>0</v>
      </c>
      <c r="DA16" s="66"/>
      <c r="DB16" s="31">
        <f t="shared" si="37"/>
        <v>0</v>
      </c>
      <c r="DC16" s="67">
        <f t="shared" si="38"/>
        <v>0</v>
      </c>
      <c r="DE16" s="76">
        <v>64</v>
      </c>
      <c r="DF16" s="42"/>
      <c r="DG16" s="69">
        <f t="shared" si="39"/>
        <v>0</v>
      </c>
      <c r="DH16" s="42"/>
      <c r="DI16" s="70">
        <f t="shared" si="40"/>
        <v>6</v>
      </c>
      <c r="DJ16" s="42"/>
      <c r="DK16" s="70">
        <f t="shared" si="41"/>
        <v>58</v>
      </c>
      <c r="DL16" s="42"/>
      <c r="DM16" s="71">
        <f t="shared" si="42"/>
        <v>1099.1</v>
      </c>
      <c r="DN16" s="42"/>
      <c r="DO16" s="72">
        <f t="shared" si="43"/>
        <v>9.666666666666666</v>
      </c>
      <c r="DP16" s="42"/>
      <c r="DQ16" s="71">
        <f t="shared" si="44"/>
        <v>1318.9199999999998</v>
      </c>
      <c r="DR16" s="42"/>
      <c r="DS16" s="69"/>
      <c r="DT16" s="42"/>
      <c r="DU16" s="71">
        <v>0</v>
      </c>
      <c r="DV16" s="42"/>
      <c r="DW16" s="73">
        <f t="shared" si="46"/>
        <v>0</v>
      </c>
      <c r="DX16" s="42"/>
      <c r="DY16" s="71">
        <f t="shared" si="47"/>
        <v>0</v>
      </c>
    </row>
    <row r="17" ht="12" customHeight="1" spans="1:129" x14ac:dyDescent="0.25">
      <c r="A17" s="74" t="s">
        <v>62</v>
      </c>
      <c r="B17" s="42"/>
      <c r="C17" s="75"/>
      <c r="D17" s="44"/>
      <c r="E17" s="78">
        <v>22.95</v>
      </c>
      <c r="F17" s="44"/>
      <c r="G17" s="61">
        <v>27.54</v>
      </c>
      <c r="I17" s="62"/>
      <c r="J17" s="63"/>
      <c r="K17" s="64"/>
      <c r="L17" s="3"/>
      <c r="M17" s="62"/>
      <c r="N17" s="3"/>
      <c r="O17" s="64"/>
      <c r="P17" s="3"/>
      <c r="Q17" s="62"/>
      <c r="R17" s="3"/>
      <c r="S17" s="64"/>
      <c r="T17" s="3"/>
      <c r="U17" s="62"/>
      <c r="V17" s="3"/>
      <c r="W17" s="64"/>
      <c r="X17" s="3"/>
      <c r="Y17" s="62"/>
      <c r="Z17" s="3"/>
      <c r="AA17" s="64"/>
      <c r="AB17" s="3"/>
      <c r="AC17" s="62"/>
      <c r="AD17" s="3"/>
      <c r="AE17" s="64"/>
      <c r="AF17" s="3"/>
      <c r="AG17" s="62"/>
      <c r="AH17" s="3"/>
      <c r="AI17" s="64"/>
      <c r="AJ17" s="3"/>
      <c r="AK17" s="62"/>
      <c r="AL17" s="3"/>
      <c r="AM17" s="64"/>
      <c r="AN17" s="3"/>
      <c r="AO17" s="62"/>
      <c r="AP17" s="3"/>
      <c r="AQ17" s="64"/>
      <c r="AR17" s="3"/>
      <c r="AS17" s="62"/>
      <c r="AT17" s="3"/>
      <c r="AU17" s="64"/>
      <c r="AW17" s="34">
        <f t="shared" si="0"/>
        <v>0</v>
      </c>
      <c r="AX17" s="65">
        <f t="shared" si="1"/>
        <v>0</v>
      </c>
      <c r="AY17" s="66"/>
      <c r="AZ17" s="31">
        <f t="shared" si="2"/>
        <v>0</v>
      </c>
      <c r="BA17" s="67">
        <f t="shared" si="3"/>
        <v>0</v>
      </c>
      <c r="BB17" s="66"/>
      <c r="BC17" s="31">
        <f t="shared" si="4"/>
        <v>0</v>
      </c>
      <c r="BD17" s="65">
        <f t="shared" si="5"/>
        <v>0</v>
      </c>
      <c r="BE17" s="66"/>
      <c r="BF17" s="31">
        <f t="shared" si="6"/>
        <v>0</v>
      </c>
      <c r="BG17" s="67">
        <f t="shared" si="7"/>
        <v>0</v>
      </c>
      <c r="BH17" s="66"/>
      <c r="BI17" s="31">
        <f t="shared" si="8"/>
        <v>0</v>
      </c>
      <c r="BJ17" s="65">
        <f t="shared" si="9"/>
        <v>0</v>
      </c>
      <c r="BK17" s="66"/>
      <c r="BL17" s="31">
        <f t="shared" si="10"/>
        <v>0</v>
      </c>
      <c r="BM17" s="67">
        <f t="shared" si="11"/>
        <v>0</v>
      </c>
      <c r="BN17" s="66"/>
      <c r="BO17" s="31">
        <f t="shared" si="12"/>
        <v>0</v>
      </c>
      <c r="BP17" s="65">
        <f t="shared" si="13"/>
        <v>0</v>
      </c>
      <c r="BQ17" s="66"/>
      <c r="BR17" s="31">
        <f t="shared" si="14"/>
        <v>0</v>
      </c>
      <c r="BS17" s="67">
        <f t="shared" si="15"/>
        <v>0</v>
      </c>
      <c r="BT17" s="66"/>
      <c r="BU17" s="31">
        <f t="shared" si="16"/>
        <v>0</v>
      </c>
      <c r="BV17" s="65">
        <f t="shared" si="17"/>
        <v>0</v>
      </c>
      <c r="BW17" s="66"/>
      <c r="BX17" s="31">
        <f t="shared" si="18"/>
        <v>0</v>
      </c>
      <c r="BY17" s="67">
        <f t="shared" si="19"/>
        <v>0</v>
      </c>
      <c r="BZ17" s="66"/>
      <c r="CA17" s="31">
        <f t="shared" si="20"/>
        <v>0</v>
      </c>
      <c r="CB17" s="65">
        <f t="shared" si="21"/>
        <v>0</v>
      </c>
      <c r="CC17" s="66"/>
      <c r="CD17" s="31">
        <f t="shared" si="22"/>
        <v>0</v>
      </c>
      <c r="CE17" s="67">
        <f t="shared" si="23"/>
        <v>0</v>
      </c>
      <c r="CF17" s="66"/>
      <c r="CG17" s="34">
        <f t="shared" si="24"/>
        <v>0</v>
      </c>
      <c r="CH17" s="67">
        <f t="shared" si="45"/>
        <v>0</v>
      </c>
      <c r="CI17" s="66"/>
      <c r="CJ17" s="34">
        <f t="shared" si="25"/>
        <v>0</v>
      </c>
      <c r="CK17" s="67">
        <f t="shared" si="26"/>
        <v>0</v>
      </c>
      <c r="CL17" s="66"/>
      <c r="CM17" s="34">
        <f t="shared" si="27"/>
        <v>0</v>
      </c>
      <c r="CN17" s="67">
        <f t="shared" si="28"/>
        <v>0</v>
      </c>
      <c r="CO17" s="66"/>
      <c r="CP17" s="34">
        <f t="shared" si="29"/>
        <v>0</v>
      </c>
      <c r="CQ17" s="67">
        <f t="shared" si="30"/>
        <v>0</v>
      </c>
      <c r="CR17" s="66"/>
      <c r="CS17" s="34">
        <f t="shared" si="31"/>
        <v>0</v>
      </c>
      <c r="CT17" s="65">
        <f t="shared" si="32"/>
        <v>0</v>
      </c>
      <c r="CU17" s="66"/>
      <c r="CV17" s="31">
        <f t="shared" si="33"/>
        <v>0</v>
      </c>
      <c r="CW17" s="67">
        <f t="shared" si="34"/>
        <v>0</v>
      </c>
      <c r="CX17" s="66"/>
      <c r="CY17" s="31">
        <f t="shared" si="35"/>
        <v>0</v>
      </c>
      <c r="CZ17" s="65">
        <f t="shared" si="36"/>
        <v>0</v>
      </c>
      <c r="DA17" s="66"/>
      <c r="DB17" s="31">
        <f t="shared" si="37"/>
        <v>0</v>
      </c>
      <c r="DC17" s="67">
        <f t="shared" si="38"/>
        <v>0</v>
      </c>
      <c r="DE17" s="76">
        <v>82</v>
      </c>
      <c r="DF17" s="42"/>
      <c r="DG17" s="69">
        <f t="shared" si="39"/>
        <v>0</v>
      </c>
      <c r="DH17" s="42"/>
      <c r="DI17" s="70">
        <f t="shared" si="40"/>
        <v>0</v>
      </c>
      <c r="DJ17" s="42"/>
      <c r="DK17" s="70">
        <f t="shared" si="41"/>
        <v>82</v>
      </c>
      <c r="DL17" s="42"/>
      <c r="DM17" s="71">
        <f t="shared" si="42"/>
        <v>1881.8999999999999</v>
      </c>
      <c r="DN17" s="42"/>
      <c r="DO17" s="72" t="e">
        <f t="shared" si="43"/>
        <v>#DIV/0!</v>
      </c>
      <c r="DP17" s="42"/>
      <c r="DQ17" s="71">
        <f t="shared" si="44"/>
        <v>2258.2799999999997</v>
      </c>
      <c r="DR17" s="42"/>
      <c r="DS17" s="69"/>
      <c r="DT17" s="42"/>
      <c r="DU17" s="71">
        <v>0</v>
      </c>
      <c r="DV17" s="42"/>
      <c r="DW17" s="73">
        <f t="shared" si="46"/>
        <v>0</v>
      </c>
      <c r="DX17" s="42"/>
      <c r="DY17" s="71">
        <f t="shared" si="47"/>
        <v>0</v>
      </c>
    </row>
    <row r="18" ht="12" customHeight="1" spans="1:129" x14ac:dyDescent="0.25">
      <c r="A18" s="77" t="s">
        <v>63</v>
      </c>
      <c r="B18" s="42"/>
      <c r="C18" s="75"/>
      <c r="D18" s="44"/>
      <c r="E18" s="78">
        <v>33.95</v>
      </c>
      <c r="F18" s="44"/>
      <c r="G18" s="61">
        <v>40.74</v>
      </c>
      <c r="I18" s="62">
        <v>1</v>
      </c>
      <c r="J18" s="63"/>
      <c r="K18" s="64">
        <v>1</v>
      </c>
      <c r="L18" s="3"/>
      <c r="M18" s="62">
        <v>1</v>
      </c>
      <c r="N18" s="3"/>
      <c r="O18" s="64">
        <v>2</v>
      </c>
      <c r="P18" s="3"/>
      <c r="Q18" s="62">
        <v>1</v>
      </c>
      <c r="R18" s="3"/>
      <c r="S18" s="64">
        <v>1</v>
      </c>
      <c r="T18" s="3"/>
      <c r="U18" s="62">
        <v>1</v>
      </c>
      <c r="V18" s="3"/>
      <c r="W18" s="64">
        <v>1</v>
      </c>
      <c r="X18" s="3"/>
      <c r="Y18" s="62">
        <v>2</v>
      </c>
      <c r="Z18" s="3"/>
      <c r="AA18" s="64">
        <v>1</v>
      </c>
      <c r="AB18" s="3"/>
      <c r="AC18" s="62">
        <v>1</v>
      </c>
      <c r="AD18" s="3"/>
      <c r="AE18" s="64"/>
      <c r="AF18" s="3"/>
      <c r="AG18" s="62"/>
      <c r="AH18" s="3"/>
      <c r="AI18" s="64"/>
      <c r="AJ18" s="3"/>
      <c r="AK18" s="62"/>
      <c r="AL18" s="3"/>
      <c r="AM18" s="64"/>
      <c r="AN18" s="3"/>
      <c r="AO18" s="62"/>
      <c r="AP18" s="3"/>
      <c r="AQ18" s="64">
        <v>1</v>
      </c>
      <c r="AR18" s="3"/>
      <c r="AS18" s="62"/>
      <c r="AT18" s="3"/>
      <c r="AU18" s="64"/>
      <c r="AW18" s="34">
        <f t="shared" si="0"/>
        <v>1</v>
      </c>
      <c r="AX18" s="65">
        <f t="shared" si="1"/>
        <v>40.74</v>
      </c>
      <c r="AY18" s="66"/>
      <c r="AZ18" s="31">
        <f t="shared" si="2"/>
        <v>1</v>
      </c>
      <c r="BA18" s="67">
        <f t="shared" si="3"/>
        <v>40.74</v>
      </c>
      <c r="BB18" s="66"/>
      <c r="BC18" s="31">
        <f t="shared" si="4"/>
        <v>1</v>
      </c>
      <c r="BD18" s="65">
        <f t="shared" si="5"/>
        <v>40.74</v>
      </c>
      <c r="BE18" s="66"/>
      <c r="BF18" s="31">
        <f t="shared" si="6"/>
        <v>2</v>
      </c>
      <c r="BG18" s="67">
        <f t="shared" si="7"/>
        <v>81.48</v>
      </c>
      <c r="BH18" s="66"/>
      <c r="BI18" s="31">
        <f t="shared" si="8"/>
        <v>1</v>
      </c>
      <c r="BJ18" s="65">
        <f t="shared" si="9"/>
        <v>40.74</v>
      </c>
      <c r="BK18" s="66"/>
      <c r="BL18" s="31">
        <f t="shared" si="10"/>
        <v>1</v>
      </c>
      <c r="BM18" s="67">
        <f t="shared" si="11"/>
        <v>40.74</v>
      </c>
      <c r="BN18" s="66"/>
      <c r="BO18" s="31">
        <f t="shared" si="12"/>
        <v>1</v>
      </c>
      <c r="BP18" s="65">
        <f t="shared" si="13"/>
        <v>40.74</v>
      </c>
      <c r="BQ18" s="66"/>
      <c r="BR18" s="31">
        <f t="shared" si="14"/>
        <v>1</v>
      </c>
      <c r="BS18" s="67">
        <f t="shared" si="15"/>
        <v>40.74</v>
      </c>
      <c r="BT18" s="66"/>
      <c r="BU18" s="31">
        <f t="shared" si="16"/>
        <v>2</v>
      </c>
      <c r="BV18" s="65">
        <f t="shared" si="17"/>
        <v>81.48</v>
      </c>
      <c r="BW18" s="66"/>
      <c r="BX18" s="31">
        <f t="shared" si="18"/>
        <v>1</v>
      </c>
      <c r="BY18" s="67">
        <f t="shared" si="19"/>
        <v>40.74</v>
      </c>
      <c r="BZ18" s="66"/>
      <c r="CA18" s="31">
        <f t="shared" si="20"/>
        <v>1</v>
      </c>
      <c r="CB18" s="65">
        <f t="shared" si="21"/>
        <v>40.74</v>
      </c>
      <c r="CC18" s="66"/>
      <c r="CD18" s="31">
        <f t="shared" si="22"/>
        <v>0</v>
      </c>
      <c r="CE18" s="67">
        <f t="shared" si="23"/>
        <v>0</v>
      </c>
      <c r="CF18" s="66"/>
      <c r="CG18" s="34">
        <f t="shared" si="24"/>
        <v>0</v>
      </c>
      <c r="CH18" s="67">
        <f t="shared" si="45"/>
        <v>0</v>
      </c>
      <c r="CI18" s="66"/>
      <c r="CJ18" s="34">
        <f t="shared" si="25"/>
        <v>0</v>
      </c>
      <c r="CK18" s="67">
        <f t="shared" si="26"/>
        <v>0</v>
      </c>
      <c r="CL18" s="66"/>
      <c r="CM18" s="34">
        <f t="shared" si="27"/>
        <v>0</v>
      </c>
      <c r="CN18" s="67">
        <f t="shared" si="28"/>
        <v>0</v>
      </c>
      <c r="CO18" s="66"/>
      <c r="CP18" s="34">
        <f t="shared" si="29"/>
        <v>0</v>
      </c>
      <c r="CQ18" s="67">
        <f t="shared" si="30"/>
        <v>0</v>
      </c>
      <c r="CR18" s="66"/>
      <c r="CS18" s="34">
        <f t="shared" si="31"/>
        <v>0</v>
      </c>
      <c r="CT18" s="65">
        <f t="shared" si="32"/>
        <v>0</v>
      </c>
      <c r="CU18" s="66"/>
      <c r="CV18" s="31">
        <f t="shared" si="33"/>
        <v>1</v>
      </c>
      <c r="CW18" s="67">
        <f t="shared" si="34"/>
        <v>40.74</v>
      </c>
      <c r="CX18" s="66"/>
      <c r="CY18" s="31">
        <f t="shared" si="35"/>
        <v>0</v>
      </c>
      <c r="CZ18" s="65">
        <f t="shared" si="36"/>
        <v>0</v>
      </c>
      <c r="DA18" s="66"/>
      <c r="DB18" s="31">
        <f t="shared" si="37"/>
        <v>0</v>
      </c>
      <c r="DC18" s="67">
        <f t="shared" si="38"/>
        <v>0</v>
      </c>
      <c r="DE18" s="76">
        <v>368</v>
      </c>
      <c r="DF18" s="42"/>
      <c r="DG18" s="69">
        <f t="shared" si="39"/>
        <v>0</v>
      </c>
      <c r="DH18" s="42"/>
      <c r="DI18" s="70">
        <f t="shared" si="40"/>
        <v>14</v>
      </c>
      <c r="DJ18" s="42"/>
      <c r="DK18" s="70">
        <f t="shared" si="41"/>
        <v>354</v>
      </c>
      <c r="DL18" s="42"/>
      <c r="DM18" s="71">
        <f t="shared" si="42"/>
        <v>12018.300000000001</v>
      </c>
      <c r="DN18" s="42"/>
      <c r="DO18" s="72">
        <f t="shared" si="43"/>
        <v>25.285714285714285</v>
      </c>
      <c r="DP18" s="42"/>
      <c r="DQ18" s="71">
        <f t="shared" si="44"/>
        <v>14421.960000000001</v>
      </c>
      <c r="DR18" s="42"/>
      <c r="DS18" s="69"/>
      <c r="DT18" s="42"/>
      <c r="DU18" s="71">
        <v>0</v>
      </c>
      <c r="DV18" s="42"/>
      <c r="DW18" s="73">
        <f t="shared" si="46"/>
        <v>0</v>
      </c>
      <c r="DX18" s="42"/>
      <c r="DY18" s="71">
        <f t="shared" si="47"/>
        <v>0</v>
      </c>
    </row>
    <row r="19" ht="12" customHeight="1" spans="1:129" x14ac:dyDescent="0.25">
      <c r="A19" s="74" t="s">
        <v>64</v>
      </c>
      <c r="B19" s="42"/>
      <c r="C19" s="75"/>
      <c r="D19" s="44"/>
      <c r="E19" s="78">
        <v>15.85</v>
      </c>
      <c r="F19" s="44"/>
      <c r="G19" s="61">
        <v>19.02</v>
      </c>
      <c r="I19" s="62"/>
      <c r="J19" s="63"/>
      <c r="K19" s="64"/>
      <c r="L19" s="3"/>
      <c r="M19" s="62"/>
      <c r="N19" s="3"/>
      <c r="O19" s="64"/>
      <c r="P19" s="3"/>
      <c r="Q19" s="62">
        <v>1</v>
      </c>
      <c r="R19" s="3"/>
      <c r="S19" s="64"/>
      <c r="T19" s="3"/>
      <c r="U19" s="62"/>
      <c r="V19" s="3"/>
      <c r="W19" s="64"/>
      <c r="X19" s="3"/>
      <c r="Y19" s="62"/>
      <c r="Z19" s="3"/>
      <c r="AA19" s="64"/>
      <c r="AB19" s="3"/>
      <c r="AC19" s="62">
        <v>1</v>
      </c>
      <c r="AD19" s="3"/>
      <c r="AE19" s="64"/>
      <c r="AF19" s="3"/>
      <c r="AG19" s="62"/>
      <c r="AH19" s="3"/>
      <c r="AI19" s="64"/>
      <c r="AJ19" s="3"/>
      <c r="AK19" s="62"/>
      <c r="AL19" s="3"/>
      <c r="AM19" s="64"/>
      <c r="AN19" s="3"/>
      <c r="AO19" s="62"/>
      <c r="AP19" s="3"/>
      <c r="AQ19" s="64"/>
      <c r="AR19" s="3"/>
      <c r="AS19" s="62"/>
      <c r="AT19" s="3"/>
      <c r="AU19" s="64"/>
      <c r="AW19" s="34">
        <f t="shared" si="0"/>
        <v>0</v>
      </c>
      <c r="AX19" s="65">
        <f t="shared" si="1"/>
        <v>0</v>
      </c>
      <c r="AY19" s="66"/>
      <c r="AZ19" s="31">
        <f t="shared" si="2"/>
        <v>0</v>
      </c>
      <c r="BA19" s="67">
        <f t="shared" si="3"/>
        <v>0</v>
      </c>
      <c r="BB19" s="66"/>
      <c r="BC19" s="31">
        <f t="shared" si="4"/>
        <v>0</v>
      </c>
      <c r="BD19" s="65">
        <f t="shared" si="5"/>
        <v>0</v>
      </c>
      <c r="BE19" s="66"/>
      <c r="BF19" s="31">
        <f t="shared" si="6"/>
        <v>0</v>
      </c>
      <c r="BG19" s="67">
        <f t="shared" si="7"/>
        <v>0</v>
      </c>
      <c r="BH19" s="66"/>
      <c r="BI19" s="31">
        <f t="shared" si="8"/>
        <v>1</v>
      </c>
      <c r="BJ19" s="65">
        <f t="shared" si="9"/>
        <v>19.02</v>
      </c>
      <c r="BK19" s="66"/>
      <c r="BL19" s="31">
        <f t="shared" si="10"/>
        <v>0</v>
      </c>
      <c r="BM19" s="67">
        <f t="shared" si="11"/>
        <v>0</v>
      </c>
      <c r="BN19" s="66"/>
      <c r="BO19" s="31">
        <f t="shared" si="12"/>
        <v>0</v>
      </c>
      <c r="BP19" s="65">
        <f t="shared" si="13"/>
        <v>0</v>
      </c>
      <c r="BQ19" s="66"/>
      <c r="BR19" s="31">
        <f t="shared" si="14"/>
        <v>0</v>
      </c>
      <c r="BS19" s="67">
        <f t="shared" si="15"/>
        <v>0</v>
      </c>
      <c r="BT19" s="66"/>
      <c r="BU19" s="31">
        <f t="shared" si="16"/>
        <v>0</v>
      </c>
      <c r="BV19" s="65">
        <f t="shared" si="17"/>
        <v>0</v>
      </c>
      <c r="BW19" s="66"/>
      <c r="BX19" s="31">
        <f t="shared" si="18"/>
        <v>0</v>
      </c>
      <c r="BY19" s="67">
        <f t="shared" si="19"/>
        <v>0</v>
      </c>
      <c r="BZ19" s="66"/>
      <c r="CA19" s="31">
        <f t="shared" si="20"/>
        <v>1</v>
      </c>
      <c r="CB19" s="65">
        <f t="shared" si="21"/>
        <v>19.02</v>
      </c>
      <c r="CC19" s="66"/>
      <c r="CD19" s="31">
        <f t="shared" si="22"/>
        <v>0</v>
      </c>
      <c r="CE19" s="67">
        <f t="shared" si="23"/>
        <v>0</v>
      </c>
      <c r="CF19" s="66"/>
      <c r="CG19" s="34">
        <f t="shared" si="24"/>
        <v>0</v>
      </c>
      <c r="CH19" s="67">
        <f t="shared" si="45"/>
        <v>0</v>
      </c>
      <c r="CI19" s="66"/>
      <c r="CJ19" s="34">
        <f t="shared" si="25"/>
        <v>0</v>
      </c>
      <c r="CK19" s="67">
        <f t="shared" si="26"/>
        <v>0</v>
      </c>
      <c r="CL19" s="66"/>
      <c r="CM19" s="34">
        <f t="shared" si="27"/>
        <v>0</v>
      </c>
      <c r="CN19" s="67">
        <f t="shared" si="28"/>
        <v>0</v>
      </c>
      <c r="CO19" s="66"/>
      <c r="CP19" s="34">
        <f t="shared" si="29"/>
        <v>0</v>
      </c>
      <c r="CQ19" s="67">
        <f t="shared" si="30"/>
        <v>0</v>
      </c>
      <c r="CR19" s="66"/>
      <c r="CS19" s="34">
        <f t="shared" si="31"/>
        <v>0</v>
      </c>
      <c r="CT19" s="65">
        <f t="shared" si="32"/>
        <v>0</v>
      </c>
      <c r="CU19" s="66"/>
      <c r="CV19" s="31">
        <f t="shared" si="33"/>
        <v>0</v>
      </c>
      <c r="CW19" s="67">
        <f t="shared" si="34"/>
        <v>0</v>
      </c>
      <c r="CX19" s="66"/>
      <c r="CY19" s="31">
        <f t="shared" si="35"/>
        <v>0</v>
      </c>
      <c r="CZ19" s="65">
        <f t="shared" si="36"/>
        <v>0</v>
      </c>
      <c r="DA19" s="66"/>
      <c r="DB19" s="31">
        <f t="shared" si="37"/>
        <v>0</v>
      </c>
      <c r="DC19" s="67">
        <f t="shared" si="38"/>
        <v>0</v>
      </c>
      <c r="DE19" s="76">
        <v>41</v>
      </c>
      <c r="DF19" s="42"/>
      <c r="DG19" s="69">
        <f t="shared" si="39"/>
        <v>0</v>
      </c>
      <c r="DH19" s="42"/>
      <c r="DI19" s="70">
        <f t="shared" si="40"/>
        <v>2</v>
      </c>
      <c r="DJ19" s="42"/>
      <c r="DK19" s="70">
        <f t="shared" si="41"/>
        <v>39</v>
      </c>
      <c r="DL19" s="42"/>
      <c r="DM19" s="71">
        <f t="shared" si="42"/>
        <v>618.15</v>
      </c>
      <c r="DN19" s="42"/>
      <c r="DO19" s="72">
        <f t="shared" si="43"/>
        <v>19.5</v>
      </c>
      <c r="DP19" s="42"/>
      <c r="DQ19" s="71">
        <f t="shared" si="44"/>
        <v>741.78</v>
      </c>
      <c r="DR19" s="42"/>
      <c r="DS19" s="69"/>
      <c r="DT19" s="42"/>
      <c r="DU19" s="71">
        <v>0</v>
      </c>
      <c r="DV19" s="42"/>
      <c r="DW19" s="73">
        <f t="shared" si="46"/>
        <v>0</v>
      </c>
      <c r="DX19" s="42"/>
      <c r="DY19" s="71">
        <f t="shared" si="47"/>
        <v>0</v>
      </c>
    </row>
    <row r="20" ht="12" customHeight="1" spans="1:129" x14ac:dyDescent="0.25">
      <c r="A20" s="77" t="s">
        <v>65</v>
      </c>
      <c r="B20" s="42"/>
      <c r="C20" s="75"/>
      <c r="D20" s="44"/>
      <c r="E20" s="78">
        <v>21.95</v>
      </c>
      <c r="F20" s="44"/>
      <c r="G20" s="61">
        <v>26.34</v>
      </c>
      <c r="I20" s="62">
        <v>1</v>
      </c>
      <c r="J20" s="63"/>
      <c r="K20" s="64">
        <v>1</v>
      </c>
      <c r="L20" s="3"/>
      <c r="M20" s="62">
        <v>1</v>
      </c>
      <c r="N20" s="3"/>
      <c r="O20" s="64"/>
      <c r="P20" s="3"/>
      <c r="Q20" s="62">
        <v>1</v>
      </c>
      <c r="R20" s="3"/>
      <c r="S20" s="64">
        <v>1</v>
      </c>
      <c r="T20" s="3"/>
      <c r="U20" s="62">
        <v>1</v>
      </c>
      <c r="V20" s="3"/>
      <c r="W20" s="64">
        <v>1</v>
      </c>
      <c r="X20" s="3"/>
      <c r="Y20" s="62">
        <v>1</v>
      </c>
      <c r="Z20" s="3"/>
      <c r="AA20" s="64">
        <v>1</v>
      </c>
      <c r="AB20" s="3"/>
      <c r="AC20" s="62"/>
      <c r="AD20" s="3"/>
      <c r="AE20" s="64"/>
      <c r="AF20" s="3"/>
      <c r="AG20" s="62"/>
      <c r="AH20" s="3"/>
      <c r="AI20" s="64"/>
      <c r="AJ20" s="3"/>
      <c r="AK20" s="62"/>
      <c r="AL20" s="3"/>
      <c r="AM20" s="64"/>
      <c r="AN20" s="3"/>
      <c r="AO20" s="62">
        <v>5</v>
      </c>
      <c r="AP20" s="3"/>
      <c r="AQ20" s="64"/>
      <c r="AR20" s="3"/>
      <c r="AS20" s="62"/>
      <c r="AT20" s="3"/>
      <c r="AU20" s="64">
        <v>6</v>
      </c>
      <c r="AW20" s="34">
        <f t="shared" si="0"/>
        <v>1</v>
      </c>
      <c r="AX20" s="65">
        <f t="shared" si="1"/>
        <v>26.34</v>
      </c>
      <c r="AY20" s="66"/>
      <c r="AZ20" s="31">
        <f t="shared" si="2"/>
        <v>1</v>
      </c>
      <c r="BA20" s="67">
        <f t="shared" si="3"/>
        <v>26.34</v>
      </c>
      <c r="BB20" s="66"/>
      <c r="BC20" s="31">
        <f t="shared" si="4"/>
        <v>1</v>
      </c>
      <c r="BD20" s="65">
        <f t="shared" si="5"/>
        <v>26.34</v>
      </c>
      <c r="BE20" s="66"/>
      <c r="BF20" s="31">
        <f t="shared" si="6"/>
        <v>0</v>
      </c>
      <c r="BG20" s="67">
        <f t="shared" si="7"/>
        <v>0</v>
      </c>
      <c r="BH20" s="66"/>
      <c r="BI20" s="31">
        <f t="shared" si="8"/>
        <v>1</v>
      </c>
      <c r="BJ20" s="65">
        <f t="shared" si="9"/>
        <v>26.34</v>
      </c>
      <c r="BK20" s="66"/>
      <c r="BL20" s="31">
        <f t="shared" si="10"/>
        <v>1</v>
      </c>
      <c r="BM20" s="67">
        <f t="shared" si="11"/>
        <v>26.34</v>
      </c>
      <c r="BN20" s="66"/>
      <c r="BO20" s="31">
        <f t="shared" si="12"/>
        <v>1</v>
      </c>
      <c r="BP20" s="65">
        <f t="shared" si="13"/>
        <v>26.34</v>
      </c>
      <c r="BQ20" s="66"/>
      <c r="BR20" s="31">
        <f t="shared" si="14"/>
        <v>1</v>
      </c>
      <c r="BS20" s="67">
        <f t="shared" si="15"/>
        <v>26.34</v>
      </c>
      <c r="BT20" s="66"/>
      <c r="BU20" s="31">
        <f t="shared" si="16"/>
        <v>1</v>
      </c>
      <c r="BV20" s="65">
        <f t="shared" si="17"/>
        <v>26.34</v>
      </c>
      <c r="BW20" s="66"/>
      <c r="BX20" s="31">
        <f t="shared" si="18"/>
        <v>1</v>
      </c>
      <c r="BY20" s="67">
        <f t="shared" si="19"/>
        <v>26.34</v>
      </c>
      <c r="BZ20" s="66"/>
      <c r="CA20" s="31">
        <f t="shared" si="20"/>
        <v>0</v>
      </c>
      <c r="CB20" s="65">
        <f t="shared" si="21"/>
        <v>0</v>
      </c>
      <c r="CC20" s="66"/>
      <c r="CD20" s="31">
        <f t="shared" si="22"/>
        <v>0</v>
      </c>
      <c r="CE20" s="67">
        <f t="shared" si="23"/>
        <v>0</v>
      </c>
      <c r="CF20" s="66"/>
      <c r="CG20" s="34">
        <f t="shared" si="24"/>
        <v>0</v>
      </c>
      <c r="CH20" s="67">
        <f t="shared" si="45"/>
        <v>0</v>
      </c>
      <c r="CI20" s="66"/>
      <c r="CJ20" s="34">
        <f t="shared" si="25"/>
        <v>0</v>
      </c>
      <c r="CK20" s="67">
        <f t="shared" si="26"/>
        <v>0</v>
      </c>
      <c r="CL20" s="66"/>
      <c r="CM20" s="34">
        <f t="shared" si="27"/>
        <v>0</v>
      </c>
      <c r="CN20" s="67">
        <f t="shared" si="28"/>
        <v>0</v>
      </c>
      <c r="CO20" s="66"/>
      <c r="CP20" s="34">
        <f t="shared" si="29"/>
        <v>0</v>
      </c>
      <c r="CQ20" s="67">
        <f t="shared" si="30"/>
        <v>0</v>
      </c>
      <c r="CR20" s="66"/>
      <c r="CS20" s="34">
        <f t="shared" si="31"/>
        <v>5</v>
      </c>
      <c r="CT20" s="65">
        <f t="shared" si="32"/>
        <v>131.7</v>
      </c>
      <c r="CU20" s="66"/>
      <c r="CV20" s="31">
        <f t="shared" si="33"/>
        <v>0</v>
      </c>
      <c r="CW20" s="67">
        <f t="shared" si="34"/>
        <v>0</v>
      </c>
      <c r="CX20" s="66"/>
      <c r="CY20" s="31">
        <f t="shared" si="35"/>
        <v>0</v>
      </c>
      <c r="CZ20" s="65">
        <f t="shared" si="36"/>
        <v>0</v>
      </c>
      <c r="DA20" s="66"/>
      <c r="DB20" s="31">
        <f t="shared" si="37"/>
        <v>6</v>
      </c>
      <c r="DC20" s="67">
        <f t="shared" si="38"/>
        <v>158.04</v>
      </c>
      <c r="DE20" s="76">
        <v>1770</v>
      </c>
      <c r="DF20" s="42"/>
      <c r="DG20" s="69">
        <f t="shared" si="39"/>
        <v>0</v>
      </c>
      <c r="DH20" s="42"/>
      <c r="DI20" s="70">
        <f t="shared" si="40"/>
        <v>20</v>
      </c>
      <c r="DJ20" s="42"/>
      <c r="DK20" s="70">
        <f t="shared" si="41"/>
        <v>1750</v>
      </c>
      <c r="DL20" s="42"/>
      <c r="DM20" s="71">
        <f t="shared" si="42"/>
        <v>38412.5</v>
      </c>
      <c r="DN20" s="42"/>
      <c r="DO20" s="72">
        <f t="shared" si="43"/>
        <v>87.5</v>
      </c>
      <c r="DP20" s="42"/>
      <c r="DQ20" s="71">
        <f t="shared" si="44"/>
        <v>46095</v>
      </c>
      <c r="DR20" s="42"/>
      <c r="DS20" s="69">
        <v>486</v>
      </c>
      <c r="DT20" s="42"/>
      <c r="DU20" s="71">
        <v>23.95</v>
      </c>
      <c r="DV20" s="42"/>
      <c r="DW20" s="73">
        <f t="shared" si="46"/>
        <v>28.74</v>
      </c>
      <c r="DX20" s="42"/>
      <c r="DY20" s="71">
        <f t="shared" si="47"/>
        <v>11639.699999999999</v>
      </c>
    </row>
    <row r="21" ht="12" customHeight="1" spans="1:129" x14ac:dyDescent="0.25">
      <c r="A21" s="74" t="s">
        <v>66</v>
      </c>
      <c r="B21" s="42"/>
      <c r="C21" s="75"/>
      <c r="D21" s="44"/>
      <c r="E21" s="78">
        <v>33.5</v>
      </c>
      <c r="F21" s="44"/>
      <c r="G21" s="61">
        <v>40.2</v>
      </c>
      <c r="I21" s="62"/>
      <c r="J21" s="63"/>
      <c r="K21" s="64"/>
      <c r="L21" s="3"/>
      <c r="M21" s="62"/>
      <c r="N21" s="3"/>
      <c r="O21" s="64"/>
      <c r="P21" s="3"/>
      <c r="Q21" s="62"/>
      <c r="R21" s="3"/>
      <c r="S21" s="64">
        <v>1</v>
      </c>
      <c r="T21" s="3"/>
      <c r="U21" s="62"/>
      <c r="V21" s="3"/>
      <c r="W21" s="64">
        <v>1</v>
      </c>
      <c r="X21" s="3"/>
      <c r="Y21" s="62"/>
      <c r="Z21" s="3"/>
      <c r="AA21" s="64"/>
      <c r="AB21" s="3"/>
      <c r="AC21" s="62"/>
      <c r="AD21" s="3"/>
      <c r="AE21" s="64"/>
      <c r="AF21" s="3"/>
      <c r="AG21" s="62"/>
      <c r="AH21" s="3"/>
      <c r="AI21" s="64"/>
      <c r="AJ21" s="3"/>
      <c r="AK21" s="62"/>
      <c r="AL21" s="3"/>
      <c r="AM21" s="64"/>
      <c r="AN21" s="3"/>
      <c r="AO21" s="62"/>
      <c r="AP21" s="3"/>
      <c r="AQ21" s="64">
        <v>1</v>
      </c>
      <c r="AR21" s="3"/>
      <c r="AS21" s="62"/>
      <c r="AT21" s="3"/>
      <c r="AU21" s="64"/>
      <c r="AW21" s="34">
        <f t="shared" si="0"/>
        <v>0</v>
      </c>
      <c r="AX21" s="65">
        <f t="shared" si="1"/>
        <v>0</v>
      </c>
      <c r="AY21" s="66"/>
      <c r="AZ21" s="31">
        <f t="shared" si="2"/>
        <v>0</v>
      </c>
      <c r="BA21" s="67">
        <f t="shared" si="3"/>
        <v>0</v>
      </c>
      <c r="BB21" s="66"/>
      <c r="BC21" s="31">
        <f t="shared" si="4"/>
        <v>0</v>
      </c>
      <c r="BD21" s="65">
        <f t="shared" si="5"/>
        <v>0</v>
      </c>
      <c r="BE21" s="66"/>
      <c r="BF21" s="31">
        <f t="shared" si="6"/>
        <v>0</v>
      </c>
      <c r="BG21" s="67">
        <f t="shared" si="7"/>
        <v>0</v>
      </c>
      <c r="BH21" s="66"/>
      <c r="BI21" s="31">
        <f t="shared" si="8"/>
        <v>0</v>
      </c>
      <c r="BJ21" s="65">
        <f t="shared" si="9"/>
        <v>0</v>
      </c>
      <c r="BK21" s="66"/>
      <c r="BL21" s="31">
        <f t="shared" si="10"/>
        <v>1</v>
      </c>
      <c r="BM21" s="67">
        <f t="shared" si="11"/>
        <v>40.2</v>
      </c>
      <c r="BN21" s="66"/>
      <c r="BO21" s="31">
        <f t="shared" si="12"/>
        <v>0</v>
      </c>
      <c r="BP21" s="65">
        <f t="shared" si="13"/>
        <v>0</v>
      </c>
      <c r="BQ21" s="66"/>
      <c r="BR21" s="31">
        <f t="shared" si="14"/>
        <v>1</v>
      </c>
      <c r="BS21" s="67">
        <f t="shared" si="15"/>
        <v>40.2</v>
      </c>
      <c r="BT21" s="66"/>
      <c r="BU21" s="31">
        <f t="shared" si="16"/>
        <v>0</v>
      </c>
      <c r="BV21" s="65">
        <f t="shared" si="17"/>
        <v>0</v>
      </c>
      <c r="BW21" s="66"/>
      <c r="BX21" s="31">
        <f t="shared" si="18"/>
        <v>0</v>
      </c>
      <c r="BY21" s="67">
        <f t="shared" si="19"/>
        <v>0</v>
      </c>
      <c r="BZ21" s="66"/>
      <c r="CA21" s="31">
        <f t="shared" si="20"/>
        <v>0</v>
      </c>
      <c r="CB21" s="65">
        <f t="shared" si="21"/>
        <v>0</v>
      </c>
      <c r="CC21" s="66"/>
      <c r="CD21" s="31">
        <f t="shared" si="22"/>
        <v>0</v>
      </c>
      <c r="CE21" s="67">
        <f t="shared" si="23"/>
        <v>0</v>
      </c>
      <c r="CF21" s="66"/>
      <c r="CG21" s="34">
        <f t="shared" si="24"/>
        <v>0</v>
      </c>
      <c r="CH21" s="67">
        <f t="shared" si="45"/>
        <v>0</v>
      </c>
      <c r="CI21" s="66"/>
      <c r="CJ21" s="34">
        <f t="shared" si="25"/>
        <v>0</v>
      </c>
      <c r="CK21" s="67">
        <f t="shared" si="26"/>
        <v>0</v>
      </c>
      <c r="CL21" s="66"/>
      <c r="CM21" s="34">
        <f t="shared" si="27"/>
        <v>0</v>
      </c>
      <c r="CN21" s="67">
        <f t="shared" si="28"/>
        <v>0</v>
      </c>
      <c r="CO21" s="66"/>
      <c r="CP21" s="34">
        <f t="shared" si="29"/>
        <v>0</v>
      </c>
      <c r="CQ21" s="67">
        <f t="shared" si="30"/>
        <v>0</v>
      </c>
      <c r="CR21" s="66"/>
      <c r="CS21" s="34">
        <f t="shared" si="31"/>
        <v>0</v>
      </c>
      <c r="CT21" s="65">
        <f t="shared" si="32"/>
        <v>0</v>
      </c>
      <c r="CU21" s="66"/>
      <c r="CV21" s="31">
        <f t="shared" si="33"/>
        <v>1</v>
      </c>
      <c r="CW21" s="67">
        <f t="shared" si="34"/>
        <v>40.2</v>
      </c>
      <c r="CX21" s="66"/>
      <c r="CY21" s="31">
        <f t="shared" si="35"/>
        <v>0</v>
      </c>
      <c r="CZ21" s="65">
        <f t="shared" si="36"/>
        <v>0</v>
      </c>
      <c r="DA21" s="66"/>
      <c r="DB21" s="31">
        <f t="shared" si="37"/>
        <v>0</v>
      </c>
      <c r="DC21" s="67">
        <f t="shared" si="38"/>
        <v>0</v>
      </c>
      <c r="DE21" s="76">
        <v>64</v>
      </c>
      <c r="DF21" s="42"/>
      <c r="DG21" s="69">
        <f t="shared" si="39"/>
        <v>0</v>
      </c>
      <c r="DH21" s="42"/>
      <c r="DI21" s="70">
        <f t="shared" si="40"/>
        <v>3</v>
      </c>
      <c r="DJ21" s="42"/>
      <c r="DK21" s="70">
        <f t="shared" si="41"/>
        <v>61</v>
      </c>
      <c r="DL21" s="42"/>
      <c r="DM21" s="71">
        <f t="shared" si="42"/>
        <v>2043.5</v>
      </c>
      <c r="DN21" s="42"/>
      <c r="DO21" s="72">
        <f t="shared" si="43"/>
        <v>20.333333333333332</v>
      </c>
      <c r="DP21" s="42"/>
      <c r="DQ21" s="71">
        <f t="shared" si="44"/>
        <v>2452.2000000000003</v>
      </c>
      <c r="DR21" s="42"/>
      <c r="DS21" s="69">
        <v>90</v>
      </c>
      <c r="DT21" s="42"/>
      <c r="DU21" s="71">
        <v>39.95</v>
      </c>
      <c r="DV21" s="42"/>
      <c r="DW21" s="73">
        <f t="shared" si="46"/>
        <v>47.940000000000005</v>
      </c>
      <c r="DX21" s="42"/>
      <c r="DY21" s="71">
        <f t="shared" si="47"/>
        <v>3595.5000000000005</v>
      </c>
    </row>
    <row r="22" ht="12.45" customHeight="1" spans="1:129" x14ac:dyDescent="0.25">
      <c r="A22" s="77" t="s">
        <v>67</v>
      </c>
      <c r="B22" s="42"/>
      <c r="C22" s="75"/>
      <c r="D22" s="44"/>
      <c r="E22" s="78">
        <v>35.71</v>
      </c>
      <c r="F22" s="44"/>
      <c r="G22" s="61">
        <v>42.85</v>
      </c>
      <c r="I22" s="62"/>
      <c r="J22" s="63"/>
      <c r="K22" s="64"/>
      <c r="L22" s="3"/>
      <c r="M22" s="62"/>
      <c r="N22" s="3"/>
      <c r="O22" s="64"/>
      <c r="P22" s="3"/>
      <c r="Q22" s="62"/>
      <c r="R22" s="3"/>
      <c r="S22" s="64"/>
      <c r="T22" s="3"/>
      <c r="U22" s="62"/>
      <c r="V22" s="3"/>
      <c r="W22" s="64"/>
      <c r="X22" s="3"/>
      <c r="Y22" s="62"/>
      <c r="Z22" s="3"/>
      <c r="AA22" s="64"/>
      <c r="AB22" s="3"/>
      <c r="AC22" s="62"/>
      <c r="AD22" s="3"/>
      <c r="AE22" s="64"/>
      <c r="AF22" s="3"/>
      <c r="AG22" s="62"/>
      <c r="AH22" s="3"/>
      <c r="AI22" s="64"/>
      <c r="AJ22" s="3"/>
      <c r="AK22" s="62"/>
      <c r="AL22" s="3"/>
      <c r="AM22" s="64"/>
      <c r="AN22" s="3"/>
      <c r="AO22" s="62"/>
      <c r="AP22" s="3"/>
      <c r="AQ22" s="64"/>
      <c r="AR22" s="3"/>
      <c r="AS22" s="62"/>
      <c r="AT22" s="3"/>
      <c r="AU22" s="64"/>
      <c r="AW22" s="34">
        <f t="shared" si="0"/>
        <v>0</v>
      </c>
      <c r="AX22" s="65">
        <f t="shared" si="1"/>
        <v>0</v>
      </c>
      <c r="AY22" s="66"/>
      <c r="AZ22" s="31">
        <f t="shared" si="2"/>
        <v>0</v>
      </c>
      <c r="BA22" s="67">
        <f t="shared" si="3"/>
        <v>0</v>
      </c>
      <c r="BB22" s="66"/>
      <c r="BC22" s="31">
        <f t="shared" si="4"/>
        <v>0</v>
      </c>
      <c r="BD22" s="65">
        <f t="shared" si="5"/>
        <v>0</v>
      </c>
      <c r="BE22" s="66"/>
      <c r="BF22" s="31">
        <f t="shared" si="6"/>
        <v>0</v>
      </c>
      <c r="BG22" s="67">
        <f t="shared" si="7"/>
        <v>0</v>
      </c>
      <c r="BH22" s="66"/>
      <c r="BI22" s="31">
        <f t="shared" si="8"/>
        <v>0</v>
      </c>
      <c r="BJ22" s="65">
        <f t="shared" si="9"/>
        <v>0</v>
      </c>
      <c r="BK22" s="66"/>
      <c r="BL22" s="31">
        <f t="shared" si="10"/>
        <v>0</v>
      </c>
      <c r="BM22" s="67">
        <f t="shared" si="11"/>
        <v>0</v>
      </c>
      <c r="BN22" s="66"/>
      <c r="BO22" s="31">
        <f t="shared" si="12"/>
        <v>0</v>
      </c>
      <c r="BP22" s="65">
        <f t="shared" si="13"/>
        <v>0</v>
      </c>
      <c r="BQ22" s="66"/>
      <c r="BR22" s="31">
        <f t="shared" si="14"/>
        <v>0</v>
      </c>
      <c r="BS22" s="67">
        <f t="shared" si="15"/>
        <v>0</v>
      </c>
      <c r="BT22" s="66"/>
      <c r="BU22" s="31">
        <f t="shared" si="16"/>
        <v>0</v>
      </c>
      <c r="BV22" s="65">
        <f t="shared" si="17"/>
        <v>0</v>
      </c>
      <c r="BW22" s="66"/>
      <c r="BX22" s="31">
        <f t="shared" si="18"/>
        <v>0</v>
      </c>
      <c r="BY22" s="67">
        <f t="shared" si="19"/>
        <v>0</v>
      </c>
      <c r="BZ22" s="66"/>
      <c r="CA22" s="31">
        <f t="shared" si="20"/>
        <v>0</v>
      </c>
      <c r="CB22" s="65">
        <f t="shared" si="21"/>
        <v>0</v>
      </c>
      <c r="CC22" s="66"/>
      <c r="CD22" s="31">
        <f t="shared" si="22"/>
        <v>0</v>
      </c>
      <c r="CE22" s="67">
        <f t="shared" si="23"/>
        <v>0</v>
      </c>
      <c r="CF22" s="66"/>
      <c r="CG22" s="34">
        <f t="shared" si="24"/>
        <v>0</v>
      </c>
      <c r="CH22" s="67">
        <f t="shared" si="45"/>
        <v>0</v>
      </c>
      <c r="CI22" s="66"/>
      <c r="CJ22" s="34">
        <f t="shared" si="25"/>
        <v>0</v>
      </c>
      <c r="CK22" s="67">
        <f t="shared" si="26"/>
        <v>0</v>
      </c>
      <c r="CL22" s="66"/>
      <c r="CM22" s="34">
        <f t="shared" si="27"/>
        <v>0</v>
      </c>
      <c r="CN22" s="67">
        <f t="shared" si="28"/>
        <v>0</v>
      </c>
      <c r="CO22" s="66"/>
      <c r="CP22" s="34">
        <f t="shared" si="29"/>
        <v>0</v>
      </c>
      <c r="CQ22" s="67">
        <f t="shared" si="30"/>
        <v>0</v>
      </c>
      <c r="CR22" s="66"/>
      <c r="CS22" s="34">
        <f t="shared" si="31"/>
        <v>0</v>
      </c>
      <c r="CT22" s="65">
        <f t="shared" si="32"/>
        <v>0</v>
      </c>
      <c r="CU22" s="66"/>
      <c r="CV22" s="31">
        <f t="shared" si="33"/>
        <v>0</v>
      </c>
      <c r="CW22" s="67">
        <f t="shared" si="34"/>
        <v>0</v>
      </c>
      <c r="CX22" s="66"/>
      <c r="CY22" s="31">
        <f t="shared" si="35"/>
        <v>0</v>
      </c>
      <c r="CZ22" s="65">
        <f t="shared" si="36"/>
        <v>0</v>
      </c>
      <c r="DA22" s="66"/>
      <c r="DB22" s="31">
        <f t="shared" si="37"/>
        <v>0</v>
      </c>
      <c r="DC22" s="67">
        <f t="shared" si="38"/>
        <v>0</v>
      </c>
      <c r="DE22" s="76">
        <v>13</v>
      </c>
      <c r="DF22" s="42"/>
      <c r="DG22" s="69">
        <f t="shared" si="39"/>
        <v>0</v>
      </c>
      <c r="DH22" s="42"/>
      <c r="DI22" s="70">
        <f t="shared" si="40"/>
        <v>0</v>
      </c>
      <c r="DJ22" s="42"/>
      <c r="DK22" s="70">
        <f t="shared" si="41"/>
        <v>13</v>
      </c>
      <c r="DL22" s="42"/>
      <c r="DM22" s="71">
        <f t="shared" si="42"/>
        <v>464.23</v>
      </c>
      <c r="DN22" s="42"/>
      <c r="DO22" s="72" t="e">
        <f t="shared" si="43"/>
        <v>#DIV/0!</v>
      </c>
      <c r="DP22" s="42"/>
      <c r="DQ22" s="71">
        <f t="shared" si="44"/>
        <v>557.0500000000001</v>
      </c>
      <c r="DR22" s="42"/>
      <c r="DS22" s="69"/>
      <c r="DT22" s="42"/>
      <c r="DU22" s="71">
        <v>0</v>
      </c>
      <c r="DV22" s="42"/>
      <c r="DW22" s="73">
        <f t="shared" si="46"/>
        <v>0</v>
      </c>
      <c r="DX22" s="42"/>
      <c r="DY22" s="71">
        <f t="shared" si="47"/>
        <v>0</v>
      </c>
    </row>
    <row r="23" ht="12" customHeight="1" spans="1:129" x14ac:dyDescent="0.25">
      <c r="A23" s="74" t="s">
        <v>68</v>
      </c>
      <c r="B23" s="42"/>
      <c r="C23" s="75"/>
      <c r="D23" s="44"/>
      <c r="E23" s="78">
        <v>77.2</v>
      </c>
      <c r="F23" s="44"/>
      <c r="G23" s="61">
        <v>96.5</v>
      </c>
      <c r="I23" s="62"/>
      <c r="J23" s="63"/>
      <c r="K23" s="64">
        <v>1</v>
      </c>
      <c r="L23" s="3"/>
      <c r="M23" s="62"/>
      <c r="N23" s="3"/>
      <c r="O23" s="64">
        <v>1</v>
      </c>
      <c r="P23" s="3"/>
      <c r="Q23" s="62">
        <v>1</v>
      </c>
      <c r="R23" s="3"/>
      <c r="S23" s="64"/>
      <c r="T23" s="3"/>
      <c r="U23" s="62"/>
      <c r="V23" s="3"/>
      <c r="W23" s="64"/>
      <c r="X23" s="3"/>
      <c r="Y23" s="62"/>
      <c r="Z23" s="3"/>
      <c r="AA23" s="64"/>
      <c r="AB23" s="3"/>
      <c r="AC23" s="62"/>
      <c r="AD23" s="3"/>
      <c r="AE23" s="64"/>
      <c r="AF23" s="3"/>
      <c r="AG23" s="62"/>
      <c r="AH23" s="3"/>
      <c r="AI23" s="64"/>
      <c r="AJ23" s="3"/>
      <c r="AK23" s="62"/>
      <c r="AL23" s="3"/>
      <c r="AM23" s="64"/>
      <c r="AN23" s="3"/>
      <c r="AO23" s="62"/>
      <c r="AP23" s="3"/>
      <c r="AQ23" s="64"/>
      <c r="AR23" s="3"/>
      <c r="AS23" s="62"/>
      <c r="AT23" s="3"/>
      <c r="AU23" s="64"/>
      <c r="AW23" s="34">
        <f t="shared" si="0"/>
        <v>0</v>
      </c>
      <c r="AX23" s="65">
        <f t="shared" si="1"/>
        <v>0</v>
      </c>
      <c r="AY23" s="66"/>
      <c r="AZ23" s="31">
        <f t="shared" si="2"/>
        <v>1</v>
      </c>
      <c r="BA23" s="67">
        <f t="shared" si="3"/>
        <v>96.5</v>
      </c>
      <c r="BB23" s="66"/>
      <c r="BC23" s="31">
        <f t="shared" si="4"/>
        <v>0</v>
      </c>
      <c r="BD23" s="65">
        <f t="shared" si="5"/>
        <v>0</v>
      </c>
      <c r="BE23" s="66"/>
      <c r="BF23" s="31">
        <f t="shared" si="6"/>
        <v>1</v>
      </c>
      <c r="BG23" s="67">
        <f t="shared" si="7"/>
        <v>96.5</v>
      </c>
      <c r="BH23" s="66"/>
      <c r="BI23" s="31">
        <f t="shared" si="8"/>
        <v>1</v>
      </c>
      <c r="BJ23" s="65">
        <f t="shared" si="9"/>
        <v>96.5</v>
      </c>
      <c r="BK23" s="66"/>
      <c r="BL23" s="31">
        <f t="shared" si="10"/>
        <v>0</v>
      </c>
      <c r="BM23" s="67">
        <f t="shared" si="11"/>
        <v>0</v>
      </c>
      <c r="BN23" s="66"/>
      <c r="BO23" s="31">
        <f t="shared" si="12"/>
        <v>0</v>
      </c>
      <c r="BP23" s="65">
        <f t="shared" si="13"/>
        <v>0</v>
      </c>
      <c r="BQ23" s="66"/>
      <c r="BR23" s="31">
        <f t="shared" si="14"/>
        <v>0</v>
      </c>
      <c r="BS23" s="67">
        <f t="shared" si="15"/>
        <v>0</v>
      </c>
      <c r="BT23" s="66"/>
      <c r="BU23" s="31">
        <f t="shared" si="16"/>
        <v>0</v>
      </c>
      <c r="BV23" s="65">
        <f t="shared" si="17"/>
        <v>0</v>
      </c>
      <c r="BW23" s="66"/>
      <c r="BX23" s="31">
        <f t="shared" si="18"/>
        <v>0</v>
      </c>
      <c r="BY23" s="67">
        <f t="shared" si="19"/>
        <v>0</v>
      </c>
      <c r="BZ23" s="66"/>
      <c r="CA23" s="31">
        <f t="shared" si="20"/>
        <v>0</v>
      </c>
      <c r="CB23" s="65">
        <f t="shared" si="21"/>
        <v>0</v>
      </c>
      <c r="CC23" s="66"/>
      <c r="CD23" s="31">
        <f t="shared" si="22"/>
        <v>0</v>
      </c>
      <c r="CE23" s="67">
        <f t="shared" si="23"/>
        <v>0</v>
      </c>
      <c r="CF23" s="66"/>
      <c r="CG23" s="34">
        <f t="shared" si="24"/>
        <v>0</v>
      </c>
      <c r="CH23" s="67">
        <f t="shared" si="45"/>
        <v>0</v>
      </c>
      <c r="CI23" s="66"/>
      <c r="CJ23" s="34">
        <f t="shared" si="25"/>
        <v>0</v>
      </c>
      <c r="CK23" s="67">
        <f t="shared" si="26"/>
        <v>0</v>
      </c>
      <c r="CL23" s="66"/>
      <c r="CM23" s="34">
        <f t="shared" si="27"/>
        <v>0</v>
      </c>
      <c r="CN23" s="67">
        <f t="shared" si="28"/>
        <v>0</v>
      </c>
      <c r="CO23" s="66"/>
      <c r="CP23" s="34">
        <f t="shared" si="29"/>
        <v>0</v>
      </c>
      <c r="CQ23" s="67">
        <f t="shared" si="30"/>
        <v>0</v>
      </c>
      <c r="CR23" s="66"/>
      <c r="CS23" s="34">
        <f t="shared" si="31"/>
        <v>0</v>
      </c>
      <c r="CT23" s="65">
        <f t="shared" si="32"/>
        <v>0</v>
      </c>
      <c r="CU23" s="66"/>
      <c r="CV23" s="31">
        <f t="shared" si="33"/>
        <v>0</v>
      </c>
      <c r="CW23" s="67">
        <f t="shared" si="34"/>
        <v>0</v>
      </c>
      <c r="CX23" s="66"/>
      <c r="CY23" s="31">
        <f t="shared" si="35"/>
        <v>0</v>
      </c>
      <c r="CZ23" s="65">
        <f t="shared" si="36"/>
        <v>0</v>
      </c>
      <c r="DA23" s="66"/>
      <c r="DB23" s="31">
        <f t="shared" si="37"/>
        <v>0</v>
      </c>
      <c r="DC23" s="67">
        <f t="shared" si="38"/>
        <v>0</v>
      </c>
      <c r="DE23" s="76">
        <v>154</v>
      </c>
      <c r="DF23" s="42"/>
      <c r="DG23" s="69">
        <f t="shared" si="39"/>
        <v>0</v>
      </c>
      <c r="DH23" s="42"/>
      <c r="DI23" s="70">
        <f t="shared" si="40"/>
        <v>3</v>
      </c>
      <c r="DJ23" s="42"/>
      <c r="DK23" s="70">
        <f t="shared" si="41"/>
        <v>151</v>
      </c>
      <c r="DL23" s="42"/>
      <c r="DM23" s="71">
        <f t="shared" si="42"/>
        <v>11657.2</v>
      </c>
      <c r="DN23" s="42"/>
      <c r="DO23" s="72">
        <f t="shared" si="43"/>
        <v>50.333333333333336</v>
      </c>
      <c r="DP23" s="42"/>
      <c r="DQ23" s="71">
        <f t="shared" si="44"/>
        <v>14571.5</v>
      </c>
      <c r="DR23" s="42"/>
      <c r="DS23" s="69"/>
      <c r="DT23" s="42"/>
      <c r="DU23" s="71">
        <v>0</v>
      </c>
      <c r="DV23" s="42"/>
      <c r="DW23" s="73">
        <f t="shared" si="46"/>
        <v>0</v>
      </c>
      <c r="DX23" s="42"/>
      <c r="DY23" s="71">
        <f t="shared" si="47"/>
        <v>0</v>
      </c>
    </row>
    <row r="24" ht="12" customHeight="1" spans="1:129" x14ac:dyDescent="0.25">
      <c r="A24" s="77" t="s">
        <v>69</v>
      </c>
      <c r="B24" s="42"/>
      <c r="C24" s="75"/>
      <c r="D24" s="44"/>
      <c r="E24" s="78">
        <v>13.8</v>
      </c>
      <c r="F24" s="44"/>
      <c r="G24" s="61">
        <v>16.56</v>
      </c>
      <c r="I24" s="62">
        <v>1</v>
      </c>
      <c r="J24" s="63"/>
      <c r="K24" s="64">
        <v>3</v>
      </c>
      <c r="L24" s="3"/>
      <c r="M24" s="62">
        <v>2</v>
      </c>
      <c r="N24" s="3"/>
      <c r="O24" s="64">
        <v>1</v>
      </c>
      <c r="P24" s="3"/>
      <c r="Q24" s="62">
        <v>1</v>
      </c>
      <c r="R24" s="3"/>
      <c r="S24" s="64">
        <v>1</v>
      </c>
      <c r="T24" s="3"/>
      <c r="U24" s="62">
        <v>1</v>
      </c>
      <c r="V24" s="3"/>
      <c r="W24" s="64">
        <v>1</v>
      </c>
      <c r="X24" s="3"/>
      <c r="Y24" s="62">
        <v>2</v>
      </c>
      <c r="Z24" s="3"/>
      <c r="AA24" s="64">
        <v>1</v>
      </c>
      <c r="AB24" s="3"/>
      <c r="AC24" s="62">
        <v>1</v>
      </c>
      <c r="AD24" s="3"/>
      <c r="AE24" s="64"/>
      <c r="AF24" s="3"/>
      <c r="AG24" s="62"/>
      <c r="AH24" s="3"/>
      <c r="AI24" s="64"/>
      <c r="AJ24" s="3"/>
      <c r="AK24" s="62"/>
      <c r="AL24" s="3"/>
      <c r="AM24" s="64"/>
      <c r="AN24" s="3"/>
      <c r="AO24" s="62"/>
      <c r="AP24" s="3"/>
      <c r="AQ24" s="64"/>
      <c r="AR24" s="3"/>
      <c r="AS24" s="62"/>
      <c r="AT24" s="3"/>
      <c r="AU24" s="64"/>
      <c r="AW24" s="34">
        <f t="shared" si="0"/>
        <v>1</v>
      </c>
      <c r="AX24" s="65">
        <f t="shared" si="1"/>
        <v>16.56</v>
      </c>
      <c r="AY24" s="66"/>
      <c r="AZ24" s="31">
        <f t="shared" si="2"/>
        <v>3</v>
      </c>
      <c r="BA24" s="67">
        <f t="shared" si="3"/>
        <v>49.67999999999999</v>
      </c>
      <c r="BB24" s="66"/>
      <c r="BC24" s="31">
        <f t="shared" si="4"/>
        <v>2</v>
      </c>
      <c r="BD24" s="65">
        <f t="shared" si="5"/>
        <v>33.12</v>
      </c>
      <c r="BE24" s="66"/>
      <c r="BF24" s="31">
        <f t="shared" si="6"/>
        <v>1</v>
      </c>
      <c r="BG24" s="67">
        <f t="shared" si="7"/>
        <v>16.56</v>
      </c>
      <c r="BH24" s="66"/>
      <c r="BI24" s="31">
        <f t="shared" si="8"/>
        <v>1</v>
      </c>
      <c r="BJ24" s="65">
        <f t="shared" si="9"/>
        <v>16.56</v>
      </c>
      <c r="BK24" s="66"/>
      <c r="BL24" s="31">
        <f t="shared" si="10"/>
        <v>1</v>
      </c>
      <c r="BM24" s="67">
        <f t="shared" si="11"/>
        <v>16.56</v>
      </c>
      <c r="BN24" s="66"/>
      <c r="BO24" s="31">
        <f t="shared" si="12"/>
        <v>1</v>
      </c>
      <c r="BP24" s="65">
        <f t="shared" si="13"/>
        <v>16.56</v>
      </c>
      <c r="BQ24" s="66"/>
      <c r="BR24" s="31">
        <f t="shared" si="14"/>
        <v>1</v>
      </c>
      <c r="BS24" s="67">
        <f t="shared" si="15"/>
        <v>16.56</v>
      </c>
      <c r="BT24" s="66"/>
      <c r="BU24" s="31">
        <f t="shared" si="16"/>
        <v>2</v>
      </c>
      <c r="BV24" s="65">
        <f t="shared" si="17"/>
        <v>33.12</v>
      </c>
      <c r="BW24" s="66"/>
      <c r="BX24" s="31">
        <f t="shared" si="18"/>
        <v>1</v>
      </c>
      <c r="BY24" s="67">
        <f t="shared" si="19"/>
        <v>16.56</v>
      </c>
      <c r="BZ24" s="66"/>
      <c r="CA24" s="31">
        <f t="shared" si="20"/>
        <v>1</v>
      </c>
      <c r="CB24" s="65">
        <f t="shared" si="21"/>
        <v>16.56</v>
      </c>
      <c r="CC24" s="66"/>
      <c r="CD24" s="31">
        <f t="shared" si="22"/>
        <v>0</v>
      </c>
      <c r="CE24" s="67">
        <f t="shared" si="23"/>
        <v>0</v>
      </c>
      <c r="CF24" s="66"/>
      <c r="CG24" s="34">
        <f t="shared" si="24"/>
        <v>0</v>
      </c>
      <c r="CH24" s="67">
        <f t="shared" si="45"/>
        <v>0</v>
      </c>
      <c r="CI24" s="66"/>
      <c r="CJ24" s="34">
        <f t="shared" si="25"/>
        <v>0</v>
      </c>
      <c r="CK24" s="67">
        <f t="shared" si="26"/>
        <v>0</v>
      </c>
      <c r="CL24" s="66"/>
      <c r="CM24" s="34">
        <f t="shared" si="27"/>
        <v>0</v>
      </c>
      <c r="CN24" s="67">
        <f t="shared" si="28"/>
        <v>0</v>
      </c>
      <c r="CO24" s="66"/>
      <c r="CP24" s="34">
        <f t="shared" si="29"/>
        <v>0</v>
      </c>
      <c r="CQ24" s="67">
        <f t="shared" si="30"/>
        <v>0</v>
      </c>
      <c r="CR24" s="66"/>
      <c r="CS24" s="34">
        <f t="shared" si="31"/>
        <v>0</v>
      </c>
      <c r="CT24" s="65">
        <f t="shared" si="32"/>
        <v>0</v>
      </c>
      <c r="CU24" s="66"/>
      <c r="CV24" s="31">
        <f t="shared" si="33"/>
        <v>0</v>
      </c>
      <c r="CW24" s="67">
        <f t="shared" si="34"/>
        <v>0</v>
      </c>
      <c r="CX24" s="66"/>
      <c r="CY24" s="31">
        <f t="shared" si="35"/>
        <v>0</v>
      </c>
      <c r="CZ24" s="65">
        <f t="shared" si="36"/>
        <v>0</v>
      </c>
      <c r="DA24" s="66"/>
      <c r="DB24" s="31">
        <f t="shared" si="37"/>
        <v>0</v>
      </c>
      <c r="DC24" s="67">
        <f t="shared" si="38"/>
        <v>0</v>
      </c>
      <c r="DE24" s="76">
        <v>599</v>
      </c>
      <c r="DF24" s="42"/>
      <c r="DG24" s="69">
        <f t="shared" si="39"/>
        <v>0</v>
      </c>
      <c r="DH24" s="42"/>
      <c r="DI24" s="70">
        <f t="shared" si="40"/>
        <v>15</v>
      </c>
      <c r="DJ24" s="42"/>
      <c r="DK24" s="70">
        <f t="shared" si="41"/>
        <v>584</v>
      </c>
      <c r="DL24" s="42"/>
      <c r="DM24" s="71">
        <f t="shared" si="42"/>
        <v>8059.200000000001</v>
      </c>
      <c r="DN24" s="42"/>
      <c r="DO24" s="72">
        <f t="shared" si="43"/>
        <v>38.93333333333333</v>
      </c>
      <c r="DP24" s="42"/>
      <c r="DQ24" s="71">
        <f t="shared" si="44"/>
        <v>9671.039999999999</v>
      </c>
      <c r="DR24" s="42"/>
      <c r="DS24" s="69"/>
      <c r="DT24" s="42"/>
      <c r="DU24" s="71">
        <v>0</v>
      </c>
      <c r="DV24" s="42"/>
      <c r="DW24" s="73">
        <f t="shared" si="46"/>
        <v>0</v>
      </c>
      <c r="DX24" s="42"/>
      <c r="DY24" s="71">
        <f t="shared" si="47"/>
        <v>0</v>
      </c>
    </row>
    <row r="25" ht="12" customHeight="1" spans="1:129" x14ac:dyDescent="0.25">
      <c r="A25" s="74" t="s">
        <v>70</v>
      </c>
      <c r="B25" s="42"/>
      <c r="C25" s="75">
        <v>60</v>
      </c>
      <c r="D25" s="44"/>
      <c r="E25" s="78">
        <v>27.99</v>
      </c>
      <c r="F25" s="44"/>
      <c r="G25" s="61">
        <v>33.59</v>
      </c>
      <c r="I25" s="62">
        <v>2</v>
      </c>
      <c r="J25" s="63"/>
      <c r="K25" s="64">
        <v>3</v>
      </c>
      <c r="L25" s="3"/>
      <c r="M25" s="62">
        <v>1</v>
      </c>
      <c r="N25" s="3"/>
      <c r="O25" s="64">
        <v>2</v>
      </c>
      <c r="P25" s="3"/>
      <c r="Q25" s="62">
        <v>1</v>
      </c>
      <c r="R25" s="3"/>
      <c r="S25" s="64">
        <v>2</v>
      </c>
      <c r="T25" s="3"/>
      <c r="U25" s="62">
        <v>1</v>
      </c>
      <c r="V25" s="3"/>
      <c r="W25" s="64">
        <v>1</v>
      </c>
      <c r="X25" s="3"/>
      <c r="Y25" s="62">
        <v>1</v>
      </c>
      <c r="Z25" s="3"/>
      <c r="AA25" s="64">
        <v>1</v>
      </c>
      <c r="AB25" s="3"/>
      <c r="AC25" s="62">
        <v>1</v>
      </c>
      <c r="AD25" s="3"/>
      <c r="AE25" s="64"/>
      <c r="AF25" s="3"/>
      <c r="AG25" s="62"/>
      <c r="AH25" s="3"/>
      <c r="AI25" s="64"/>
      <c r="AJ25" s="3"/>
      <c r="AK25" s="62"/>
      <c r="AL25" s="3"/>
      <c r="AM25" s="64"/>
      <c r="AN25" s="3"/>
      <c r="AO25" s="62"/>
      <c r="AP25" s="3"/>
      <c r="AQ25" s="64"/>
      <c r="AR25" s="3"/>
      <c r="AS25" s="62"/>
      <c r="AT25" s="3"/>
      <c r="AU25" s="64"/>
      <c r="AW25" s="34">
        <f t="shared" si="0"/>
        <v>2</v>
      </c>
      <c r="AX25" s="65">
        <f t="shared" si="1"/>
        <v>67.18</v>
      </c>
      <c r="AY25" s="66"/>
      <c r="AZ25" s="31">
        <f t="shared" si="2"/>
        <v>3</v>
      </c>
      <c r="BA25" s="67">
        <f t="shared" si="3"/>
        <v>100.77000000000001</v>
      </c>
      <c r="BB25" s="66"/>
      <c r="BC25" s="31">
        <f t="shared" si="4"/>
        <v>1</v>
      </c>
      <c r="BD25" s="65">
        <f t="shared" si="5"/>
        <v>33.59</v>
      </c>
      <c r="BE25" s="66"/>
      <c r="BF25" s="31">
        <f t="shared" si="6"/>
        <v>2</v>
      </c>
      <c r="BG25" s="67">
        <f t="shared" si="7"/>
        <v>67.18</v>
      </c>
      <c r="BH25" s="66"/>
      <c r="BI25" s="31">
        <f t="shared" si="8"/>
        <v>1</v>
      </c>
      <c r="BJ25" s="65">
        <f t="shared" si="9"/>
        <v>33.59</v>
      </c>
      <c r="BK25" s="66"/>
      <c r="BL25" s="31">
        <f t="shared" si="10"/>
        <v>2</v>
      </c>
      <c r="BM25" s="67">
        <f t="shared" si="11"/>
        <v>67.18</v>
      </c>
      <c r="BN25" s="66"/>
      <c r="BO25" s="31">
        <f t="shared" si="12"/>
        <v>1</v>
      </c>
      <c r="BP25" s="65">
        <f t="shared" si="13"/>
        <v>33.59</v>
      </c>
      <c r="BQ25" s="66"/>
      <c r="BR25" s="31">
        <f t="shared" si="14"/>
        <v>1</v>
      </c>
      <c r="BS25" s="67">
        <f t="shared" si="15"/>
        <v>33.59</v>
      </c>
      <c r="BT25" s="66"/>
      <c r="BU25" s="31">
        <f t="shared" si="16"/>
        <v>1</v>
      </c>
      <c r="BV25" s="65">
        <f t="shared" si="17"/>
        <v>33.59</v>
      </c>
      <c r="BW25" s="66"/>
      <c r="BX25" s="31">
        <f t="shared" si="18"/>
        <v>1</v>
      </c>
      <c r="BY25" s="67">
        <f t="shared" si="19"/>
        <v>33.59</v>
      </c>
      <c r="BZ25" s="66"/>
      <c r="CA25" s="31">
        <f t="shared" si="20"/>
        <v>1</v>
      </c>
      <c r="CB25" s="65">
        <f t="shared" si="21"/>
        <v>33.59</v>
      </c>
      <c r="CC25" s="66"/>
      <c r="CD25" s="31">
        <f t="shared" si="22"/>
        <v>0</v>
      </c>
      <c r="CE25" s="67">
        <f t="shared" si="23"/>
        <v>0</v>
      </c>
      <c r="CF25" s="66"/>
      <c r="CG25" s="34">
        <f t="shared" si="24"/>
        <v>0</v>
      </c>
      <c r="CH25" s="67">
        <f t="shared" si="45"/>
        <v>0</v>
      </c>
      <c r="CI25" s="66"/>
      <c r="CJ25" s="34">
        <f t="shared" si="25"/>
        <v>0</v>
      </c>
      <c r="CK25" s="67">
        <f t="shared" si="26"/>
        <v>0</v>
      </c>
      <c r="CL25" s="66"/>
      <c r="CM25" s="34">
        <f t="shared" si="27"/>
        <v>0</v>
      </c>
      <c r="CN25" s="67">
        <f t="shared" si="28"/>
        <v>0</v>
      </c>
      <c r="CO25" s="66"/>
      <c r="CP25" s="34">
        <f t="shared" si="29"/>
        <v>0</v>
      </c>
      <c r="CQ25" s="67">
        <f t="shared" si="30"/>
        <v>0</v>
      </c>
      <c r="CR25" s="66"/>
      <c r="CS25" s="34">
        <f t="shared" si="31"/>
        <v>0</v>
      </c>
      <c r="CT25" s="65">
        <f t="shared" si="32"/>
        <v>0</v>
      </c>
      <c r="CU25" s="66"/>
      <c r="CV25" s="31">
        <f t="shared" si="33"/>
        <v>0</v>
      </c>
      <c r="CW25" s="67">
        <f t="shared" si="34"/>
        <v>0</v>
      </c>
      <c r="CX25" s="66"/>
      <c r="CY25" s="31">
        <f t="shared" si="35"/>
        <v>0</v>
      </c>
      <c r="CZ25" s="65">
        <f t="shared" si="36"/>
        <v>0</v>
      </c>
      <c r="DA25" s="66"/>
      <c r="DB25" s="31">
        <f t="shared" si="37"/>
        <v>0</v>
      </c>
      <c r="DC25" s="67">
        <f t="shared" si="38"/>
        <v>0</v>
      </c>
      <c r="DE25" s="76">
        <v>57</v>
      </c>
      <c r="DF25" s="42"/>
      <c r="DG25" s="69">
        <f t="shared" si="39"/>
        <v>60</v>
      </c>
      <c r="DH25" s="42"/>
      <c r="DI25" s="70">
        <f t="shared" si="40"/>
        <v>16</v>
      </c>
      <c r="DJ25" s="42"/>
      <c r="DK25" s="70">
        <f t="shared" si="41"/>
        <v>101</v>
      </c>
      <c r="DL25" s="42"/>
      <c r="DM25" s="71">
        <f t="shared" si="42"/>
        <v>2826.99</v>
      </c>
      <c r="DN25" s="42"/>
      <c r="DO25" s="72">
        <f t="shared" si="43"/>
        <v>6.3125</v>
      </c>
      <c r="DP25" s="42"/>
      <c r="DQ25" s="71">
        <f t="shared" si="44"/>
        <v>3392.59</v>
      </c>
      <c r="DR25" s="42"/>
      <c r="DS25" s="69"/>
      <c r="DT25" s="42"/>
      <c r="DU25" s="71">
        <v>0</v>
      </c>
      <c r="DV25" s="42"/>
      <c r="DW25" s="73">
        <f t="shared" si="46"/>
        <v>0</v>
      </c>
      <c r="DX25" s="42"/>
      <c r="DY25" s="71">
        <f t="shared" si="47"/>
        <v>0</v>
      </c>
    </row>
    <row r="26" ht="12" customHeight="1" spans="1:129" x14ac:dyDescent="0.25">
      <c r="A26" s="77" t="s">
        <v>71</v>
      </c>
      <c r="B26" s="42"/>
      <c r="C26" s="75">
        <v>40</v>
      </c>
      <c r="D26" s="44"/>
      <c r="E26" s="78">
        <v>32.99</v>
      </c>
      <c r="F26" s="44"/>
      <c r="G26" s="61">
        <v>39.59</v>
      </c>
      <c r="I26" s="62"/>
      <c r="J26" s="63"/>
      <c r="K26" s="64">
        <v>1</v>
      </c>
      <c r="L26" s="3"/>
      <c r="M26" s="62">
        <v>1</v>
      </c>
      <c r="N26" s="3"/>
      <c r="O26" s="64">
        <v>1</v>
      </c>
      <c r="P26" s="3"/>
      <c r="Q26" s="62">
        <v>1</v>
      </c>
      <c r="R26" s="3"/>
      <c r="S26" s="64">
        <v>1</v>
      </c>
      <c r="T26" s="3"/>
      <c r="U26" s="62"/>
      <c r="V26" s="3"/>
      <c r="W26" s="64">
        <v>1</v>
      </c>
      <c r="X26" s="3"/>
      <c r="Y26" s="62"/>
      <c r="Z26" s="3"/>
      <c r="AA26" s="64">
        <v>1</v>
      </c>
      <c r="AB26" s="3"/>
      <c r="AC26" s="62"/>
      <c r="AD26" s="3"/>
      <c r="AE26" s="64"/>
      <c r="AF26" s="3"/>
      <c r="AG26" s="62"/>
      <c r="AH26" s="3"/>
      <c r="AI26" s="64"/>
      <c r="AJ26" s="3"/>
      <c r="AK26" s="62"/>
      <c r="AL26" s="3"/>
      <c r="AM26" s="64"/>
      <c r="AN26" s="3"/>
      <c r="AO26" s="62"/>
      <c r="AP26" s="3"/>
      <c r="AQ26" s="64"/>
      <c r="AR26" s="3"/>
      <c r="AS26" s="62"/>
      <c r="AT26" s="3"/>
      <c r="AU26" s="64"/>
      <c r="AW26" s="34">
        <f t="shared" si="0"/>
        <v>0</v>
      </c>
      <c r="AX26" s="65">
        <f t="shared" si="1"/>
        <v>0</v>
      </c>
      <c r="AY26" s="66"/>
      <c r="AZ26" s="31">
        <f t="shared" si="2"/>
        <v>1</v>
      </c>
      <c r="BA26" s="67">
        <f t="shared" si="3"/>
        <v>39.59</v>
      </c>
      <c r="BB26" s="66"/>
      <c r="BC26" s="31">
        <f t="shared" si="4"/>
        <v>1</v>
      </c>
      <c r="BD26" s="65">
        <f t="shared" si="5"/>
        <v>39.59</v>
      </c>
      <c r="BE26" s="66"/>
      <c r="BF26" s="31">
        <f t="shared" si="6"/>
        <v>1</v>
      </c>
      <c r="BG26" s="67">
        <f t="shared" si="7"/>
        <v>39.59</v>
      </c>
      <c r="BH26" s="66"/>
      <c r="BI26" s="31">
        <f t="shared" si="8"/>
        <v>1</v>
      </c>
      <c r="BJ26" s="65">
        <f t="shared" si="9"/>
        <v>39.59</v>
      </c>
      <c r="BK26" s="66"/>
      <c r="BL26" s="31">
        <f t="shared" si="10"/>
        <v>1</v>
      </c>
      <c r="BM26" s="67">
        <f t="shared" si="11"/>
        <v>39.59</v>
      </c>
      <c r="BN26" s="66"/>
      <c r="BO26" s="31">
        <f t="shared" si="12"/>
        <v>0</v>
      </c>
      <c r="BP26" s="65">
        <f t="shared" si="13"/>
        <v>0</v>
      </c>
      <c r="BQ26" s="66"/>
      <c r="BR26" s="31">
        <f t="shared" si="14"/>
        <v>1</v>
      </c>
      <c r="BS26" s="67">
        <f t="shared" si="15"/>
        <v>39.59</v>
      </c>
      <c r="BT26" s="66"/>
      <c r="BU26" s="31">
        <f t="shared" si="16"/>
        <v>0</v>
      </c>
      <c r="BV26" s="65">
        <f t="shared" si="17"/>
        <v>0</v>
      </c>
      <c r="BW26" s="66"/>
      <c r="BX26" s="31">
        <f t="shared" si="18"/>
        <v>1</v>
      </c>
      <c r="BY26" s="67">
        <f t="shared" si="19"/>
        <v>39.59</v>
      </c>
      <c r="BZ26" s="66"/>
      <c r="CA26" s="31">
        <f t="shared" si="20"/>
        <v>0</v>
      </c>
      <c r="CB26" s="65">
        <f t="shared" si="21"/>
        <v>0</v>
      </c>
      <c r="CC26" s="66"/>
      <c r="CD26" s="31">
        <f t="shared" si="22"/>
        <v>0</v>
      </c>
      <c r="CE26" s="67">
        <f t="shared" si="23"/>
        <v>0</v>
      </c>
      <c r="CF26" s="66"/>
      <c r="CG26" s="34">
        <f t="shared" si="24"/>
        <v>0</v>
      </c>
      <c r="CH26" s="67">
        <f t="shared" si="45"/>
        <v>0</v>
      </c>
      <c r="CI26" s="66"/>
      <c r="CJ26" s="34">
        <f t="shared" si="25"/>
        <v>0</v>
      </c>
      <c r="CK26" s="67">
        <f t="shared" si="26"/>
        <v>0</v>
      </c>
      <c r="CL26" s="66"/>
      <c r="CM26" s="34">
        <f t="shared" si="27"/>
        <v>0</v>
      </c>
      <c r="CN26" s="67">
        <f t="shared" si="28"/>
        <v>0</v>
      </c>
      <c r="CO26" s="66"/>
      <c r="CP26" s="34">
        <f t="shared" si="29"/>
        <v>0</v>
      </c>
      <c r="CQ26" s="67">
        <f t="shared" si="30"/>
        <v>0</v>
      </c>
      <c r="CR26" s="66"/>
      <c r="CS26" s="34">
        <f t="shared" si="31"/>
        <v>0</v>
      </c>
      <c r="CT26" s="65">
        <f t="shared" si="32"/>
        <v>0</v>
      </c>
      <c r="CU26" s="66"/>
      <c r="CV26" s="31">
        <f t="shared" si="33"/>
        <v>0</v>
      </c>
      <c r="CW26" s="67">
        <f t="shared" si="34"/>
        <v>0</v>
      </c>
      <c r="CX26" s="66"/>
      <c r="CY26" s="31">
        <f t="shared" si="35"/>
        <v>0</v>
      </c>
      <c r="CZ26" s="65">
        <f t="shared" si="36"/>
        <v>0</v>
      </c>
      <c r="DA26" s="66"/>
      <c r="DB26" s="31">
        <f t="shared" si="37"/>
        <v>0</v>
      </c>
      <c r="DC26" s="67">
        <f t="shared" si="38"/>
        <v>0</v>
      </c>
      <c r="DE26" s="76">
        <v>75</v>
      </c>
      <c r="DF26" s="42"/>
      <c r="DG26" s="69">
        <f t="shared" si="39"/>
        <v>40</v>
      </c>
      <c r="DH26" s="42"/>
      <c r="DI26" s="70">
        <f t="shared" si="40"/>
        <v>7</v>
      </c>
      <c r="DJ26" s="42"/>
      <c r="DK26" s="70">
        <f t="shared" si="41"/>
        <v>108</v>
      </c>
      <c r="DL26" s="42"/>
      <c r="DM26" s="71">
        <f t="shared" si="42"/>
        <v>3562.92</v>
      </c>
      <c r="DN26" s="42"/>
      <c r="DO26" s="72">
        <f t="shared" si="43"/>
        <v>15.428571428571429</v>
      </c>
      <c r="DP26" s="42"/>
      <c r="DQ26" s="71">
        <f t="shared" si="44"/>
        <v>4275.72</v>
      </c>
      <c r="DR26" s="42"/>
      <c r="DS26" s="69"/>
      <c r="DT26" s="42"/>
      <c r="DU26" s="71">
        <v>0</v>
      </c>
      <c r="DV26" s="42"/>
      <c r="DW26" s="73">
        <f t="shared" si="46"/>
        <v>0</v>
      </c>
      <c r="DX26" s="42"/>
      <c r="DY26" s="71">
        <f t="shared" si="47"/>
        <v>0</v>
      </c>
    </row>
    <row r="27" ht="12" customHeight="1" spans="1:129" x14ac:dyDescent="0.25">
      <c r="A27" s="74" t="s">
        <v>72</v>
      </c>
      <c r="B27" s="42"/>
      <c r="C27" s="75">
        <v>20</v>
      </c>
      <c r="D27" s="44"/>
      <c r="E27" s="78">
        <v>23.05</v>
      </c>
      <c r="F27" s="44"/>
      <c r="G27" s="61">
        <v>27.66</v>
      </c>
      <c r="I27" s="62"/>
      <c r="J27" s="63"/>
      <c r="K27" s="64">
        <v>1</v>
      </c>
      <c r="L27" s="3"/>
      <c r="M27" s="62"/>
      <c r="N27" s="3"/>
      <c r="O27" s="64"/>
      <c r="P27" s="3"/>
      <c r="Q27" s="62"/>
      <c r="R27" s="3"/>
      <c r="S27" s="64"/>
      <c r="T27" s="3"/>
      <c r="U27" s="62"/>
      <c r="V27" s="3"/>
      <c r="W27" s="64"/>
      <c r="X27" s="3"/>
      <c r="Y27" s="62">
        <v>1</v>
      </c>
      <c r="Z27" s="3"/>
      <c r="AA27" s="64"/>
      <c r="AB27" s="3"/>
      <c r="AC27" s="62"/>
      <c r="AD27" s="3"/>
      <c r="AE27" s="64"/>
      <c r="AF27" s="3"/>
      <c r="AG27" s="62"/>
      <c r="AH27" s="3"/>
      <c r="AI27" s="64"/>
      <c r="AJ27" s="3"/>
      <c r="AK27" s="62"/>
      <c r="AL27" s="3"/>
      <c r="AM27" s="64"/>
      <c r="AN27" s="3"/>
      <c r="AO27" s="62"/>
      <c r="AP27" s="3"/>
      <c r="AQ27" s="64"/>
      <c r="AR27" s="3"/>
      <c r="AS27" s="62"/>
      <c r="AT27" s="3"/>
      <c r="AU27" s="64"/>
      <c r="AW27" s="34">
        <f t="shared" si="0"/>
        <v>0</v>
      </c>
      <c r="AX27" s="65">
        <f t="shared" si="1"/>
        <v>0</v>
      </c>
      <c r="AY27" s="66"/>
      <c r="AZ27" s="31">
        <f t="shared" si="2"/>
        <v>1</v>
      </c>
      <c r="BA27" s="67">
        <f t="shared" si="3"/>
        <v>27.66</v>
      </c>
      <c r="BB27" s="66"/>
      <c r="BC27" s="31">
        <f t="shared" si="4"/>
        <v>0</v>
      </c>
      <c r="BD27" s="65">
        <f t="shared" si="5"/>
        <v>0</v>
      </c>
      <c r="BE27" s="66"/>
      <c r="BF27" s="31">
        <f t="shared" si="6"/>
        <v>0</v>
      </c>
      <c r="BG27" s="67">
        <f t="shared" si="7"/>
        <v>0</v>
      </c>
      <c r="BH27" s="66"/>
      <c r="BI27" s="31">
        <f t="shared" si="8"/>
        <v>0</v>
      </c>
      <c r="BJ27" s="65">
        <f t="shared" si="9"/>
        <v>0</v>
      </c>
      <c r="BK27" s="66"/>
      <c r="BL27" s="31">
        <f t="shared" si="10"/>
        <v>0</v>
      </c>
      <c r="BM27" s="67">
        <f t="shared" si="11"/>
        <v>0</v>
      </c>
      <c r="BN27" s="66"/>
      <c r="BO27" s="31">
        <f t="shared" si="12"/>
        <v>0</v>
      </c>
      <c r="BP27" s="65">
        <f t="shared" si="13"/>
        <v>0</v>
      </c>
      <c r="BQ27" s="66"/>
      <c r="BR27" s="31">
        <f t="shared" si="14"/>
        <v>0</v>
      </c>
      <c r="BS27" s="67">
        <f t="shared" si="15"/>
        <v>0</v>
      </c>
      <c r="BT27" s="66"/>
      <c r="BU27" s="31">
        <f t="shared" si="16"/>
        <v>1</v>
      </c>
      <c r="BV27" s="65">
        <f t="shared" si="17"/>
        <v>27.66</v>
      </c>
      <c r="BW27" s="66"/>
      <c r="BX27" s="31">
        <f t="shared" si="18"/>
        <v>0</v>
      </c>
      <c r="BY27" s="67">
        <f t="shared" si="19"/>
        <v>0</v>
      </c>
      <c r="BZ27" s="66"/>
      <c r="CA27" s="31">
        <f t="shared" si="20"/>
        <v>0</v>
      </c>
      <c r="CB27" s="65">
        <f t="shared" si="21"/>
        <v>0</v>
      </c>
      <c r="CC27" s="66"/>
      <c r="CD27" s="31">
        <f t="shared" si="22"/>
        <v>0</v>
      </c>
      <c r="CE27" s="67">
        <f t="shared" si="23"/>
        <v>0</v>
      </c>
      <c r="CF27" s="66"/>
      <c r="CG27" s="34">
        <f t="shared" si="24"/>
        <v>0</v>
      </c>
      <c r="CH27" s="67">
        <f t="shared" si="45"/>
        <v>0</v>
      </c>
      <c r="CI27" s="66"/>
      <c r="CJ27" s="34">
        <f t="shared" si="25"/>
        <v>0</v>
      </c>
      <c r="CK27" s="67">
        <f t="shared" si="26"/>
        <v>0</v>
      </c>
      <c r="CL27" s="66"/>
      <c r="CM27" s="34">
        <f t="shared" si="27"/>
        <v>0</v>
      </c>
      <c r="CN27" s="67">
        <f t="shared" si="28"/>
        <v>0</v>
      </c>
      <c r="CO27" s="66"/>
      <c r="CP27" s="34">
        <f t="shared" si="29"/>
        <v>0</v>
      </c>
      <c r="CQ27" s="67">
        <f t="shared" si="30"/>
        <v>0</v>
      </c>
      <c r="CR27" s="66"/>
      <c r="CS27" s="34">
        <f t="shared" si="31"/>
        <v>0</v>
      </c>
      <c r="CT27" s="65">
        <f t="shared" si="32"/>
        <v>0</v>
      </c>
      <c r="CU27" s="66"/>
      <c r="CV27" s="31">
        <f t="shared" si="33"/>
        <v>0</v>
      </c>
      <c r="CW27" s="67">
        <f t="shared" si="34"/>
        <v>0</v>
      </c>
      <c r="CX27" s="66"/>
      <c r="CY27" s="31">
        <f t="shared" si="35"/>
        <v>0</v>
      </c>
      <c r="CZ27" s="65">
        <f t="shared" si="36"/>
        <v>0</v>
      </c>
      <c r="DA27" s="66"/>
      <c r="DB27" s="31">
        <f t="shared" si="37"/>
        <v>0</v>
      </c>
      <c r="DC27" s="67">
        <f t="shared" si="38"/>
        <v>0</v>
      </c>
      <c r="DE27" s="76">
        <v>125</v>
      </c>
      <c r="DF27" s="42"/>
      <c r="DG27" s="69">
        <f t="shared" si="39"/>
        <v>20</v>
      </c>
      <c r="DH27" s="42"/>
      <c r="DI27" s="70">
        <f t="shared" si="40"/>
        <v>2</v>
      </c>
      <c r="DJ27" s="42"/>
      <c r="DK27" s="70">
        <f t="shared" si="41"/>
        <v>143</v>
      </c>
      <c r="DL27" s="42"/>
      <c r="DM27" s="71">
        <f t="shared" si="42"/>
        <v>3296.15</v>
      </c>
      <c r="DN27" s="42"/>
      <c r="DO27" s="72">
        <f t="shared" si="43"/>
        <v>71.5</v>
      </c>
      <c r="DP27" s="42"/>
      <c r="DQ27" s="71">
        <f t="shared" si="44"/>
        <v>3955.38</v>
      </c>
      <c r="DR27" s="42"/>
      <c r="DS27" s="69"/>
      <c r="DT27" s="42"/>
      <c r="DU27" s="71">
        <v>0</v>
      </c>
      <c r="DV27" s="42"/>
      <c r="DW27" s="73">
        <f t="shared" si="46"/>
        <v>0</v>
      </c>
      <c r="DX27" s="42"/>
      <c r="DY27" s="71">
        <f t="shared" si="47"/>
        <v>0</v>
      </c>
    </row>
    <row r="28" ht="12" customHeight="1" spans="1:129" x14ac:dyDescent="0.25">
      <c r="A28" s="77" t="s">
        <v>73</v>
      </c>
      <c r="B28" s="42"/>
      <c r="C28" s="75"/>
      <c r="D28" s="44"/>
      <c r="E28" s="78">
        <v>26.11</v>
      </c>
      <c r="F28" s="44"/>
      <c r="G28" s="61">
        <v>31.33</v>
      </c>
      <c r="I28" s="62">
        <v>1</v>
      </c>
      <c r="J28" s="63"/>
      <c r="K28" s="64">
        <v>3</v>
      </c>
      <c r="L28" s="3"/>
      <c r="M28" s="62">
        <v>2</v>
      </c>
      <c r="N28" s="3"/>
      <c r="O28" s="64">
        <v>1</v>
      </c>
      <c r="P28" s="3"/>
      <c r="Q28" s="62">
        <v>1</v>
      </c>
      <c r="R28" s="3"/>
      <c r="S28" s="64">
        <v>1</v>
      </c>
      <c r="T28" s="3"/>
      <c r="U28" s="62">
        <v>1</v>
      </c>
      <c r="V28" s="3"/>
      <c r="W28" s="64">
        <v>1</v>
      </c>
      <c r="X28" s="3"/>
      <c r="Y28" s="62"/>
      <c r="Z28" s="3"/>
      <c r="AA28" s="64">
        <v>1</v>
      </c>
      <c r="AB28" s="3"/>
      <c r="AC28" s="62">
        <v>1</v>
      </c>
      <c r="AD28" s="3"/>
      <c r="AE28" s="64"/>
      <c r="AF28" s="3"/>
      <c r="AG28" s="62"/>
      <c r="AH28" s="3"/>
      <c r="AI28" s="64"/>
      <c r="AJ28" s="3"/>
      <c r="AK28" s="62"/>
      <c r="AL28" s="3"/>
      <c r="AM28" s="64"/>
      <c r="AN28" s="3"/>
      <c r="AO28" s="62"/>
      <c r="AP28" s="3"/>
      <c r="AQ28" s="64"/>
      <c r="AR28" s="3"/>
      <c r="AS28" s="62"/>
      <c r="AT28" s="3"/>
      <c r="AU28" s="64"/>
      <c r="AW28" s="34">
        <f t="shared" si="0"/>
        <v>1</v>
      </c>
      <c r="AX28" s="65">
        <f t="shared" si="1"/>
        <v>31.33</v>
      </c>
      <c r="AY28" s="66"/>
      <c r="AZ28" s="31">
        <f t="shared" si="2"/>
        <v>3</v>
      </c>
      <c r="BA28" s="67">
        <f t="shared" si="3"/>
        <v>93.99</v>
      </c>
      <c r="BB28" s="66"/>
      <c r="BC28" s="31">
        <f t="shared" si="4"/>
        <v>2</v>
      </c>
      <c r="BD28" s="65">
        <f t="shared" si="5"/>
        <v>62.66</v>
      </c>
      <c r="BE28" s="66"/>
      <c r="BF28" s="31">
        <f t="shared" si="6"/>
        <v>1</v>
      </c>
      <c r="BG28" s="67">
        <f t="shared" si="7"/>
        <v>31.33</v>
      </c>
      <c r="BH28" s="66"/>
      <c r="BI28" s="31">
        <f t="shared" si="8"/>
        <v>1</v>
      </c>
      <c r="BJ28" s="65">
        <f t="shared" si="9"/>
        <v>31.33</v>
      </c>
      <c r="BK28" s="66"/>
      <c r="BL28" s="31">
        <f t="shared" si="10"/>
        <v>1</v>
      </c>
      <c r="BM28" s="67">
        <f t="shared" si="11"/>
        <v>31.33</v>
      </c>
      <c r="BN28" s="66"/>
      <c r="BO28" s="31">
        <f t="shared" si="12"/>
        <v>1</v>
      </c>
      <c r="BP28" s="65">
        <f t="shared" si="13"/>
        <v>31.33</v>
      </c>
      <c r="BQ28" s="66"/>
      <c r="BR28" s="31">
        <f t="shared" si="14"/>
        <v>1</v>
      </c>
      <c r="BS28" s="67">
        <f t="shared" si="15"/>
        <v>31.33</v>
      </c>
      <c r="BT28" s="66"/>
      <c r="BU28" s="31">
        <f t="shared" si="16"/>
        <v>0</v>
      </c>
      <c r="BV28" s="65">
        <f t="shared" si="17"/>
        <v>0</v>
      </c>
      <c r="BW28" s="66"/>
      <c r="BX28" s="31">
        <f t="shared" si="18"/>
        <v>1</v>
      </c>
      <c r="BY28" s="67">
        <f t="shared" si="19"/>
        <v>31.33</v>
      </c>
      <c r="BZ28" s="66"/>
      <c r="CA28" s="31">
        <f t="shared" si="20"/>
        <v>1</v>
      </c>
      <c r="CB28" s="65">
        <f t="shared" si="21"/>
        <v>31.33</v>
      </c>
      <c r="CC28" s="66"/>
      <c r="CD28" s="31">
        <f t="shared" si="22"/>
        <v>0</v>
      </c>
      <c r="CE28" s="67">
        <f t="shared" si="23"/>
        <v>0</v>
      </c>
      <c r="CF28" s="66"/>
      <c r="CG28" s="34">
        <f t="shared" si="24"/>
        <v>0</v>
      </c>
      <c r="CH28" s="67">
        <f t="shared" si="45"/>
        <v>0</v>
      </c>
      <c r="CI28" s="66"/>
      <c r="CJ28" s="34">
        <f t="shared" si="25"/>
        <v>0</v>
      </c>
      <c r="CK28" s="67">
        <f t="shared" si="26"/>
        <v>0</v>
      </c>
      <c r="CL28" s="66"/>
      <c r="CM28" s="34">
        <f t="shared" si="27"/>
        <v>0</v>
      </c>
      <c r="CN28" s="67">
        <f t="shared" si="28"/>
        <v>0</v>
      </c>
      <c r="CO28" s="66"/>
      <c r="CP28" s="34">
        <f t="shared" si="29"/>
        <v>0</v>
      </c>
      <c r="CQ28" s="67">
        <f t="shared" si="30"/>
        <v>0</v>
      </c>
      <c r="CR28" s="66"/>
      <c r="CS28" s="34">
        <f t="shared" si="31"/>
        <v>0</v>
      </c>
      <c r="CT28" s="65">
        <f t="shared" si="32"/>
        <v>0</v>
      </c>
      <c r="CU28" s="66"/>
      <c r="CV28" s="31">
        <f t="shared" si="33"/>
        <v>0</v>
      </c>
      <c r="CW28" s="67">
        <f t="shared" si="34"/>
        <v>0</v>
      </c>
      <c r="CX28" s="66"/>
      <c r="CY28" s="31">
        <f t="shared" si="35"/>
        <v>0</v>
      </c>
      <c r="CZ28" s="65">
        <f t="shared" si="36"/>
        <v>0</v>
      </c>
      <c r="DA28" s="66"/>
      <c r="DB28" s="31">
        <f t="shared" si="37"/>
        <v>0</v>
      </c>
      <c r="DC28" s="67">
        <f t="shared" si="38"/>
        <v>0</v>
      </c>
      <c r="DE28" s="76">
        <v>56</v>
      </c>
      <c r="DF28" s="42"/>
      <c r="DG28" s="69">
        <f t="shared" si="39"/>
        <v>0</v>
      </c>
      <c r="DH28" s="42"/>
      <c r="DI28" s="70">
        <f t="shared" si="40"/>
        <v>13</v>
      </c>
      <c r="DJ28" s="42"/>
      <c r="DK28" s="70">
        <f t="shared" si="41"/>
        <v>43</v>
      </c>
      <c r="DL28" s="42"/>
      <c r="DM28" s="71">
        <f t="shared" si="42"/>
        <v>1122.73</v>
      </c>
      <c r="DN28" s="42"/>
      <c r="DO28" s="72">
        <f t="shared" si="43"/>
        <v>3.3076923076923075</v>
      </c>
      <c r="DP28" s="42"/>
      <c r="DQ28" s="71">
        <f t="shared" si="44"/>
        <v>1347.1899999999998</v>
      </c>
      <c r="DR28" s="42"/>
      <c r="DS28" s="69"/>
      <c r="DT28" s="42"/>
      <c r="DU28" s="71">
        <v>0</v>
      </c>
      <c r="DV28" s="42"/>
      <c r="DW28" s="73">
        <f t="shared" si="46"/>
        <v>0</v>
      </c>
      <c r="DX28" s="42"/>
      <c r="DY28" s="71">
        <f t="shared" si="47"/>
        <v>0</v>
      </c>
    </row>
    <row r="29" ht="12" customHeight="1" spans="1:129" x14ac:dyDescent="0.25">
      <c r="A29" s="79" t="s">
        <v>74</v>
      </c>
      <c r="B29" s="42"/>
      <c r="C29" s="75"/>
      <c r="D29" s="44"/>
      <c r="E29" s="78">
        <v>42.24</v>
      </c>
      <c r="F29" s="44"/>
      <c r="G29" s="61">
        <v>50.69</v>
      </c>
      <c r="I29" s="62"/>
      <c r="J29" s="63"/>
      <c r="K29" s="64">
        <v>1</v>
      </c>
      <c r="L29" s="3"/>
      <c r="M29" s="62"/>
      <c r="N29" s="3"/>
      <c r="O29" s="64">
        <v>1</v>
      </c>
      <c r="P29" s="3"/>
      <c r="Q29" s="62"/>
      <c r="R29" s="3"/>
      <c r="S29" s="64"/>
      <c r="T29" s="3"/>
      <c r="U29" s="62"/>
      <c r="V29" s="3"/>
      <c r="W29" s="64"/>
      <c r="X29" s="3"/>
      <c r="Y29" s="62"/>
      <c r="Z29" s="3"/>
      <c r="AA29" s="64">
        <v>1</v>
      </c>
      <c r="AB29" s="3"/>
      <c r="AC29" s="62">
        <v>1</v>
      </c>
      <c r="AD29" s="3"/>
      <c r="AE29" s="64"/>
      <c r="AF29" s="3"/>
      <c r="AG29" s="62"/>
      <c r="AH29" s="3"/>
      <c r="AI29" s="64"/>
      <c r="AJ29" s="3"/>
      <c r="AK29" s="62"/>
      <c r="AL29" s="3"/>
      <c r="AM29" s="64"/>
      <c r="AN29" s="3"/>
      <c r="AO29" s="62"/>
      <c r="AP29" s="3"/>
      <c r="AQ29" s="64"/>
      <c r="AR29" s="3"/>
      <c r="AS29" s="62"/>
      <c r="AT29" s="3"/>
      <c r="AU29" s="64"/>
      <c r="AW29" s="34">
        <f t="shared" si="0"/>
        <v>0</v>
      </c>
      <c r="AX29" s="65">
        <f t="shared" si="1"/>
        <v>0</v>
      </c>
      <c r="AY29" s="66"/>
      <c r="AZ29" s="31">
        <f t="shared" si="2"/>
        <v>1</v>
      </c>
      <c r="BA29" s="67">
        <f t="shared" si="3"/>
        <v>50.69</v>
      </c>
      <c r="BB29" s="66"/>
      <c r="BC29" s="31">
        <f t="shared" si="4"/>
        <v>0</v>
      </c>
      <c r="BD29" s="65">
        <f t="shared" si="5"/>
        <v>0</v>
      </c>
      <c r="BE29" s="66"/>
      <c r="BF29" s="31">
        <f t="shared" si="6"/>
        <v>1</v>
      </c>
      <c r="BG29" s="67">
        <f t="shared" si="7"/>
        <v>50.69</v>
      </c>
      <c r="BH29" s="66"/>
      <c r="BI29" s="31">
        <f t="shared" si="8"/>
        <v>0</v>
      </c>
      <c r="BJ29" s="65">
        <f t="shared" si="9"/>
        <v>0</v>
      </c>
      <c r="BK29" s="66"/>
      <c r="BL29" s="31">
        <f t="shared" si="10"/>
        <v>0</v>
      </c>
      <c r="BM29" s="67">
        <f t="shared" si="11"/>
        <v>0</v>
      </c>
      <c r="BN29" s="66"/>
      <c r="BO29" s="31">
        <f t="shared" si="12"/>
        <v>0</v>
      </c>
      <c r="BP29" s="65">
        <f t="shared" si="13"/>
        <v>0</v>
      </c>
      <c r="BQ29" s="66"/>
      <c r="BR29" s="31">
        <f t="shared" si="14"/>
        <v>0</v>
      </c>
      <c r="BS29" s="67">
        <f t="shared" si="15"/>
        <v>0</v>
      </c>
      <c r="BT29" s="66"/>
      <c r="BU29" s="31">
        <f t="shared" si="16"/>
        <v>0</v>
      </c>
      <c r="BV29" s="65">
        <f t="shared" si="17"/>
        <v>0</v>
      </c>
      <c r="BW29" s="66"/>
      <c r="BX29" s="31">
        <f t="shared" si="18"/>
        <v>1</v>
      </c>
      <c r="BY29" s="67">
        <f t="shared" si="19"/>
        <v>50.69</v>
      </c>
      <c r="BZ29" s="66"/>
      <c r="CA29" s="31">
        <f t="shared" si="20"/>
        <v>1</v>
      </c>
      <c r="CB29" s="65">
        <f t="shared" si="21"/>
        <v>50.69</v>
      </c>
      <c r="CC29" s="66"/>
      <c r="CD29" s="31">
        <f t="shared" si="22"/>
        <v>0</v>
      </c>
      <c r="CE29" s="67">
        <f t="shared" si="23"/>
        <v>0</v>
      </c>
      <c r="CF29" s="66"/>
      <c r="CG29" s="34">
        <f t="shared" si="24"/>
        <v>0</v>
      </c>
      <c r="CH29" s="67">
        <f t="shared" si="45"/>
        <v>0</v>
      </c>
      <c r="CI29" s="66"/>
      <c r="CJ29" s="34">
        <f t="shared" si="25"/>
        <v>0</v>
      </c>
      <c r="CK29" s="67">
        <f t="shared" si="26"/>
        <v>0</v>
      </c>
      <c r="CL29" s="66"/>
      <c r="CM29" s="34">
        <f t="shared" si="27"/>
        <v>0</v>
      </c>
      <c r="CN29" s="67">
        <f t="shared" si="28"/>
        <v>0</v>
      </c>
      <c r="CO29" s="66"/>
      <c r="CP29" s="34">
        <f t="shared" si="29"/>
        <v>0</v>
      </c>
      <c r="CQ29" s="67">
        <f t="shared" si="30"/>
        <v>0</v>
      </c>
      <c r="CR29" s="66"/>
      <c r="CS29" s="34">
        <f t="shared" si="31"/>
        <v>0</v>
      </c>
      <c r="CT29" s="65">
        <f t="shared" si="32"/>
        <v>0</v>
      </c>
      <c r="CU29" s="66"/>
      <c r="CV29" s="31">
        <f t="shared" si="33"/>
        <v>0</v>
      </c>
      <c r="CW29" s="67">
        <f t="shared" si="34"/>
        <v>0</v>
      </c>
      <c r="CX29" s="66"/>
      <c r="CY29" s="31">
        <f t="shared" si="35"/>
        <v>0</v>
      </c>
      <c r="CZ29" s="65">
        <f t="shared" si="36"/>
        <v>0</v>
      </c>
      <c r="DA29" s="66"/>
      <c r="DB29" s="31">
        <f t="shared" si="37"/>
        <v>0</v>
      </c>
      <c r="DC29" s="67">
        <f t="shared" si="38"/>
        <v>0</v>
      </c>
      <c r="DE29" s="76">
        <v>81</v>
      </c>
      <c r="DF29" s="42"/>
      <c r="DG29" s="69">
        <f t="shared" si="39"/>
        <v>0</v>
      </c>
      <c r="DH29" s="42"/>
      <c r="DI29" s="70">
        <f t="shared" si="40"/>
        <v>4</v>
      </c>
      <c r="DJ29" s="42"/>
      <c r="DK29" s="70">
        <f t="shared" si="41"/>
        <v>77</v>
      </c>
      <c r="DL29" s="42"/>
      <c r="DM29" s="71">
        <f t="shared" si="42"/>
        <v>3252.48</v>
      </c>
      <c r="DN29" s="42"/>
      <c r="DO29" s="72">
        <f t="shared" si="43"/>
        <v>19.25</v>
      </c>
      <c r="DP29" s="42"/>
      <c r="DQ29" s="71">
        <f t="shared" si="44"/>
        <v>3903.1299999999997</v>
      </c>
      <c r="DR29" s="42"/>
      <c r="DS29" s="69"/>
      <c r="DT29" s="42"/>
      <c r="DU29" s="71">
        <v>0</v>
      </c>
      <c r="DV29" s="42"/>
      <c r="DW29" s="73">
        <f t="shared" si="46"/>
        <v>0</v>
      </c>
      <c r="DX29" s="42"/>
      <c r="DY29" s="71">
        <f t="shared" si="47"/>
        <v>0</v>
      </c>
    </row>
    <row r="30" ht="12" customHeight="1" spans="1:129" x14ac:dyDescent="0.25">
      <c r="A30" s="77" t="s">
        <v>75</v>
      </c>
      <c r="B30" s="42"/>
      <c r="C30" s="75"/>
      <c r="D30" s="44"/>
      <c r="E30" s="78">
        <v>75.69</v>
      </c>
      <c r="F30" s="44"/>
      <c r="G30" s="61">
        <v>90.83</v>
      </c>
      <c r="I30" s="62"/>
      <c r="J30" s="63"/>
      <c r="K30" s="64">
        <v>1</v>
      </c>
      <c r="L30" s="3"/>
      <c r="M30" s="62"/>
      <c r="N30" s="3"/>
      <c r="O30" s="64">
        <v>1</v>
      </c>
      <c r="P30" s="3"/>
      <c r="Q30" s="62"/>
      <c r="R30" s="3"/>
      <c r="S30" s="64">
        <v>1</v>
      </c>
      <c r="T30" s="3"/>
      <c r="U30" s="62"/>
      <c r="V30" s="3"/>
      <c r="W30" s="64"/>
      <c r="X30" s="3"/>
      <c r="Y30" s="62"/>
      <c r="Z30" s="3"/>
      <c r="AA30" s="64"/>
      <c r="AB30" s="3"/>
      <c r="AC30" s="62"/>
      <c r="AD30" s="3"/>
      <c r="AE30" s="64"/>
      <c r="AF30" s="3"/>
      <c r="AG30" s="62"/>
      <c r="AH30" s="3"/>
      <c r="AI30" s="64"/>
      <c r="AJ30" s="3"/>
      <c r="AK30" s="62"/>
      <c r="AL30" s="3"/>
      <c r="AM30" s="64"/>
      <c r="AN30" s="3"/>
      <c r="AO30" s="62">
        <v>1</v>
      </c>
      <c r="AP30" s="3"/>
      <c r="AQ30" s="64"/>
      <c r="AR30" s="3"/>
      <c r="AS30" s="62"/>
      <c r="AT30" s="3"/>
      <c r="AU30" s="64"/>
      <c r="AW30" s="34">
        <f t="shared" si="0"/>
        <v>0</v>
      </c>
      <c r="AX30" s="65">
        <f t="shared" si="1"/>
        <v>0</v>
      </c>
      <c r="AY30" s="66"/>
      <c r="AZ30" s="31">
        <f t="shared" si="2"/>
        <v>1</v>
      </c>
      <c r="BA30" s="67">
        <f t="shared" si="3"/>
        <v>90.83</v>
      </c>
      <c r="BB30" s="66"/>
      <c r="BC30" s="31">
        <f t="shared" si="4"/>
        <v>0</v>
      </c>
      <c r="BD30" s="65">
        <f t="shared" si="5"/>
        <v>0</v>
      </c>
      <c r="BE30" s="66"/>
      <c r="BF30" s="31">
        <f t="shared" si="6"/>
        <v>1</v>
      </c>
      <c r="BG30" s="67">
        <f t="shared" si="7"/>
        <v>90.83</v>
      </c>
      <c r="BH30" s="66"/>
      <c r="BI30" s="31">
        <f t="shared" si="8"/>
        <v>0</v>
      </c>
      <c r="BJ30" s="65">
        <f t="shared" si="9"/>
        <v>0</v>
      </c>
      <c r="BK30" s="66"/>
      <c r="BL30" s="31">
        <f t="shared" si="10"/>
        <v>1</v>
      </c>
      <c r="BM30" s="67">
        <f t="shared" si="11"/>
        <v>90.83</v>
      </c>
      <c r="BN30" s="66"/>
      <c r="BO30" s="31">
        <f t="shared" si="12"/>
        <v>0</v>
      </c>
      <c r="BP30" s="65">
        <f t="shared" si="13"/>
        <v>0</v>
      </c>
      <c r="BQ30" s="66"/>
      <c r="BR30" s="31">
        <f t="shared" si="14"/>
        <v>0</v>
      </c>
      <c r="BS30" s="67">
        <f t="shared" si="15"/>
        <v>0</v>
      </c>
      <c r="BT30" s="66"/>
      <c r="BU30" s="31">
        <f t="shared" si="16"/>
        <v>0</v>
      </c>
      <c r="BV30" s="65">
        <f t="shared" si="17"/>
        <v>0</v>
      </c>
      <c r="BW30" s="66"/>
      <c r="BX30" s="31">
        <f t="shared" si="18"/>
        <v>0</v>
      </c>
      <c r="BY30" s="67">
        <f t="shared" si="19"/>
        <v>0</v>
      </c>
      <c r="BZ30" s="66"/>
      <c r="CA30" s="31">
        <f t="shared" si="20"/>
        <v>0</v>
      </c>
      <c r="CB30" s="65">
        <f t="shared" si="21"/>
        <v>0</v>
      </c>
      <c r="CC30" s="66"/>
      <c r="CD30" s="31">
        <f t="shared" si="22"/>
        <v>0</v>
      </c>
      <c r="CE30" s="67">
        <f t="shared" si="23"/>
        <v>0</v>
      </c>
      <c r="CF30" s="66"/>
      <c r="CG30" s="34">
        <f t="shared" si="24"/>
        <v>0</v>
      </c>
      <c r="CH30" s="67">
        <f t="shared" si="45"/>
        <v>0</v>
      </c>
      <c r="CI30" s="66"/>
      <c r="CJ30" s="34">
        <f t="shared" si="25"/>
        <v>0</v>
      </c>
      <c r="CK30" s="67">
        <f t="shared" si="26"/>
        <v>0</v>
      </c>
      <c r="CL30" s="66"/>
      <c r="CM30" s="34">
        <f t="shared" si="27"/>
        <v>0</v>
      </c>
      <c r="CN30" s="67">
        <f t="shared" si="28"/>
        <v>0</v>
      </c>
      <c r="CO30" s="66"/>
      <c r="CP30" s="34">
        <f t="shared" si="29"/>
        <v>0</v>
      </c>
      <c r="CQ30" s="67">
        <f t="shared" si="30"/>
        <v>0</v>
      </c>
      <c r="CR30" s="66"/>
      <c r="CS30" s="34">
        <f t="shared" si="31"/>
        <v>1</v>
      </c>
      <c r="CT30" s="65">
        <f t="shared" si="32"/>
        <v>90.83</v>
      </c>
      <c r="CU30" s="66"/>
      <c r="CV30" s="31">
        <f t="shared" si="33"/>
        <v>0</v>
      </c>
      <c r="CW30" s="67">
        <f t="shared" si="34"/>
        <v>0</v>
      </c>
      <c r="CX30" s="66"/>
      <c r="CY30" s="31">
        <f t="shared" si="35"/>
        <v>0</v>
      </c>
      <c r="CZ30" s="65">
        <f t="shared" si="36"/>
        <v>0</v>
      </c>
      <c r="DA30" s="66"/>
      <c r="DB30" s="31">
        <f t="shared" si="37"/>
        <v>0</v>
      </c>
      <c r="DC30" s="67">
        <f t="shared" si="38"/>
        <v>0</v>
      </c>
      <c r="DE30" s="76">
        <v>15</v>
      </c>
      <c r="DF30" s="42"/>
      <c r="DG30" s="69">
        <f t="shared" si="39"/>
        <v>0</v>
      </c>
      <c r="DH30" s="42"/>
      <c r="DI30" s="70">
        <f t="shared" si="40"/>
        <v>4</v>
      </c>
      <c r="DJ30" s="42"/>
      <c r="DK30" s="70">
        <f t="shared" si="41"/>
        <v>11</v>
      </c>
      <c r="DL30" s="42"/>
      <c r="DM30" s="71">
        <f t="shared" si="42"/>
        <v>832.5899999999999</v>
      </c>
      <c r="DN30" s="42"/>
      <c r="DO30" s="72">
        <f t="shared" si="43"/>
        <v>2.75</v>
      </c>
      <c r="DP30" s="42"/>
      <c r="DQ30" s="71">
        <f t="shared" si="44"/>
        <v>999.13</v>
      </c>
      <c r="DR30" s="42"/>
      <c r="DS30" s="69"/>
      <c r="DT30" s="42"/>
      <c r="DU30" s="71">
        <v>0</v>
      </c>
      <c r="DV30" s="42"/>
      <c r="DW30" s="73">
        <f t="shared" si="46"/>
        <v>0</v>
      </c>
      <c r="DX30" s="42"/>
      <c r="DY30" s="71">
        <f t="shared" si="47"/>
        <v>0</v>
      </c>
    </row>
    <row r="31" ht="12" customHeight="1" spans="1:129" x14ac:dyDescent="0.25">
      <c r="A31" s="74" t="s">
        <v>76</v>
      </c>
      <c r="B31" s="42"/>
      <c r="C31" s="75"/>
      <c r="D31" s="44"/>
      <c r="E31" s="78">
        <v>5</v>
      </c>
      <c r="F31" s="44"/>
      <c r="G31" s="61">
        <v>6</v>
      </c>
      <c r="I31" s="62"/>
      <c r="J31" s="63"/>
      <c r="K31" s="64"/>
      <c r="L31" s="3"/>
      <c r="M31" s="62"/>
      <c r="N31" s="3"/>
      <c r="O31" s="64"/>
      <c r="P31" s="3"/>
      <c r="Q31" s="62"/>
      <c r="R31" s="3"/>
      <c r="S31" s="64"/>
      <c r="T31" s="3"/>
      <c r="U31" s="62"/>
      <c r="V31" s="3"/>
      <c r="W31" s="64"/>
      <c r="X31" s="3"/>
      <c r="Y31" s="62"/>
      <c r="Z31" s="3"/>
      <c r="AA31" s="64"/>
      <c r="AB31" s="3"/>
      <c r="AC31" s="62"/>
      <c r="AD31" s="3"/>
      <c r="AE31" s="64"/>
      <c r="AF31" s="3"/>
      <c r="AG31" s="62"/>
      <c r="AH31" s="3"/>
      <c r="AI31" s="64"/>
      <c r="AJ31" s="3"/>
      <c r="AK31" s="62"/>
      <c r="AL31" s="3"/>
      <c r="AM31" s="64"/>
      <c r="AN31" s="3"/>
      <c r="AO31" s="62"/>
      <c r="AP31" s="3"/>
      <c r="AQ31" s="64"/>
      <c r="AR31" s="3"/>
      <c r="AS31" s="62"/>
      <c r="AT31" s="3"/>
      <c r="AU31" s="64"/>
      <c r="AW31" s="34">
        <f t="shared" si="0"/>
        <v>0</v>
      </c>
      <c r="AX31" s="65">
        <f t="shared" si="1"/>
        <v>0</v>
      </c>
      <c r="AY31" s="66"/>
      <c r="AZ31" s="31">
        <f t="shared" si="2"/>
        <v>0</v>
      </c>
      <c r="BA31" s="67">
        <f t="shared" si="3"/>
        <v>0</v>
      </c>
      <c r="BB31" s="66"/>
      <c r="BC31" s="31">
        <f t="shared" si="4"/>
        <v>0</v>
      </c>
      <c r="BD31" s="65">
        <f t="shared" si="5"/>
        <v>0</v>
      </c>
      <c r="BE31" s="66"/>
      <c r="BF31" s="31">
        <f t="shared" si="6"/>
        <v>0</v>
      </c>
      <c r="BG31" s="67">
        <f t="shared" si="7"/>
        <v>0</v>
      </c>
      <c r="BH31" s="66"/>
      <c r="BI31" s="31">
        <f t="shared" si="8"/>
        <v>0</v>
      </c>
      <c r="BJ31" s="65">
        <f t="shared" si="9"/>
        <v>0</v>
      </c>
      <c r="BK31" s="66"/>
      <c r="BL31" s="31">
        <f t="shared" si="10"/>
        <v>0</v>
      </c>
      <c r="BM31" s="67">
        <f t="shared" si="11"/>
        <v>0</v>
      </c>
      <c r="BN31" s="66"/>
      <c r="BO31" s="31">
        <f t="shared" si="12"/>
        <v>0</v>
      </c>
      <c r="BP31" s="65">
        <f t="shared" si="13"/>
        <v>0</v>
      </c>
      <c r="BQ31" s="66"/>
      <c r="BR31" s="31">
        <f t="shared" si="14"/>
        <v>0</v>
      </c>
      <c r="BS31" s="67">
        <f t="shared" si="15"/>
        <v>0</v>
      </c>
      <c r="BT31" s="66"/>
      <c r="BU31" s="31">
        <f t="shared" si="16"/>
        <v>0</v>
      </c>
      <c r="BV31" s="65">
        <f t="shared" si="17"/>
        <v>0</v>
      </c>
      <c r="BW31" s="66"/>
      <c r="BX31" s="31">
        <f t="shared" si="18"/>
        <v>0</v>
      </c>
      <c r="BY31" s="67">
        <f t="shared" si="19"/>
        <v>0</v>
      </c>
      <c r="BZ31" s="66"/>
      <c r="CA31" s="31">
        <f t="shared" si="20"/>
        <v>0</v>
      </c>
      <c r="CB31" s="65">
        <f t="shared" si="21"/>
        <v>0</v>
      </c>
      <c r="CC31" s="66"/>
      <c r="CD31" s="31">
        <f t="shared" si="22"/>
        <v>0</v>
      </c>
      <c r="CE31" s="67">
        <f t="shared" si="23"/>
        <v>0</v>
      </c>
      <c r="CF31" s="66"/>
      <c r="CG31" s="34">
        <f t="shared" si="24"/>
        <v>0</v>
      </c>
      <c r="CH31" s="67">
        <f t="shared" si="45"/>
        <v>0</v>
      </c>
      <c r="CI31" s="66"/>
      <c r="CJ31" s="34">
        <f t="shared" si="25"/>
        <v>0</v>
      </c>
      <c r="CK31" s="67">
        <f t="shared" si="26"/>
        <v>0</v>
      </c>
      <c r="CL31" s="66"/>
      <c r="CM31" s="34">
        <f t="shared" si="27"/>
        <v>0</v>
      </c>
      <c r="CN31" s="67">
        <f t="shared" si="28"/>
        <v>0</v>
      </c>
      <c r="CO31" s="66"/>
      <c r="CP31" s="34">
        <f t="shared" si="29"/>
        <v>0</v>
      </c>
      <c r="CQ31" s="67">
        <f t="shared" si="30"/>
        <v>0</v>
      </c>
      <c r="CR31" s="66"/>
      <c r="CS31" s="34">
        <f t="shared" si="31"/>
        <v>0</v>
      </c>
      <c r="CT31" s="65">
        <f t="shared" si="32"/>
        <v>0</v>
      </c>
      <c r="CU31" s="66"/>
      <c r="CV31" s="31">
        <f t="shared" si="33"/>
        <v>0</v>
      </c>
      <c r="CW31" s="67">
        <f t="shared" si="34"/>
        <v>0</v>
      </c>
      <c r="CX31" s="66"/>
      <c r="CY31" s="31">
        <f t="shared" si="35"/>
        <v>0</v>
      </c>
      <c r="CZ31" s="65">
        <f t="shared" si="36"/>
        <v>0</v>
      </c>
      <c r="DA31" s="66"/>
      <c r="DB31" s="31">
        <f t="shared" si="37"/>
        <v>0</v>
      </c>
      <c r="DC31" s="67">
        <f t="shared" si="38"/>
        <v>0</v>
      </c>
      <c r="DE31" s="76">
        <v>4</v>
      </c>
      <c r="DF31" s="42"/>
      <c r="DG31" s="69">
        <f t="shared" si="39"/>
        <v>0</v>
      </c>
      <c r="DH31" s="42"/>
      <c r="DI31" s="70">
        <f t="shared" si="40"/>
        <v>0</v>
      </c>
      <c r="DJ31" s="42"/>
      <c r="DK31" s="70">
        <f t="shared" si="41"/>
        <v>4</v>
      </c>
      <c r="DL31" s="42"/>
      <c r="DM31" s="71">
        <f t="shared" si="42"/>
        <v>20</v>
      </c>
      <c r="DN31" s="42"/>
      <c r="DO31" s="72" t="e">
        <f t="shared" si="43"/>
        <v>#DIV/0!</v>
      </c>
      <c r="DP31" s="42"/>
      <c r="DQ31" s="71">
        <f t="shared" si="44"/>
        <v>24</v>
      </c>
      <c r="DR31" s="42"/>
      <c r="DS31" s="69"/>
      <c r="DT31" s="42"/>
      <c r="DU31" s="71">
        <v>0</v>
      </c>
      <c r="DV31" s="42"/>
      <c r="DW31" s="73">
        <f t="shared" si="46"/>
        <v>0</v>
      </c>
      <c r="DX31" s="42"/>
      <c r="DY31" s="71">
        <f t="shared" si="47"/>
        <v>0</v>
      </c>
    </row>
    <row r="32" ht="12.45" customHeight="1" spans="1:129" s="6" customFormat="1" x14ac:dyDescent="0.25">
      <c r="A32" s="77" t="s">
        <v>77</v>
      </c>
      <c r="B32" s="42"/>
      <c r="C32" s="75"/>
      <c r="D32" s="44"/>
      <c r="E32" s="78">
        <v>30</v>
      </c>
      <c r="F32" s="44"/>
      <c r="G32" s="61">
        <v>36</v>
      </c>
      <c r="H32" s="2"/>
      <c r="I32" s="62"/>
      <c r="J32" s="63"/>
      <c r="K32" s="64"/>
      <c r="L32" s="3"/>
      <c r="M32" s="62"/>
      <c r="N32" s="3"/>
      <c r="O32" s="64"/>
      <c r="P32" s="3"/>
      <c r="Q32" s="62"/>
      <c r="R32" s="3"/>
      <c r="S32" s="64"/>
      <c r="T32" s="3"/>
      <c r="U32" s="62"/>
      <c r="V32" s="3"/>
      <c r="W32" s="64"/>
      <c r="X32" s="3"/>
      <c r="Y32" s="62"/>
      <c r="Z32" s="3"/>
      <c r="AA32" s="64"/>
      <c r="AB32" s="3"/>
      <c r="AC32" s="62"/>
      <c r="AD32" s="3"/>
      <c r="AE32" s="64"/>
      <c r="AF32" s="3"/>
      <c r="AG32" s="62"/>
      <c r="AH32" s="3"/>
      <c r="AI32" s="64"/>
      <c r="AJ32" s="3"/>
      <c r="AK32" s="62"/>
      <c r="AL32" s="3"/>
      <c r="AM32" s="64"/>
      <c r="AN32" s="3"/>
      <c r="AO32" s="62"/>
      <c r="AP32" s="3"/>
      <c r="AQ32" s="64"/>
      <c r="AR32" s="3"/>
      <c r="AS32" s="62"/>
      <c r="AT32" s="3"/>
      <c r="AU32" s="64"/>
      <c r="AV32" s="2"/>
      <c r="AW32" s="34">
        <f t="shared" si="0"/>
        <v>0</v>
      </c>
      <c r="AX32" s="65">
        <f t="shared" si="1"/>
        <v>0</v>
      </c>
      <c r="AY32" s="66"/>
      <c r="AZ32" s="31">
        <f t="shared" si="2"/>
        <v>0</v>
      </c>
      <c r="BA32" s="67">
        <f t="shared" si="3"/>
        <v>0</v>
      </c>
      <c r="BB32" s="66"/>
      <c r="BC32" s="31">
        <f t="shared" si="4"/>
        <v>0</v>
      </c>
      <c r="BD32" s="65">
        <f t="shared" si="5"/>
        <v>0</v>
      </c>
      <c r="BE32" s="66"/>
      <c r="BF32" s="31">
        <f t="shared" si="6"/>
        <v>0</v>
      </c>
      <c r="BG32" s="67">
        <f t="shared" si="7"/>
        <v>0</v>
      </c>
      <c r="BH32" s="66"/>
      <c r="BI32" s="31">
        <f t="shared" si="8"/>
        <v>0</v>
      </c>
      <c r="BJ32" s="65">
        <f t="shared" si="9"/>
        <v>0</v>
      </c>
      <c r="BK32" s="66"/>
      <c r="BL32" s="31">
        <f t="shared" si="10"/>
        <v>0</v>
      </c>
      <c r="BM32" s="67">
        <f t="shared" si="11"/>
        <v>0</v>
      </c>
      <c r="BN32" s="66"/>
      <c r="BO32" s="31">
        <f t="shared" si="12"/>
        <v>0</v>
      </c>
      <c r="BP32" s="65">
        <f t="shared" si="13"/>
        <v>0</v>
      </c>
      <c r="BQ32" s="66"/>
      <c r="BR32" s="31">
        <f t="shared" si="14"/>
        <v>0</v>
      </c>
      <c r="BS32" s="67">
        <f t="shared" si="15"/>
        <v>0</v>
      </c>
      <c r="BT32" s="66"/>
      <c r="BU32" s="31">
        <f t="shared" si="16"/>
        <v>0</v>
      </c>
      <c r="BV32" s="65">
        <f t="shared" si="17"/>
        <v>0</v>
      </c>
      <c r="BW32" s="66"/>
      <c r="BX32" s="31">
        <f t="shared" si="18"/>
        <v>0</v>
      </c>
      <c r="BY32" s="67">
        <f t="shared" si="19"/>
        <v>0</v>
      </c>
      <c r="BZ32" s="66"/>
      <c r="CA32" s="31">
        <f t="shared" si="20"/>
        <v>0</v>
      </c>
      <c r="CB32" s="65">
        <f t="shared" si="21"/>
        <v>0</v>
      </c>
      <c r="CC32" s="66"/>
      <c r="CD32" s="31">
        <f t="shared" si="22"/>
        <v>0</v>
      </c>
      <c r="CE32" s="67">
        <f t="shared" si="23"/>
        <v>0</v>
      </c>
      <c r="CF32" s="66"/>
      <c r="CG32" s="34">
        <f t="shared" si="24"/>
        <v>0</v>
      </c>
      <c r="CH32" s="67">
        <f t="shared" si="45"/>
        <v>0</v>
      </c>
      <c r="CI32" s="66"/>
      <c r="CJ32" s="34">
        <f t="shared" si="25"/>
        <v>0</v>
      </c>
      <c r="CK32" s="67">
        <f t="shared" si="26"/>
        <v>0</v>
      </c>
      <c r="CL32" s="66"/>
      <c r="CM32" s="34">
        <f t="shared" si="27"/>
        <v>0</v>
      </c>
      <c r="CN32" s="67">
        <f t="shared" si="28"/>
        <v>0</v>
      </c>
      <c r="CO32" s="66"/>
      <c r="CP32" s="34">
        <f t="shared" si="29"/>
        <v>0</v>
      </c>
      <c r="CQ32" s="67">
        <f t="shared" si="30"/>
        <v>0</v>
      </c>
      <c r="CR32" s="66"/>
      <c r="CS32" s="34">
        <f t="shared" si="31"/>
        <v>0</v>
      </c>
      <c r="CT32" s="65">
        <f t="shared" si="32"/>
        <v>0</v>
      </c>
      <c r="CU32" s="66"/>
      <c r="CV32" s="31">
        <f t="shared" si="33"/>
        <v>0</v>
      </c>
      <c r="CW32" s="67">
        <f t="shared" si="34"/>
        <v>0</v>
      </c>
      <c r="CX32" s="66"/>
      <c r="CY32" s="31">
        <f t="shared" si="35"/>
        <v>0</v>
      </c>
      <c r="CZ32" s="65">
        <f t="shared" si="36"/>
        <v>0</v>
      </c>
      <c r="DA32" s="66"/>
      <c r="DB32" s="31">
        <f t="shared" si="37"/>
        <v>0</v>
      </c>
      <c r="DC32" s="67">
        <f t="shared" si="38"/>
        <v>0</v>
      </c>
      <c r="DD32" s="2"/>
      <c r="DE32" s="76">
        <v>2</v>
      </c>
      <c r="DF32" s="42"/>
      <c r="DG32" s="69">
        <f t="shared" si="39"/>
        <v>0</v>
      </c>
      <c r="DH32" s="42"/>
      <c r="DI32" s="70">
        <f t="shared" si="40"/>
        <v>0</v>
      </c>
      <c r="DJ32" s="42"/>
      <c r="DK32" s="70">
        <f t="shared" si="41"/>
        <v>2</v>
      </c>
      <c r="DL32" s="42"/>
      <c r="DM32" s="71">
        <f t="shared" si="42"/>
        <v>60</v>
      </c>
      <c r="DN32" s="42"/>
      <c r="DO32" s="72" t="e">
        <f t="shared" si="43"/>
        <v>#DIV/0!</v>
      </c>
      <c r="DP32" s="42"/>
      <c r="DQ32" s="71">
        <f t="shared" si="44"/>
        <v>72</v>
      </c>
      <c r="DR32" s="42"/>
      <c r="DS32" s="69"/>
      <c r="DT32" s="42"/>
      <c r="DU32" s="71">
        <v>0</v>
      </c>
      <c r="DV32" s="42"/>
      <c r="DW32" s="73">
        <f t="shared" si="46"/>
        <v>0</v>
      </c>
      <c r="DX32" s="42"/>
      <c r="DY32" s="71">
        <f t="shared" si="47"/>
        <v>0</v>
      </c>
    </row>
    <row r="33" ht="12.45" customHeight="1" spans="1:129" x14ac:dyDescent="0.25">
      <c r="A33" s="74" t="s">
        <v>78</v>
      </c>
      <c r="B33" s="42"/>
      <c r="C33" s="75"/>
      <c r="D33" s="44"/>
      <c r="E33" s="78">
        <v>5</v>
      </c>
      <c r="F33" s="44"/>
      <c r="G33" s="61">
        <v>6</v>
      </c>
      <c r="I33" s="62"/>
      <c r="J33" s="63"/>
      <c r="K33" s="64"/>
      <c r="L33" s="3"/>
      <c r="M33" s="62"/>
      <c r="N33" s="3"/>
      <c r="O33" s="64"/>
      <c r="P33" s="3"/>
      <c r="Q33" s="62"/>
      <c r="R33" s="3"/>
      <c r="S33" s="64"/>
      <c r="T33" s="3"/>
      <c r="U33" s="62"/>
      <c r="V33" s="3"/>
      <c r="W33" s="64"/>
      <c r="X33" s="3"/>
      <c r="Y33" s="62"/>
      <c r="Z33" s="3"/>
      <c r="AA33" s="64"/>
      <c r="AB33" s="3"/>
      <c r="AC33" s="62"/>
      <c r="AD33" s="3"/>
      <c r="AE33" s="64"/>
      <c r="AF33" s="3"/>
      <c r="AG33" s="62"/>
      <c r="AH33" s="3"/>
      <c r="AI33" s="64"/>
      <c r="AJ33" s="3"/>
      <c r="AK33" s="62"/>
      <c r="AL33" s="3"/>
      <c r="AM33" s="64"/>
      <c r="AN33" s="3"/>
      <c r="AO33" s="62"/>
      <c r="AP33" s="3"/>
      <c r="AQ33" s="64"/>
      <c r="AR33" s="3"/>
      <c r="AS33" s="62"/>
      <c r="AT33" s="3"/>
      <c r="AU33" s="64"/>
      <c r="AW33" s="34">
        <f t="shared" si="0"/>
        <v>0</v>
      </c>
      <c r="AX33" s="65">
        <f t="shared" si="1"/>
        <v>0</v>
      </c>
      <c r="AY33" s="66"/>
      <c r="AZ33" s="31">
        <f t="shared" si="2"/>
        <v>0</v>
      </c>
      <c r="BA33" s="67">
        <f t="shared" si="3"/>
        <v>0</v>
      </c>
      <c r="BB33" s="66"/>
      <c r="BC33" s="31">
        <f t="shared" si="4"/>
        <v>0</v>
      </c>
      <c r="BD33" s="65">
        <f t="shared" si="5"/>
        <v>0</v>
      </c>
      <c r="BE33" s="66"/>
      <c r="BF33" s="31">
        <f t="shared" si="6"/>
        <v>0</v>
      </c>
      <c r="BG33" s="67">
        <f t="shared" si="7"/>
        <v>0</v>
      </c>
      <c r="BH33" s="66"/>
      <c r="BI33" s="31">
        <f t="shared" si="8"/>
        <v>0</v>
      </c>
      <c r="BJ33" s="65">
        <f t="shared" si="9"/>
        <v>0</v>
      </c>
      <c r="BK33" s="66"/>
      <c r="BL33" s="31">
        <f t="shared" si="10"/>
        <v>0</v>
      </c>
      <c r="BM33" s="67">
        <f t="shared" si="11"/>
        <v>0</v>
      </c>
      <c r="BN33" s="66"/>
      <c r="BO33" s="31">
        <f t="shared" si="12"/>
        <v>0</v>
      </c>
      <c r="BP33" s="65">
        <f t="shared" si="13"/>
        <v>0</v>
      </c>
      <c r="BQ33" s="66"/>
      <c r="BR33" s="31">
        <f t="shared" si="14"/>
        <v>0</v>
      </c>
      <c r="BS33" s="67">
        <f t="shared" si="15"/>
        <v>0</v>
      </c>
      <c r="BT33" s="66"/>
      <c r="BU33" s="31">
        <f t="shared" si="16"/>
        <v>0</v>
      </c>
      <c r="BV33" s="65">
        <f t="shared" si="17"/>
        <v>0</v>
      </c>
      <c r="BW33" s="66"/>
      <c r="BX33" s="31">
        <f t="shared" si="18"/>
        <v>0</v>
      </c>
      <c r="BY33" s="67">
        <f t="shared" si="19"/>
        <v>0</v>
      </c>
      <c r="BZ33" s="66"/>
      <c r="CA33" s="31">
        <f t="shared" si="20"/>
        <v>0</v>
      </c>
      <c r="CB33" s="65">
        <f t="shared" si="21"/>
        <v>0</v>
      </c>
      <c r="CC33" s="66"/>
      <c r="CD33" s="31">
        <f t="shared" si="22"/>
        <v>0</v>
      </c>
      <c r="CE33" s="67">
        <f t="shared" si="23"/>
        <v>0</v>
      </c>
      <c r="CF33" s="66"/>
      <c r="CG33" s="34">
        <f t="shared" si="24"/>
        <v>0</v>
      </c>
      <c r="CH33" s="67">
        <f t="shared" si="45"/>
        <v>0</v>
      </c>
      <c r="CI33" s="66"/>
      <c r="CJ33" s="34">
        <f t="shared" si="25"/>
        <v>0</v>
      </c>
      <c r="CK33" s="67">
        <f t="shared" si="26"/>
        <v>0</v>
      </c>
      <c r="CL33" s="66"/>
      <c r="CM33" s="34">
        <f t="shared" si="27"/>
        <v>0</v>
      </c>
      <c r="CN33" s="67">
        <f t="shared" si="28"/>
        <v>0</v>
      </c>
      <c r="CO33" s="66"/>
      <c r="CP33" s="34">
        <f t="shared" si="29"/>
        <v>0</v>
      </c>
      <c r="CQ33" s="67">
        <f t="shared" si="30"/>
        <v>0</v>
      </c>
      <c r="CR33" s="66"/>
      <c r="CS33" s="34">
        <f t="shared" si="31"/>
        <v>0</v>
      </c>
      <c r="CT33" s="65">
        <f t="shared" si="32"/>
        <v>0</v>
      </c>
      <c r="CU33" s="66"/>
      <c r="CV33" s="31">
        <f t="shared" si="33"/>
        <v>0</v>
      </c>
      <c r="CW33" s="67">
        <f t="shared" si="34"/>
        <v>0</v>
      </c>
      <c r="CX33" s="66"/>
      <c r="CY33" s="31">
        <f t="shared" si="35"/>
        <v>0</v>
      </c>
      <c r="CZ33" s="65">
        <f t="shared" si="36"/>
        <v>0</v>
      </c>
      <c r="DA33" s="66"/>
      <c r="DB33" s="31">
        <f t="shared" si="37"/>
        <v>0</v>
      </c>
      <c r="DC33" s="67">
        <f t="shared" si="38"/>
        <v>0</v>
      </c>
      <c r="DE33" s="76">
        <v>15</v>
      </c>
      <c r="DF33" s="42"/>
      <c r="DG33" s="69">
        <f t="shared" si="39"/>
        <v>0</v>
      </c>
      <c r="DH33" s="42"/>
      <c r="DI33" s="70">
        <f t="shared" si="40"/>
        <v>0</v>
      </c>
      <c r="DJ33" s="42"/>
      <c r="DK33" s="70">
        <f t="shared" si="41"/>
        <v>15</v>
      </c>
      <c r="DL33" s="42"/>
      <c r="DM33" s="71">
        <f t="shared" si="42"/>
        <v>75</v>
      </c>
      <c r="DN33" s="42"/>
      <c r="DO33" s="72" t="e">
        <f t="shared" si="43"/>
        <v>#DIV/0!</v>
      </c>
      <c r="DP33" s="42"/>
      <c r="DQ33" s="71">
        <f t="shared" si="44"/>
        <v>90</v>
      </c>
      <c r="DR33" s="42"/>
      <c r="DS33" s="69"/>
      <c r="DT33" s="42"/>
      <c r="DU33" s="71">
        <v>0</v>
      </c>
      <c r="DV33" s="42"/>
      <c r="DW33" s="73">
        <f t="shared" si="46"/>
        <v>0</v>
      </c>
      <c r="DX33" s="42"/>
      <c r="DY33" s="71">
        <f t="shared" si="47"/>
        <v>0</v>
      </c>
    </row>
    <row r="34" ht="12.45" customHeight="1" spans="1:129" x14ac:dyDescent="0.25">
      <c r="A34" s="77" t="s">
        <v>79</v>
      </c>
      <c r="B34" s="42"/>
      <c r="C34" s="75"/>
      <c r="D34" s="44"/>
      <c r="E34" s="78">
        <v>5</v>
      </c>
      <c r="F34" s="44"/>
      <c r="G34" s="61">
        <v>6</v>
      </c>
      <c r="I34" s="62"/>
      <c r="J34" s="63"/>
      <c r="K34" s="64"/>
      <c r="L34" s="3"/>
      <c r="M34" s="62"/>
      <c r="N34" s="3"/>
      <c r="O34" s="64"/>
      <c r="P34" s="3"/>
      <c r="Q34" s="62"/>
      <c r="R34" s="3"/>
      <c r="S34" s="64">
        <v>1</v>
      </c>
      <c r="T34" s="3"/>
      <c r="U34" s="62"/>
      <c r="V34" s="3"/>
      <c r="W34" s="64"/>
      <c r="X34" s="3"/>
      <c r="Y34" s="62"/>
      <c r="Z34" s="3"/>
      <c r="AA34" s="64"/>
      <c r="AB34" s="3"/>
      <c r="AC34" s="62"/>
      <c r="AD34" s="3"/>
      <c r="AE34" s="64"/>
      <c r="AF34" s="3"/>
      <c r="AG34" s="62"/>
      <c r="AH34" s="3"/>
      <c r="AI34" s="64"/>
      <c r="AJ34" s="3"/>
      <c r="AK34" s="62"/>
      <c r="AL34" s="3"/>
      <c r="AM34" s="64"/>
      <c r="AN34" s="3"/>
      <c r="AO34" s="62"/>
      <c r="AP34" s="3"/>
      <c r="AQ34" s="64"/>
      <c r="AR34" s="3"/>
      <c r="AS34" s="62"/>
      <c r="AT34" s="3"/>
      <c r="AU34" s="64"/>
      <c r="AW34" s="34">
        <f t="shared" ref="AW34:AW53" si="48">I34</f>
        <v>0</v>
      </c>
      <c r="AX34" s="65">
        <f t="shared" ref="AX34:AX53" si="49">AW34*G34</f>
        <v>0</v>
      </c>
      <c r="AY34" s="66"/>
      <c r="AZ34" s="31">
        <f t="shared" ref="AZ34:AZ53" si="50">K34</f>
        <v>0</v>
      </c>
      <c r="BA34" s="67">
        <f t="shared" ref="BA34:BA53" si="51">AZ34*G34</f>
        <v>0</v>
      </c>
      <c r="BB34" s="66"/>
      <c r="BC34" s="31">
        <f t="shared" ref="BC34:BC53" si="52">M34</f>
        <v>0</v>
      </c>
      <c r="BD34" s="65">
        <f t="shared" ref="BD34:BD53" si="53">BC34*G34</f>
        <v>0</v>
      </c>
      <c r="BE34" s="66"/>
      <c r="BF34" s="31">
        <f t="shared" ref="BF34:BF53" si="54">O34</f>
        <v>0</v>
      </c>
      <c r="BG34" s="67">
        <f t="shared" ref="BG34:BG53" si="55">BF34*G34</f>
        <v>0</v>
      </c>
      <c r="BH34" s="66"/>
      <c r="BI34" s="31">
        <f t="shared" ref="BI34:BI53" si="56">Q34</f>
        <v>0</v>
      </c>
      <c r="BJ34" s="65">
        <f t="shared" ref="BJ34:BJ53" si="57">BI34*G34</f>
        <v>0</v>
      </c>
      <c r="BK34" s="66"/>
      <c r="BL34" s="31">
        <f t="shared" ref="BL34:BL53" si="58">S34</f>
        <v>1</v>
      </c>
      <c r="BM34" s="67">
        <f t="shared" ref="BM34:BM53" si="59">BL34*G34</f>
        <v>6</v>
      </c>
      <c r="BN34" s="66"/>
      <c r="BO34" s="31">
        <f t="shared" ref="BO34:BO53" si="60">U34</f>
        <v>0</v>
      </c>
      <c r="BP34" s="65">
        <f t="shared" ref="BP34:BP53" si="61">BO34*G34</f>
        <v>0</v>
      </c>
      <c r="BQ34" s="66"/>
      <c r="BR34" s="31">
        <f t="shared" ref="BR34:BR53" si="62">W34</f>
        <v>0</v>
      </c>
      <c r="BS34" s="67">
        <f t="shared" ref="BS34:BS53" si="63">BR34*G34</f>
        <v>0</v>
      </c>
      <c r="BT34" s="66"/>
      <c r="BU34" s="31">
        <f t="shared" ref="BU34:BU53" si="64">Y34</f>
        <v>0</v>
      </c>
      <c r="BV34" s="65">
        <f t="shared" ref="BV34:BV53" si="65">BU34*G34</f>
        <v>0</v>
      </c>
      <c r="BW34" s="66"/>
      <c r="BX34" s="31">
        <f t="shared" ref="BX34:BX53" si="66">AA34</f>
        <v>0</v>
      </c>
      <c r="BY34" s="67">
        <f t="shared" ref="BY34:BY53" si="67">BX34*G34</f>
        <v>0</v>
      </c>
      <c r="BZ34" s="66"/>
      <c r="CA34" s="31">
        <f t="shared" ref="CA34:CA53" si="68">AC34</f>
        <v>0</v>
      </c>
      <c r="CB34" s="65">
        <f t="shared" ref="CB34:CB53" si="69">CA34*G34</f>
        <v>0</v>
      </c>
      <c r="CC34" s="66"/>
      <c r="CD34" s="31">
        <f t="shared" ref="CD34:CD53" si="70">AE34</f>
        <v>0</v>
      </c>
      <c r="CE34" s="67">
        <f t="shared" ref="CE34:CE53" si="71">CD34*G34</f>
        <v>0</v>
      </c>
      <c r="CF34" s="66"/>
      <c r="CG34" s="34">
        <f t="shared" ref="CG34:CG53" si="72">AG34</f>
        <v>0</v>
      </c>
      <c r="CH34" s="67">
        <f t="shared" si="45"/>
        <v>0</v>
      </c>
      <c r="CI34" s="66"/>
      <c r="CJ34" s="34">
        <f t="shared" ref="CJ34:CJ53" si="73">AI34</f>
        <v>0</v>
      </c>
      <c r="CK34" s="67">
        <f t="shared" ref="CK34:CK53" si="74">CJ34*G34</f>
        <v>0</v>
      </c>
      <c r="CL34" s="66"/>
      <c r="CM34" s="34">
        <f t="shared" ref="CM34:CM53" si="75">AK34</f>
        <v>0</v>
      </c>
      <c r="CN34" s="67">
        <f t="shared" ref="CN34:CN53" si="76">CM34*G34</f>
        <v>0</v>
      </c>
      <c r="CO34" s="66"/>
      <c r="CP34" s="34">
        <f t="shared" ref="CP34:CP53" si="77">AM34</f>
        <v>0</v>
      </c>
      <c r="CQ34" s="67">
        <f t="shared" ref="CQ34:CQ53" si="78">CP34*G34</f>
        <v>0</v>
      </c>
      <c r="CR34" s="66"/>
      <c r="CS34" s="34">
        <f t="shared" ref="CS34:CS53" si="79">AO34</f>
        <v>0</v>
      </c>
      <c r="CT34" s="65">
        <f t="shared" ref="CT34:CT53" si="80">CS34*G34</f>
        <v>0</v>
      </c>
      <c r="CU34" s="66"/>
      <c r="CV34" s="31">
        <f t="shared" ref="CV34:CV53" si="81">AQ34</f>
        <v>0</v>
      </c>
      <c r="CW34" s="67">
        <f t="shared" ref="CW34:CW53" si="82">CV34*G34</f>
        <v>0</v>
      </c>
      <c r="CX34" s="66"/>
      <c r="CY34" s="31">
        <f t="shared" ref="CY34:CY53" si="83">AS34</f>
        <v>0</v>
      </c>
      <c r="CZ34" s="65">
        <f t="shared" ref="CZ34:CZ53" si="84">CY34*G34</f>
        <v>0</v>
      </c>
      <c r="DA34" s="66"/>
      <c r="DB34" s="31">
        <f t="shared" ref="DB34:DB53" si="85">AU34</f>
        <v>0</v>
      </c>
      <c r="DC34" s="67">
        <f t="shared" ref="DC34:DC53" si="86">DB34*G34</f>
        <v>0</v>
      </c>
      <c r="DE34" s="76">
        <v>9</v>
      </c>
      <c r="DF34" s="42"/>
      <c r="DG34" s="69">
        <f t="shared" ref="DG34:DG53" si="87">C34</f>
        <v>0</v>
      </c>
      <c r="DH34" s="42"/>
      <c r="DI34" s="70">
        <f t="shared" ref="DI34:DI53" si="88">SUM(I34:AV34)</f>
        <v>1</v>
      </c>
      <c r="DJ34" s="42"/>
      <c r="DK34" s="70">
        <f t="shared" ref="DK34:DK53" si="89">DE34+DG34-DI34</f>
        <v>8</v>
      </c>
      <c r="DL34" s="42"/>
      <c r="DM34" s="71">
        <f t="shared" ref="DM34:DM53" si="90">E34*DK34</f>
        <v>40</v>
      </c>
      <c r="DN34" s="42"/>
      <c r="DO34" s="72">
        <f t="shared" ref="DO34:DO53" si="91">DK34/DI34</f>
        <v>8</v>
      </c>
      <c r="DP34" s="42"/>
      <c r="DQ34" s="71">
        <f t="shared" ref="DQ34:DQ53" si="92">G34*DK34</f>
        <v>48</v>
      </c>
      <c r="DR34" s="42"/>
      <c r="DS34" s="69"/>
      <c r="DT34" s="42"/>
      <c r="DU34" s="71">
        <v>0</v>
      </c>
      <c r="DV34" s="42"/>
      <c r="DW34" s="73">
        <f t="shared" si="46"/>
        <v>0</v>
      </c>
      <c r="DX34" s="42"/>
      <c r="DY34" s="71">
        <f t="shared" si="47"/>
        <v>0</v>
      </c>
    </row>
    <row r="35" ht="12.45" customHeight="1" spans="1:129" x14ac:dyDescent="0.25">
      <c r="A35" s="74" t="s">
        <v>80</v>
      </c>
      <c r="B35" s="42"/>
      <c r="C35" s="75"/>
      <c r="D35" s="44"/>
      <c r="E35" s="78">
        <v>5</v>
      </c>
      <c r="F35" s="44"/>
      <c r="G35" s="61">
        <v>6</v>
      </c>
      <c r="I35" s="62"/>
      <c r="J35" s="63"/>
      <c r="K35" s="64">
        <v>1</v>
      </c>
      <c r="L35" s="3"/>
      <c r="M35" s="62">
        <v>1</v>
      </c>
      <c r="N35" s="3"/>
      <c r="O35" s="64">
        <v>1</v>
      </c>
      <c r="P35" s="3"/>
      <c r="Q35" s="62"/>
      <c r="R35" s="3"/>
      <c r="S35" s="64"/>
      <c r="T35" s="3"/>
      <c r="U35" s="62">
        <v>1</v>
      </c>
      <c r="V35" s="3"/>
      <c r="W35" s="64"/>
      <c r="X35" s="3"/>
      <c r="Y35" s="62">
        <v>1</v>
      </c>
      <c r="Z35" s="3"/>
      <c r="AA35" s="64">
        <v>1</v>
      </c>
      <c r="AB35" s="3"/>
      <c r="AC35" s="62"/>
      <c r="AD35" s="3"/>
      <c r="AE35" s="64"/>
      <c r="AF35" s="3"/>
      <c r="AG35" s="62"/>
      <c r="AH35" s="3"/>
      <c r="AI35" s="64"/>
      <c r="AJ35" s="3"/>
      <c r="AK35" s="62"/>
      <c r="AL35" s="3"/>
      <c r="AM35" s="64"/>
      <c r="AN35" s="3"/>
      <c r="AO35" s="62"/>
      <c r="AP35" s="3"/>
      <c r="AQ35" s="64"/>
      <c r="AR35" s="3"/>
      <c r="AS35" s="62"/>
      <c r="AT35" s="3"/>
      <c r="AU35" s="64"/>
      <c r="AW35" s="34">
        <f t="shared" si="48"/>
        <v>0</v>
      </c>
      <c r="AX35" s="65">
        <f t="shared" si="49"/>
        <v>0</v>
      </c>
      <c r="AY35" s="66"/>
      <c r="AZ35" s="31">
        <f t="shared" si="50"/>
        <v>1</v>
      </c>
      <c r="BA35" s="67">
        <f t="shared" si="51"/>
        <v>6</v>
      </c>
      <c r="BB35" s="66"/>
      <c r="BC35" s="31">
        <f t="shared" si="52"/>
        <v>1</v>
      </c>
      <c r="BD35" s="65">
        <f t="shared" si="53"/>
        <v>6</v>
      </c>
      <c r="BE35" s="66"/>
      <c r="BF35" s="31">
        <f t="shared" si="54"/>
        <v>1</v>
      </c>
      <c r="BG35" s="67">
        <f t="shared" si="55"/>
        <v>6</v>
      </c>
      <c r="BH35" s="66"/>
      <c r="BI35" s="31">
        <f t="shared" si="56"/>
        <v>0</v>
      </c>
      <c r="BJ35" s="65">
        <f t="shared" si="57"/>
        <v>0</v>
      </c>
      <c r="BK35" s="66"/>
      <c r="BL35" s="31">
        <f t="shared" si="58"/>
        <v>0</v>
      </c>
      <c r="BM35" s="67">
        <f t="shared" si="59"/>
        <v>0</v>
      </c>
      <c r="BN35" s="66"/>
      <c r="BO35" s="31">
        <f t="shared" si="60"/>
        <v>1</v>
      </c>
      <c r="BP35" s="65">
        <f t="shared" si="61"/>
        <v>6</v>
      </c>
      <c r="BQ35" s="66"/>
      <c r="BR35" s="31">
        <f t="shared" si="62"/>
        <v>0</v>
      </c>
      <c r="BS35" s="67">
        <f t="shared" si="63"/>
        <v>0</v>
      </c>
      <c r="BT35" s="66"/>
      <c r="BU35" s="31">
        <f t="shared" si="64"/>
        <v>1</v>
      </c>
      <c r="BV35" s="65">
        <f t="shared" si="65"/>
        <v>6</v>
      </c>
      <c r="BW35" s="66"/>
      <c r="BX35" s="31">
        <f t="shared" si="66"/>
        <v>1</v>
      </c>
      <c r="BY35" s="67">
        <f t="shared" si="67"/>
        <v>6</v>
      </c>
      <c r="BZ35" s="66"/>
      <c r="CA35" s="31">
        <f t="shared" si="68"/>
        <v>0</v>
      </c>
      <c r="CB35" s="65">
        <f t="shared" si="69"/>
        <v>0</v>
      </c>
      <c r="CC35" s="66"/>
      <c r="CD35" s="31">
        <f t="shared" si="70"/>
        <v>0</v>
      </c>
      <c r="CE35" s="67">
        <f t="shared" si="71"/>
        <v>0</v>
      </c>
      <c r="CF35" s="66"/>
      <c r="CG35" s="34">
        <f t="shared" si="72"/>
        <v>0</v>
      </c>
      <c r="CH35" s="67">
        <f t="shared" ref="CH35:CH53" si="93">CG35*G35</f>
        <v>0</v>
      </c>
      <c r="CI35" s="66"/>
      <c r="CJ35" s="34">
        <f t="shared" si="73"/>
        <v>0</v>
      </c>
      <c r="CK35" s="67">
        <f t="shared" si="74"/>
        <v>0</v>
      </c>
      <c r="CL35" s="66"/>
      <c r="CM35" s="34">
        <f t="shared" si="75"/>
        <v>0</v>
      </c>
      <c r="CN35" s="67">
        <f t="shared" si="76"/>
        <v>0</v>
      </c>
      <c r="CO35" s="66"/>
      <c r="CP35" s="34">
        <f t="shared" si="77"/>
        <v>0</v>
      </c>
      <c r="CQ35" s="67">
        <f t="shared" si="78"/>
        <v>0</v>
      </c>
      <c r="CR35" s="66"/>
      <c r="CS35" s="34">
        <f t="shared" si="79"/>
        <v>0</v>
      </c>
      <c r="CT35" s="65">
        <f t="shared" si="80"/>
        <v>0</v>
      </c>
      <c r="CU35" s="66"/>
      <c r="CV35" s="31">
        <f t="shared" si="81"/>
        <v>0</v>
      </c>
      <c r="CW35" s="67">
        <f t="shared" si="82"/>
        <v>0</v>
      </c>
      <c r="CX35" s="66"/>
      <c r="CY35" s="31">
        <f t="shared" si="83"/>
        <v>0</v>
      </c>
      <c r="CZ35" s="65">
        <f t="shared" si="84"/>
        <v>0</v>
      </c>
      <c r="DA35" s="66"/>
      <c r="DB35" s="31">
        <f t="shared" si="85"/>
        <v>0</v>
      </c>
      <c r="DC35" s="67">
        <f t="shared" si="86"/>
        <v>0</v>
      </c>
      <c r="DE35" s="76">
        <v>16</v>
      </c>
      <c r="DF35" s="42"/>
      <c r="DG35" s="69">
        <f t="shared" si="87"/>
        <v>0</v>
      </c>
      <c r="DH35" s="42"/>
      <c r="DI35" s="70">
        <f t="shared" si="88"/>
        <v>6</v>
      </c>
      <c r="DJ35" s="42"/>
      <c r="DK35" s="70">
        <f t="shared" si="89"/>
        <v>10</v>
      </c>
      <c r="DL35" s="42"/>
      <c r="DM35" s="71">
        <f t="shared" si="90"/>
        <v>50</v>
      </c>
      <c r="DN35" s="42"/>
      <c r="DO35" s="72">
        <f t="shared" si="91"/>
        <v>1.6666666666666667</v>
      </c>
      <c r="DP35" s="42"/>
      <c r="DQ35" s="71">
        <f t="shared" si="92"/>
        <v>60</v>
      </c>
      <c r="DR35" s="42"/>
      <c r="DS35" s="69"/>
      <c r="DT35" s="42"/>
      <c r="DU35" s="71">
        <v>0</v>
      </c>
      <c r="DV35" s="42"/>
      <c r="DW35" s="73">
        <f t="shared" si="46"/>
        <v>0</v>
      </c>
      <c r="DX35" s="42"/>
      <c r="DY35" s="71">
        <f t="shared" si="47"/>
        <v>0</v>
      </c>
    </row>
    <row r="36" ht="12.45" customHeight="1" spans="1:129" x14ac:dyDescent="0.25">
      <c r="A36" s="77" t="s">
        <v>81</v>
      </c>
      <c r="B36" s="42"/>
      <c r="C36" s="75"/>
      <c r="D36" s="44"/>
      <c r="E36" s="78">
        <v>25</v>
      </c>
      <c r="F36" s="44"/>
      <c r="G36" s="61">
        <v>30</v>
      </c>
      <c r="I36" s="62"/>
      <c r="J36" s="63"/>
      <c r="K36" s="64"/>
      <c r="L36" s="3"/>
      <c r="M36" s="62"/>
      <c r="N36" s="3"/>
      <c r="O36" s="64"/>
      <c r="P36" s="3"/>
      <c r="Q36" s="62"/>
      <c r="R36" s="3"/>
      <c r="S36" s="64"/>
      <c r="T36" s="3"/>
      <c r="U36" s="62"/>
      <c r="V36" s="3"/>
      <c r="W36" s="64">
        <v>1</v>
      </c>
      <c r="X36" s="3"/>
      <c r="Y36" s="62"/>
      <c r="Z36" s="3"/>
      <c r="AA36" s="64"/>
      <c r="AB36" s="3"/>
      <c r="AC36" s="62"/>
      <c r="AD36" s="3"/>
      <c r="AE36" s="64"/>
      <c r="AF36" s="3"/>
      <c r="AG36" s="62"/>
      <c r="AH36" s="3"/>
      <c r="AI36" s="64"/>
      <c r="AJ36" s="3"/>
      <c r="AK36" s="62"/>
      <c r="AL36" s="3"/>
      <c r="AM36" s="64"/>
      <c r="AN36" s="3"/>
      <c r="AO36" s="62"/>
      <c r="AP36" s="3"/>
      <c r="AQ36" s="64"/>
      <c r="AR36" s="3"/>
      <c r="AS36" s="62"/>
      <c r="AT36" s="3"/>
      <c r="AU36" s="64"/>
      <c r="AW36" s="34">
        <f t="shared" si="48"/>
        <v>0</v>
      </c>
      <c r="AX36" s="65">
        <f t="shared" si="49"/>
        <v>0</v>
      </c>
      <c r="AY36" s="66"/>
      <c r="AZ36" s="31">
        <f t="shared" si="50"/>
        <v>0</v>
      </c>
      <c r="BA36" s="67">
        <f t="shared" si="51"/>
        <v>0</v>
      </c>
      <c r="BB36" s="66"/>
      <c r="BC36" s="31">
        <f t="shared" si="52"/>
        <v>0</v>
      </c>
      <c r="BD36" s="65">
        <f t="shared" si="53"/>
        <v>0</v>
      </c>
      <c r="BE36" s="66"/>
      <c r="BF36" s="31">
        <f t="shared" si="54"/>
        <v>0</v>
      </c>
      <c r="BG36" s="67">
        <f t="shared" si="55"/>
        <v>0</v>
      </c>
      <c r="BH36" s="66"/>
      <c r="BI36" s="31">
        <f t="shared" si="56"/>
        <v>0</v>
      </c>
      <c r="BJ36" s="65">
        <f t="shared" si="57"/>
        <v>0</v>
      </c>
      <c r="BK36" s="66"/>
      <c r="BL36" s="31">
        <f t="shared" si="58"/>
        <v>0</v>
      </c>
      <c r="BM36" s="67">
        <f t="shared" si="59"/>
        <v>0</v>
      </c>
      <c r="BN36" s="66"/>
      <c r="BO36" s="31">
        <f t="shared" si="60"/>
        <v>0</v>
      </c>
      <c r="BP36" s="65">
        <f t="shared" si="61"/>
        <v>0</v>
      </c>
      <c r="BQ36" s="66"/>
      <c r="BR36" s="31">
        <f t="shared" si="62"/>
        <v>1</v>
      </c>
      <c r="BS36" s="67">
        <f t="shared" si="63"/>
        <v>30</v>
      </c>
      <c r="BT36" s="66"/>
      <c r="BU36" s="31">
        <f t="shared" si="64"/>
        <v>0</v>
      </c>
      <c r="BV36" s="65">
        <f t="shared" si="65"/>
        <v>0</v>
      </c>
      <c r="BW36" s="66"/>
      <c r="BX36" s="31">
        <f t="shared" si="66"/>
        <v>0</v>
      </c>
      <c r="BY36" s="67">
        <f t="shared" si="67"/>
        <v>0</v>
      </c>
      <c r="BZ36" s="66"/>
      <c r="CA36" s="31">
        <f t="shared" si="68"/>
        <v>0</v>
      </c>
      <c r="CB36" s="65">
        <f t="shared" si="69"/>
        <v>0</v>
      </c>
      <c r="CC36" s="66"/>
      <c r="CD36" s="31">
        <f t="shared" si="70"/>
        <v>0</v>
      </c>
      <c r="CE36" s="67">
        <f t="shared" si="71"/>
        <v>0</v>
      </c>
      <c r="CF36" s="66"/>
      <c r="CG36" s="34">
        <f t="shared" si="72"/>
        <v>0</v>
      </c>
      <c r="CH36" s="67">
        <f t="shared" si="93"/>
        <v>0</v>
      </c>
      <c r="CI36" s="66"/>
      <c r="CJ36" s="34">
        <f t="shared" si="73"/>
        <v>0</v>
      </c>
      <c r="CK36" s="67">
        <f t="shared" si="74"/>
        <v>0</v>
      </c>
      <c r="CL36" s="66"/>
      <c r="CM36" s="34">
        <f t="shared" si="75"/>
        <v>0</v>
      </c>
      <c r="CN36" s="67">
        <f t="shared" si="76"/>
        <v>0</v>
      </c>
      <c r="CO36" s="66"/>
      <c r="CP36" s="34">
        <f t="shared" si="77"/>
        <v>0</v>
      </c>
      <c r="CQ36" s="67">
        <f t="shared" si="78"/>
        <v>0</v>
      </c>
      <c r="CR36" s="66"/>
      <c r="CS36" s="34">
        <f t="shared" si="79"/>
        <v>0</v>
      </c>
      <c r="CT36" s="65">
        <f t="shared" si="80"/>
        <v>0</v>
      </c>
      <c r="CU36" s="66"/>
      <c r="CV36" s="31">
        <f t="shared" si="81"/>
        <v>0</v>
      </c>
      <c r="CW36" s="67">
        <f t="shared" si="82"/>
        <v>0</v>
      </c>
      <c r="CX36" s="66"/>
      <c r="CY36" s="31">
        <f t="shared" si="83"/>
        <v>0</v>
      </c>
      <c r="CZ36" s="65">
        <f t="shared" si="84"/>
        <v>0</v>
      </c>
      <c r="DA36" s="66"/>
      <c r="DB36" s="31">
        <f t="shared" si="85"/>
        <v>0</v>
      </c>
      <c r="DC36" s="67">
        <f t="shared" si="86"/>
        <v>0</v>
      </c>
      <c r="DE36" s="76">
        <v>18</v>
      </c>
      <c r="DF36" s="42"/>
      <c r="DG36" s="69">
        <f t="shared" si="87"/>
        <v>0</v>
      </c>
      <c r="DH36" s="42"/>
      <c r="DI36" s="70">
        <f t="shared" si="88"/>
        <v>1</v>
      </c>
      <c r="DJ36" s="42"/>
      <c r="DK36" s="70">
        <f t="shared" si="89"/>
        <v>17</v>
      </c>
      <c r="DL36" s="42"/>
      <c r="DM36" s="71">
        <f t="shared" si="90"/>
        <v>425</v>
      </c>
      <c r="DN36" s="42"/>
      <c r="DO36" s="72">
        <f t="shared" si="91"/>
        <v>17</v>
      </c>
      <c r="DP36" s="42"/>
      <c r="DQ36" s="71">
        <f t="shared" si="92"/>
        <v>510</v>
      </c>
      <c r="DR36" s="42"/>
      <c r="DS36" s="69"/>
      <c r="DT36" s="42"/>
      <c r="DU36" s="71">
        <v>0</v>
      </c>
      <c r="DV36" s="42"/>
      <c r="DW36" s="73">
        <f t="shared" ref="DW36:DW53" si="94">DU36*1.2</f>
        <v>0</v>
      </c>
      <c r="DX36" s="42"/>
      <c r="DY36" s="71">
        <f t="shared" ref="DY36:DY53" si="95">DU36*DS36</f>
        <v>0</v>
      </c>
    </row>
    <row r="37" ht="12.45" customHeight="1" spans="1:129" x14ac:dyDescent="0.25">
      <c r="A37" s="79" t="s">
        <v>82</v>
      </c>
      <c r="B37" s="42"/>
      <c r="C37" s="75"/>
      <c r="D37" s="44"/>
      <c r="E37" s="78">
        <v>25</v>
      </c>
      <c r="F37" s="44"/>
      <c r="G37" s="61">
        <v>30</v>
      </c>
      <c r="I37" s="62"/>
      <c r="J37" s="63"/>
      <c r="K37" s="64">
        <v>1</v>
      </c>
      <c r="L37" s="3"/>
      <c r="M37" s="62">
        <v>1</v>
      </c>
      <c r="N37" s="3"/>
      <c r="O37" s="64"/>
      <c r="P37" s="3"/>
      <c r="Q37" s="62"/>
      <c r="R37" s="3"/>
      <c r="S37" s="64"/>
      <c r="T37" s="3"/>
      <c r="U37" s="62"/>
      <c r="V37" s="3"/>
      <c r="W37" s="64"/>
      <c r="X37" s="3"/>
      <c r="Y37" s="62"/>
      <c r="Z37" s="3"/>
      <c r="AA37" s="64"/>
      <c r="AB37" s="3"/>
      <c r="AC37" s="62"/>
      <c r="AD37" s="3"/>
      <c r="AE37" s="64"/>
      <c r="AF37" s="3"/>
      <c r="AG37" s="62"/>
      <c r="AH37" s="3"/>
      <c r="AI37" s="64"/>
      <c r="AJ37" s="3"/>
      <c r="AK37" s="62"/>
      <c r="AL37" s="3"/>
      <c r="AM37" s="64"/>
      <c r="AN37" s="3"/>
      <c r="AO37" s="62"/>
      <c r="AP37" s="3"/>
      <c r="AQ37" s="64"/>
      <c r="AR37" s="3"/>
      <c r="AS37" s="62"/>
      <c r="AT37" s="3"/>
      <c r="AU37" s="64"/>
      <c r="AW37" s="34">
        <f t="shared" si="48"/>
        <v>0</v>
      </c>
      <c r="AX37" s="65">
        <f t="shared" si="49"/>
        <v>0</v>
      </c>
      <c r="AY37" s="66"/>
      <c r="AZ37" s="31">
        <f t="shared" si="50"/>
        <v>1</v>
      </c>
      <c r="BA37" s="67">
        <f t="shared" si="51"/>
        <v>30</v>
      </c>
      <c r="BB37" s="66"/>
      <c r="BC37" s="31">
        <f t="shared" si="52"/>
        <v>1</v>
      </c>
      <c r="BD37" s="65">
        <f t="shared" si="53"/>
        <v>30</v>
      </c>
      <c r="BE37" s="66"/>
      <c r="BF37" s="31">
        <f t="shared" si="54"/>
        <v>0</v>
      </c>
      <c r="BG37" s="67">
        <f t="shared" si="55"/>
        <v>0</v>
      </c>
      <c r="BH37" s="66"/>
      <c r="BI37" s="31">
        <f t="shared" si="56"/>
        <v>0</v>
      </c>
      <c r="BJ37" s="65">
        <f t="shared" si="57"/>
        <v>0</v>
      </c>
      <c r="BK37" s="66"/>
      <c r="BL37" s="31">
        <f t="shared" si="58"/>
        <v>0</v>
      </c>
      <c r="BM37" s="67">
        <f t="shared" si="59"/>
        <v>0</v>
      </c>
      <c r="BN37" s="66"/>
      <c r="BO37" s="31">
        <f t="shared" si="60"/>
        <v>0</v>
      </c>
      <c r="BP37" s="65">
        <f t="shared" si="61"/>
        <v>0</v>
      </c>
      <c r="BQ37" s="66"/>
      <c r="BR37" s="31">
        <f t="shared" si="62"/>
        <v>0</v>
      </c>
      <c r="BS37" s="67">
        <f t="shared" si="63"/>
        <v>0</v>
      </c>
      <c r="BT37" s="66"/>
      <c r="BU37" s="31">
        <f t="shared" si="64"/>
        <v>0</v>
      </c>
      <c r="BV37" s="65">
        <f t="shared" si="65"/>
        <v>0</v>
      </c>
      <c r="BW37" s="66"/>
      <c r="BX37" s="31">
        <f t="shared" si="66"/>
        <v>0</v>
      </c>
      <c r="BY37" s="67">
        <f t="shared" si="67"/>
        <v>0</v>
      </c>
      <c r="BZ37" s="66"/>
      <c r="CA37" s="31">
        <f t="shared" si="68"/>
        <v>0</v>
      </c>
      <c r="CB37" s="65">
        <f t="shared" si="69"/>
        <v>0</v>
      </c>
      <c r="CC37" s="66"/>
      <c r="CD37" s="31">
        <f t="shared" si="70"/>
        <v>0</v>
      </c>
      <c r="CE37" s="67">
        <f t="shared" si="71"/>
        <v>0</v>
      </c>
      <c r="CF37" s="66"/>
      <c r="CG37" s="34">
        <f t="shared" si="72"/>
        <v>0</v>
      </c>
      <c r="CH37" s="67">
        <f t="shared" si="93"/>
        <v>0</v>
      </c>
      <c r="CI37" s="66"/>
      <c r="CJ37" s="34">
        <f t="shared" si="73"/>
        <v>0</v>
      </c>
      <c r="CK37" s="67">
        <f t="shared" si="74"/>
        <v>0</v>
      </c>
      <c r="CL37" s="66"/>
      <c r="CM37" s="34">
        <f t="shared" si="75"/>
        <v>0</v>
      </c>
      <c r="CN37" s="67">
        <f t="shared" si="76"/>
        <v>0</v>
      </c>
      <c r="CO37" s="66"/>
      <c r="CP37" s="34">
        <f t="shared" si="77"/>
        <v>0</v>
      </c>
      <c r="CQ37" s="67">
        <f t="shared" si="78"/>
        <v>0</v>
      </c>
      <c r="CR37" s="66"/>
      <c r="CS37" s="34">
        <f t="shared" si="79"/>
        <v>0</v>
      </c>
      <c r="CT37" s="65">
        <f t="shared" si="80"/>
        <v>0</v>
      </c>
      <c r="CU37" s="66"/>
      <c r="CV37" s="31">
        <f t="shared" si="81"/>
        <v>0</v>
      </c>
      <c r="CW37" s="67">
        <f t="shared" si="82"/>
        <v>0</v>
      </c>
      <c r="CX37" s="66"/>
      <c r="CY37" s="31">
        <f t="shared" si="83"/>
        <v>0</v>
      </c>
      <c r="CZ37" s="65">
        <f t="shared" si="84"/>
        <v>0</v>
      </c>
      <c r="DA37" s="66"/>
      <c r="DB37" s="31">
        <f t="shared" si="85"/>
        <v>0</v>
      </c>
      <c r="DC37" s="67">
        <f t="shared" si="86"/>
        <v>0</v>
      </c>
      <c r="DE37" s="76">
        <v>42</v>
      </c>
      <c r="DF37" s="42"/>
      <c r="DG37" s="69">
        <f t="shared" si="87"/>
        <v>0</v>
      </c>
      <c r="DH37" s="42"/>
      <c r="DI37" s="70">
        <f t="shared" si="88"/>
        <v>2</v>
      </c>
      <c r="DJ37" s="42"/>
      <c r="DK37" s="70">
        <f t="shared" si="89"/>
        <v>40</v>
      </c>
      <c r="DL37" s="42"/>
      <c r="DM37" s="71">
        <f t="shared" si="90"/>
        <v>1000</v>
      </c>
      <c r="DN37" s="42"/>
      <c r="DO37" s="72">
        <f t="shared" si="91"/>
        <v>20</v>
      </c>
      <c r="DP37" s="42"/>
      <c r="DQ37" s="71">
        <f t="shared" si="92"/>
        <v>1200</v>
      </c>
      <c r="DR37" s="42"/>
      <c r="DS37" s="69"/>
      <c r="DT37" s="42"/>
      <c r="DU37" s="71">
        <v>0</v>
      </c>
      <c r="DV37" s="42"/>
      <c r="DW37" s="73">
        <f t="shared" si="94"/>
        <v>0</v>
      </c>
      <c r="DX37" s="42"/>
      <c r="DY37" s="71">
        <f t="shared" si="95"/>
        <v>0</v>
      </c>
    </row>
    <row r="38" ht="12.45" customHeight="1" spans="1:129" x14ac:dyDescent="0.25">
      <c r="A38" s="77" t="s">
        <v>83</v>
      </c>
      <c r="B38" s="42"/>
      <c r="C38" s="75"/>
      <c r="D38" s="44"/>
      <c r="E38" s="78">
        <v>25</v>
      </c>
      <c r="F38" s="44"/>
      <c r="G38" s="61">
        <v>30</v>
      </c>
      <c r="I38" s="62"/>
      <c r="J38" s="63"/>
      <c r="K38" s="64"/>
      <c r="L38" s="3"/>
      <c r="M38" s="62"/>
      <c r="N38" s="3"/>
      <c r="O38" s="64"/>
      <c r="P38" s="3"/>
      <c r="Q38" s="62"/>
      <c r="R38" s="3"/>
      <c r="S38" s="64"/>
      <c r="T38" s="3"/>
      <c r="U38" s="62"/>
      <c r="V38" s="3"/>
      <c r="W38" s="64">
        <v>1</v>
      </c>
      <c r="X38" s="3"/>
      <c r="Y38" s="62">
        <v>1</v>
      </c>
      <c r="Z38" s="3"/>
      <c r="AA38" s="64"/>
      <c r="AB38" s="3"/>
      <c r="AC38" s="62"/>
      <c r="AD38" s="3"/>
      <c r="AE38" s="64"/>
      <c r="AF38" s="3"/>
      <c r="AG38" s="62"/>
      <c r="AH38" s="3"/>
      <c r="AI38" s="64"/>
      <c r="AJ38" s="3"/>
      <c r="AK38" s="62"/>
      <c r="AL38" s="3"/>
      <c r="AM38" s="64"/>
      <c r="AN38" s="3"/>
      <c r="AO38" s="62"/>
      <c r="AP38" s="3"/>
      <c r="AQ38" s="64"/>
      <c r="AR38" s="3"/>
      <c r="AS38" s="62"/>
      <c r="AT38" s="3"/>
      <c r="AU38" s="64"/>
      <c r="AW38" s="34">
        <f t="shared" si="48"/>
        <v>0</v>
      </c>
      <c r="AX38" s="65">
        <f t="shared" si="49"/>
        <v>0</v>
      </c>
      <c r="AY38" s="66"/>
      <c r="AZ38" s="31">
        <f t="shared" si="50"/>
        <v>0</v>
      </c>
      <c r="BA38" s="67">
        <f t="shared" si="51"/>
        <v>0</v>
      </c>
      <c r="BB38" s="66"/>
      <c r="BC38" s="31">
        <f t="shared" si="52"/>
        <v>0</v>
      </c>
      <c r="BD38" s="65">
        <f t="shared" si="53"/>
        <v>0</v>
      </c>
      <c r="BE38" s="66"/>
      <c r="BF38" s="31">
        <f t="shared" si="54"/>
        <v>0</v>
      </c>
      <c r="BG38" s="67">
        <f t="shared" si="55"/>
        <v>0</v>
      </c>
      <c r="BH38" s="66"/>
      <c r="BI38" s="31">
        <f t="shared" si="56"/>
        <v>0</v>
      </c>
      <c r="BJ38" s="65">
        <f t="shared" si="57"/>
        <v>0</v>
      </c>
      <c r="BK38" s="66"/>
      <c r="BL38" s="31">
        <f t="shared" si="58"/>
        <v>0</v>
      </c>
      <c r="BM38" s="67">
        <f t="shared" si="59"/>
        <v>0</v>
      </c>
      <c r="BN38" s="66"/>
      <c r="BO38" s="31">
        <f t="shared" si="60"/>
        <v>0</v>
      </c>
      <c r="BP38" s="65">
        <f t="shared" si="61"/>
        <v>0</v>
      </c>
      <c r="BQ38" s="66"/>
      <c r="BR38" s="31">
        <f t="shared" si="62"/>
        <v>1</v>
      </c>
      <c r="BS38" s="67">
        <f t="shared" si="63"/>
        <v>30</v>
      </c>
      <c r="BT38" s="66"/>
      <c r="BU38" s="31">
        <f t="shared" si="64"/>
        <v>1</v>
      </c>
      <c r="BV38" s="65">
        <f t="shared" si="65"/>
        <v>30</v>
      </c>
      <c r="BW38" s="66"/>
      <c r="BX38" s="31">
        <f t="shared" si="66"/>
        <v>0</v>
      </c>
      <c r="BY38" s="67">
        <f t="shared" si="67"/>
        <v>0</v>
      </c>
      <c r="BZ38" s="66"/>
      <c r="CA38" s="31">
        <f t="shared" si="68"/>
        <v>0</v>
      </c>
      <c r="CB38" s="65">
        <f t="shared" si="69"/>
        <v>0</v>
      </c>
      <c r="CC38" s="66"/>
      <c r="CD38" s="31">
        <f t="shared" si="70"/>
        <v>0</v>
      </c>
      <c r="CE38" s="67">
        <f t="shared" si="71"/>
        <v>0</v>
      </c>
      <c r="CF38" s="66"/>
      <c r="CG38" s="34">
        <f t="shared" si="72"/>
        <v>0</v>
      </c>
      <c r="CH38" s="67">
        <f t="shared" si="93"/>
        <v>0</v>
      </c>
      <c r="CI38" s="66"/>
      <c r="CJ38" s="34">
        <f t="shared" si="73"/>
        <v>0</v>
      </c>
      <c r="CK38" s="67">
        <f t="shared" si="74"/>
        <v>0</v>
      </c>
      <c r="CL38" s="66"/>
      <c r="CM38" s="34">
        <f t="shared" si="75"/>
        <v>0</v>
      </c>
      <c r="CN38" s="67">
        <f t="shared" si="76"/>
        <v>0</v>
      </c>
      <c r="CO38" s="66"/>
      <c r="CP38" s="34">
        <f t="shared" si="77"/>
        <v>0</v>
      </c>
      <c r="CQ38" s="67">
        <f t="shared" si="78"/>
        <v>0</v>
      </c>
      <c r="CR38" s="66"/>
      <c r="CS38" s="34">
        <f t="shared" si="79"/>
        <v>0</v>
      </c>
      <c r="CT38" s="65">
        <f t="shared" si="80"/>
        <v>0</v>
      </c>
      <c r="CU38" s="66"/>
      <c r="CV38" s="31">
        <f t="shared" si="81"/>
        <v>0</v>
      </c>
      <c r="CW38" s="67">
        <f t="shared" si="82"/>
        <v>0</v>
      </c>
      <c r="CX38" s="66"/>
      <c r="CY38" s="31">
        <f t="shared" si="83"/>
        <v>0</v>
      </c>
      <c r="CZ38" s="65">
        <f t="shared" si="84"/>
        <v>0</v>
      </c>
      <c r="DA38" s="66"/>
      <c r="DB38" s="31">
        <f t="shared" si="85"/>
        <v>0</v>
      </c>
      <c r="DC38" s="67">
        <f t="shared" si="86"/>
        <v>0</v>
      </c>
      <c r="DE38" s="76">
        <v>76</v>
      </c>
      <c r="DF38" s="42"/>
      <c r="DG38" s="69">
        <f t="shared" si="87"/>
        <v>0</v>
      </c>
      <c r="DH38" s="42"/>
      <c r="DI38" s="70">
        <f t="shared" si="88"/>
        <v>2</v>
      </c>
      <c r="DJ38" s="42"/>
      <c r="DK38" s="70">
        <f t="shared" si="89"/>
        <v>74</v>
      </c>
      <c r="DL38" s="42"/>
      <c r="DM38" s="71">
        <f t="shared" si="90"/>
        <v>1850</v>
      </c>
      <c r="DN38" s="42"/>
      <c r="DO38" s="72">
        <f t="shared" si="91"/>
        <v>37</v>
      </c>
      <c r="DP38" s="42"/>
      <c r="DQ38" s="71">
        <f t="shared" si="92"/>
        <v>2220</v>
      </c>
      <c r="DR38" s="42"/>
      <c r="DS38" s="69"/>
      <c r="DT38" s="42"/>
      <c r="DU38" s="71">
        <v>0</v>
      </c>
      <c r="DV38" s="42"/>
      <c r="DW38" s="73">
        <f t="shared" si="94"/>
        <v>0</v>
      </c>
      <c r="DX38" s="42"/>
      <c r="DY38" s="71">
        <f t="shared" si="95"/>
        <v>0</v>
      </c>
    </row>
    <row r="39" ht="12.45" customHeight="1" spans="1:129" x14ac:dyDescent="0.25">
      <c r="A39" s="74" t="s">
        <v>84</v>
      </c>
      <c r="B39" s="42"/>
      <c r="C39" s="75"/>
      <c r="D39" s="44"/>
      <c r="E39" s="78">
        <v>25</v>
      </c>
      <c r="F39" s="44"/>
      <c r="G39" s="61">
        <v>30</v>
      </c>
      <c r="I39" s="62"/>
      <c r="J39" s="63"/>
      <c r="K39" s="64"/>
      <c r="L39" s="3"/>
      <c r="M39" s="62">
        <v>1</v>
      </c>
      <c r="N39" s="3"/>
      <c r="O39" s="64"/>
      <c r="P39" s="3"/>
      <c r="Q39" s="62"/>
      <c r="R39" s="3"/>
      <c r="S39" s="64"/>
      <c r="T39" s="3"/>
      <c r="U39" s="62"/>
      <c r="V39" s="3"/>
      <c r="W39" s="64"/>
      <c r="X39" s="3"/>
      <c r="Y39" s="62">
        <v>1</v>
      </c>
      <c r="Z39" s="3"/>
      <c r="AA39" s="64"/>
      <c r="AB39" s="3"/>
      <c r="AC39" s="62"/>
      <c r="AD39" s="3"/>
      <c r="AE39" s="64"/>
      <c r="AF39" s="3"/>
      <c r="AG39" s="62"/>
      <c r="AH39" s="3"/>
      <c r="AI39" s="64"/>
      <c r="AJ39" s="3"/>
      <c r="AK39" s="62"/>
      <c r="AL39" s="3"/>
      <c r="AM39" s="64"/>
      <c r="AN39" s="3"/>
      <c r="AO39" s="62"/>
      <c r="AP39" s="3"/>
      <c r="AQ39" s="64"/>
      <c r="AR39" s="3"/>
      <c r="AS39" s="62"/>
      <c r="AT39" s="3"/>
      <c r="AU39" s="64"/>
      <c r="AW39" s="34">
        <f t="shared" si="48"/>
        <v>0</v>
      </c>
      <c r="AX39" s="65">
        <f t="shared" si="49"/>
        <v>0</v>
      </c>
      <c r="AY39" s="66"/>
      <c r="AZ39" s="31">
        <f t="shared" si="50"/>
        <v>0</v>
      </c>
      <c r="BA39" s="67">
        <f t="shared" si="51"/>
        <v>0</v>
      </c>
      <c r="BB39" s="66"/>
      <c r="BC39" s="31">
        <f t="shared" si="52"/>
        <v>1</v>
      </c>
      <c r="BD39" s="65">
        <f t="shared" si="53"/>
        <v>30</v>
      </c>
      <c r="BE39" s="66"/>
      <c r="BF39" s="31">
        <f t="shared" si="54"/>
        <v>0</v>
      </c>
      <c r="BG39" s="67">
        <f t="shared" si="55"/>
        <v>0</v>
      </c>
      <c r="BH39" s="66"/>
      <c r="BI39" s="31">
        <f t="shared" si="56"/>
        <v>0</v>
      </c>
      <c r="BJ39" s="65">
        <f t="shared" si="57"/>
        <v>0</v>
      </c>
      <c r="BK39" s="66"/>
      <c r="BL39" s="31">
        <f t="shared" si="58"/>
        <v>0</v>
      </c>
      <c r="BM39" s="67">
        <f t="shared" si="59"/>
        <v>0</v>
      </c>
      <c r="BN39" s="66"/>
      <c r="BO39" s="31">
        <f t="shared" si="60"/>
        <v>0</v>
      </c>
      <c r="BP39" s="65">
        <f t="shared" si="61"/>
        <v>0</v>
      </c>
      <c r="BQ39" s="66"/>
      <c r="BR39" s="31">
        <f t="shared" si="62"/>
        <v>0</v>
      </c>
      <c r="BS39" s="67">
        <f t="shared" si="63"/>
        <v>0</v>
      </c>
      <c r="BT39" s="66"/>
      <c r="BU39" s="31">
        <f t="shared" si="64"/>
        <v>1</v>
      </c>
      <c r="BV39" s="65">
        <f t="shared" si="65"/>
        <v>30</v>
      </c>
      <c r="BW39" s="66"/>
      <c r="BX39" s="31">
        <f t="shared" si="66"/>
        <v>0</v>
      </c>
      <c r="BY39" s="67">
        <f t="shared" si="67"/>
        <v>0</v>
      </c>
      <c r="BZ39" s="66"/>
      <c r="CA39" s="31">
        <f t="shared" si="68"/>
        <v>0</v>
      </c>
      <c r="CB39" s="65">
        <f t="shared" si="69"/>
        <v>0</v>
      </c>
      <c r="CC39" s="66"/>
      <c r="CD39" s="31">
        <f t="shared" si="70"/>
        <v>0</v>
      </c>
      <c r="CE39" s="67">
        <f t="shared" si="71"/>
        <v>0</v>
      </c>
      <c r="CF39" s="66"/>
      <c r="CG39" s="34">
        <f t="shared" si="72"/>
        <v>0</v>
      </c>
      <c r="CH39" s="67">
        <f t="shared" si="93"/>
        <v>0</v>
      </c>
      <c r="CI39" s="66"/>
      <c r="CJ39" s="34">
        <f t="shared" si="73"/>
        <v>0</v>
      </c>
      <c r="CK39" s="67">
        <f t="shared" si="74"/>
        <v>0</v>
      </c>
      <c r="CL39" s="66"/>
      <c r="CM39" s="34">
        <f t="shared" si="75"/>
        <v>0</v>
      </c>
      <c r="CN39" s="67">
        <f t="shared" si="76"/>
        <v>0</v>
      </c>
      <c r="CO39" s="66"/>
      <c r="CP39" s="34">
        <f t="shared" si="77"/>
        <v>0</v>
      </c>
      <c r="CQ39" s="67">
        <f t="shared" si="78"/>
        <v>0</v>
      </c>
      <c r="CR39" s="66"/>
      <c r="CS39" s="34">
        <f t="shared" si="79"/>
        <v>0</v>
      </c>
      <c r="CT39" s="65">
        <f t="shared" si="80"/>
        <v>0</v>
      </c>
      <c r="CU39" s="66"/>
      <c r="CV39" s="31">
        <f t="shared" si="81"/>
        <v>0</v>
      </c>
      <c r="CW39" s="67">
        <f t="shared" si="82"/>
        <v>0</v>
      </c>
      <c r="CX39" s="66"/>
      <c r="CY39" s="31">
        <f t="shared" si="83"/>
        <v>0</v>
      </c>
      <c r="CZ39" s="65">
        <f t="shared" si="84"/>
        <v>0</v>
      </c>
      <c r="DA39" s="66"/>
      <c r="DB39" s="31">
        <f t="shared" si="85"/>
        <v>0</v>
      </c>
      <c r="DC39" s="67">
        <f t="shared" si="86"/>
        <v>0</v>
      </c>
      <c r="DE39" s="76">
        <v>58</v>
      </c>
      <c r="DF39" s="42"/>
      <c r="DG39" s="69">
        <f t="shared" si="87"/>
        <v>0</v>
      </c>
      <c r="DH39" s="42"/>
      <c r="DI39" s="70">
        <f t="shared" si="88"/>
        <v>2</v>
      </c>
      <c r="DJ39" s="42"/>
      <c r="DK39" s="70">
        <f t="shared" si="89"/>
        <v>56</v>
      </c>
      <c r="DL39" s="42"/>
      <c r="DM39" s="71">
        <f t="shared" si="90"/>
        <v>1400</v>
      </c>
      <c r="DN39" s="42"/>
      <c r="DO39" s="72">
        <f t="shared" si="91"/>
        <v>28</v>
      </c>
      <c r="DP39" s="42"/>
      <c r="DQ39" s="71">
        <f t="shared" si="92"/>
        <v>1680</v>
      </c>
      <c r="DR39" s="42"/>
      <c r="DS39" s="69"/>
      <c r="DT39" s="42"/>
      <c r="DU39" s="71">
        <v>0</v>
      </c>
      <c r="DV39" s="42"/>
      <c r="DW39" s="73">
        <f t="shared" si="94"/>
        <v>0</v>
      </c>
      <c r="DX39" s="42"/>
      <c r="DY39" s="71">
        <f t="shared" si="95"/>
        <v>0</v>
      </c>
    </row>
    <row r="40" ht="12.45" customHeight="1" spans="1:129" s="6" customFormat="1" x14ac:dyDescent="0.25">
      <c r="A40" s="77" t="s">
        <v>85</v>
      </c>
      <c r="B40" s="42"/>
      <c r="C40" s="75"/>
      <c r="D40" s="44"/>
      <c r="E40" s="78">
        <v>25</v>
      </c>
      <c r="F40" s="44"/>
      <c r="G40" s="61">
        <v>30</v>
      </c>
      <c r="H40" s="2"/>
      <c r="I40" s="62"/>
      <c r="J40" s="63"/>
      <c r="K40" s="64">
        <v>1</v>
      </c>
      <c r="L40" s="3"/>
      <c r="M40" s="62"/>
      <c r="N40" s="3"/>
      <c r="O40" s="64"/>
      <c r="P40" s="3"/>
      <c r="Q40" s="62"/>
      <c r="R40" s="3"/>
      <c r="S40" s="64"/>
      <c r="T40" s="3"/>
      <c r="U40" s="62"/>
      <c r="V40" s="3"/>
      <c r="W40" s="64"/>
      <c r="X40" s="3"/>
      <c r="Y40" s="62"/>
      <c r="Z40" s="3"/>
      <c r="AA40" s="64"/>
      <c r="AB40" s="3"/>
      <c r="AC40" s="62"/>
      <c r="AD40" s="3"/>
      <c r="AE40" s="64"/>
      <c r="AF40" s="3"/>
      <c r="AG40" s="62"/>
      <c r="AH40" s="3"/>
      <c r="AI40" s="64"/>
      <c r="AJ40" s="3"/>
      <c r="AK40" s="62"/>
      <c r="AL40" s="3"/>
      <c r="AM40" s="64"/>
      <c r="AN40" s="3"/>
      <c r="AO40" s="62"/>
      <c r="AP40" s="3"/>
      <c r="AQ40" s="64"/>
      <c r="AR40" s="3"/>
      <c r="AS40" s="62"/>
      <c r="AT40" s="3"/>
      <c r="AU40" s="64"/>
      <c r="AV40" s="2"/>
      <c r="AW40" s="34">
        <f t="shared" si="48"/>
        <v>0</v>
      </c>
      <c r="AX40" s="65">
        <f t="shared" si="49"/>
        <v>0</v>
      </c>
      <c r="AY40" s="66"/>
      <c r="AZ40" s="31">
        <f t="shared" si="50"/>
        <v>1</v>
      </c>
      <c r="BA40" s="67">
        <f t="shared" si="51"/>
        <v>30</v>
      </c>
      <c r="BB40" s="66"/>
      <c r="BC40" s="31">
        <f t="shared" si="52"/>
        <v>0</v>
      </c>
      <c r="BD40" s="65">
        <f t="shared" si="53"/>
        <v>0</v>
      </c>
      <c r="BE40" s="66"/>
      <c r="BF40" s="31">
        <f t="shared" si="54"/>
        <v>0</v>
      </c>
      <c r="BG40" s="67">
        <f t="shared" si="55"/>
        <v>0</v>
      </c>
      <c r="BH40" s="66"/>
      <c r="BI40" s="31">
        <f t="shared" si="56"/>
        <v>0</v>
      </c>
      <c r="BJ40" s="65">
        <f t="shared" si="57"/>
        <v>0</v>
      </c>
      <c r="BK40" s="66"/>
      <c r="BL40" s="31">
        <f t="shared" si="58"/>
        <v>0</v>
      </c>
      <c r="BM40" s="67">
        <f t="shared" si="59"/>
        <v>0</v>
      </c>
      <c r="BN40" s="66"/>
      <c r="BO40" s="31">
        <f t="shared" si="60"/>
        <v>0</v>
      </c>
      <c r="BP40" s="65">
        <f t="shared" si="61"/>
        <v>0</v>
      </c>
      <c r="BQ40" s="66"/>
      <c r="BR40" s="31">
        <f t="shared" si="62"/>
        <v>0</v>
      </c>
      <c r="BS40" s="67">
        <f t="shared" si="63"/>
        <v>0</v>
      </c>
      <c r="BT40" s="66"/>
      <c r="BU40" s="31">
        <f t="shared" si="64"/>
        <v>0</v>
      </c>
      <c r="BV40" s="65">
        <f t="shared" si="65"/>
        <v>0</v>
      </c>
      <c r="BW40" s="66"/>
      <c r="BX40" s="31">
        <f t="shared" si="66"/>
        <v>0</v>
      </c>
      <c r="BY40" s="67">
        <f t="shared" si="67"/>
        <v>0</v>
      </c>
      <c r="BZ40" s="66"/>
      <c r="CA40" s="31">
        <f t="shared" si="68"/>
        <v>0</v>
      </c>
      <c r="CB40" s="65">
        <f t="shared" si="69"/>
        <v>0</v>
      </c>
      <c r="CC40" s="66"/>
      <c r="CD40" s="31">
        <f t="shared" si="70"/>
        <v>0</v>
      </c>
      <c r="CE40" s="67">
        <f t="shared" si="71"/>
        <v>0</v>
      </c>
      <c r="CF40" s="66"/>
      <c r="CG40" s="34">
        <f t="shared" si="72"/>
        <v>0</v>
      </c>
      <c r="CH40" s="67">
        <f t="shared" si="93"/>
        <v>0</v>
      </c>
      <c r="CI40" s="66"/>
      <c r="CJ40" s="34">
        <f t="shared" si="73"/>
        <v>0</v>
      </c>
      <c r="CK40" s="67">
        <f t="shared" si="74"/>
        <v>0</v>
      </c>
      <c r="CL40" s="66"/>
      <c r="CM40" s="34">
        <f t="shared" si="75"/>
        <v>0</v>
      </c>
      <c r="CN40" s="67">
        <f t="shared" si="76"/>
        <v>0</v>
      </c>
      <c r="CO40" s="66"/>
      <c r="CP40" s="34">
        <f t="shared" si="77"/>
        <v>0</v>
      </c>
      <c r="CQ40" s="67">
        <f t="shared" si="78"/>
        <v>0</v>
      </c>
      <c r="CR40" s="66"/>
      <c r="CS40" s="34">
        <f t="shared" si="79"/>
        <v>0</v>
      </c>
      <c r="CT40" s="65">
        <f t="shared" si="80"/>
        <v>0</v>
      </c>
      <c r="CU40" s="66"/>
      <c r="CV40" s="31">
        <f t="shared" si="81"/>
        <v>0</v>
      </c>
      <c r="CW40" s="67">
        <f t="shared" si="82"/>
        <v>0</v>
      </c>
      <c r="CX40" s="66"/>
      <c r="CY40" s="31">
        <f t="shared" si="83"/>
        <v>0</v>
      </c>
      <c r="CZ40" s="65">
        <f t="shared" si="84"/>
        <v>0</v>
      </c>
      <c r="DA40" s="66"/>
      <c r="DB40" s="31">
        <f t="shared" si="85"/>
        <v>0</v>
      </c>
      <c r="DC40" s="67">
        <f t="shared" si="86"/>
        <v>0</v>
      </c>
      <c r="DD40" s="2"/>
      <c r="DE40" s="76">
        <v>65</v>
      </c>
      <c r="DF40" s="42"/>
      <c r="DG40" s="69">
        <f t="shared" si="87"/>
        <v>0</v>
      </c>
      <c r="DH40" s="42"/>
      <c r="DI40" s="70">
        <f t="shared" si="88"/>
        <v>1</v>
      </c>
      <c r="DJ40" s="42"/>
      <c r="DK40" s="70">
        <f t="shared" si="89"/>
        <v>64</v>
      </c>
      <c r="DL40" s="42"/>
      <c r="DM40" s="71">
        <f t="shared" si="90"/>
        <v>1600</v>
      </c>
      <c r="DN40" s="42"/>
      <c r="DO40" s="72">
        <f t="shared" si="91"/>
        <v>64</v>
      </c>
      <c r="DP40" s="42"/>
      <c r="DQ40" s="71">
        <f t="shared" si="92"/>
        <v>1920</v>
      </c>
      <c r="DR40" s="42"/>
      <c r="DS40" s="69"/>
      <c r="DT40" s="42"/>
      <c r="DU40" s="71">
        <v>0</v>
      </c>
      <c r="DV40" s="42"/>
      <c r="DW40" s="73">
        <f t="shared" si="94"/>
        <v>0</v>
      </c>
      <c r="DX40" s="42"/>
      <c r="DY40" s="71">
        <f t="shared" si="95"/>
        <v>0</v>
      </c>
    </row>
    <row r="41" ht="12.45" customHeight="1" spans="1:129" x14ac:dyDescent="0.25">
      <c r="A41" s="74" t="s">
        <v>86</v>
      </c>
      <c r="B41" s="42"/>
      <c r="C41" s="75"/>
      <c r="D41" s="44"/>
      <c r="E41" s="78">
        <v>25</v>
      </c>
      <c r="F41" s="44"/>
      <c r="G41" s="61">
        <v>30</v>
      </c>
      <c r="I41" s="62"/>
      <c r="J41" s="63"/>
      <c r="K41" s="64"/>
      <c r="L41" s="3"/>
      <c r="M41" s="62"/>
      <c r="N41" s="3"/>
      <c r="O41" s="64"/>
      <c r="P41" s="3"/>
      <c r="Q41" s="62"/>
      <c r="R41" s="3"/>
      <c r="S41" s="64"/>
      <c r="T41" s="3"/>
      <c r="U41" s="62"/>
      <c r="V41" s="3"/>
      <c r="W41" s="64">
        <v>1</v>
      </c>
      <c r="X41" s="3"/>
      <c r="Y41" s="62"/>
      <c r="Z41" s="3"/>
      <c r="AA41" s="64"/>
      <c r="AB41" s="3"/>
      <c r="AC41" s="62"/>
      <c r="AD41" s="3"/>
      <c r="AE41" s="64"/>
      <c r="AF41" s="3"/>
      <c r="AG41" s="62"/>
      <c r="AH41" s="3"/>
      <c r="AI41" s="64"/>
      <c r="AJ41" s="3"/>
      <c r="AK41" s="62"/>
      <c r="AL41" s="3"/>
      <c r="AM41" s="64"/>
      <c r="AN41" s="3"/>
      <c r="AO41" s="62"/>
      <c r="AP41" s="3"/>
      <c r="AQ41" s="64"/>
      <c r="AR41" s="3"/>
      <c r="AS41" s="62"/>
      <c r="AT41" s="3"/>
      <c r="AU41" s="64"/>
      <c r="AW41" s="34">
        <f t="shared" si="48"/>
        <v>0</v>
      </c>
      <c r="AX41" s="65">
        <f t="shared" si="49"/>
        <v>0</v>
      </c>
      <c r="AY41" s="66"/>
      <c r="AZ41" s="31">
        <f t="shared" si="50"/>
        <v>0</v>
      </c>
      <c r="BA41" s="67">
        <f t="shared" si="51"/>
        <v>0</v>
      </c>
      <c r="BB41" s="66"/>
      <c r="BC41" s="31">
        <f t="shared" si="52"/>
        <v>0</v>
      </c>
      <c r="BD41" s="65">
        <f t="shared" si="53"/>
        <v>0</v>
      </c>
      <c r="BE41" s="66"/>
      <c r="BF41" s="31">
        <f t="shared" si="54"/>
        <v>0</v>
      </c>
      <c r="BG41" s="67">
        <f t="shared" si="55"/>
        <v>0</v>
      </c>
      <c r="BH41" s="66"/>
      <c r="BI41" s="31">
        <f t="shared" si="56"/>
        <v>0</v>
      </c>
      <c r="BJ41" s="65">
        <f t="shared" si="57"/>
        <v>0</v>
      </c>
      <c r="BK41" s="66"/>
      <c r="BL41" s="31">
        <f t="shared" si="58"/>
        <v>0</v>
      </c>
      <c r="BM41" s="67">
        <f t="shared" si="59"/>
        <v>0</v>
      </c>
      <c r="BN41" s="66"/>
      <c r="BO41" s="31">
        <f t="shared" si="60"/>
        <v>0</v>
      </c>
      <c r="BP41" s="65">
        <f t="shared" si="61"/>
        <v>0</v>
      </c>
      <c r="BQ41" s="66"/>
      <c r="BR41" s="31">
        <f t="shared" si="62"/>
        <v>1</v>
      </c>
      <c r="BS41" s="67">
        <f t="shared" si="63"/>
        <v>30</v>
      </c>
      <c r="BT41" s="66"/>
      <c r="BU41" s="31">
        <f t="shared" si="64"/>
        <v>0</v>
      </c>
      <c r="BV41" s="65">
        <f t="shared" si="65"/>
        <v>0</v>
      </c>
      <c r="BW41" s="66"/>
      <c r="BX41" s="31">
        <f t="shared" si="66"/>
        <v>0</v>
      </c>
      <c r="BY41" s="67">
        <f t="shared" si="67"/>
        <v>0</v>
      </c>
      <c r="BZ41" s="66"/>
      <c r="CA41" s="31">
        <f t="shared" si="68"/>
        <v>0</v>
      </c>
      <c r="CB41" s="65">
        <f t="shared" si="69"/>
        <v>0</v>
      </c>
      <c r="CC41" s="66"/>
      <c r="CD41" s="31">
        <f t="shared" si="70"/>
        <v>0</v>
      </c>
      <c r="CE41" s="67">
        <f t="shared" si="71"/>
        <v>0</v>
      </c>
      <c r="CF41" s="66"/>
      <c r="CG41" s="34">
        <f t="shared" si="72"/>
        <v>0</v>
      </c>
      <c r="CH41" s="67">
        <f t="shared" si="93"/>
        <v>0</v>
      </c>
      <c r="CI41" s="66"/>
      <c r="CJ41" s="34">
        <f t="shared" si="73"/>
        <v>0</v>
      </c>
      <c r="CK41" s="67">
        <f t="shared" si="74"/>
        <v>0</v>
      </c>
      <c r="CL41" s="66"/>
      <c r="CM41" s="34">
        <f t="shared" si="75"/>
        <v>0</v>
      </c>
      <c r="CN41" s="67">
        <f t="shared" si="76"/>
        <v>0</v>
      </c>
      <c r="CO41" s="66"/>
      <c r="CP41" s="34">
        <f t="shared" si="77"/>
        <v>0</v>
      </c>
      <c r="CQ41" s="67">
        <f t="shared" si="78"/>
        <v>0</v>
      </c>
      <c r="CR41" s="66"/>
      <c r="CS41" s="34">
        <f t="shared" si="79"/>
        <v>0</v>
      </c>
      <c r="CT41" s="65">
        <f t="shared" si="80"/>
        <v>0</v>
      </c>
      <c r="CU41" s="66"/>
      <c r="CV41" s="31">
        <f t="shared" si="81"/>
        <v>0</v>
      </c>
      <c r="CW41" s="67">
        <f t="shared" si="82"/>
        <v>0</v>
      </c>
      <c r="CX41" s="66"/>
      <c r="CY41" s="31">
        <f t="shared" si="83"/>
        <v>0</v>
      </c>
      <c r="CZ41" s="65">
        <f t="shared" si="84"/>
        <v>0</v>
      </c>
      <c r="DA41" s="66"/>
      <c r="DB41" s="31">
        <f t="shared" si="85"/>
        <v>0</v>
      </c>
      <c r="DC41" s="67">
        <f t="shared" si="86"/>
        <v>0</v>
      </c>
      <c r="DE41" s="76">
        <v>48</v>
      </c>
      <c r="DF41" s="42"/>
      <c r="DG41" s="69">
        <f t="shared" si="87"/>
        <v>0</v>
      </c>
      <c r="DH41" s="42"/>
      <c r="DI41" s="70">
        <f t="shared" si="88"/>
        <v>1</v>
      </c>
      <c r="DJ41" s="42"/>
      <c r="DK41" s="70">
        <f t="shared" si="89"/>
        <v>47</v>
      </c>
      <c r="DL41" s="42"/>
      <c r="DM41" s="71">
        <f t="shared" si="90"/>
        <v>1175</v>
      </c>
      <c r="DN41" s="42"/>
      <c r="DO41" s="72">
        <f t="shared" si="91"/>
        <v>47</v>
      </c>
      <c r="DP41" s="42"/>
      <c r="DQ41" s="71">
        <f t="shared" si="92"/>
        <v>1410</v>
      </c>
      <c r="DR41" s="42"/>
      <c r="DS41" s="69"/>
      <c r="DT41" s="42"/>
      <c r="DU41" s="71">
        <v>0</v>
      </c>
      <c r="DV41" s="42"/>
      <c r="DW41" s="73">
        <f t="shared" si="94"/>
        <v>0</v>
      </c>
      <c r="DX41" s="42"/>
      <c r="DY41" s="71">
        <f t="shared" si="95"/>
        <v>0</v>
      </c>
    </row>
    <row r="42" ht="12.45" customHeight="1" spans="1:129" x14ac:dyDescent="0.25">
      <c r="A42" s="77" t="s">
        <v>87</v>
      </c>
      <c r="B42" s="42"/>
      <c r="C42" s="75"/>
      <c r="D42" s="44"/>
      <c r="E42" s="78">
        <v>25</v>
      </c>
      <c r="F42" s="44"/>
      <c r="G42" s="61">
        <v>30</v>
      </c>
      <c r="I42" s="62"/>
      <c r="J42" s="63"/>
      <c r="K42" s="64">
        <v>1</v>
      </c>
      <c r="L42" s="3"/>
      <c r="M42" s="62"/>
      <c r="N42" s="3"/>
      <c r="O42" s="64"/>
      <c r="P42" s="3"/>
      <c r="Q42" s="62"/>
      <c r="R42" s="3"/>
      <c r="S42" s="64"/>
      <c r="T42" s="3"/>
      <c r="U42" s="62"/>
      <c r="V42" s="3"/>
      <c r="W42" s="64">
        <v>1</v>
      </c>
      <c r="X42" s="3"/>
      <c r="Y42" s="62"/>
      <c r="Z42" s="3"/>
      <c r="AA42" s="64"/>
      <c r="AB42" s="3"/>
      <c r="AC42" s="62"/>
      <c r="AD42" s="3"/>
      <c r="AE42" s="64"/>
      <c r="AF42" s="3"/>
      <c r="AG42" s="62"/>
      <c r="AH42" s="3"/>
      <c r="AI42" s="64"/>
      <c r="AJ42" s="3"/>
      <c r="AK42" s="62"/>
      <c r="AL42" s="3"/>
      <c r="AM42" s="64"/>
      <c r="AN42" s="3"/>
      <c r="AO42" s="62"/>
      <c r="AP42" s="3"/>
      <c r="AQ42" s="64"/>
      <c r="AR42" s="3"/>
      <c r="AS42" s="62"/>
      <c r="AT42" s="3"/>
      <c r="AU42" s="64"/>
      <c r="AW42" s="34">
        <f t="shared" si="48"/>
        <v>0</v>
      </c>
      <c r="AX42" s="65">
        <f t="shared" si="49"/>
        <v>0</v>
      </c>
      <c r="AY42" s="66"/>
      <c r="AZ42" s="31">
        <f t="shared" si="50"/>
        <v>1</v>
      </c>
      <c r="BA42" s="67">
        <f t="shared" si="51"/>
        <v>30</v>
      </c>
      <c r="BB42" s="66"/>
      <c r="BC42" s="31">
        <f t="shared" si="52"/>
        <v>0</v>
      </c>
      <c r="BD42" s="65">
        <f t="shared" si="53"/>
        <v>0</v>
      </c>
      <c r="BE42" s="66"/>
      <c r="BF42" s="31">
        <f t="shared" si="54"/>
        <v>0</v>
      </c>
      <c r="BG42" s="67">
        <f t="shared" si="55"/>
        <v>0</v>
      </c>
      <c r="BH42" s="66"/>
      <c r="BI42" s="31">
        <f t="shared" si="56"/>
        <v>0</v>
      </c>
      <c r="BJ42" s="65">
        <f t="shared" si="57"/>
        <v>0</v>
      </c>
      <c r="BK42" s="66"/>
      <c r="BL42" s="31">
        <f t="shared" si="58"/>
        <v>0</v>
      </c>
      <c r="BM42" s="67">
        <f t="shared" si="59"/>
        <v>0</v>
      </c>
      <c r="BN42" s="66"/>
      <c r="BO42" s="31">
        <f t="shared" si="60"/>
        <v>0</v>
      </c>
      <c r="BP42" s="65">
        <f t="shared" si="61"/>
        <v>0</v>
      </c>
      <c r="BQ42" s="66"/>
      <c r="BR42" s="31">
        <f t="shared" si="62"/>
        <v>1</v>
      </c>
      <c r="BS42" s="67">
        <f t="shared" si="63"/>
        <v>30</v>
      </c>
      <c r="BT42" s="66"/>
      <c r="BU42" s="31">
        <f t="shared" si="64"/>
        <v>0</v>
      </c>
      <c r="BV42" s="65">
        <f t="shared" si="65"/>
        <v>0</v>
      </c>
      <c r="BW42" s="66"/>
      <c r="BX42" s="31">
        <f t="shared" si="66"/>
        <v>0</v>
      </c>
      <c r="BY42" s="67">
        <f t="shared" si="67"/>
        <v>0</v>
      </c>
      <c r="BZ42" s="66"/>
      <c r="CA42" s="31">
        <f t="shared" si="68"/>
        <v>0</v>
      </c>
      <c r="CB42" s="65">
        <f t="shared" si="69"/>
        <v>0</v>
      </c>
      <c r="CC42" s="66"/>
      <c r="CD42" s="31">
        <f t="shared" si="70"/>
        <v>0</v>
      </c>
      <c r="CE42" s="67">
        <f t="shared" si="71"/>
        <v>0</v>
      </c>
      <c r="CF42" s="66"/>
      <c r="CG42" s="34">
        <f t="shared" si="72"/>
        <v>0</v>
      </c>
      <c r="CH42" s="67">
        <f t="shared" si="93"/>
        <v>0</v>
      </c>
      <c r="CI42" s="66"/>
      <c r="CJ42" s="34">
        <f t="shared" si="73"/>
        <v>0</v>
      </c>
      <c r="CK42" s="67">
        <f t="shared" si="74"/>
        <v>0</v>
      </c>
      <c r="CL42" s="66"/>
      <c r="CM42" s="34">
        <f t="shared" si="75"/>
        <v>0</v>
      </c>
      <c r="CN42" s="67">
        <f t="shared" si="76"/>
        <v>0</v>
      </c>
      <c r="CO42" s="66"/>
      <c r="CP42" s="34">
        <f t="shared" si="77"/>
        <v>0</v>
      </c>
      <c r="CQ42" s="67">
        <f t="shared" si="78"/>
        <v>0</v>
      </c>
      <c r="CR42" s="66"/>
      <c r="CS42" s="34">
        <f t="shared" si="79"/>
        <v>0</v>
      </c>
      <c r="CT42" s="65">
        <f t="shared" si="80"/>
        <v>0</v>
      </c>
      <c r="CU42" s="66"/>
      <c r="CV42" s="31">
        <f t="shared" si="81"/>
        <v>0</v>
      </c>
      <c r="CW42" s="67">
        <f t="shared" si="82"/>
        <v>0</v>
      </c>
      <c r="CX42" s="66"/>
      <c r="CY42" s="31">
        <f t="shared" si="83"/>
        <v>0</v>
      </c>
      <c r="CZ42" s="65">
        <f t="shared" si="84"/>
        <v>0</v>
      </c>
      <c r="DA42" s="66"/>
      <c r="DB42" s="31">
        <f t="shared" si="85"/>
        <v>0</v>
      </c>
      <c r="DC42" s="67">
        <f t="shared" si="86"/>
        <v>0</v>
      </c>
      <c r="DE42" s="76">
        <v>16</v>
      </c>
      <c r="DF42" s="42"/>
      <c r="DG42" s="69">
        <f t="shared" si="87"/>
        <v>0</v>
      </c>
      <c r="DH42" s="42"/>
      <c r="DI42" s="70">
        <f t="shared" si="88"/>
        <v>2</v>
      </c>
      <c r="DJ42" s="42"/>
      <c r="DK42" s="70">
        <f t="shared" si="89"/>
        <v>14</v>
      </c>
      <c r="DL42" s="42"/>
      <c r="DM42" s="71">
        <f t="shared" si="90"/>
        <v>350</v>
      </c>
      <c r="DN42" s="42"/>
      <c r="DO42" s="72">
        <f t="shared" si="91"/>
        <v>7</v>
      </c>
      <c r="DP42" s="42"/>
      <c r="DQ42" s="71">
        <f t="shared" si="92"/>
        <v>420</v>
      </c>
      <c r="DR42" s="42"/>
      <c r="DS42" s="69"/>
      <c r="DT42" s="42"/>
      <c r="DU42" s="71">
        <v>0</v>
      </c>
      <c r="DV42" s="42"/>
      <c r="DW42" s="73">
        <f t="shared" si="94"/>
        <v>0</v>
      </c>
      <c r="DX42" s="42"/>
      <c r="DY42" s="71">
        <f t="shared" si="95"/>
        <v>0</v>
      </c>
    </row>
    <row r="43" ht="12.45" customHeight="1" spans="1:129" x14ac:dyDescent="0.25">
      <c r="A43" s="74" t="s">
        <v>88</v>
      </c>
      <c r="B43" s="42"/>
      <c r="C43" s="75"/>
      <c r="D43" s="44"/>
      <c r="E43" s="78">
        <v>25</v>
      </c>
      <c r="F43" s="44"/>
      <c r="G43" s="61">
        <v>30</v>
      </c>
      <c r="I43" s="62"/>
      <c r="J43" s="63"/>
      <c r="K43" s="64"/>
      <c r="L43" s="3"/>
      <c r="M43" s="62">
        <v>1</v>
      </c>
      <c r="N43" s="3"/>
      <c r="O43" s="64"/>
      <c r="P43" s="3"/>
      <c r="Q43" s="62"/>
      <c r="R43" s="3"/>
      <c r="S43" s="64"/>
      <c r="T43" s="3"/>
      <c r="U43" s="62">
        <v>1</v>
      </c>
      <c r="V43" s="3"/>
      <c r="W43" s="64"/>
      <c r="X43" s="3"/>
      <c r="Y43" s="62"/>
      <c r="Z43" s="3"/>
      <c r="AA43" s="64"/>
      <c r="AB43" s="3"/>
      <c r="AC43" s="62"/>
      <c r="AD43" s="3"/>
      <c r="AE43" s="64"/>
      <c r="AF43" s="3"/>
      <c r="AG43" s="62"/>
      <c r="AH43" s="3"/>
      <c r="AI43" s="64"/>
      <c r="AJ43" s="3"/>
      <c r="AK43" s="62"/>
      <c r="AL43" s="3"/>
      <c r="AM43" s="64"/>
      <c r="AN43" s="3"/>
      <c r="AO43" s="62"/>
      <c r="AP43" s="3"/>
      <c r="AQ43" s="64"/>
      <c r="AR43" s="3"/>
      <c r="AS43" s="62"/>
      <c r="AT43" s="3"/>
      <c r="AU43" s="64"/>
      <c r="AW43" s="34">
        <f t="shared" si="48"/>
        <v>0</v>
      </c>
      <c r="AX43" s="65">
        <f t="shared" si="49"/>
        <v>0</v>
      </c>
      <c r="AY43" s="66"/>
      <c r="AZ43" s="31">
        <f t="shared" si="50"/>
        <v>0</v>
      </c>
      <c r="BA43" s="67">
        <f t="shared" si="51"/>
        <v>0</v>
      </c>
      <c r="BB43" s="66"/>
      <c r="BC43" s="31">
        <f t="shared" si="52"/>
        <v>1</v>
      </c>
      <c r="BD43" s="65">
        <f t="shared" si="53"/>
        <v>30</v>
      </c>
      <c r="BE43" s="66"/>
      <c r="BF43" s="31">
        <f t="shared" si="54"/>
        <v>0</v>
      </c>
      <c r="BG43" s="67">
        <f t="shared" si="55"/>
        <v>0</v>
      </c>
      <c r="BH43" s="66"/>
      <c r="BI43" s="31">
        <f t="shared" si="56"/>
        <v>0</v>
      </c>
      <c r="BJ43" s="65">
        <f t="shared" si="57"/>
        <v>0</v>
      </c>
      <c r="BK43" s="66"/>
      <c r="BL43" s="31">
        <f t="shared" si="58"/>
        <v>0</v>
      </c>
      <c r="BM43" s="67">
        <f t="shared" si="59"/>
        <v>0</v>
      </c>
      <c r="BN43" s="66"/>
      <c r="BO43" s="31">
        <f t="shared" si="60"/>
        <v>1</v>
      </c>
      <c r="BP43" s="65">
        <f t="shared" si="61"/>
        <v>30</v>
      </c>
      <c r="BQ43" s="66"/>
      <c r="BR43" s="31">
        <f t="shared" si="62"/>
        <v>0</v>
      </c>
      <c r="BS43" s="67">
        <f t="shared" si="63"/>
        <v>0</v>
      </c>
      <c r="BT43" s="66"/>
      <c r="BU43" s="31">
        <f t="shared" si="64"/>
        <v>0</v>
      </c>
      <c r="BV43" s="65">
        <f t="shared" si="65"/>
        <v>0</v>
      </c>
      <c r="BW43" s="66"/>
      <c r="BX43" s="31">
        <f t="shared" si="66"/>
        <v>0</v>
      </c>
      <c r="BY43" s="67">
        <f t="shared" si="67"/>
        <v>0</v>
      </c>
      <c r="BZ43" s="66"/>
      <c r="CA43" s="31">
        <f t="shared" si="68"/>
        <v>0</v>
      </c>
      <c r="CB43" s="65">
        <f t="shared" si="69"/>
        <v>0</v>
      </c>
      <c r="CC43" s="66"/>
      <c r="CD43" s="31">
        <f t="shared" si="70"/>
        <v>0</v>
      </c>
      <c r="CE43" s="67">
        <f t="shared" si="71"/>
        <v>0</v>
      </c>
      <c r="CF43" s="66"/>
      <c r="CG43" s="34">
        <f t="shared" si="72"/>
        <v>0</v>
      </c>
      <c r="CH43" s="67">
        <f t="shared" si="93"/>
        <v>0</v>
      </c>
      <c r="CI43" s="66"/>
      <c r="CJ43" s="34">
        <f t="shared" si="73"/>
        <v>0</v>
      </c>
      <c r="CK43" s="67">
        <f t="shared" si="74"/>
        <v>0</v>
      </c>
      <c r="CL43" s="66"/>
      <c r="CM43" s="34">
        <f t="shared" si="75"/>
        <v>0</v>
      </c>
      <c r="CN43" s="67">
        <f t="shared" si="76"/>
        <v>0</v>
      </c>
      <c r="CO43" s="66"/>
      <c r="CP43" s="34">
        <f t="shared" si="77"/>
        <v>0</v>
      </c>
      <c r="CQ43" s="67">
        <f t="shared" si="78"/>
        <v>0</v>
      </c>
      <c r="CR43" s="66"/>
      <c r="CS43" s="34">
        <f t="shared" si="79"/>
        <v>0</v>
      </c>
      <c r="CT43" s="65">
        <f t="shared" si="80"/>
        <v>0</v>
      </c>
      <c r="CU43" s="66"/>
      <c r="CV43" s="31">
        <f t="shared" si="81"/>
        <v>0</v>
      </c>
      <c r="CW43" s="67">
        <f t="shared" si="82"/>
        <v>0</v>
      </c>
      <c r="CX43" s="66"/>
      <c r="CY43" s="31">
        <f t="shared" si="83"/>
        <v>0</v>
      </c>
      <c r="CZ43" s="65">
        <f t="shared" si="84"/>
        <v>0</v>
      </c>
      <c r="DA43" s="66"/>
      <c r="DB43" s="31">
        <f t="shared" si="85"/>
        <v>0</v>
      </c>
      <c r="DC43" s="67">
        <f t="shared" si="86"/>
        <v>0</v>
      </c>
      <c r="DE43" s="76">
        <v>58</v>
      </c>
      <c r="DF43" s="42"/>
      <c r="DG43" s="69">
        <f t="shared" si="87"/>
        <v>0</v>
      </c>
      <c r="DH43" s="42"/>
      <c r="DI43" s="70">
        <f t="shared" si="88"/>
        <v>2</v>
      </c>
      <c r="DJ43" s="42"/>
      <c r="DK43" s="70">
        <f t="shared" si="89"/>
        <v>56</v>
      </c>
      <c r="DL43" s="42"/>
      <c r="DM43" s="71">
        <f t="shared" si="90"/>
        <v>1400</v>
      </c>
      <c r="DN43" s="42"/>
      <c r="DO43" s="72">
        <f t="shared" si="91"/>
        <v>28</v>
      </c>
      <c r="DP43" s="42"/>
      <c r="DQ43" s="71">
        <f t="shared" si="92"/>
        <v>1680</v>
      </c>
      <c r="DR43" s="42"/>
      <c r="DS43" s="69"/>
      <c r="DT43" s="42"/>
      <c r="DU43" s="71">
        <v>0</v>
      </c>
      <c r="DV43" s="42"/>
      <c r="DW43" s="73">
        <f t="shared" si="94"/>
        <v>0</v>
      </c>
      <c r="DX43" s="42"/>
      <c r="DY43" s="71">
        <f t="shared" si="95"/>
        <v>0</v>
      </c>
    </row>
    <row r="44" ht="12.45" customHeight="1" spans="1:129" x14ac:dyDescent="0.25">
      <c r="A44" s="77" t="s">
        <v>89</v>
      </c>
      <c r="B44" s="42"/>
      <c r="C44" s="75"/>
      <c r="D44" s="44"/>
      <c r="E44" s="78">
        <v>35</v>
      </c>
      <c r="F44" s="44"/>
      <c r="G44" s="61">
        <v>42</v>
      </c>
      <c r="I44" s="62">
        <v>1</v>
      </c>
      <c r="J44" s="63"/>
      <c r="K44" s="64">
        <v>1</v>
      </c>
      <c r="L44" s="3"/>
      <c r="M44" s="62">
        <v>1</v>
      </c>
      <c r="N44" s="3"/>
      <c r="O44" s="64"/>
      <c r="P44" s="3"/>
      <c r="Q44" s="62">
        <v>1</v>
      </c>
      <c r="R44" s="3"/>
      <c r="S44" s="64"/>
      <c r="T44" s="3"/>
      <c r="U44" s="62">
        <v>1</v>
      </c>
      <c r="V44" s="3"/>
      <c r="W44" s="64">
        <v>1</v>
      </c>
      <c r="X44" s="3"/>
      <c r="Y44" s="62">
        <v>1</v>
      </c>
      <c r="Z44" s="3"/>
      <c r="AA44" s="64">
        <v>1</v>
      </c>
      <c r="AB44" s="3"/>
      <c r="AC44" s="62">
        <v>2</v>
      </c>
      <c r="AD44" s="3"/>
      <c r="AE44" s="64"/>
      <c r="AF44" s="3"/>
      <c r="AG44" s="62"/>
      <c r="AH44" s="3"/>
      <c r="AI44" s="64"/>
      <c r="AJ44" s="3"/>
      <c r="AK44" s="62"/>
      <c r="AL44" s="3"/>
      <c r="AM44" s="64"/>
      <c r="AN44" s="3"/>
      <c r="AO44" s="62"/>
      <c r="AP44" s="3"/>
      <c r="AQ44" s="64"/>
      <c r="AR44" s="3"/>
      <c r="AS44" s="62"/>
      <c r="AT44" s="3"/>
      <c r="AU44" s="64"/>
      <c r="AW44" s="34">
        <f t="shared" si="48"/>
        <v>1</v>
      </c>
      <c r="AX44" s="65">
        <f t="shared" si="49"/>
        <v>42</v>
      </c>
      <c r="AY44" s="66"/>
      <c r="AZ44" s="31">
        <f t="shared" si="50"/>
        <v>1</v>
      </c>
      <c r="BA44" s="67">
        <f t="shared" si="51"/>
        <v>42</v>
      </c>
      <c r="BB44" s="66"/>
      <c r="BC44" s="31">
        <f t="shared" si="52"/>
        <v>1</v>
      </c>
      <c r="BD44" s="65">
        <f t="shared" si="53"/>
        <v>42</v>
      </c>
      <c r="BE44" s="66"/>
      <c r="BF44" s="31">
        <f t="shared" si="54"/>
        <v>0</v>
      </c>
      <c r="BG44" s="67">
        <f t="shared" si="55"/>
        <v>0</v>
      </c>
      <c r="BH44" s="66"/>
      <c r="BI44" s="31">
        <f t="shared" si="56"/>
        <v>1</v>
      </c>
      <c r="BJ44" s="65">
        <f t="shared" si="57"/>
        <v>42</v>
      </c>
      <c r="BK44" s="66"/>
      <c r="BL44" s="31">
        <f t="shared" si="58"/>
        <v>0</v>
      </c>
      <c r="BM44" s="67">
        <f t="shared" si="59"/>
        <v>0</v>
      </c>
      <c r="BN44" s="66"/>
      <c r="BO44" s="31">
        <f t="shared" si="60"/>
        <v>1</v>
      </c>
      <c r="BP44" s="65">
        <f t="shared" si="61"/>
        <v>42</v>
      </c>
      <c r="BQ44" s="66"/>
      <c r="BR44" s="31">
        <f t="shared" si="62"/>
        <v>1</v>
      </c>
      <c r="BS44" s="67">
        <f t="shared" si="63"/>
        <v>42</v>
      </c>
      <c r="BT44" s="66"/>
      <c r="BU44" s="31">
        <f t="shared" si="64"/>
        <v>1</v>
      </c>
      <c r="BV44" s="65">
        <f t="shared" si="65"/>
        <v>42</v>
      </c>
      <c r="BW44" s="66"/>
      <c r="BX44" s="31">
        <f t="shared" si="66"/>
        <v>1</v>
      </c>
      <c r="BY44" s="67">
        <f t="shared" si="67"/>
        <v>42</v>
      </c>
      <c r="BZ44" s="66"/>
      <c r="CA44" s="31">
        <f t="shared" si="68"/>
        <v>2</v>
      </c>
      <c r="CB44" s="65">
        <f t="shared" si="69"/>
        <v>84</v>
      </c>
      <c r="CC44" s="66"/>
      <c r="CD44" s="31">
        <f t="shared" si="70"/>
        <v>0</v>
      </c>
      <c r="CE44" s="67">
        <f t="shared" si="71"/>
        <v>0</v>
      </c>
      <c r="CF44" s="66"/>
      <c r="CG44" s="34">
        <f t="shared" si="72"/>
        <v>0</v>
      </c>
      <c r="CH44" s="67">
        <f t="shared" si="93"/>
        <v>0</v>
      </c>
      <c r="CI44" s="66"/>
      <c r="CJ44" s="34">
        <f t="shared" si="73"/>
        <v>0</v>
      </c>
      <c r="CK44" s="67">
        <f t="shared" si="74"/>
        <v>0</v>
      </c>
      <c r="CL44" s="66"/>
      <c r="CM44" s="34">
        <f t="shared" si="75"/>
        <v>0</v>
      </c>
      <c r="CN44" s="67">
        <f t="shared" si="76"/>
        <v>0</v>
      </c>
      <c r="CO44" s="66"/>
      <c r="CP44" s="34">
        <f t="shared" si="77"/>
        <v>0</v>
      </c>
      <c r="CQ44" s="67">
        <f t="shared" si="78"/>
        <v>0</v>
      </c>
      <c r="CR44" s="66"/>
      <c r="CS44" s="34">
        <f t="shared" si="79"/>
        <v>0</v>
      </c>
      <c r="CT44" s="65">
        <f t="shared" si="80"/>
        <v>0</v>
      </c>
      <c r="CU44" s="66"/>
      <c r="CV44" s="31">
        <f t="shared" si="81"/>
        <v>0</v>
      </c>
      <c r="CW44" s="67">
        <f t="shared" si="82"/>
        <v>0</v>
      </c>
      <c r="CX44" s="66"/>
      <c r="CY44" s="31">
        <f t="shared" si="83"/>
        <v>0</v>
      </c>
      <c r="CZ44" s="65">
        <f t="shared" si="84"/>
        <v>0</v>
      </c>
      <c r="DA44" s="66"/>
      <c r="DB44" s="31">
        <f t="shared" si="85"/>
        <v>0</v>
      </c>
      <c r="DC44" s="67">
        <f t="shared" si="86"/>
        <v>0</v>
      </c>
      <c r="DE44" s="76">
        <v>102</v>
      </c>
      <c r="DF44" s="42"/>
      <c r="DG44" s="69">
        <f t="shared" si="87"/>
        <v>0</v>
      </c>
      <c r="DH44" s="42"/>
      <c r="DI44" s="70">
        <f t="shared" si="88"/>
        <v>10</v>
      </c>
      <c r="DJ44" s="42"/>
      <c r="DK44" s="70">
        <f t="shared" si="89"/>
        <v>92</v>
      </c>
      <c r="DL44" s="42"/>
      <c r="DM44" s="71">
        <f t="shared" si="90"/>
        <v>3220</v>
      </c>
      <c r="DN44" s="42"/>
      <c r="DO44" s="72">
        <f t="shared" si="91"/>
        <v>9.2</v>
      </c>
      <c r="DP44" s="42"/>
      <c r="DQ44" s="71">
        <f t="shared" si="92"/>
        <v>3864</v>
      </c>
      <c r="DR44" s="42"/>
      <c r="DS44" s="69"/>
      <c r="DT44" s="42"/>
      <c r="DU44" s="71">
        <v>0</v>
      </c>
      <c r="DV44" s="42"/>
      <c r="DW44" s="73">
        <f t="shared" si="94"/>
        <v>0</v>
      </c>
      <c r="DX44" s="42"/>
      <c r="DY44" s="71">
        <f t="shared" si="95"/>
        <v>0</v>
      </c>
    </row>
    <row r="45" ht="12.45" customHeight="1" spans="1:129" x14ac:dyDescent="0.25">
      <c r="A45" s="74" t="s">
        <v>90</v>
      </c>
      <c r="B45" s="42"/>
      <c r="C45" s="75"/>
      <c r="D45" s="44"/>
      <c r="E45" s="78">
        <v>21.5</v>
      </c>
      <c r="F45" s="44"/>
      <c r="G45" s="61">
        <v>25.8</v>
      </c>
      <c r="I45" s="62"/>
      <c r="J45" s="63"/>
      <c r="K45" s="64"/>
      <c r="L45" s="3"/>
      <c r="M45" s="62"/>
      <c r="N45" s="3"/>
      <c r="O45" s="64">
        <v>1</v>
      </c>
      <c r="P45" s="3"/>
      <c r="Q45" s="62"/>
      <c r="R45" s="3"/>
      <c r="S45" s="64"/>
      <c r="T45" s="3"/>
      <c r="U45" s="62"/>
      <c r="V45" s="3"/>
      <c r="W45" s="64"/>
      <c r="X45" s="3"/>
      <c r="Y45" s="62"/>
      <c r="Z45" s="3"/>
      <c r="AA45" s="64"/>
      <c r="AB45" s="3"/>
      <c r="AC45" s="62">
        <v>1</v>
      </c>
      <c r="AD45" s="3"/>
      <c r="AE45" s="64"/>
      <c r="AF45" s="3"/>
      <c r="AG45" s="62"/>
      <c r="AH45" s="3"/>
      <c r="AI45" s="64"/>
      <c r="AJ45" s="3"/>
      <c r="AK45" s="62"/>
      <c r="AL45" s="3"/>
      <c r="AM45" s="64"/>
      <c r="AN45" s="3"/>
      <c r="AO45" s="62"/>
      <c r="AP45" s="3"/>
      <c r="AQ45" s="64"/>
      <c r="AR45" s="3"/>
      <c r="AS45" s="62"/>
      <c r="AT45" s="3"/>
      <c r="AU45" s="64"/>
      <c r="AW45" s="34">
        <f t="shared" si="48"/>
        <v>0</v>
      </c>
      <c r="AX45" s="65">
        <f t="shared" si="49"/>
        <v>0</v>
      </c>
      <c r="AY45" s="66"/>
      <c r="AZ45" s="31">
        <f t="shared" si="50"/>
        <v>0</v>
      </c>
      <c r="BA45" s="67">
        <f t="shared" si="51"/>
        <v>0</v>
      </c>
      <c r="BB45" s="66"/>
      <c r="BC45" s="31">
        <f t="shared" si="52"/>
        <v>0</v>
      </c>
      <c r="BD45" s="65">
        <f t="shared" si="53"/>
        <v>0</v>
      </c>
      <c r="BE45" s="66"/>
      <c r="BF45" s="31">
        <f t="shared" si="54"/>
        <v>1</v>
      </c>
      <c r="BG45" s="67">
        <f t="shared" si="55"/>
        <v>25.8</v>
      </c>
      <c r="BH45" s="66"/>
      <c r="BI45" s="31">
        <f t="shared" si="56"/>
        <v>0</v>
      </c>
      <c r="BJ45" s="65">
        <f t="shared" si="57"/>
        <v>0</v>
      </c>
      <c r="BK45" s="66"/>
      <c r="BL45" s="31">
        <f t="shared" si="58"/>
        <v>0</v>
      </c>
      <c r="BM45" s="67">
        <f t="shared" si="59"/>
        <v>0</v>
      </c>
      <c r="BN45" s="66"/>
      <c r="BO45" s="31">
        <f t="shared" si="60"/>
        <v>0</v>
      </c>
      <c r="BP45" s="65">
        <f t="shared" si="61"/>
        <v>0</v>
      </c>
      <c r="BQ45" s="66"/>
      <c r="BR45" s="31">
        <f t="shared" si="62"/>
        <v>0</v>
      </c>
      <c r="BS45" s="67">
        <f t="shared" si="63"/>
        <v>0</v>
      </c>
      <c r="BT45" s="66"/>
      <c r="BU45" s="31">
        <f t="shared" si="64"/>
        <v>0</v>
      </c>
      <c r="BV45" s="65">
        <f t="shared" si="65"/>
        <v>0</v>
      </c>
      <c r="BW45" s="66"/>
      <c r="BX45" s="31">
        <f t="shared" si="66"/>
        <v>0</v>
      </c>
      <c r="BY45" s="67">
        <f t="shared" si="67"/>
        <v>0</v>
      </c>
      <c r="BZ45" s="66"/>
      <c r="CA45" s="31">
        <f t="shared" si="68"/>
        <v>1</v>
      </c>
      <c r="CB45" s="65">
        <f t="shared" si="69"/>
        <v>25.8</v>
      </c>
      <c r="CC45" s="66"/>
      <c r="CD45" s="31">
        <f t="shared" si="70"/>
        <v>0</v>
      </c>
      <c r="CE45" s="67">
        <f t="shared" si="71"/>
        <v>0</v>
      </c>
      <c r="CF45" s="66"/>
      <c r="CG45" s="34">
        <f t="shared" si="72"/>
        <v>0</v>
      </c>
      <c r="CH45" s="67">
        <f t="shared" si="93"/>
        <v>0</v>
      </c>
      <c r="CI45" s="66"/>
      <c r="CJ45" s="34">
        <f t="shared" si="73"/>
        <v>0</v>
      </c>
      <c r="CK45" s="67">
        <f t="shared" si="74"/>
        <v>0</v>
      </c>
      <c r="CL45" s="66"/>
      <c r="CM45" s="34">
        <f t="shared" si="75"/>
        <v>0</v>
      </c>
      <c r="CN45" s="67">
        <f t="shared" si="76"/>
        <v>0</v>
      </c>
      <c r="CO45" s="66"/>
      <c r="CP45" s="34">
        <f t="shared" si="77"/>
        <v>0</v>
      </c>
      <c r="CQ45" s="67">
        <f t="shared" si="78"/>
        <v>0</v>
      </c>
      <c r="CR45" s="66"/>
      <c r="CS45" s="34">
        <f t="shared" si="79"/>
        <v>0</v>
      </c>
      <c r="CT45" s="65">
        <f t="shared" si="80"/>
        <v>0</v>
      </c>
      <c r="CU45" s="66"/>
      <c r="CV45" s="31">
        <f t="shared" si="81"/>
        <v>0</v>
      </c>
      <c r="CW45" s="67">
        <f t="shared" si="82"/>
        <v>0</v>
      </c>
      <c r="CX45" s="66"/>
      <c r="CY45" s="31">
        <f t="shared" si="83"/>
        <v>0</v>
      </c>
      <c r="CZ45" s="65">
        <f t="shared" si="84"/>
        <v>0</v>
      </c>
      <c r="DA45" s="66"/>
      <c r="DB45" s="31">
        <f t="shared" si="85"/>
        <v>0</v>
      </c>
      <c r="DC45" s="67">
        <f t="shared" si="86"/>
        <v>0</v>
      </c>
      <c r="DE45" s="76">
        <v>27</v>
      </c>
      <c r="DF45" s="42"/>
      <c r="DG45" s="69">
        <f t="shared" si="87"/>
        <v>0</v>
      </c>
      <c r="DH45" s="42"/>
      <c r="DI45" s="70">
        <f t="shared" si="88"/>
        <v>2</v>
      </c>
      <c r="DJ45" s="42"/>
      <c r="DK45" s="70">
        <f t="shared" si="89"/>
        <v>25</v>
      </c>
      <c r="DL45" s="42"/>
      <c r="DM45" s="71">
        <f t="shared" si="90"/>
        <v>537.5</v>
      </c>
      <c r="DN45" s="42"/>
      <c r="DO45" s="72">
        <f t="shared" si="91"/>
        <v>12.5</v>
      </c>
      <c r="DP45" s="42"/>
      <c r="DQ45" s="71">
        <f t="shared" si="92"/>
        <v>645</v>
      </c>
      <c r="DR45" s="42"/>
      <c r="DS45" s="69"/>
      <c r="DT45" s="42"/>
      <c r="DU45" s="71">
        <v>0</v>
      </c>
      <c r="DV45" s="42"/>
      <c r="DW45" s="73">
        <f t="shared" si="94"/>
        <v>0</v>
      </c>
      <c r="DX45" s="42"/>
      <c r="DY45" s="71">
        <f t="shared" si="95"/>
        <v>0</v>
      </c>
    </row>
    <row r="46" ht="12.45" customHeight="1" spans="1:129" x14ac:dyDescent="0.25">
      <c r="A46" s="77" t="s">
        <v>91</v>
      </c>
      <c r="B46" s="42"/>
      <c r="C46" s="75"/>
      <c r="D46" s="44"/>
      <c r="E46" s="78">
        <v>21.5</v>
      </c>
      <c r="F46" s="44"/>
      <c r="G46" s="61">
        <v>25.8</v>
      </c>
      <c r="I46" s="62"/>
      <c r="J46" s="63"/>
      <c r="K46" s="64"/>
      <c r="L46" s="3"/>
      <c r="M46" s="62"/>
      <c r="N46" s="3"/>
      <c r="O46" s="64">
        <v>1</v>
      </c>
      <c r="P46" s="3"/>
      <c r="Q46" s="62"/>
      <c r="R46" s="3"/>
      <c r="S46" s="64"/>
      <c r="T46" s="3"/>
      <c r="U46" s="62"/>
      <c r="V46" s="3"/>
      <c r="W46" s="64"/>
      <c r="X46" s="3"/>
      <c r="Y46" s="62"/>
      <c r="Z46" s="3"/>
      <c r="AA46" s="64"/>
      <c r="AB46" s="3"/>
      <c r="AC46" s="62">
        <v>1</v>
      </c>
      <c r="AD46" s="3"/>
      <c r="AE46" s="64"/>
      <c r="AF46" s="3"/>
      <c r="AG46" s="62"/>
      <c r="AH46" s="3"/>
      <c r="AI46" s="64"/>
      <c r="AJ46" s="3"/>
      <c r="AK46" s="62"/>
      <c r="AL46" s="3"/>
      <c r="AM46" s="64"/>
      <c r="AN46" s="3"/>
      <c r="AO46" s="62"/>
      <c r="AP46" s="3"/>
      <c r="AQ46" s="64"/>
      <c r="AR46" s="3"/>
      <c r="AS46" s="62"/>
      <c r="AT46" s="3"/>
      <c r="AU46" s="64"/>
      <c r="AW46" s="34">
        <f t="shared" si="48"/>
        <v>0</v>
      </c>
      <c r="AX46" s="65">
        <f t="shared" si="49"/>
        <v>0</v>
      </c>
      <c r="AY46" s="66"/>
      <c r="AZ46" s="31">
        <f t="shared" si="50"/>
        <v>0</v>
      </c>
      <c r="BA46" s="67">
        <f t="shared" si="51"/>
        <v>0</v>
      </c>
      <c r="BB46" s="66"/>
      <c r="BC46" s="31">
        <f t="shared" si="52"/>
        <v>0</v>
      </c>
      <c r="BD46" s="65">
        <f t="shared" si="53"/>
        <v>0</v>
      </c>
      <c r="BE46" s="66"/>
      <c r="BF46" s="31">
        <f t="shared" si="54"/>
        <v>1</v>
      </c>
      <c r="BG46" s="67">
        <f t="shared" si="55"/>
        <v>25.8</v>
      </c>
      <c r="BH46" s="66"/>
      <c r="BI46" s="31">
        <f t="shared" si="56"/>
        <v>0</v>
      </c>
      <c r="BJ46" s="65">
        <f t="shared" si="57"/>
        <v>0</v>
      </c>
      <c r="BK46" s="66"/>
      <c r="BL46" s="31">
        <f t="shared" si="58"/>
        <v>0</v>
      </c>
      <c r="BM46" s="67">
        <f t="shared" si="59"/>
        <v>0</v>
      </c>
      <c r="BN46" s="66"/>
      <c r="BO46" s="31">
        <f t="shared" si="60"/>
        <v>0</v>
      </c>
      <c r="BP46" s="65">
        <f t="shared" si="61"/>
        <v>0</v>
      </c>
      <c r="BQ46" s="66"/>
      <c r="BR46" s="31">
        <f t="shared" si="62"/>
        <v>0</v>
      </c>
      <c r="BS46" s="67">
        <f t="shared" si="63"/>
        <v>0</v>
      </c>
      <c r="BT46" s="66"/>
      <c r="BU46" s="31">
        <f t="shared" si="64"/>
        <v>0</v>
      </c>
      <c r="BV46" s="65">
        <f t="shared" si="65"/>
        <v>0</v>
      </c>
      <c r="BW46" s="66"/>
      <c r="BX46" s="31">
        <f t="shared" si="66"/>
        <v>0</v>
      </c>
      <c r="BY46" s="67">
        <f t="shared" si="67"/>
        <v>0</v>
      </c>
      <c r="BZ46" s="66"/>
      <c r="CA46" s="31">
        <f t="shared" si="68"/>
        <v>1</v>
      </c>
      <c r="CB46" s="65">
        <f t="shared" si="69"/>
        <v>25.8</v>
      </c>
      <c r="CC46" s="66"/>
      <c r="CD46" s="31">
        <f t="shared" si="70"/>
        <v>0</v>
      </c>
      <c r="CE46" s="67">
        <f t="shared" si="71"/>
        <v>0</v>
      </c>
      <c r="CF46" s="66"/>
      <c r="CG46" s="34">
        <f t="shared" si="72"/>
        <v>0</v>
      </c>
      <c r="CH46" s="67">
        <f t="shared" si="93"/>
        <v>0</v>
      </c>
      <c r="CI46" s="66"/>
      <c r="CJ46" s="34">
        <f t="shared" si="73"/>
        <v>0</v>
      </c>
      <c r="CK46" s="67">
        <f t="shared" si="74"/>
        <v>0</v>
      </c>
      <c r="CL46" s="66"/>
      <c r="CM46" s="34">
        <f t="shared" si="75"/>
        <v>0</v>
      </c>
      <c r="CN46" s="67">
        <f t="shared" si="76"/>
        <v>0</v>
      </c>
      <c r="CO46" s="66"/>
      <c r="CP46" s="34">
        <f t="shared" si="77"/>
        <v>0</v>
      </c>
      <c r="CQ46" s="67">
        <f t="shared" si="78"/>
        <v>0</v>
      </c>
      <c r="CR46" s="66"/>
      <c r="CS46" s="34">
        <f t="shared" si="79"/>
        <v>0</v>
      </c>
      <c r="CT46" s="65">
        <f t="shared" si="80"/>
        <v>0</v>
      </c>
      <c r="CU46" s="66"/>
      <c r="CV46" s="31">
        <f t="shared" si="81"/>
        <v>0</v>
      </c>
      <c r="CW46" s="67">
        <f t="shared" si="82"/>
        <v>0</v>
      </c>
      <c r="CX46" s="66"/>
      <c r="CY46" s="31">
        <f t="shared" si="83"/>
        <v>0</v>
      </c>
      <c r="CZ46" s="65">
        <f t="shared" si="84"/>
        <v>0</v>
      </c>
      <c r="DA46" s="66"/>
      <c r="DB46" s="31">
        <f t="shared" si="85"/>
        <v>0</v>
      </c>
      <c r="DC46" s="67">
        <f t="shared" si="86"/>
        <v>0</v>
      </c>
      <c r="DE46" s="76">
        <v>83</v>
      </c>
      <c r="DF46" s="42"/>
      <c r="DG46" s="69">
        <f t="shared" si="87"/>
        <v>0</v>
      </c>
      <c r="DH46" s="42"/>
      <c r="DI46" s="70">
        <f t="shared" si="88"/>
        <v>2</v>
      </c>
      <c r="DJ46" s="42"/>
      <c r="DK46" s="70">
        <f t="shared" si="89"/>
        <v>81</v>
      </c>
      <c r="DL46" s="42"/>
      <c r="DM46" s="71">
        <f t="shared" si="90"/>
        <v>1741.5</v>
      </c>
      <c r="DN46" s="42"/>
      <c r="DO46" s="72">
        <f t="shared" si="91"/>
        <v>40.5</v>
      </c>
      <c r="DP46" s="42"/>
      <c r="DQ46" s="71">
        <f t="shared" si="92"/>
        <v>2089.8</v>
      </c>
      <c r="DR46" s="42"/>
      <c r="DS46" s="69"/>
      <c r="DT46" s="42"/>
      <c r="DU46" s="71">
        <v>0</v>
      </c>
      <c r="DV46" s="42"/>
      <c r="DW46" s="73">
        <f t="shared" si="94"/>
        <v>0</v>
      </c>
      <c r="DX46" s="42"/>
      <c r="DY46" s="71">
        <f t="shared" si="95"/>
        <v>0</v>
      </c>
    </row>
    <row r="47" ht="12.45" customHeight="1" spans="1:129" x14ac:dyDescent="0.25">
      <c r="A47" s="74" t="s">
        <v>92</v>
      </c>
      <c r="B47" s="42"/>
      <c r="C47" s="75"/>
      <c r="D47" s="44"/>
      <c r="E47" s="78">
        <v>21.5</v>
      </c>
      <c r="F47" s="44"/>
      <c r="G47" s="61">
        <v>25.8</v>
      </c>
      <c r="I47" s="62"/>
      <c r="J47" s="63"/>
      <c r="K47" s="64"/>
      <c r="L47" s="3"/>
      <c r="M47" s="62"/>
      <c r="N47" s="3"/>
      <c r="O47" s="64">
        <v>1</v>
      </c>
      <c r="P47" s="3"/>
      <c r="Q47" s="62"/>
      <c r="R47" s="3"/>
      <c r="S47" s="64">
        <v>1</v>
      </c>
      <c r="T47" s="3"/>
      <c r="U47" s="62"/>
      <c r="V47" s="3"/>
      <c r="W47" s="64"/>
      <c r="X47" s="3"/>
      <c r="Y47" s="62"/>
      <c r="Z47" s="3"/>
      <c r="AA47" s="64"/>
      <c r="AB47" s="3"/>
      <c r="AC47" s="62">
        <v>1</v>
      </c>
      <c r="AD47" s="3"/>
      <c r="AE47" s="64"/>
      <c r="AF47" s="3"/>
      <c r="AG47" s="62"/>
      <c r="AH47" s="3"/>
      <c r="AI47" s="64"/>
      <c r="AJ47" s="3"/>
      <c r="AK47" s="62"/>
      <c r="AL47" s="3"/>
      <c r="AM47" s="64"/>
      <c r="AN47" s="3"/>
      <c r="AO47" s="62"/>
      <c r="AP47" s="3"/>
      <c r="AQ47" s="64"/>
      <c r="AR47" s="3"/>
      <c r="AS47" s="62"/>
      <c r="AT47" s="3"/>
      <c r="AU47" s="64"/>
      <c r="AW47" s="34">
        <f t="shared" si="48"/>
        <v>0</v>
      </c>
      <c r="AX47" s="65">
        <f t="shared" si="49"/>
        <v>0</v>
      </c>
      <c r="AY47" s="66"/>
      <c r="AZ47" s="31">
        <f t="shared" si="50"/>
        <v>0</v>
      </c>
      <c r="BA47" s="67">
        <f t="shared" si="51"/>
        <v>0</v>
      </c>
      <c r="BB47" s="66"/>
      <c r="BC47" s="31">
        <f t="shared" si="52"/>
        <v>0</v>
      </c>
      <c r="BD47" s="65">
        <f t="shared" si="53"/>
        <v>0</v>
      </c>
      <c r="BE47" s="66"/>
      <c r="BF47" s="31">
        <f t="shared" si="54"/>
        <v>1</v>
      </c>
      <c r="BG47" s="67">
        <f t="shared" si="55"/>
        <v>25.8</v>
      </c>
      <c r="BH47" s="66"/>
      <c r="BI47" s="31">
        <f t="shared" si="56"/>
        <v>0</v>
      </c>
      <c r="BJ47" s="65">
        <f t="shared" si="57"/>
        <v>0</v>
      </c>
      <c r="BK47" s="66"/>
      <c r="BL47" s="31">
        <f t="shared" si="58"/>
        <v>1</v>
      </c>
      <c r="BM47" s="67">
        <f t="shared" si="59"/>
        <v>25.8</v>
      </c>
      <c r="BN47" s="66"/>
      <c r="BO47" s="31">
        <f t="shared" si="60"/>
        <v>0</v>
      </c>
      <c r="BP47" s="65">
        <f t="shared" si="61"/>
        <v>0</v>
      </c>
      <c r="BQ47" s="66"/>
      <c r="BR47" s="31">
        <f t="shared" si="62"/>
        <v>0</v>
      </c>
      <c r="BS47" s="67">
        <f t="shared" si="63"/>
        <v>0</v>
      </c>
      <c r="BT47" s="66"/>
      <c r="BU47" s="31">
        <f t="shared" si="64"/>
        <v>0</v>
      </c>
      <c r="BV47" s="65">
        <f t="shared" si="65"/>
        <v>0</v>
      </c>
      <c r="BW47" s="66"/>
      <c r="BX47" s="31">
        <f t="shared" si="66"/>
        <v>0</v>
      </c>
      <c r="BY47" s="67">
        <f t="shared" si="67"/>
        <v>0</v>
      </c>
      <c r="BZ47" s="66"/>
      <c r="CA47" s="31">
        <f t="shared" si="68"/>
        <v>1</v>
      </c>
      <c r="CB47" s="65">
        <f t="shared" si="69"/>
        <v>25.8</v>
      </c>
      <c r="CC47" s="66"/>
      <c r="CD47" s="31">
        <f t="shared" si="70"/>
        <v>0</v>
      </c>
      <c r="CE47" s="67">
        <f t="shared" si="71"/>
        <v>0</v>
      </c>
      <c r="CF47" s="66"/>
      <c r="CG47" s="34">
        <f t="shared" si="72"/>
        <v>0</v>
      </c>
      <c r="CH47" s="67">
        <f t="shared" si="93"/>
        <v>0</v>
      </c>
      <c r="CI47" s="66"/>
      <c r="CJ47" s="34">
        <f t="shared" si="73"/>
        <v>0</v>
      </c>
      <c r="CK47" s="67">
        <f t="shared" si="74"/>
        <v>0</v>
      </c>
      <c r="CL47" s="66"/>
      <c r="CM47" s="34">
        <f t="shared" si="75"/>
        <v>0</v>
      </c>
      <c r="CN47" s="67">
        <f t="shared" si="76"/>
        <v>0</v>
      </c>
      <c r="CO47" s="66"/>
      <c r="CP47" s="34">
        <f t="shared" si="77"/>
        <v>0</v>
      </c>
      <c r="CQ47" s="67">
        <f t="shared" si="78"/>
        <v>0</v>
      </c>
      <c r="CR47" s="66"/>
      <c r="CS47" s="34">
        <f t="shared" si="79"/>
        <v>0</v>
      </c>
      <c r="CT47" s="65">
        <f t="shared" si="80"/>
        <v>0</v>
      </c>
      <c r="CU47" s="66"/>
      <c r="CV47" s="31">
        <f t="shared" si="81"/>
        <v>0</v>
      </c>
      <c r="CW47" s="67">
        <f t="shared" si="82"/>
        <v>0</v>
      </c>
      <c r="CX47" s="66"/>
      <c r="CY47" s="31">
        <f t="shared" si="83"/>
        <v>0</v>
      </c>
      <c r="CZ47" s="65">
        <f t="shared" si="84"/>
        <v>0</v>
      </c>
      <c r="DA47" s="66"/>
      <c r="DB47" s="31">
        <f t="shared" si="85"/>
        <v>0</v>
      </c>
      <c r="DC47" s="67">
        <f t="shared" si="86"/>
        <v>0</v>
      </c>
      <c r="DE47" s="76">
        <v>25</v>
      </c>
      <c r="DF47" s="42"/>
      <c r="DG47" s="69">
        <f t="shared" si="87"/>
        <v>0</v>
      </c>
      <c r="DH47" s="42"/>
      <c r="DI47" s="70">
        <f t="shared" si="88"/>
        <v>3</v>
      </c>
      <c r="DJ47" s="42"/>
      <c r="DK47" s="70">
        <f t="shared" si="89"/>
        <v>22</v>
      </c>
      <c r="DL47" s="42"/>
      <c r="DM47" s="71">
        <f t="shared" si="90"/>
        <v>473</v>
      </c>
      <c r="DN47" s="42"/>
      <c r="DO47" s="72">
        <f t="shared" si="91"/>
        <v>7.333333333333333</v>
      </c>
      <c r="DP47" s="42"/>
      <c r="DQ47" s="71">
        <f t="shared" si="92"/>
        <v>567.6</v>
      </c>
      <c r="DR47" s="42"/>
      <c r="DS47" s="69"/>
      <c r="DT47" s="42"/>
      <c r="DU47" s="71">
        <v>0</v>
      </c>
      <c r="DV47" s="42"/>
      <c r="DW47" s="73">
        <f t="shared" si="94"/>
        <v>0</v>
      </c>
      <c r="DX47" s="42"/>
      <c r="DY47" s="71">
        <f t="shared" si="95"/>
        <v>0</v>
      </c>
    </row>
    <row r="48" ht="12.45" customHeight="1" spans="1:129" x14ac:dyDescent="0.25">
      <c r="A48" s="80" t="s">
        <v>93</v>
      </c>
      <c r="B48" s="42"/>
      <c r="C48" s="81"/>
      <c r="D48" s="44"/>
      <c r="E48" s="82">
        <v>29.07</v>
      </c>
      <c r="F48" s="44"/>
      <c r="G48" s="83">
        <v>34.88</v>
      </c>
      <c r="I48" s="62"/>
      <c r="J48" s="63"/>
      <c r="K48" s="64"/>
      <c r="L48" s="3"/>
      <c r="M48" s="62"/>
      <c r="N48" s="3"/>
      <c r="O48" s="64"/>
      <c r="P48" s="3"/>
      <c r="Q48" s="62"/>
      <c r="R48" s="3"/>
      <c r="S48" s="64"/>
      <c r="T48" s="3"/>
      <c r="U48" s="62"/>
      <c r="V48" s="3"/>
      <c r="W48" s="64"/>
      <c r="X48" s="3"/>
      <c r="Y48" s="62"/>
      <c r="Z48" s="3"/>
      <c r="AA48" s="64"/>
      <c r="AB48" s="3"/>
      <c r="AC48" s="62"/>
      <c r="AD48" s="3"/>
      <c r="AE48" s="64"/>
      <c r="AF48" s="3"/>
      <c r="AG48" s="62"/>
      <c r="AH48" s="3"/>
      <c r="AI48" s="64"/>
      <c r="AJ48" s="3"/>
      <c r="AK48" s="62"/>
      <c r="AL48" s="3"/>
      <c r="AM48" s="64"/>
      <c r="AN48" s="3"/>
      <c r="AO48" s="62">
        <v>4</v>
      </c>
      <c r="AP48" s="3"/>
      <c r="AQ48" s="64">
        <v>6</v>
      </c>
      <c r="AR48" s="3"/>
      <c r="AS48" s="62"/>
      <c r="AT48" s="3"/>
      <c r="AU48" s="64">
        <v>8</v>
      </c>
      <c r="AW48" s="34">
        <f t="shared" si="48"/>
        <v>0</v>
      </c>
      <c r="AX48" s="65">
        <f t="shared" si="49"/>
        <v>0</v>
      </c>
      <c r="AY48" s="66"/>
      <c r="AZ48" s="31">
        <f t="shared" si="50"/>
        <v>0</v>
      </c>
      <c r="BA48" s="67">
        <f t="shared" si="51"/>
        <v>0</v>
      </c>
      <c r="BB48" s="66"/>
      <c r="BC48" s="31">
        <f t="shared" si="52"/>
        <v>0</v>
      </c>
      <c r="BD48" s="65">
        <f t="shared" si="53"/>
        <v>0</v>
      </c>
      <c r="BE48" s="66"/>
      <c r="BF48" s="31">
        <f t="shared" si="54"/>
        <v>0</v>
      </c>
      <c r="BG48" s="67">
        <f t="shared" si="55"/>
        <v>0</v>
      </c>
      <c r="BH48" s="66"/>
      <c r="BI48" s="31">
        <f t="shared" si="56"/>
        <v>0</v>
      </c>
      <c r="BJ48" s="65">
        <f t="shared" si="57"/>
        <v>0</v>
      </c>
      <c r="BK48" s="66"/>
      <c r="BL48" s="31">
        <f t="shared" si="58"/>
        <v>0</v>
      </c>
      <c r="BM48" s="67">
        <f t="shared" si="59"/>
        <v>0</v>
      </c>
      <c r="BN48" s="66"/>
      <c r="BO48" s="31">
        <f t="shared" si="60"/>
        <v>0</v>
      </c>
      <c r="BP48" s="65">
        <f t="shared" si="61"/>
        <v>0</v>
      </c>
      <c r="BQ48" s="66"/>
      <c r="BR48" s="31">
        <f t="shared" si="62"/>
        <v>0</v>
      </c>
      <c r="BS48" s="67">
        <f t="shared" si="63"/>
        <v>0</v>
      </c>
      <c r="BT48" s="66"/>
      <c r="BU48" s="31">
        <f t="shared" si="64"/>
        <v>0</v>
      </c>
      <c r="BV48" s="65">
        <f t="shared" si="65"/>
        <v>0</v>
      </c>
      <c r="BW48" s="66"/>
      <c r="BX48" s="31">
        <f t="shared" si="66"/>
        <v>0</v>
      </c>
      <c r="BY48" s="67">
        <f t="shared" si="67"/>
        <v>0</v>
      </c>
      <c r="BZ48" s="66"/>
      <c r="CA48" s="31">
        <f t="shared" si="68"/>
        <v>0</v>
      </c>
      <c r="CB48" s="65">
        <f t="shared" si="69"/>
        <v>0</v>
      </c>
      <c r="CC48" s="66"/>
      <c r="CD48" s="31">
        <f t="shared" si="70"/>
        <v>0</v>
      </c>
      <c r="CE48" s="67">
        <f t="shared" si="71"/>
        <v>0</v>
      </c>
      <c r="CF48" s="66"/>
      <c r="CG48" s="34">
        <f t="shared" si="72"/>
        <v>0</v>
      </c>
      <c r="CH48" s="67">
        <f t="shared" si="93"/>
        <v>0</v>
      </c>
      <c r="CI48" s="66"/>
      <c r="CJ48" s="34">
        <f t="shared" si="73"/>
        <v>0</v>
      </c>
      <c r="CK48" s="67">
        <f t="shared" si="74"/>
        <v>0</v>
      </c>
      <c r="CL48" s="66"/>
      <c r="CM48" s="34">
        <f t="shared" si="75"/>
        <v>0</v>
      </c>
      <c r="CN48" s="67">
        <f t="shared" si="76"/>
        <v>0</v>
      </c>
      <c r="CO48" s="66"/>
      <c r="CP48" s="34">
        <f t="shared" si="77"/>
        <v>0</v>
      </c>
      <c r="CQ48" s="67">
        <f t="shared" si="78"/>
        <v>0</v>
      </c>
      <c r="CR48" s="66"/>
      <c r="CS48" s="34">
        <f t="shared" si="79"/>
        <v>4</v>
      </c>
      <c r="CT48" s="65">
        <f t="shared" si="80"/>
        <v>139.52</v>
      </c>
      <c r="CU48" s="66"/>
      <c r="CV48" s="31">
        <f t="shared" si="81"/>
        <v>6</v>
      </c>
      <c r="CW48" s="67">
        <f t="shared" si="82"/>
        <v>209.28000000000003</v>
      </c>
      <c r="CX48" s="66"/>
      <c r="CY48" s="31">
        <f t="shared" si="83"/>
        <v>0</v>
      </c>
      <c r="CZ48" s="65">
        <f t="shared" si="84"/>
        <v>0</v>
      </c>
      <c r="DA48" s="66"/>
      <c r="DB48" s="31">
        <f t="shared" si="85"/>
        <v>8</v>
      </c>
      <c r="DC48" s="67">
        <f t="shared" si="86"/>
        <v>279.04</v>
      </c>
      <c r="DE48" s="76">
        <v>529</v>
      </c>
      <c r="DF48" s="42"/>
      <c r="DG48" s="69">
        <f t="shared" si="87"/>
        <v>0</v>
      </c>
      <c r="DH48" s="42"/>
      <c r="DI48" s="70">
        <f t="shared" si="88"/>
        <v>18</v>
      </c>
      <c r="DJ48" s="42"/>
      <c r="DK48" s="70">
        <f t="shared" si="89"/>
        <v>511</v>
      </c>
      <c r="DL48" s="42"/>
      <c r="DM48" s="71">
        <f t="shared" si="90"/>
        <v>14854.77</v>
      </c>
      <c r="DN48" s="42"/>
      <c r="DO48" s="72">
        <f t="shared" si="91"/>
        <v>28.38888888888889</v>
      </c>
      <c r="DP48" s="42"/>
      <c r="DQ48" s="71">
        <f t="shared" si="92"/>
        <v>17823.68</v>
      </c>
      <c r="DR48" s="42"/>
      <c r="DS48" s="69"/>
      <c r="DT48" s="42"/>
      <c r="DU48" s="71">
        <v>0</v>
      </c>
      <c r="DV48" s="42"/>
      <c r="DW48" s="73">
        <f t="shared" si="94"/>
        <v>0</v>
      </c>
      <c r="DX48" s="42"/>
      <c r="DY48" s="71">
        <f t="shared" si="95"/>
        <v>0</v>
      </c>
    </row>
    <row r="49" ht="12.45" customHeight="1" spans="1:129" x14ac:dyDescent="0.25">
      <c r="A49" s="84" t="s">
        <v>94</v>
      </c>
      <c r="B49" s="42"/>
      <c r="C49" s="81"/>
      <c r="D49" s="44"/>
      <c r="E49" s="82">
        <v>29.07</v>
      </c>
      <c r="F49" s="44"/>
      <c r="G49" s="83">
        <v>34.88</v>
      </c>
      <c r="I49" s="62"/>
      <c r="J49" s="63"/>
      <c r="K49" s="64"/>
      <c r="L49" s="3"/>
      <c r="M49" s="62"/>
      <c r="N49" s="3"/>
      <c r="O49" s="64"/>
      <c r="P49" s="3"/>
      <c r="Q49" s="62"/>
      <c r="R49" s="3"/>
      <c r="S49" s="64"/>
      <c r="T49" s="3"/>
      <c r="U49" s="62"/>
      <c r="V49" s="3"/>
      <c r="W49" s="64"/>
      <c r="X49" s="3"/>
      <c r="Y49" s="62"/>
      <c r="Z49" s="3"/>
      <c r="AA49" s="64"/>
      <c r="AB49" s="3"/>
      <c r="AC49" s="62"/>
      <c r="AD49" s="3"/>
      <c r="AE49" s="64"/>
      <c r="AF49" s="3"/>
      <c r="AG49" s="62"/>
      <c r="AH49" s="3"/>
      <c r="AI49" s="64"/>
      <c r="AJ49" s="3"/>
      <c r="AK49" s="62"/>
      <c r="AL49" s="3"/>
      <c r="AM49" s="64"/>
      <c r="AN49" s="3"/>
      <c r="AO49" s="62">
        <v>5</v>
      </c>
      <c r="AP49" s="3"/>
      <c r="AQ49" s="64">
        <v>2</v>
      </c>
      <c r="AR49" s="3"/>
      <c r="AS49" s="62"/>
      <c r="AT49" s="3"/>
      <c r="AU49" s="64">
        <v>2</v>
      </c>
      <c r="AW49" s="34">
        <f t="shared" si="48"/>
        <v>0</v>
      </c>
      <c r="AX49" s="65">
        <f t="shared" si="49"/>
        <v>0</v>
      </c>
      <c r="AY49" s="66"/>
      <c r="AZ49" s="31">
        <f t="shared" si="50"/>
        <v>0</v>
      </c>
      <c r="BA49" s="67">
        <f t="shared" si="51"/>
        <v>0</v>
      </c>
      <c r="BB49" s="66"/>
      <c r="BC49" s="31">
        <f t="shared" si="52"/>
        <v>0</v>
      </c>
      <c r="BD49" s="65">
        <f t="shared" si="53"/>
        <v>0</v>
      </c>
      <c r="BE49" s="66"/>
      <c r="BF49" s="31">
        <f t="shared" si="54"/>
        <v>0</v>
      </c>
      <c r="BG49" s="67">
        <f t="shared" si="55"/>
        <v>0</v>
      </c>
      <c r="BH49" s="66"/>
      <c r="BI49" s="31">
        <f t="shared" si="56"/>
        <v>0</v>
      </c>
      <c r="BJ49" s="65">
        <f t="shared" si="57"/>
        <v>0</v>
      </c>
      <c r="BK49" s="66"/>
      <c r="BL49" s="31">
        <f t="shared" si="58"/>
        <v>0</v>
      </c>
      <c r="BM49" s="67">
        <f t="shared" si="59"/>
        <v>0</v>
      </c>
      <c r="BN49" s="66"/>
      <c r="BO49" s="31">
        <f t="shared" si="60"/>
        <v>0</v>
      </c>
      <c r="BP49" s="65">
        <f t="shared" si="61"/>
        <v>0</v>
      </c>
      <c r="BQ49" s="66"/>
      <c r="BR49" s="31">
        <f t="shared" si="62"/>
        <v>0</v>
      </c>
      <c r="BS49" s="67">
        <f t="shared" si="63"/>
        <v>0</v>
      </c>
      <c r="BT49" s="66"/>
      <c r="BU49" s="31">
        <f t="shared" si="64"/>
        <v>0</v>
      </c>
      <c r="BV49" s="65">
        <f t="shared" si="65"/>
        <v>0</v>
      </c>
      <c r="BW49" s="66"/>
      <c r="BX49" s="31">
        <f t="shared" si="66"/>
        <v>0</v>
      </c>
      <c r="BY49" s="67">
        <f t="shared" si="67"/>
        <v>0</v>
      </c>
      <c r="BZ49" s="66"/>
      <c r="CA49" s="31">
        <f t="shared" si="68"/>
        <v>0</v>
      </c>
      <c r="CB49" s="65">
        <f t="shared" si="69"/>
        <v>0</v>
      </c>
      <c r="CC49" s="66"/>
      <c r="CD49" s="31">
        <f t="shared" si="70"/>
        <v>0</v>
      </c>
      <c r="CE49" s="67">
        <f t="shared" si="71"/>
        <v>0</v>
      </c>
      <c r="CF49" s="66"/>
      <c r="CG49" s="34">
        <f t="shared" si="72"/>
        <v>0</v>
      </c>
      <c r="CH49" s="67">
        <f t="shared" si="93"/>
        <v>0</v>
      </c>
      <c r="CI49" s="66"/>
      <c r="CJ49" s="34">
        <f t="shared" si="73"/>
        <v>0</v>
      </c>
      <c r="CK49" s="67">
        <f t="shared" si="74"/>
        <v>0</v>
      </c>
      <c r="CL49" s="66"/>
      <c r="CM49" s="34">
        <f t="shared" si="75"/>
        <v>0</v>
      </c>
      <c r="CN49" s="67">
        <f t="shared" si="76"/>
        <v>0</v>
      </c>
      <c r="CO49" s="66"/>
      <c r="CP49" s="34">
        <f t="shared" si="77"/>
        <v>0</v>
      </c>
      <c r="CQ49" s="67">
        <f t="shared" si="78"/>
        <v>0</v>
      </c>
      <c r="CR49" s="66"/>
      <c r="CS49" s="34">
        <f t="shared" si="79"/>
        <v>5</v>
      </c>
      <c r="CT49" s="65">
        <f t="shared" si="80"/>
        <v>174.4</v>
      </c>
      <c r="CU49" s="66"/>
      <c r="CV49" s="31">
        <f t="shared" si="81"/>
        <v>2</v>
      </c>
      <c r="CW49" s="67">
        <f t="shared" si="82"/>
        <v>69.76</v>
      </c>
      <c r="CX49" s="66"/>
      <c r="CY49" s="31">
        <f t="shared" si="83"/>
        <v>0</v>
      </c>
      <c r="CZ49" s="65">
        <f t="shared" si="84"/>
        <v>0</v>
      </c>
      <c r="DA49" s="66"/>
      <c r="DB49" s="31">
        <f t="shared" si="85"/>
        <v>2</v>
      </c>
      <c r="DC49" s="67">
        <f t="shared" si="86"/>
        <v>69.76</v>
      </c>
      <c r="DE49" s="76">
        <v>59</v>
      </c>
      <c r="DF49" s="42"/>
      <c r="DG49" s="69">
        <f t="shared" si="87"/>
        <v>0</v>
      </c>
      <c r="DH49" s="42"/>
      <c r="DI49" s="70">
        <f t="shared" si="88"/>
        <v>9</v>
      </c>
      <c r="DJ49" s="42"/>
      <c r="DK49" s="70">
        <f t="shared" si="89"/>
        <v>50</v>
      </c>
      <c r="DL49" s="42"/>
      <c r="DM49" s="71">
        <f t="shared" si="90"/>
        <v>1453.5</v>
      </c>
      <c r="DN49" s="42"/>
      <c r="DO49" s="72">
        <f t="shared" si="91"/>
        <v>5.555555555555555</v>
      </c>
      <c r="DP49" s="42"/>
      <c r="DQ49" s="71">
        <f t="shared" si="92"/>
        <v>1744.0000000000002</v>
      </c>
      <c r="DR49" s="42"/>
      <c r="DS49" s="69"/>
      <c r="DT49" s="42"/>
      <c r="DU49" s="71">
        <v>0</v>
      </c>
      <c r="DV49" s="42"/>
      <c r="DW49" s="73">
        <f t="shared" si="94"/>
        <v>0</v>
      </c>
      <c r="DX49" s="42"/>
      <c r="DY49" s="71">
        <f t="shared" si="95"/>
        <v>0</v>
      </c>
    </row>
    <row r="50" ht="12.45" customHeight="1" spans="1:129" x14ac:dyDescent="0.25">
      <c r="A50" s="80" t="s">
        <v>95</v>
      </c>
      <c r="B50" s="42"/>
      <c r="C50" s="81"/>
      <c r="D50" s="44"/>
      <c r="E50" s="82">
        <v>23.55</v>
      </c>
      <c r="F50" s="44"/>
      <c r="G50" s="83">
        <v>28.26</v>
      </c>
      <c r="I50" s="62"/>
      <c r="J50" s="63"/>
      <c r="K50" s="64"/>
      <c r="L50" s="3"/>
      <c r="M50" s="62"/>
      <c r="N50" s="3"/>
      <c r="O50" s="64"/>
      <c r="P50" s="3"/>
      <c r="Q50" s="62"/>
      <c r="R50" s="3"/>
      <c r="S50" s="64"/>
      <c r="T50" s="3"/>
      <c r="U50" s="62"/>
      <c r="V50" s="3"/>
      <c r="W50" s="64"/>
      <c r="X50" s="3"/>
      <c r="Y50" s="62"/>
      <c r="Z50" s="3"/>
      <c r="AA50" s="64"/>
      <c r="AB50" s="3"/>
      <c r="AC50" s="62"/>
      <c r="AD50" s="3"/>
      <c r="AE50" s="64"/>
      <c r="AF50" s="3"/>
      <c r="AG50" s="62"/>
      <c r="AH50" s="3"/>
      <c r="AI50" s="64"/>
      <c r="AJ50" s="3"/>
      <c r="AK50" s="62"/>
      <c r="AL50" s="3"/>
      <c r="AM50" s="64"/>
      <c r="AN50" s="3"/>
      <c r="AO50" s="62">
        <v>3</v>
      </c>
      <c r="AP50" s="3"/>
      <c r="AQ50" s="64"/>
      <c r="AR50" s="3"/>
      <c r="AS50" s="62"/>
      <c r="AT50" s="3"/>
      <c r="AU50" s="64">
        <v>2</v>
      </c>
      <c r="AW50" s="34">
        <f t="shared" si="48"/>
        <v>0</v>
      </c>
      <c r="AX50" s="65">
        <f t="shared" si="49"/>
        <v>0</v>
      </c>
      <c r="AY50" s="66"/>
      <c r="AZ50" s="31">
        <f t="shared" si="50"/>
        <v>0</v>
      </c>
      <c r="BA50" s="67">
        <f t="shared" si="51"/>
        <v>0</v>
      </c>
      <c r="BB50" s="66"/>
      <c r="BC50" s="31">
        <f t="shared" si="52"/>
        <v>0</v>
      </c>
      <c r="BD50" s="65">
        <f t="shared" si="53"/>
        <v>0</v>
      </c>
      <c r="BE50" s="66"/>
      <c r="BF50" s="31">
        <f t="shared" si="54"/>
        <v>0</v>
      </c>
      <c r="BG50" s="67">
        <f t="shared" si="55"/>
        <v>0</v>
      </c>
      <c r="BH50" s="66"/>
      <c r="BI50" s="31">
        <f t="shared" si="56"/>
        <v>0</v>
      </c>
      <c r="BJ50" s="65">
        <f t="shared" si="57"/>
        <v>0</v>
      </c>
      <c r="BK50" s="66"/>
      <c r="BL50" s="31">
        <f t="shared" si="58"/>
        <v>0</v>
      </c>
      <c r="BM50" s="67">
        <f t="shared" si="59"/>
        <v>0</v>
      </c>
      <c r="BN50" s="66"/>
      <c r="BO50" s="31">
        <f t="shared" si="60"/>
        <v>0</v>
      </c>
      <c r="BP50" s="65">
        <f t="shared" si="61"/>
        <v>0</v>
      </c>
      <c r="BQ50" s="66"/>
      <c r="BR50" s="31">
        <f t="shared" si="62"/>
        <v>0</v>
      </c>
      <c r="BS50" s="67">
        <f t="shared" si="63"/>
        <v>0</v>
      </c>
      <c r="BT50" s="66"/>
      <c r="BU50" s="31">
        <f t="shared" si="64"/>
        <v>0</v>
      </c>
      <c r="BV50" s="65">
        <f t="shared" si="65"/>
        <v>0</v>
      </c>
      <c r="BW50" s="66"/>
      <c r="BX50" s="31">
        <f t="shared" si="66"/>
        <v>0</v>
      </c>
      <c r="BY50" s="67">
        <f t="shared" si="67"/>
        <v>0</v>
      </c>
      <c r="BZ50" s="66"/>
      <c r="CA50" s="31">
        <f t="shared" si="68"/>
        <v>0</v>
      </c>
      <c r="CB50" s="65">
        <f t="shared" si="69"/>
        <v>0</v>
      </c>
      <c r="CC50" s="66"/>
      <c r="CD50" s="31">
        <f t="shared" si="70"/>
        <v>0</v>
      </c>
      <c r="CE50" s="67">
        <f t="shared" si="71"/>
        <v>0</v>
      </c>
      <c r="CF50" s="66"/>
      <c r="CG50" s="34">
        <f t="shared" si="72"/>
        <v>0</v>
      </c>
      <c r="CH50" s="67">
        <f t="shared" si="93"/>
        <v>0</v>
      </c>
      <c r="CI50" s="66"/>
      <c r="CJ50" s="34">
        <f t="shared" si="73"/>
        <v>0</v>
      </c>
      <c r="CK50" s="67">
        <f t="shared" si="74"/>
        <v>0</v>
      </c>
      <c r="CL50" s="66"/>
      <c r="CM50" s="34">
        <f t="shared" si="75"/>
        <v>0</v>
      </c>
      <c r="CN50" s="67">
        <f t="shared" si="76"/>
        <v>0</v>
      </c>
      <c r="CO50" s="66"/>
      <c r="CP50" s="34">
        <f t="shared" si="77"/>
        <v>0</v>
      </c>
      <c r="CQ50" s="67">
        <f t="shared" si="78"/>
        <v>0</v>
      </c>
      <c r="CR50" s="66"/>
      <c r="CS50" s="34">
        <f t="shared" si="79"/>
        <v>3</v>
      </c>
      <c r="CT50" s="65">
        <f t="shared" si="80"/>
        <v>84.78</v>
      </c>
      <c r="CU50" s="66"/>
      <c r="CV50" s="31">
        <f t="shared" si="81"/>
        <v>0</v>
      </c>
      <c r="CW50" s="67">
        <f t="shared" si="82"/>
        <v>0</v>
      </c>
      <c r="CX50" s="66"/>
      <c r="CY50" s="31">
        <f t="shared" si="83"/>
        <v>0</v>
      </c>
      <c r="CZ50" s="65">
        <f t="shared" si="84"/>
        <v>0</v>
      </c>
      <c r="DA50" s="66"/>
      <c r="DB50" s="31">
        <f t="shared" si="85"/>
        <v>2</v>
      </c>
      <c r="DC50" s="67">
        <f t="shared" si="86"/>
        <v>56.52</v>
      </c>
      <c r="DE50" s="76">
        <v>166</v>
      </c>
      <c r="DF50" s="42"/>
      <c r="DG50" s="69">
        <f t="shared" si="87"/>
        <v>0</v>
      </c>
      <c r="DH50" s="42"/>
      <c r="DI50" s="70">
        <f t="shared" si="88"/>
        <v>5</v>
      </c>
      <c r="DJ50" s="42"/>
      <c r="DK50" s="70">
        <f t="shared" si="89"/>
        <v>161</v>
      </c>
      <c r="DL50" s="42"/>
      <c r="DM50" s="71">
        <f t="shared" si="90"/>
        <v>3791.55</v>
      </c>
      <c r="DN50" s="42"/>
      <c r="DO50" s="72">
        <f t="shared" si="91"/>
        <v>32.2</v>
      </c>
      <c r="DP50" s="42"/>
      <c r="DQ50" s="71">
        <f t="shared" si="92"/>
        <v>4549.860000000001</v>
      </c>
      <c r="DR50" s="42"/>
      <c r="DS50" s="69"/>
      <c r="DT50" s="42"/>
      <c r="DU50" s="71">
        <v>0</v>
      </c>
      <c r="DV50" s="42"/>
      <c r="DW50" s="73">
        <f t="shared" si="94"/>
        <v>0</v>
      </c>
      <c r="DX50" s="42"/>
      <c r="DY50" s="71">
        <f t="shared" si="95"/>
        <v>0</v>
      </c>
    </row>
    <row r="51" ht="12.45" customHeight="1" spans="1:129" x14ac:dyDescent="0.25">
      <c r="A51" s="74" t="s">
        <v>96</v>
      </c>
      <c r="B51" s="42"/>
      <c r="C51" s="75"/>
      <c r="D51" s="44"/>
      <c r="E51" s="78">
        <v>27.55</v>
      </c>
      <c r="F51" s="44"/>
      <c r="G51" s="61">
        <v>33.06</v>
      </c>
      <c r="I51" s="62"/>
      <c r="J51" s="63"/>
      <c r="K51" s="64"/>
      <c r="L51" s="3"/>
      <c r="M51" s="62"/>
      <c r="N51" s="3"/>
      <c r="O51" s="64"/>
      <c r="P51" s="3"/>
      <c r="Q51" s="62"/>
      <c r="R51" s="3"/>
      <c r="S51" s="64"/>
      <c r="T51" s="3"/>
      <c r="U51" s="62"/>
      <c r="V51" s="3"/>
      <c r="W51" s="64"/>
      <c r="X51" s="3"/>
      <c r="Y51" s="62"/>
      <c r="Z51" s="3"/>
      <c r="AA51" s="64"/>
      <c r="AB51" s="3"/>
      <c r="AC51" s="62"/>
      <c r="AD51" s="3"/>
      <c r="AE51" s="64"/>
      <c r="AF51" s="3"/>
      <c r="AG51" s="62"/>
      <c r="AH51" s="3"/>
      <c r="AI51" s="64"/>
      <c r="AJ51" s="3"/>
      <c r="AK51" s="62"/>
      <c r="AL51" s="3"/>
      <c r="AM51" s="64"/>
      <c r="AN51" s="3"/>
      <c r="AO51" s="62"/>
      <c r="AP51" s="3"/>
      <c r="AQ51" s="64"/>
      <c r="AR51" s="3"/>
      <c r="AS51" s="62"/>
      <c r="AT51" s="3"/>
      <c r="AU51" s="64"/>
      <c r="AW51" s="34">
        <f t="shared" si="48"/>
        <v>0</v>
      </c>
      <c r="AX51" s="65">
        <f t="shared" si="49"/>
        <v>0</v>
      </c>
      <c r="AY51" s="66"/>
      <c r="AZ51" s="31">
        <f t="shared" si="50"/>
        <v>0</v>
      </c>
      <c r="BA51" s="67">
        <f t="shared" si="51"/>
        <v>0</v>
      </c>
      <c r="BB51" s="66"/>
      <c r="BC51" s="31">
        <f t="shared" si="52"/>
        <v>0</v>
      </c>
      <c r="BD51" s="65">
        <f t="shared" si="53"/>
        <v>0</v>
      </c>
      <c r="BE51" s="66"/>
      <c r="BF51" s="31">
        <f t="shared" si="54"/>
        <v>0</v>
      </c>
      <c r="BG51" s="67">
        <f t="shared" si="55"/>
        <v>0</v>
      </c>
      <c r="BH51" s="66"/>
      <c r="BI51" s="31">
        <f t="shared" si="56"/>
        <v>0</v>
      </c>
      <c r="BJ51" s="65">
        <f t="shared" si="57"/>
        <v>0</v>
      </c>
      <c r="BK51" s="66"/>
      <c r="BL51" s="31">
        <f t="shared" si="58"/>
        <v>0</v>
      </c>
      <c r="BM51" s="67">
        <f t="shared" si="59"/>
        <v>0</v>
      </c>
      <c r="BN51" s="66"/>
      <c r="BO51" s="31">
        <f t="shared" si="60"/>
        <v>0</v>
      </c>
      <c r="BP51" s="65">
        <f t="shared" si="61"/>
        <v>0</v>
      </c>
      <c r="BQ51" s="66"/>
      <c r="BR51" s="31">
        <f t="shared" si="62"/>
        <v>0</v>
      </c>
      <c r="BS51" s="67">
        <f t="shared" si="63"/>
        <v>0</v>
      </c>
      <c r="BT51" s="66"/>
      <c r="BU51" s="31">
        <f t="shared" si="64"/>
        <v>0</v>
      </c>
      <c r="BV51" s="65">
        <f t="shared" si="65"/>
        <v>0</v>
      </c>
      <c r="BW51" s="66"/>
      <c r="BX51" s="31">
        <f t="shared" si="66"/>
        <v>0</v>
      </c>
      <c r="BY51" s="67">
        <f t="shared" si="67"/>
        <v>0</v>
      </c>
      <c r="BZ51" s="66"/>
      <c r="CA51" s="31">
        <f t="shared" si="68"/>
        <v>0</v>
      </c>
      <c r="CB51" s="65">
        <f t="shared" si="69"/>
        <v>0</v>
      </c>
      <c r="CC51" s="66"/>
      <c r="CD51" s="31">
        <f t="shared" si="70"/>
        <v>0</v>
      </c>
      <c r="CE51" s="67">
        <f t="shared" si="71"/>
        <v>0</v>
      </c>
      <c r="CF51" s="66"/>
      <c r="CG51" s="34">
        <f t="shared" si="72"/>
        <v>0</v>
      </c>
      <c r="CH51" s="67">
        <f t="shared" si="93"/>
        <v>0</v>
      </c>
      <c r="CI51" s="66"/>
      <c r="CJ51" s="34">
        <f t="shared" si="73"/>
        <v>0</v>
      </c>
      <c r="CK51" s="67">
        <f t="shared" si="74"/>
        <v>0</v>
      </c>
      <c r="CL51" s="66"/>
      <c r="CM51" s="34">
        <f t="shared" si="75"/>
        <v>0</v>
      </c>
      <c r="CN51" s="67">
        <f t="shared" si="76"/>
        <v>0</v>
      </c>
      <c r="CO51" s="66"/>
      <c r="CP51" s="34">
        <f t="shared" si="77"/>
        <v>0</v>
      </c>
      <c r="CQ51" s="67">
        <f t="shared" si="78"/>
        <v>0</v>
      </c>
      <c r="CR51" s="66"/>
      <c r="CS51" s="34">
        <f t="shared" si="79"/>
        <v>0</v>
      </c>
      <c r="CT51" s="65">
        <f t="shared" si="80"/>
        <v>0</v>
      </c>
      <c r="CU51" s="66"/>
      <c r="CV51" s="31">
        <f t="shared" si="81"/>
        <v>0</v>
      </c>
      <c r="CW51" s="67">
        <f t="shared" si="82"/>
        <v>0</v>
      </c>
      <c r="CX51" s="66"/>
      <c r="CY51" s="31">
        <f t="shared" si="83"/>
        <v>0</v>
      </c>
      <c r="CZ51" s="65">
        <f t="shared" si="84"/>
        <v>0</v>
      </c>
      <c r="DA51" s="66"/>
      <c r="DB51" s="31">
        <f t="shared" si="85"/>
        <v>0</v>
      </c>
      <c r="DC51" s="67">
        <f t="shared" si="86"/>
        <v>0</v>
      </c>
      <c r="DE51" s="76">
        <v>184</v>
      </c>
      <c r="DF51" s="42"/>
      <c r="DG51" s="69">
        <f t="shared" si="87"/>
        <v>0</v>
      </c>
      <c r="DH51" s="42"/>
      <c r="DI51" s="70">
        <f t="shared" si="88"/>
        <v>0</v>
      </c>
      <c r="DJ51" s="42"/>
      <c r="DK51" s="70">
        <f t="shared" si="89"/>
        <v>184</v>
      </c>
      <c r="DL51" s="42"/>
      <c r="DM51" s="71">
        <f t="shared" si="90"/>
        <v>5069.2</v>
      </c>
      <c r="DN51" s="42"/>
      <c r="DO51" s="72" t="e">
        <f t="shared" si="91"/>
        <v>#DIV/0!</v>
      </c>
      <c r="DP51" s="42"/>
      <c r="DQ51" s="71">
        <f t="shared" si="92"/>
        <v>6083.040000000001</v>
      </c>
      <c r="DR51" s="42"/>
      <c r="DS51" s="69"/>
      <c r="DT51" s="42"/>
      <c r="DU51" s="71">
        <v>0</v>
      </c>
      <c r="DV51" s="42"/>
      <c r="DW51" s="73">
        <f t="shared" si="94"/>
        <v>0</v>
      </c>
      <c r="DX51" s="42"/>
      <c r="DY51" s="71">
        <f t="shared" si="95"/>
        <v>0</v>
      </c>
    </row>
    <row r="52" ht="12.45" customHeight="1" spans="1:129" x14ac:dyDescent="0.25">
      <c r="A52" s="77" t="s">
        <v>97</v>
      </c>
      <c r="B52" s="42"/>
      <c r="C52" s="75"/>
      <c r="D52" s="44"/>
      <c r="E52" s="78">
        <v>20.46</v>
      </c>
      <c r="F52" s="44"/>
      <c r="G52" s="61">
        <v>24.55</v>
      </c>
      <c r="I52" s="62"/>
      <c r="J52" s="63"/>
      <c r="K52" s="64"/>
      <c r="L52" s="3"/>
      <c r="M52" s="62"/>
      <c r="N52" s="3"/>
      <c r="O52" s="64"/>
      <c r="P52" s="3"/>
      <c r="Q52" s="62"/>
      <c r="R52" s="3"/>
      <c r="S52" s="64"/>
      <c r="T52" s="3"/>
      <c r="U52" s="62"/>
      <c r="V52" s="3"/>
      <c r="W52" s="64"/>
      <c r="X52" s="3"/>
      <c r="Y52" s="62"/>
      <c r="Z52" s="3"/>
      <c r="AA52" s="64"/>
      <c r="AB52" s="3"/>
      <c r="AC52" s="62"/>
      <c r="AD52" s="3"/>
      <c r="AE52" s="64"/>
      <c r="AF52" s="3"/>
      <c r="AG52" s="62"/>
      <c r="AH52" s="3"/>
      <c r="AI52" s="64"/>
      <c r="AJ52" s="3"/>
      <c r="AK52" s="62"/>
      <c r="AL52" s="3"/>
      <c r="AM52" s="64"/>
      <c r="AN52" s="3"/>
      <c r="AO52" s="62"/>
      <c r="AP52" s="3"/>
      <c r="AQ52" s="64"/>
      <c r="AR52" s="3"/>
      <c r="AS52" s="62"/>
      <c r="AT52" s="3"/>
      <c r="AU52" s="64"/>
      <c r="AW52" s="34">
        <f t="shared" si="48"/>
        <v>0</v>
      </c>
      <c r="AX52" s="65">
        <f t="shared" si="49"/>
        <v>0</v>
      </c>
      <c r="AY52" s="66"/>
      <c r="AZ52" s="31">
        <f t="shared" si="50"/>
        <v>0</v>
      </c>
      <c r="BA52" s="67">
        <f t="shared" si="51"/>
        <v>0</v>
      </c>
      <c r="BB52" s="66"/>
      <c r="BC52" s="31">
        <f t="shared" si="52"/>
        <v>0</v>
      </c>
      <c r="BD52" s="65">
        <f t="shared" si="53"/>
        <v>0</v>
      </c>
      <c r="BE52" s="66"/>
      <c r="BF52" s="31">
        <f t="shared" si="54"/>
        <v>0</v>
      </c>
      <c r="BG52" s="67">
        <f t="shared" si="55"/>
        <v>0</v>
      </c>
      <c r="BH52" s="66"/>
      <c r="BI52" s="31">
        <f t="shared" si="56"/>
        <v>0</v>
      </c>
      <c r="BJ52" s="65">
        <f t="shared" si="57"/>
        <v>0</v>
      </c>
      <c r="BK52" s="66"/>
      <c r="BL52" s="31">
        <f t="shared" si="58"/>
        <v>0</v>
      </c>
      <c r="BM52" s="67">
        <f t="shared" si="59"/>
        <v>0</v>
      </c>
      <c r="BN52" s="66"/>
      <c r="BO52" s="31">
        <f t="shared" si="60"/>
        <v>0</v>
      </c>
      <c r="BP52" s="65">
        <f t="shared" si="61"/>
        <v>0</v>
      </c>
      <c r="BQ52" s="66"/>
      <c r="BR52" s="31">
        <f t="shared" si="62"/>
        <v>0</v>
      </c>
      <c r="BS52" s="67">
        <f t="shared" si="63"/>
        <v>0</v>
      </c>
      <c r="BT52" s="66"/>
      <c r="BU52" s="31">
        <f t="shared" si="64"/>
        <v>0</v>
      </c>
      <c r="BV52" s="65">
        <f t="shared" si="65"/>
        <v>0</v>
      </c>
      <c r="BW52" s="66"/>
      <c r="BX52" s="31">
        <f t="shared" si="66"/>
        <v>0</v>
      </c>
      <c r="BY52" s="67">
        <f t="shared" si="67"/>
        <v>0</v>
      </c>
      <c r="BZ52" s="66"/>
      <c r="CA52" s="31">
        <f t="shared" si="68"/>
        <v>0</v>
      </c>
      <c r="CB52" s="65">
        <f t="shared" si="69"/>
        <v>0</v>
      </c>
      <c r="CC52" s="66"/>
      <c r="CD52" s="31">
        <f t="shared" si="70"/>
        <v>0</v>
      </c>
      <c r="CE52" s="67">
        <f t="shared" si="71"/>
        <v>0</v>
      </c>
      <c r="CF52" s="66"/>
      <c r="CG52" s="34">
        <f t="shared" si="72"/>
        <v>0</v>
      </c>
      <c r="CH52" s="67">
        <f t="shared" si="93"/>
        <v>0</v>
      </c>
      <c r="CI52" s="66"/>
      <c r="CJ52" s="34">
        <f t="shared" si="73"/>
        <v>0</v>
      </c>
      <c r="CK52" s="67">
        <f t="shared" si="74"/>
        <v>0</v>
      </c>
      <c r="CL52" s="66"/>
      <c r="CM52" s="34">
        <f t="shared" si="75"/>
        <v>0</v>
      </c>
      <c r="CN52" s="67">
        <f t="shared" si="76"/>
        <v>0</v>
      </c>
      <c r="CO52" s="66"/>
      <c r="CP52" s="34">
        <f t="shared" si="77"/>
        <v>0</v>
      </c>
      <c r="CQ52" s="67">
        <f t="shared" si="78"/>
        <v>0</v>
      </c>
      <c r="CR52" s="66"/>
      <c r="CS52" s="34">
        <f t="shared" si="79"/>
        <v>0</v>
      </c>
      <c r="CT52" s="65">
        <f t="shared" si="80"/>
        <v>0</v>
      </c>
      <c r="CU52" s="66"/>
      <c r="CV52" s="31">
        <f t="shared" si="81"/>
        <v>0</v>
      </c>
      <c r="CW52" s="67">
        <f t="shared" si="82"/>
        <v>0</v>
      </c>
      <c r="CX52" s="66"/>
      <c r="CY52" s="31">
        <f t="shared" si="83"/>
        <v>0</v>
      </c>
      <c r="CZ52" s="65">
        <f t="shared" si="84"/>
        <v>0</v>
      </c>
      <c r="DA52" s="66"/>
      <c r="DB52" s="31">
        <f t="shared" si="85"/>
        <v>0</v>
      </c>
      <c r="DC52" s="67">
        <f t="shared" si="86"/>
        <v>0</v>
      </c>
      <c r="DE52" s="76">
        <v>0</v>
      </c>
      <c r="DF52" s="42"/>
      <c r="DG52" s="69">
        <f t="shared" si="87"/>
        <v>0</v>
      </c>
      <c r="DH52" s="42"/>
      <c r="DI52" s="70">
        <f t="shared" si="88"/>
        <v>0</v>
      </c>
      <c r="DJ52" s="42"/>
      <c r="DK52" s="70">
        <f t="shared" si="89"/>
        <v>0</v>
      </c>
      <c r="DL52" s="42"/>
      <c r="DM52" s="71">
        <f t="shared" si="90"/>
        <v>0</v>
      </c>
      <c r="DN52" s="42"/>
      <c r="DO52" s="72" t="e">
        <f t="shared" si="91"/>
        <v>#DIV/0!</v>
      </c>
      <c r="DP52" s="42"/>
      <c r="DQ52" s="71">
        <f t="shared" si="92"/>
        <v>0</v>
      </c>
      <c r="DR52" s="42"/>
      <c r="DS52" s="69"/>
      <c r="DT52" s="42"/>
      <c r="DU52" s="71">
        <v>0</v>
      </c>
      <c r="DV52" s="42"/>
      <c r="DW52" s="73">
        <f t="shared" si="94"/>
        <v>0</v>
      </c>
      <c r="DX52" s="42"/>
      <c r="DY52" s="71">
        <f t="shared" si="95"/>
        <v>0</v>
      </c>
    </row>
    <row r="53" ht="12.45" customHeight="1" spans="1:129" x14ac:dyDescent="0.25">
      <c r="A53" s="84" t="s">
        <v>98</v>
      </c>
      <c r="B53" s="42"/>
      <c r="C53" s="81"/>
      <c r="D53" s="44"/>
      <c r="E53" s="82">
        <v>20</v>
      </c>
      <c r="F53" s="44"/>
      <c r="G53" s="83">
        <v>24</v>
      </c>
      <c r="I53" s="62"/>
      <c r="J53" s="63"/>
      <c r="K53" s="64"/>
      <c r="L53" s="3"/>
      <c r="M53" s="62"/>
      <c r="N53" s="3"/>
      <c r="O53" s="64"/>
      <c r="P53" s="3"/>
      <c r="Q53" s="62"/>
      <c r="R53" s="3"/>
      <c r="S53" s="64"/>
      <c r="T53" s="3"/>
      <c r="U53" s="62"/>
      <c r="V53" s="3"/>
      <c r="W53" s="64">
        <v>1</v>
      </c>
      <c r="X53" s="3"/>
      <c r="Y53" s="62"/>
      <c r="Z53" s="3"/>
      <c r="AA53" s="64"/>
      <c r="AB53" s="3"/>
      <c r="AC53" s="62"/>
      <c r="AD53" s="3"/>
      <c r="AE53" s="64"/>
      <c r="AF53" s="3"/>
      <c r="AG53" s="62"/>
      <c r="AH53" s="3"/>
      <c r="AI53" s="64"/>
      <c r="AJ53" s="3"/>
      <c r="AK53" s="62"/>
      <c r="AL53" s="3"/>
      <c r="AM53" s="64"/>
      <c r="AN53" s="3"/>
      <c r="AO53" s="62"/>
      <c r="AP53" s="3"/>
      <c r="AQ53" s="64"/>
      <c r="AR53" s="3"/>
      <c r="AS53" s="62"/>
      <c r="AT53" s="3"/>
      <c r="AU53" s="64"/>
      <c r="AW53" s="34">
        <f t="shared" si="48"/>
        <v>0</v>
      </c>
      <c r="AX53" s="65">
        <f t="shared" si="49"/>
        <v>0</v>
      </c>
      <c r="AY53" s="66"/>
      <c r="AZ53" s="31">
        <f t="shared" si="50"/>
        <v>0</v>
      </c>
      <c r="BA53" s="67">
        <f t="shared" si="51"/>
        <v>0</v>
      </c>
      <c r="BB53" s="66"/>
      <c r="BC53" s="31">
        <f t="shared" si="52"/>
        <v>0</v>
      </c>
      <c r="BD53" s="65">
        <f t="shared" si="53"/>
        <v>0</v>
      </c>
      <c r="BE53" s="66"/>
      <c r="BF53" s="31">
        <f t="shared" si="54"/>
        <v>0</v>
      </c>
      <c r="BG53" s="67">
        <f t="shared" si="55"/>
        <v>0</v>
      </c>
      <c r="BH53" s="66"/>
      <c r="BI53" s="31">
        <f t="shared" si="56"/>
        <v>0</v>
      </c>
      <c r="BJ53" s="65">
        <f t="shared" si="57"/>
        <v>0</v>
      </c>
      <c r="BK53" s="66"/>
      <c r="BL53" s="31">
        <f t="shared" si="58"/>
        <v>0</v>
      </c>
      <c r="BM53" s="67">
        <f t="shared" si="59"/>
        <v>0</v>
      </c>
      <c r="BN53" s="66"/>
      <c r="BO53" s="31">
        <f t="shared" si="60"/>
        <v>0</v>
      </c>
      <c r="BP53" s="65">
        <f t="shared" si="61"/>
        <v>0</v>
      </c>
      <c r="BQ53" s="66"/>
      <c r="BR53" s="31">
        <f t="shared" si="62"/>
        <v>1</v>
      </c>
      <c r="BS53" s="67">
        <f t="shared" si="63"/>
        <v>24</v>
      </c>
      <c r="BT53" s="66"/>
      <c r="BU53" s="31">
        <f t="shared" si="64"/>
        <v>0</v>
      </c>
      <c r="BV53" s="65">
        <f t="shared" si="65"/>
        <v>0</v>
      </c>
      <c r="BW53" s="66"/>
      <c r="BX53" s="31">
        <f t="shared" si="66"/>
        <v>0</v>
      </c>
      <c r="BY53" s="67">
        <f t="shared" si="67"/>
        <v>0</v>
      </c>
      <c r="BZ53" s="66"/>
      <c r="CA53" s="31">
        <f t="shared" si="68"/>
        <v>0</v>
      </c>
      <c r="CB53" s="65">
        <f t="shared" si="69"/>
        <v>0</v>
      </c>
      <c r="CC53" s="66"/>
      <c r="CD53" s="31">
        <f t="shared" si="70"/>
        <v>0</v>
      </c>
      <c r="CE53" s="67">
        <f t="shared" si="71"/>
        <v>0</v>
      </c>
      <c r="CF53" s="66"/>
      <c r="CG53" s="34">
        <f t="shared" si="72"/>
        <v>0</v>
      </c>
      <c r="CH53" s="67">
        <f t="shared" si="93"/>
        <v>0</v>
      </c>
      <c r="CI53" s="66"/>
      <c r="CJ53" s="34">
        <f t="shared" si="73"/>
        <v>0</v>
      </c>
      <c r="CK53" s="67">
        <f t="shared" si="74"/>
        <v>0</v>
      </c>
      <c r="CL53" s="66"/>
      <c r="CM53" s="34">
        <f t="shared" si="75"/>
        <v>0</v>
      </c>
      <c r="CN53" s="67">
        <f t="shared" si="76"/>
        <v>0</v>
      </c>
      <c r="CO53" s="66"/>
      <c r="CP53" s="34">
        <f t="shared" si="77"/>
        <v>0</v>
      </c>
      <c r="CQ53" s="67">
        <f t="shared" si="78"/>
        <v>0</v>
      </c>
      <c r="CR53" s="66"/>
      <c r="CS53" s="34">
        <f t="shared" si="79"/>
        <v>0</v>
      </c>
      <c r="CT53" s="65">
        <f t="shared" si="80"/>
        <v>0</v>
      </c>
      <c r="CU53" s="66"/>
      <c r="CV53" s="31">
        <f t="shared" si="81"/>
        <v>0</v>
      </c>
      <c r="CW53" s="67">
        <f t="shared" si="82"/>
        <v>0</v>
      </c>
      <c r="CX53" s="66"/>
      <c r="CY53" s="31">
        <f t="shared" si="83"/>
        <v>0</v>
      </c>
      <c r="CZ53" s="65">
        <f t="shared" si="84"/>
        <v>0</v>
      </c>
      <c r="DA53" s="66"/>
      <c r="DB53" s="31">
        <f t="shared" si="85"/>
        <v>0</v>
      </c>
      <c r="DC53" s="67">
        <f t="shared" si="86"/>
        <v>0</v>
      </c>
      <c r="DE53" s="76">
        <v>19</v>
      </c>
      <c r="DF53" s="42"/>
      <c r="DG53" s="69">
        <f t="shared" si="87"/>
        <v>0</v>
      </c>
      <c r="DH53" s="42"/>
      <c r="DI53" s="70">
        <f t="shared" si="88"/>
        <v>1</v>
      </c>
      <c r="DJ53" s="42"/>
      <c r="DK53" s="70">
        <f t="shared" si="89"/>
        <v>18</v>
      </c>
      <c r="DL53" s="42"/>
      <c r="DM53" s="71">
        <f t="shared" si="90"/>
        <v>360</v>
      </c>
      <c r="DN53" s="42"/>
      <c r="DO53" s="72">
        <f t="shared" si="91"/>
        <v>18</v>
      </c>
      <c r="DP53" s="42"/>
      <c r="DQ53" s="71">
        <f t="shared" si="92"/>
        <v>432</v>
      </c>
      <c r="DR53" s="42"/>
      <c r="DS53" s="69"/>
      <c r="DT53" s="42"/>
      <c r="DU53" s="71">
        <v>0</v>
      </c>
      <c r="DV53" s="42"/>
      <c r="DW53" s="73">
        <f t="shared" si="94"/>
        <v>0</v>
      </c>
      <c r="DX53" s="42"/>
      <c r="DY53" s="71">
        <f t="shared" si="95"/>
        <v>0</v>
      </c>
    </row>
    <row r="54" ht="12.45" customHeight="1" spans="1:129" x14ac:dyDescent="0.25">
      <c r="A54" s="85" t="s">
        <v>99</v>
      </c>
      <c r="B54" s="27"/>
      <c r="C54" s="86"/>
      <c r="D54" s="29"/>
      <c r="E54" s="87"/>
      <c r="F54" s="29"/>
      <c r="G54" s="86"/>
      <c r="H54" s="8"/>
      <c r="I54" s="88">
        <f>SUM(I2:I53)</f>
        <v>15</v>
      </c>
      <c r="J54" s="8"/>
      <c r="K54" s="89">
        <f>SUM(K2:L53)</f>
        <v>43</v>
      </c>
      <c r="L54" s="8"/>
      <c r="M54" s="88">
        <f>SUM(M2:M53)</f>
        <v>29</v>
      </c>
      <c r="N54" s="8"/>
      <c r="O54" s="89">
        <f>SUM(O2:P53)</f>
        <v>27</v>
      </c>
      <c r="P54" s="8"/>
      <c r="Q54" s="88">
        <f>SUM(Q2:Q53)</f>
        <v>15</v>
      </c>
      <c r="R54" s="8"/>
      <c r="S54" s="89">
        <f>SUM(S2:T53)</f>
        <v>19</v>
      </c>
      <c r="T54" s="8"/>
      <c r="U54" s="88">
        <f>SUM(U2:U53)</f>
        <v>23</v>
      </c>
      <c r="V54" s="8"/>
      <c r="W54" s="89">
        <f>SUM(W2:X53)</f>
        <v>22</v>
      </c>
      <c r="X54" s="8"/>
      <c r="Y54" s="88">
        <f>SUM(Y2:Y53)</f>
        <v>19</v>
      </c>
      <c r="Z54" s="8"/>
      <c r="AA54" s="89">
        <f>SUM(AA2:AB53)</f>
        <v>18</v>
      </c>
      <c r="AB54" s="8"/>
      <c r="AC54" s="88">
        <f>SUM(AC2:AC53)</f>
        <v>18</v>
      </c>
      <c r="AD54" s="8"/>
      <c r="AE54" s="89">
        <f>SUM(AE2:AF53)</f>
        <v>0</v>
      </c>
      <c r="AF54" s="8"/>
      <c r="AG54" s="88">
        <f>SUM(AG2:AG53)</f>
        <v>0</v>
      </c>
      <c r="AH54" s="8"/>
      <c r="AI54" s="89">
        <f>SUM(AI2:AJ53)</f>
        <v>0</v>
      </c>
      <c r="AJ54" s="8"/>
      <c r="AK54" s="88">
        <f>SUM(AK2:AK53)</f>
        <v>0</v>
      </c>
      <c r="AL54" s="8"/>
      <c r="AM54" s="89">
        <f>SUM(AM2:AM53)</f>
        <v>0</v>
      </c>
      <c r="AN54" s="8"/>
      <c r="AO54" s="88">
        <f>SUM(AO2:AO53)</f>
        <v>18</v>
      </c>
      <c r="AP54" s="8"/>
      <c r="AQ54" s="89">
        <f>SUM(AQ2:AQ53)</f>
        <v>11</v>
      </c>
      <c r="AR54" s="8"/>
      <c r="AS54" s="88">
        <f>SUM(AS2:AS53)</f>
        <v>0</v>
      </c>
      <c r="AT54" s="8"/>
      <c r="AU54" s="89">
        <f>SUM(AU2:AU53)</f>
        <v>18</v>
      </c>
      <c r="AV54" s="8"/>
      <c r="AW54" s="90">
        <f>SUM(AW1:AW39)</f>
        <v>14</v>
      </c>
      <c r="AX54" s="91">
        <f>SUM(AX2:AX53)</f>
        <v>478.65999999999997</v>
      </c>
      <c r="AY54" s="33"/>
      <c r="AZ54" s="90">
        <f>SUM(AZ1:AZ53)</f>
        <v>43</v>
      </c>
      <c r="BA54" s="91">
        <f>SUM(BA2:BA53)</f>
        <v>1434.97</v>
      </c>
      <c r="BB54" s="33"/>
      <c r="BC54" s="90">
        <f>SUM(BC1:BC53)</f>
        <v>29</v>
      </c>
      <c r="BD54" s="91">
        <f>SUM(BD2:BD53)</f>
        <v>816.4</v>
      </c>
      <c r="BE54" s="33"/>
      <c r="BF54" s="90">
        <f>SUM(BF1:BF53)</f>
        <v>27</v>
      </c>
      <c r="BG54" s="91">
        <f>SUM(BG2:BG53)</f>
        <v>945.85</v>
      </c>
      <c r="BH54" s="33"/>
      <c r="BI54" s="90">
        <f>SUM(BI1:BI53)</f>
        <v>15</v>
      </c>
      <c r="BJ54" s="91">
        <f>SUM(BJ2:BJ53)</f>
        <v>524.0900000000001</v>
      </c>
      <c r="BK54" s="33"/>
      <c r="BL54" s="90">
        <f>SUM(BL1:BL53)</f>
        <v>19</v>
      </c>
      <c r="BM54" s="91">
        <f>SUM(BM2:BM53)</f>
        <v>620.8299999999999</v>
      </c>
      <c r="BN54" s="33"/>
      <c r="BO54" s="90">
        <f>SUM(BO1:BO53)</f>
        <v>23</v>
      </c>
      <c r="BP54" s="92">
        <f>SUM(BP2:BP53)</f>
        <v>646.6200000000001</v>
      </c>
      <c r="BQ54" s="33"/>
      <c r="BR54" s="90">
        <f>SUM(BR1:BR53)</f>
        <v>22</v>
      </c>
      <c r="BS54" s="91">
        <f>SUM(BS2:BS53)</f>
        <v>684.45</v>
      </c>
      <c r="BT54" s="33"/>
      <c r="BU54" s="90">
        <f>SUM(BU1:BU53)</f>
        <v>19</v>
      </c>
      <c r="BV54" s="91">
        <f>SUM(BV2:BV53)</f>
        <v>544.69</v>
      </c>
      <c r="BW54" s="33"/>
      <c r="BX54" s="90">
        <f>SUM(BX1:BX53)</f>
        <v>18</v>
      </c>
      <c r="BY54" s="91">
        <f>SUM(BY2:BY53)</f>
        <v>541.78</v>
      </c>
      <c r="BZ54" s="33"/>
      <c r="CA54" s="90">
        <f>SUM(CA1:CA53)</f>
        <v>18</v>
      </c>
      <c r="CB54" s="91">
        <f>SUM(CB2:CB53)</f>
        <v>574.2999999999998</v>
      </c>
      <c r="CC54" s="33"/>
      <c r="CD54" s="90">
        <f>SUM(CD1:CD53)</f>
        <v>0</v>
      </c>
      <c r="CE54" s="91">
        <f>SUM(CE2:CE53)</f>
        <v>0</v>
      </c>
      <c r="CF54" s="33"/>
      <c r="CG54" s="90">
        <f>SUM(CG1:CG53)</f>
        <v>0</v>
      </c>
      <c r="CH54" s="91">
        <f>SUM(CH2:CH53)</f>
        <v>0</v>
      </c>
      <c r="CI54" s="33"/>
      <c r="CJ54" s="90">
        <f>SUM(CJ1:CJ53)</f>
        <v>0</v>
      </c>
      <c r="CK54" s="91">
        <f>SUM(CK2:CK53)</f>
        <v>0</v>
      </c>
      <c r="CL54" s="33"/>
      <c r="CM54" s="90">
        <f>SUM(CM1:CM53)</f>
        <v>0</v>
      </c>
      <c r="CN54" s="91">
        <f>SUM(CN2:CN53)</f>
        <v>0</v>
      </c>
      <c r="CO54" s="33"/>
      <c r="CP54" s="90">
        <f>SUM(CP1:CP53)</f>
        <v>0</v>
      </c>
      <c r="CQ54" s="91">
        <f>SUM(CQ2:CQ53)</f>
        <v>0</v>
      </c>
      <c r="CR54" s="33"/>
      <c r="CS54" s="90">
        <f>SUM(CS1:CS53)</f>
        <v>18</v>
      </c>
      <c r="CT54" s="91">
        <f>SUM(CT2:CT53)</f>
        <v>621.2299999999999</v>
      </c>
      <c r="CU54" s="33"/>
      <c r="CV54" s="90">
        <f>SUM(CV1:CV53)</f>
        <v>11</v>
      </c>
      <c r="CW54" s="91">
        <f>SUM(CW2:CW53)</f>
        <v>395.92</v>
      </c>
      <c r="CX54" s="33"/>
      <c r="CY54" s="90">
        <f>SUM(CY1:CY53)</f>
        <v>0</v>
      </c>
      <c r="CZ54" s="91">
        <f>SUM(CZ2:CZ53)</f>
        <v>0</v>
      </c>
      <c r="DA54" s="33"/>
      <c r="DB54" s="90">
        <f>SUM(DB1:DB53)</f>
        <v>18</v>
      </c>
      <c r="DC54" s="91">
        <f>SUM(DC2:DC53)</f>
        <v>563.36</v>
      </c>
      <c r="DD54" s="8"/>
      <c r="DE54" s="93">
        <f>SUM(DE2:DE53)</f>
        <v>8687</v>
      </c>
      <c r="DF54" s="27"/>
      <c r="DG54" s="94">
        <f>SUM(DG2:DG53)</f>
        <v>428</v>
      </c>
      <c r="DH54" s="27"/>
      <c r="DI54" s="94">
        <f>SUM(DI2:DI53)</f>
        <v>295</v>
      </c>
      <c r="DJ54" s="27"/>
      <c r="DK54" s="94">
        <f>SUM(DK2:DK53)</f>
        <v>8820</v>
      </c>
      <c r="DL54" s="27"/>
      <c r="DM54" s="95">
        <f>SUM(DM2:DM53)</f>
        <v>232139.035</v>
      </c>
      <c r="DN54" s="27"/>
      <c r="DO54" s="96">
        <f>DM54+DY54</f>
        <v>264624.235</v>
      </c>
      <c r="DP54" s="27"/>
      <c r="DQ54" s="95">
        <f>SUM(DQ2:DQ53)</f>
        <v>278339.95</v>
      </c>
      <c r="DR54" s="27"/>
      <c r="DS54" s="97"/>
      <c r="DT54" s="27"/>
      <c r="DU54" s="98"/>
      <c r="DV54" s="27"/>
      <c r="DW54" s="99"/>
      <c r="DX54" s="27"/>
      <c r="DY54" s="100">
        <f>SUM(DY4:DY53)</f>
        <v>32485.199999999997</v>
      </c>
    </row>
    <row r="55" ht="12.45" customHeight="1" spans="3:128" x14ac:dyDescent="0.25">
      <c r="C55" s="4"/>
      <c r="E55" s="101"/>
      <c r="DM55" s="6"/>
      <c r="DN55" s="102">
        <f>AX54+BA54+BD54+BG54+BJ54+BM54+BP54+BS54+BV54+BY54+CB54+CT54+CW54+CZ54+DC54</f>
        <v>9393.15</v>
      </c>
      <c r="DO55" s="102"/>
      <c r="DP55" s="6"/>
      <c r="DQ55" s="6"/>
      <c r="DR55" s="6"/>
      <c r="DT55" s="6"/>
      <c r="DV55" s="6"/>
      <c r="DX55" s="6"/>
    </row>
  </sheetData>
  <mergeCells count="22">
    <mergeCell ref="AW1:AX1"/>
    <mergeCell ref="AZ1:BA1"/>
    <mergeCell ref="BC1:BD1"/>
    <mergeCell ref="BF1:BG1"/>
    <mergeCell ref="BI1:BJ1"/>
    <mergeCell ref="BL1:BM1"/>
    <mergeCell ref="BO1:BP1"/>
    <mergeCell ref="BR1:BS1"/>
    <mergeCell ref="BU1:BV1"/>
    <mergeCell ref="BX1:BY1"/>
    <mergeCell ref="CA1:CB1"/>
    <mergeCell ref="CD1:CE1"/>
    <mergeCell ref="CG1:CH1"/>
    <mergeCell ref="CJ1:CK1"/>
    <mergeCell ref="CM1:CN1"/>
    <mergeCell ref="CP1:CQ1"/>
    <mergeCell ref="CS1:CT1"/>
    <mergeCell ref="CV1:CW1"/>
    <mergeCell ref="CY1:CZ1"/>
    <mergeCell ref="DB1:DC1"/>
    <mergeCell ref="DS1:DY3"/>
    <mergeCell ref="DN55:DO5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8"/>
  <sheetViews>
    <sheetView workbookViewId="0" zoomScale="19" zoomScaleNormal="19">
      <selection activeCell="K38" sqref="K38"/>
    </sheetView>
  </sheetViews>
  <sheetFormatPr defaultRowHeight="33.6" outlineLevelRow="0" outlineLevelCol="0" x14ac:dyDescent="0.3" defaultColWidth="9.109375" customHeight="1"/>
  <cols>
    <col min="1" max="1" width="95.109375" style="103" customWidth="1"/>
    <col min="2" max="2" width="2.6640625" style="104" customWidth="1"/>
    <col min="3" max="3" width="19.33203125" style="105" customWidth="1"/>
    <col min="4" max="4" width="2.6640625" style="104" customWidth="1"/>
    <col min="5" max="5" width="19.6640625" style="105" customWidth="1"/>
    <col min="6" max="6" width="2.6640625" style="104" customWidth="1"/>
    <col min="7" max="7" width="19.6640625" style="105" customWidth="1"/>
    <col min="8" max="8" width="2.6640625" style="104" customWidth="1"/>
    <col min="9" max="9" width="19.6640625" style="105" customWidth="1"/>
    <col min="10" max="10" width="2.6640625" style="104" customWidth="1"/>
    <col min="11" max="11" width="19.6640625" style="105" customWidth="1"/>
    <col min="12" max="12" width="2.6640625" style="104" customWidth="1"/>
    <col min="13" max="13" width="19.6640625" style="105" customWidth="1"/>
    <col min="14" max="14" width="2.6640625" style="104" customWidth="1"/>
    <col min="15" max="15" width="19.6640625" style="105" customWidth="1"/>
    <col min="16" max="16" width="2.6640625" style="104" customWidth="1"/>
    <col min="17" max="17" width="19.6640625" style="105" customWidth="1"/>
    <col min="18" max="18" width="2.6640625" style="104" customWidth="1"/>
    <col min="19" max="19" width="19.6640625" style="105" customWidth="1"/>
    <col min="20" max="20" width="2.6640625" style="104" customWidth="1"/>
    <col min="21" max="21" width="19.6640625" style="105" customWidth="1"/>
    <col min="22" max="22" width="2.6640625" style="104" customWidth="1"/>
    <col min="23" max="23" width="19.6640625" style="105" customWidth="1"/>
    <col min="24" max="24" width="2.6640625" style="104" customWidth="1"/>
    <col min="25" max="25" width="19.6640625" style="105" customWidth="1"/>
    <col min="26" max="26" width="8.77734375" style="3" customWidth="1"/>
    <col min="27" max="27" width="145.6640625" style="106" customWidth="1"/>
    <col min="28" max="28" width="24.6640625" style="107" customWidth="1"/>
    <col min="29" max="29" width="8.77734375" style="3" customWidth="1"/>
    <col min="30" max="30" width="145.6640625" style="106" customWidth="1"/>
    <col min="31" max="31" width="24.6640625" style="107" customWidth="1"/>
    <col min="32" max="32" width="8.77734375" style="3" customWidth="1"/>
    <col min="33" max="33" width="145.6640625" style="106" customWidth="1"/>
    <col min="34" max="34" width="24.6640625" style="107" customWidth="1"/>
    <col min="35" max="35" width="8.77734375" style="3" customWidth="1"/>
    <col min="36" max="36" width="145.6640625" style="106" customWidth="1"/>
    <col min="37" max="37" width="24.6640625" style="107" customWidth="1"/>
    <col min="38" max="38" width="8.77734375" style="3" customWidth="1"/>
    <col min="39" max="39" width="145.6640625" style="106" customWidth="1"/>
    <col min="40" max="40" width="24.6640625" style="107" customWidth="1"/>
    <col min="41" max="41" width="8.77734375" style="3" customWidth="1"/>
    <col min="42" max="42" width="145.6640625" style="106" customWidth="1"/>
    <col min="43" max="43" width="24.6640625" style="107" customWidth="1"/>
    <col min="44" max="44" width="8.77734375" style="3" customWidth="1"/>
    <col min="45" max="45" width="145.6640625" style="106" customWidth="1"/>
    <col min="46" max="46" width="24.6640625" style="107" customWidth="1"/>
    <col min="47" max="47" width="8.77734375" style="3" customWidth="1"/>
    <col min="48" max="48" width="145.6640625" style="106" customWidth="1"/>
    <col min="49" max="49" width="24.6640625" style="107" customWidth="1"/>
    <col min="50" max="50" width="8.77734375" style="3" hidden="1" customWidth="1"/>
    <col min="51" max="51" width="145.6640625" style="106" hidden="1" customWidth="1"/>
    <col min="52" max="52" width="24.6640625" style="107" hidden="1" customWidth="1"/>
    <col min="53" max="53" width="8.77734375" style="3" hidden="1" customWidth="1"/>
    <col min="54" max="54" width="145.6640625" style="106" hidden="1" customWidth="1"/>
    <col min="55" max="55" width="24.6640625" style="107" hidden="1" customWidth="1"/>
    <col min="56" max="56" width="8.77734375" style="3" hidden="1" customWidth="1"/>
    <col min="57" max="57" width="145.6640625" style="106" hidden="1" customWidth="1"/>
    <col min="58" max="58" width="24.6640625" style="107" hidden="1" customWidth="1"/>
    <col min="59" max="59" width="8.77734375" style="3" customWidth="1"/>
    <col min="60" max="60" width="145.6640625" style="106" hidden="1" customWidth="1"/>
    <col min="61" max="61" width="24.6640625" style="107" hidden="1" customWidth="1"/>
    <col min="62" max="62" width="145.6640625" style="106" customWidth="1"/>
    <col min="63" max="63" width="24.6640625" style="107" customWidth="1"/>
    <col min="64" max="64" width="8.77734375" style="3" customWidth="1"/>
    <col min="65" max="65" width="145.6640625" style="106" customWidth="1"/>
    <col min="66" max="66" width="24.6640625" style="107" customWidth="1"/>
    <col min="67" max="67" width="8.77734375" style="3" customWidth="1"/>
    <col min="68" max="68" width="5.6640625" style="3" customWidth="1"/>
    <col min="69" max="16384" width="9.109375" style="3" customWidth="1"/>
  </cols>
  <sheetData>
    <row r="1" ht="54" customHeight="1" spans="1:66" s="108" customFormat="1" x14ac:dyDescent="0.25">
      <c r="A1" s="109" t="s">
        <v>100</v>
      </c>
      <c r="B1" s="110"/>
      <c r="C1" s="111" t="s">
        <v>101</v>
      </c>
      <c r="D1" s="111"/>
      <c r="E1" s="112" t="s">
        <v>102</v>
      </c>
      <c r="F1" s="113"/>
      <c r="G1" s="114" t="s">
        <v>103</v>
      </c>
      <c r="H1" s="113"/>
      <c r="I1" s="112" t="s">
        <v>26</v>
      </c>
      <c r="J1" s="113"/>
      <c r="K1" s="114" t="s">
        <v>27</v>
      </c>
      <c r="L1" s="113"/>
      <c r="M1" s="112" t="s">
        <v>104</v>
      </c>
      <c r="N1" s="113"/>
      <c r="O1" s="114" t="s">
        <v>105</v>
      </c>
      <c r="P1" s="113"/>
      <c r="Q1" s="112" t="s">
        <v>30</v>
      </c>
      <c r="R1" s="113"/>
      <c r="S1" s="114" t="s">
        <v>106</v>
      </c>
      <c r="T1" s="113"/>
      <c r="U1" s="112" t="s">
        <v>107</v>
      </c>
      <c r="V1" s="113"/>
      <c r="W1" s="114" t="s">
        <v>108</v>
      </c>
      <c r="X1" s="113"/>
      <c r="Y1" s="112" t="s">
        <v>34</v>
      </c>
      <c r="Z1" s="115"/>
      <c r="AA1" s="116" t="str">
        <f>K1</f>
        <v>LISLE</v>
      </c>
      <c r="AB1" s="117"/>
      <c r="AC1" s="115"/>
      <c r="AD1" s="116" t="s">
        <v>24</v>
      </c>
      <c r="AE1" s="117"/>
      <c r="AF1" s="115"/>
      <c r="AG1" s="116" t="s">
        <v>109</v>
      </c>
      <c r="AH1" s="117"/>
      <c r="AI1" s="115"/>
      <c r="AJ1" s="116" t="s">
        <v>110</v>
      </c>
      <c r="AK1" s="117"/>
      <c r="AL1" s="115"/>
      <c r="AM1" s="116" t="s">
        <v>29</v>
      </c>
      <c r="AN1" s="117"/>
      <c r="AO1" s="115"/>
      <c r="AP1" s="116" t="s">
        <v>30</v>
      </c>
      <c r="AQ1" s="117"/>
      <c r="AR1" s="115"/>
      <c r="AS1" s="116" t="s">
        <v>111</v>
      </c>
      <c r="AT1" s="117"/>
      <c r="AU1" s="115"/>
      <c r="AV1" s="116" t="s">
        <v>26</v>
      </c>
      <c r="AW1" s="117"/>
      <c r="AX1" s="115"/>
      <c r="AY1" s="116" t="s">
        <v>112</v>
      </c>
      <c r="AZ1" s="117"/>
      <c r="BA1" s="115"/>
      <c r="BB1" s="116"/>
      <c r="BC1" s="117"/>
      <c r="BD1" s="115"/>
      <c r="BE1" s="116" t="s">
        <v>34</v>
      </c>
      <c r="BF1" s="117"/>
      <c r="BG1" s="115"/>
      <c r="BH1" s="118"/>
      <c r="BI1" s="119"/>
      <c r="BJ1" s="116" t="s">
        <v>31</v>
      </c>
      <c r="BK1" s="117"/>
      <c r="BM1" s="118"/>
      <c r="BN1" s="119"/>
    </row>
    <row r="2" ht="25.05" customHeight="1" spans="1:66" s="108" customFormat="1" x14ac:dyDescent="0.25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AA2" s="121"/>
      <c r="AB2" s="121"/>
      <c r="AD2" s="121"/>
      <c r="AE2" s="121"/>
      <c r="AG2" s="121"/>
      <c r="AH2" s="121"/>
      <c r="AJ2" s="121"/>
      <c r="AK2" s="121"/>
      <c r="AM2" s="121"/>
      <c r="AN2" s="121"/>
      <c r="AP2" s="121"/>
      <c r="AQ2" s="121"/>
      <c r="AS2" s="121"/>
      <c r="AT2" s="121"/>
      <c r="AV2" s="121"/>
      <c r="AW2" s="121"/>
      <c r="AY2" s="121"/>
      <c r="AZ2" s="121"/>
      <c r="BB2" s="121"/>
      <c r="BC2" s="121"/>
      <c r="BE2" s="121"/>
      <c r="BF2" s="121"/>
      <c r="BH2" s="121"/>
      <c r="BI2" s="121"/>
      <c r="BJ2" s="121"/>
      <c r="BK2" s="121"/>
      <c r="BM2" s="121"/>
      <c r="BN2" s="121"/>
    </row>
    <row r="3" ht="52.95" customHeight="1" spans="1:66" s="122" customFormat="1" x14ac:dyDescent="0.25">
      <c r="A3" s="123" t="s">
        <v>49</v>
      </c>
      <c r="B3" s="124"/>
      <c r="C3" s="123">
        <v>15</v>
      </c>
      <c r="D3" s="125"/>
      <c r="E3" s="126">
        <v>1</v>
      </c>
      <c r="F3" s="124"/>
      <c r="G3" s="123">
        <v>2</v>
      </c>
      <c r="H3" s="124"/>
      <c r="I3" s="126">
        <v>2</v>
      </c>
      <c r="J3" s="124"/>
      <c r="K3" s="123">
        <v>2</v>
      </c>
      <c r="L3" s="124"/>
      <c r="M3" s="126">
        <v>1</v>
      </c>
      <c r="N3" s="124"/>
      <c r="O3" s="123">
        <v>1</v>
      </c>
      <c r="P3" s="124"/>
      <c r="Q3" s="126">
        <v>1</v>
      </c>
      <c r="R3" s="124"/>
      <c r="S3" s="123">
        <v>2</v>
      </c>
      <c r="T3" s="124"/>
      <c r="U3" s="126">
        <v>1</v>
      </c>
      <c r="V3" s="124"/>
      <c r="W3" s="127">
        <v>1</v>
      </c>
      <c r="X3" s="128"/>
      <c r="Y3" s="129">
        <v>1</v>
      </c>
      <c r="Z3" s="124"/>
      <c r="AA3" s="130" t="str">
        <f t="shared" ref="AA3:AA46" si="0">A3</f>
        <v>DINNER NAPKIN</v>
      </c>
      <c r="AB3" s="131">
        <f t="shared" ref="AB3:AB46" si="1">K3</f>
        <v>3</v>
      </c>
      <c r="AC3" s="124"/>
      <c r="AD3" s="130" t="str">
        <f t="shared" ref="AD3:AD46" si="2">A3</f>
        <v>DINNER NAPKIN</v>
      </c>
      <c r="AE3" s="131">
        <f t="shared" ref="AE3:AE46" si="3">E3</f>
        <v>2</v>
      </c>
      <c r="AF3" s="124"/>
      <c r="AG3" s="130" t="str">
        <f t="shared" ref="AG3:AG46" si="4">A3</f>
        <v>DINNER NAPKIN</v>
      </c>
      <c r="AH3" s="131">
        <f t="shared" ref="AH3:AH46" si="5">G3</f>
        <v>3</v>
      </c>
      <c r="AI3" s="124"/>
      <c r="AJ3" s="130" t="str">
        <f t="shared" ref="AJ3:AJ46" si="6">A3</f>
        <v>DINNER NAPKIN</v>
      </c>
      <c r="AK3" s="131">
        <f t="shared" ref="AK3:AK46" si="7">U3</f>
        <v>2</v>
      </c>
      <c r="AL3" s="124"/>
      <c r="AM3" s="130" t="str">
        <f t="shared" ref="AM3:AM46" si="8">A3</f>
        <v>DINNER NAPKIN</v>
      </c>
      <c r="AN3" s="131">
        <f t="shared" ref="AN3:AN46" si="9">O3</f>
        <v>1</v>
      </c>
      <c r="AO3" s="124"/>
      <c r="AP3" s="130" t="str">
        <f t="shared" ref="AP3:AP46" si="10">A3</f>
        <v>DINNER NAPKIN</v>
      </c>
      <c r="AQ3" s="131">
        <f t="shared" ref="AQ3:AQ46" si="11">Q3</f>
        <v>1</v>
      </c>
      <c r="AR3" s="124"/>
      <c r="AS3" s="130" t="str">
        <f t="shared" ref="AS3:AS46" si="12">A3</f>
        <v>DINNER NAPKIN</v>
      </c>
      <c r="AT3" s="131">
        <f t="shared" ref="AT3:AT46" si="13">M3</f>
        <v>2</v>
      </c>
      <c r="AU3" s="124"/>
      <c r="AV3" s="130" t="str">
        <f t="shared" ref="AV3:AV46" si="14">A3</f>
        <v>DINNER NAPKIN</v>
      </c>
      <c r="AW3" s="131">
        <f t="shared" ref="AW3:AW46" si="15">I3</f>
        <v>1</v>
      </c>
      <c r="AX3" s="124"/>
      <c r="AY3" s="130" t="str">
        <f t="shared" ref="AY3:AY46" si="16">A3</f>
        <v>DINNER NAPKIN</v>
      </c>
      <c r="AZ3" s="131">
        <f t="shared" ref="AZ3:AZ46" si="17">W3</f>
        <v>0</v>
      </c>
      <c r="BA3" s="124"/>
      <c r="BB3" s="130"/>
      <c r="BC3" s="131"/>
      <c r="BD3" s="124"/>
      <c r="BE3" s="130" t="str">
        <f t="shared" ref="BE3:BE46" si="18">A3</f>
        <v>DINNER NAPKIN</v>
      </c>
      <c r="BF3" s="131">
        <f t="shared" ref="BF3:BF46" si="19">Y3</f>
        <v>0</v>
      </c>
      <c r="BG3" s="124"/>
      <c r="BH3" s="132"/>
      <c r="BI3" s="133"/>
      <c r="BJ3" s="130" t="str">
        <f t="shared" ref="BJ3:BJ46" si="20">A3</f>
        <v>DINNER NAPKIN</v>
      </c>
      <c r="BK3" s="131">
        <f t="shared" ref="BK3:BK46" si="21">S3</f>
        <v>3</v>
      </c>
      <c r="BM3" s="132"/>
      <c r="BN3" s="133"/>
    </row>
    <row r="4" ht="52.95" customHeight="1" spans="1:66" s="122" customFormat="1" x14ac:dyDescent="0.25">
      <c r="A4" s="123" t="s">
        <v>50</v>
      </c>
      <c r="B4" s="124"/>
      <c r="C4" s="123">
        <v>3</v>
      </c>
      <c r="D4" s="125"/>
      <c r="E4" s="126"/>
      <c r="F4" s="124"/>
      <c r="G4" s="123">
        <v>1</v>
      </c>
      <c r="H4" s="124"/>
      <c r="I4" s="126"/>
      <c r="J4" s="124"/>
      <c r="K4" s="123"/>
      <c r="L4" s="124"/>
      <c r="M4" s="126"/>
      <c r="N4" s="124"/>
      <c r="O4" s="123"/>
      <c r="P4" s="124"/>
      <c r="Q4" s="126"/>
      <c r="R4" s="124"/>
      <c r="S4" s="123">
        <v>1</v>
      </c>
      <c r="T4" s="124"/>
      <c r="U4" s="126">
        <v>1</v>
      </c>
      <c r="V4" s="124"/>
      <c r="W4" s="123"/>
      <c r="X4" s="124"/>
      <c r="Y4" s="126"/>
      <c r="Z4" s="124"/>
      <c r="AA4" s="130" t="str">
        <f t="shared" si="0"/>
        <v>TORTA - 8X6 32oz</v>
      </c>
      <c r="AB4" s="131">
        <f t="shared" si="1"/>
        <v>5</v>
      </c>
      <c r="AC4" s="124"/>
      <c r="AD4" s="130" t="str">
        <f t="shared" si="2"/>
        <v>TORTA - 8X6 32oz</v>
      </c>
      <c r="AE4" s="131">
        <f t="shared" si="3"/>
        <v>2</v>
      </c>
      <c r="AF4" s="124"/>
      <c r="AG4" s="130" t="str">
        <f t="shared" si="4"/>
        <v>TORTA - 8X6 32oz</v>
      </c>
      <c r="AH4" s="131">
        <f t="shared" si="5"/>
        <v>6</v>
      </c>
      <c r="AI4" s="124"/>
      <c r="AJ4" s="130" t="str">
        <f t="shared" si="6"/>
        <v>TORTA - 8X6 32oz</v>
      </c>
      <c r="AK4" s="131">
        <f t="shared" si="7"/>
        <v>3</v>
      </c>
      <c r="AL4" s="124"/>
      <c r="AM4" s="130" t="str">
        <f t="shared" si="8"/>
        <v>TORTA - 8X6 32oz</v>
      </c>
      <c r="AN4" s="131">
        <f t="shared" si="9"/>
        <v>3</v>
      </c>
      <c r="AO4" s="124"/>
      <c r="AP4" s="130" t="str">
        <f t="shared" si="10"/>
        <v>TORTA - 8X6 32oz</v>
      </c>
      <c r="AQ4" s="131">
        <f t="shared" si="11"/>
        <v>4</v>
      </c>
      <c r="AR4" s="124"/>
      <c r="AS4" s="130" t="str">
        <f t="shared" si="12"/>
        <v>TORTA - 8X6 32oz</v>
      </c>
      <c r="AT4" s="131">
        <f t="shared" si="13"/>
        <v>3</v>
      </c>
      <c r="AU4" s="124"/>
      <c r="AV4" s="130" t="str">
        <f t="shared" si="14"/>
        <v>TORTA - 8X6 32oz</v>
      </c>
      <c r="AW4" s="131">
        <f t="shared" si="15"/>
        <v>5</v>
      </c>
      <c r="AX4" s="124"/>
      <c r="AY4" s="130" t="str">
        <f t="shared" si="16"/>
        <v>TORTA - 8X6 32oz</v>
      </c>
      <c r="AZ4" s="131">
        <f t="shared" si="17"/>
        <v>0</v>
      </c>
      <c r="BA4" s="124"/>
      <c r="BB4" s="130"/>
      <c r="BC4" s="131"/>
      <c r="BD4" s="124"/>
      <c r="BE4" s="130" t="str">
        <f t="shared" si="18"/>
        <v>TORTA - 8X6 32oz</v>
      </c>
      <c r="BF4" s="131">
        <f t="shared" si="19"/>
        <v>0</v>
      </c>
      <c r="BG4" s="124"/>
      <c r="BH4" s="132"/>
      <c r="BI4" s="133"/>
      <c r="BJ4" s="130" t="str">
        <f t="shared" si="20"/>
        <v>TORTA - 8X6 32oz</v>
      </c>
      <c r="BK4" s="131">
        <f t="shared" si="21"/>
        <v>6</v>
      </c>
      <c r="BM4" s="132"/>
      <c r="BN4" s="133"/>
    </row>
    <row r="5" ht="52.95" customHeight="1" spans="1:66" s="122" customFormat="1" x14ac:dyDescent="0.25">
      <c r="A5" s="123" t="s">
        <v>51</v>
      </c>
      <c r="B5" s="124"/>
      <c r="C5" s="123">
        <v>9</v>
      </c>
      <c r="D5" s="125"/>
      <c r="E5" s="134">
        <v>1</v>
      </c>
      <c r="F5" s="124"/>
      <c r="G5" s="135">
        <v>1</v>
      </c>
      <c r="H5" s="124"/>
      <c r="I5" s="134">
        <v>1</v>
      </c>
      <c r="J5" s="124"/>
      <c r="K5" s="135">
        <v>1</v>
      </c>
      <c r="L5" s="124"/>
      <c r="M5" s="134">
        <v>1</v>
      </c>
      <c r="N5" s="124"/>
      <c r="O5" s="135"/>
      <c r="P5" s="124"/>
      <c r="Q5" s="134"/>
      <c r="R5" s="124"/>
      <c r="S5" s="135">
        <v>1</v>
      </c>
      <c r="T5" s="124"/>
      <c r="U5" s="134">
        <v>1</v>
      </c>
      <c r="V5" s="124"/>
      <c r="W5" s="135">
        <v>1</v>
      </c>
      <c r="X5" s="124"/>
      <c r="Y5" s="134">
        <v>1</v>
      </c>
      <c r="Z5" s="124"/>
      <c r="AA5" s="130" t="str">
        <f t="shared" si="0"/>
        <v>CLEAR CUP 24oz</v>
      </c>
      <c r="AB5" s="131">
        <f t="shared" si="1"/>
        <v>2</v>
      </c>
      <c r="AC5" s="124"/>
      <c r="AD5" s="130" t="str">
        <f t="shared" si="2"/>
        <v>CLEAR CUP 24oz</v>
      </c>
      <c r="AE5" s="131">
        <f t="shared" si="3"/>
        <v>1</v>
      </c>
      <c r="AF5" s="124"/>
      <c r="AG5" s="130" t="str">
        <f t="shared" si="4"/>
        <v>CLEAR CUP 24oz</v>
      </c>
      <c r="AH5" s="131">
        <f t="shared" si="5"/>
        <v>1</v>
      </c>
      <c r="AI5" s="124"/>
      <c r="AJ5" s="130" t="str">
        <f t="shared" si="6"/>
        <v>CLEAR CUP 24oz</v>
      </c>
      <c r="AK5" s="131">
        <f t="shared" si="7"/>
        <v>1</v>
      </c>
      <c r="AL5" s="124"/>
      <c r="AM5" s="130" t="str">
        <f t="shared" si="8"/>
        <v>CLEAR CUP 24oz</v>
      </c>
      <c r="AN5" s="131">
        <f t="shared" si="9"/>
        <v>1</v>
      </c>
      <c r="AO5" s="124"/>
      <c r="AP5" s="130" t="str">
        <f t="shared" si="10"/>
        <v>CLEAR CUP 24oz</v>
      </c>
      <c r="AQ5" s="131">
        <f t="shared" si="11"/>
        <v>1</v>
      </c>
      <c r="AR5" s="124"/>
      <c r="AS5" s="130" t="str">
        <f t="shared" si="12"/>
        <v>CLEAR CUP 24oz</v>
      </c>
      <c r="AT5" s="131">
        <f t="shared" si="13"/>
        <v>1</v>
      </c>
      <c r="AU5" s="124"/>
      <c r="AV5" s="130" t="str">
        <f t="shared" si="14"/>
        <v>CLEAR CUP 24oz</v>
      </c>
      <c r="AW5" s="131">
        <f t="shared" si="15"/>
        <v>2</v>
      </c>
      <c r="AX5" s="124"/>
      <c r="AY5" s="130" t="str">
        <f t="shared" si="16"/>
        <v>CLEAR CUP 24oz</v>
      </c>
      <c r="AZ5" s="131">
        <f t="shared" si="17"/>
        <v>0</v>
      </c>
      <c r="BA5" s="124"/>
      <c r="BB5" s="130"/>
      <c r="BC5" s="131"/>
      <c r="BD5" s="124"/>
      <c r="BE5" s="130" t="str">
        <f t="shared" si="18"/>
        <v>CLEAR CUP 24oz</v>
      </c>
      <c r="BF5" s="131">
        <f t="shared" si="19"/>
        <v>0</v>
      </c>
      <c r="BG5" s="124"/>
      <c r="BH5" s="132"/>
      <c r="BI5" s="133"/>
      <c r="BJ5" s="130" t="str">
        <f t="shared" si="20"/>
        <v>CLEAR CUP 24oz</v>
      </c>
      <c r="BK5" s="131">
        <f t="shared" si="21"/>
        <v>1</v>
      </c>
      <c r="BM5" s="132"/>
      <c r="BN5" s="133"/>
    </row>
    <row r="6" ht="52.95" customHeight="1" spans="1:66" s="122" customFormat="1" x14ac:dyDescent="0.25">
      <c r="A6" s="123" t="s">
        <v>52</v>
      </c>
      <c r="B6" s="124"/>
      <c r="C6" s="123">
        <v>4</v>
      </c>
      <c r="D6" s="125"/>
      <c r="E6" s="134"/>
      <c r="F6" s="124"/>
      <c r="G6" s="135">
        <v>1</v>
      </c>
      <c r="H6" s="124"/>
      <c r="I6" s="134"/>
      <c r="J6" s="124"/>
      <c r="K6" s="135"/>
      <c r="L6" s="124"/>
      <c r="M6" s="134"/>
      <c r="N6" s="124"/>
      <c r="O6" s="135"/>
      <c r="P6" s="124"/>
      <c r="Q6" s="134">
        <v>1</v>
      </c>
      <c r="R6" s="124"/>
      <c r="S6" s="135"/>
      <c r="T6" s="124"/>
      <c r="U6" s="134">
        <v>1</v>
      </c>
      <c r="V6" s="124"/>
      <c r="W6" s="135"/>
      <c r="X6" s="124"/>
      <c r="Y6" s="134">
        <v>1</v>
      </c>
      <c r="Z6" s="124"/>
      <c r="AA6" s="130" t="str">
        <f t="shared" si="0"/>
        <v>CLEAR CUP 12oz</v>
      </c>
      <c r="AB6" s="131">
        <f t="shared" si="1"/>
        <v>1</v>
      </c>
      <c r="AC6" s="124"/>
      <c r="AD6" s="130" t="str">
        <f t="shared" si="2"/>
        <v>CLEAR CUP 12oz</v>
      </c>
      <c r="AE6" s="131">
        <f t="shared" si="3"/>
        <v>0</v>
      </c>
      <c r="AF6" s="124"/>
      <c r="AG6" s="130" t="str">
        <f t="shared" si="4"/>
        <v>CLEAR CUP 12oz</v>
      </c>
      <c r="AH6" s="131">
        <f t="shared" si="5"/>
        <v>1</v>
      </c>
      <c r="AI6" s="124"/>
      <c r="AJ6" s="130" t="str">
        <f t="shared" si="6"/>
        <v>CLEAR CUP 12oz</v>
      </c>
      <c r="AK6" s="131">
        <f t="shared" si="7"/>
        <v>1</v>
      </c>
      <c r="AL6" s="124"/>
      <c r="AM6" s="130" t="str">
        <f t="shared" si="8"/>
        <v>CLEAR CUP 12oz</v>
      </c>
      <c r="AN6" s="131">
        <f t="shared" si="9"/>
        <v>0</v>
      </c>
      <c r="AO6" s="124"/>
      <c r="AP6" s="130" t="str">
        <f t="shared" si="10"/>
        <v>CLEAR CUP 12oz</v>
      </c>
      <c r="AQ6" s="131">
        <f t="shared" si="11"/>
        <v>0</v>
      </c>
      <c r="AR6" s="124"/>
      <c r="AS6" s="130" t="str">
        <f t="shared" si="12"/>
        <v>CLEAR CUP 12oz</v>
      </c>
      <c r="AT6" s="131">
        <f t="shared" si="13"/>
        <v>0</v>
      </c>
      <c r="AU6" s="124"/>
      <c r="AV6" s="130" t="str">
        <f t="shared" si="14"/>
        <v>CLEAR CUP 12oz</v>
      </c>
      <c r="AW6" s="131">
        <f t="shared" si="15"/>
        <v>1</v>
      </c>
      <c r="AX6" s="124"/>
      <c r="AY6" s="130" t="str">
        <f t="shared" si="16"/>
        <v>CLEAR CUP 12oz</v>
      </c>
      <c r="AZ6" s="131">
        <f t="shared" si="17"/>
        <v>0</v>
      </c>
      <c r="BA6" s="124"/>
      <c r="BB6" s="130"/>
      <c r="BC6" s="131"/>
      <c r="BD6" s="124"/>
      <c r="BE6" s="130" t="str">
        <f t="shared" si="18"/>
        <v>CLEAR CUP 12oz</v>
      </c>
      <c r="BF6" s="131">
        <f t="shared" si="19"/>
        <v>0</v>
      </c>
      <c r="BG6" s="124"/>
      <c r="BH6" s="132"/>
      <c r="BI6" s="133"/>
      <c r="BJ6" s="130" t="str">
        <f t="shared" si="20"/>
        <v>CLEAR CUP 12oz</v>
      </c>
      <c r="BK6" s="131">
        <f t="shared" si="21"/>
        <v>0</v>
      </c>
      <c r="BM6" s="132"/>
      <c r="BN6" s="133"/>
    </row>
    <row r="7" ht="52.95" customHeight="1" spans="1:66" s="122" customFormat="1" x14ac:dyDescent="0.25">
      <c r="A7" s="123" t="s">
        <v>53</v>
      </c>
      <c r="B7" s="124"/>
      <c r="C7" s="123">
        <v>2</v>
      </c>
      <c r="D7" s="125"/>
      <c r="E7" s="134"/>
      <c r="F7" s="124"/>
      <c r="G7" s="135"/>
      <c r="H7" s="124"/>
      <c r="I7" s="134">
        <v>1</v>
      </c>
      <c r="J7" s="124"/>
      <c r="K7" s="135"/>
      <c r="L7" s="124"/>
      <c r="M7" s="134"/>
      <c r="N7" s="124"/>
      <c r="O7" s="135"/>
      <c r="P7" s="124"/>
      <c r="Q7" s="134"/>
      <c r="R7" s="124"/>
      <c r="S7" s="135"/>
      <c r="T7" s="124"/>
      <c r="U7" s="134">
        <v>1</v>
      </c>
      <c r="V7" s="124"/>
      <c r="W7" s="135"/>
      <c r="X7" s="124"/>
      <c r="Y7" s="134"/>
      <c r="Z7" s="124"/>
      <c r="AA7" s="130" t="str">
        <f t="shared" si="0"/>
        <v>LIDS 16oz 24oz</v>
      </c>
      <c r="AB7" s="131">
        <f t="shared" si="1"/>
        <v>1</v>
      </c>
      <c r="AC7" s="124"/>
      <c r="AD7" s="130" t="str">
        <f t="shared" si="2"/>
        <v>LIDS 16oz 24oz</v>
      </c>
      <c r="AE7" s="131">
        <f t="shared" si="3"/>
        <v>0</v>
      </c>
      <c r="AF7" s="124"/>
      <c r="AG7" s="130" t="str">
        <f t="shared" si="4"/>
        <v>LIDS 16oz 24oz</v>
      </c>
      <c r="AH7" s="131">
        <f t="shared" si="5"/>
        <v>0</v>
      </c>
      <c r="AI7" s="124"/>
      <c r="AJ7" s="130" t="str">
        <f t="shared" si="6"/>
        <v>LIDS 16oz 24oz</v>
      </c>
      <c r="AK7" s="131">
        <f t="shared" si="7"/>
        <v>1</v>
      </c>
      <c r="AL7" s="124"/>
      <c r="AM7" s="130" t="str">
        <f t="shared" si="8"/>
        <v>LIDS 16oz 24oz</v>
      </c>
      <c r="AN7" s="131">
        <f t="shared" si="9"/>
        <v>0</v>
      </c>
      <c r="AO7" s="124"/>
      <c r="AP7" s="130" t="str">
        <f t="shared" si="10"/>
        <v>LIDS 16oz 24oz</v>
      </c>
      <c r="AQ7" s="131">
        <f t="shared" si="11"/>
        <v>0</v>
      </c>
      <c r="AR7" s="124"/>
      <c r="AS7" s="130" t="str">
        <f t="shared" si="12"/>
        <v>LIDS 16oz 24oz</v>
      </c>
      <c r="AT7" s="131">
        <f t="shared" si="13"/>
        <v>1</v>
      </c>
      <c r="AU7" s="124"/>
      <c r="AV7" s="130" t="str">
        <f t="shared" si="14"/>
        <v>LIDS 16oz 24oz</v>
      </c>
      <c r="AW7" s="131">
        <f t="shared" si="15"/>
        <v>0</v>
      </c>
      <c r="AX7" s="124"/>
      <c r="AY7" s="130" t="str">
        <f t="shared" si="16"/>
        <v>LIDS 16oz 24oz</v>
      </c>
      <c r="AZ7" s="131">
        <f t="shared" si="17"/>
        <v>0</v>
      </c>
      <c r="BA7" s="124"/>
      <c r="BB7" s="130"/>
      <c r="BC7" s="131"/>
      <c r="BD7" s="124"/>
      <c r="BE7" s="130" t="str">
        <f t="shared" si="18"/>
        <v>LIDS 16oz 24oz</v>
      </c>
      <c r="BF7" s="131">
        <f t="shared" si="19"/>
        <v>0</v>
      </c>
      <c r="BG7" s="124"/>
      <c r="BH7" s="132"/>
      <c r="BI7" s="133"/>
      <c r="BJ7" s="130" t="str">
        <f t="shared" si="20"/>
        <v>LIDS 16oz 24oz</v>
      </c>
      <c r="BK7" s="131">
        <f t="shared" si="21"/>
        <v>1</v>
      </c>
      <c r="BM7" s="132"/>
      <c r="BN7" s="133"/>
    </row>
    <row r="8" ht="52.95" customHeight="1" spans="1:66" s="122" customFormat="1" x14ac:dyDescent="0.25">
      <c r="A8" s="123" t="s">
        <v>54</v>
      </c>
      <c r="B8" s="124"/>
      <c r="C8" s="123"/>
      <c r="D8" s="125"/>
      <c r="E8" s="134"/>
      <c r="F8" s="124"/>
      <c r="G8" s="135"/>
      <c r="H8" s="124"/>
      <c r="I8" s="134"/>
      <c r="J8" s="124"/>
      <c r="K8" s="135"/>
      <c r="L8" s="124"/>
      <c r="M8" s="134"/>
      <c r="N8" s="124"/>
      <c r="O8" s="135"/>
      <c r="P8" s="124"/>
      <c r="Q8" s="134"/>
      <c r="R8" s="124"/>
      <c r="S8" s="135"/>
      <c r="T8" s="124"/>
      <c r="U8" s="134"/>
      <c r="V8" s="124"/>
      <c r="W8" s="135"/>
      <c r="X8" s="124"/>
      <c r="Y8" s="134"/>
      <c r="Z8" s="124"/>
      <c r="AA8" s="130" t="str">
        <f t="shared" si="0"/>
        <v>CUP HOLDER</v>
      </c>
      <c r="AB8" s="131">
        <f t="shared" si="1"/>
        <v>1</v>
      </c>
      <c r="AC8" s="124"/>
      <c r="AD8" s="130" t="str">
        <f t="shared" si="2"/>
        <v>CUP HOLDER</v>
      </c>
      <c r="AE8" s="131">
        <f t="shared" si="3"/>
        <v>0</v>
      </c>
      <c r="AF8" s="124"/>
      <c r="AG8" s="130" t="str">
        <f t="shared" si="4"/>
        <v>CUP HOLDER</v>
      </c>
      <c r="AH8" s="131">
        <f t="shared" si="5"/>
        <v>0</v>
      </c>
      <c r="AI8" s="124"/>
      <c r="AJ8" s="130" t="str">
        <f t="shared" si="6"/>
        <v>CUP HOLDER</v>
      </c>
      <c r="AK8" s="131">
        <f t="shared" si="7"/>
        <v>0</v>
      </c>
      <c r="AL8" s="124"/>
      <c r="AM8" s="130" t="str">
        <f t="shared" si="8"/>
        <v>CUP HOLDER</v>
      </c>
      <c r="AN8" s="131">
        <f t="shared" si="9"/>
        <v>0</v>
      </c>
      <c r="AO8" s="124"/>
      <c r="AP8" s="130" t="str">
        <f t="shared" si="10"/>
        <v>CUP HOLDER</v>
      </c>
      <c r="AQ8" s="131">
        <f t="shared" si="11"/>
        <v>0</v>
      </c>
      <c r="AR8" s="124"/>
      <c r="AS8" s="130" t="str">
        <f t="shared" si="12"/>
        <v>CUP HOLDER</v>
      </c>
      <c r="AT8" s="131">
        <f t="shared" si="13"/>
        <v>0</v>
      </c>
      <c r="AU8" s="124"/>
      <c r="AV8" s="130" t="str">
        <f t="shared" si="14"/>
        <v>CUP HOLDER</v>
      </c>
      <c r="AW8" s="131">
        <f t="shared" si="15"/>
        <v>0</v>
      </c>
      <c r="AX8" s="124"/>
      <c r="AY8" s="130" t="str">
        <f t="shared" si="16"/>
        <v>CUP HOLDER</v>
      </c>
      <c r="AZ8" s="131">
        <f t="shared" si="17"/>
        <v>0</v>
      </c>
      <c r="BA8" s="124"/>
      <c r="BB8" s="130"/>
      <c r="BC8" s="131"/>
      <c r="BD8" s="124"/>
      <c r="BE8" s="130" t="str">
        <f t="shared" si="18"/>
        <v>CUP HOLDER</v>
      </c>
      <c r="BF8" s="131">
        <f t="shared" si="19"/>
        <v>0</v>
      </c>
      <c r="BG8" s="124"/>
      <c r="BH8" s="132"/>
      <c r="BI8" s="133"/>
      <c r="BJ8" s="130" t="str">
        <f t="shared" si="20"/>
        <v>CUP HOLDER</v>
      </c>
      <c r="BK8" s="131">
        <f t="shared" si="21"/>
        <v>0</v>
      </c>
      <c r="BM8" s="132"/>
      <c r="BN8" s="133"/>
    </row>
    <row r="9" ht="52.95" customHeight="1" spans="1:66" s="122" customFormat="1" x14ac:dyDescent="0.25">
      <c r="A9" s="123" t="s">
        <v>55</v>
      </c>
      <c r="B9" s="124"/>
      <c r="C9" s="123">
        <v>17</v>
      </c>
      <c r="D9" s="125"/>
      <c r="E9" s="134">
        <v>1</v>
      </c>
      <c r="F9" s="124"/>
      <c r="G9" s="135">
        <v>3</v>
      </c>
      <c r="H9" s="124"/>
      <c r="I9" s="134">
        <v>2</v>
      </c>
      <c r="J9" s="124"/>
      <c r="K9" s="135">
        <v>2</v>
      </c>
      <c r="L9" s="124"/>
      <c r="M9" s="134">
        <v>1</v>
      </c>
      <c r="N9" s="124"/>
      <c r="O9" s="135">
        <v>1</v>
      </c>
      <c r="P9" s="124"/>
      <c r="Q9" s="134">
        <v>2</v>
      </c>
      <c r="R9" s="124"/>
      <c r="S9" s="135">
        <v>2</v>
      </c>
      <c r="T9" s="124"/>
      <c r="U9" s="134">
        <v>1</v>
      </c>
      <c r="V9" s="124"/>
      <c r="W9" s="135">
        <v>1</v>
      </c>
      <c r="X9" s="124"/>
      <c r="Y9" s="134">
        <v>1</v>
      </c>
      <c r="Z9" s="124"/>
      <c r="AA9" s="130" t="str">
        <f t="shared" si="0"/>
        <v>STRAWS WRAPPED BLACK</v>
      </c>
      <c r="AB9" s="131">
        <f t="shared" si="1"/>
        <v>1</v>
      </c>
      <c r="AC9" s="124"/>
      <c r="AD9" s="130" t="str">
        <f t="shared" si="2"/>
        <v>STRAWS WRAPPED BLACK</v>
      </c>
      <c r="AE9" s="131">
        <f t="shared" si="3"/>
        <v>0</v>
      </c>
      <c r="AF9" s="124"/>
      <c r="AG9" s="130" t="str">
        <f t="shared" si="4"/>
        <v>STRAWS WRAPPED BLACK</v>
      </c>
      <c r="AH9" s="131">
        <f t="shared" si="5"/>
        <v>1</v>
      </c>
      <c r="AI9" s="124"/>
      <c r="AJ9" s="130" t="str">
        <f t="shared" si="6"/>
        <v>STRAWS WRAPPED BLACK</v>
      </c>
      <c r="AK9" s="131">
        <f t="shared" si="7"/>
        <v>0</v>
      </c>
      <c r="AL9" s="124"/>
      <c r="AM9" s="130" t="str">
        <f t="shared" si="8"/>
        <v>STRAWS WRAPPED BLACK</v>
      </c>
      <c r="AN9" s="131">
        <f t="shared" si="9"/>
        <v>0</v>
      </c>
      <c r="AO9" s="124"/>
      <c r="AP9" s="130" t="str">
        <f t="shared" si="10"/>
        <v>STRAWS WRAPPED BLACK</v>
      </c>
      <c r="AQ9" s="131">
        <f t="shared" si="11"/>
        <v>0</v>
      </c>
      <c r="AR9" s="124"/>
      <c r="AS9" s="130" t="str">
        <f t="shared" si="12"/>
        <v>STRAWS WRAPPED BLACK</v>
      </c>
      <c r="AT9" s="131">
        <f t="shared" si="13"/>
        <v>0</v>
      </c>
      <c r="AU9" s="124"/>
      <c r="AV9" s="130" t="str">
        <f t="shared" si="14"/>
        <v>STRAWS WRAPPED BLACK</v>
      </c>
      <c r="AW9" s="131">
        <f t="shared" si="15"/>
        <v>0</v>
      </c>
      <c r="AX9" s="124"/>
      <c r="AY9" s="130" t="str">
        <f t="shared" si="16"/>
        <v>STRAWS WRAPPED BLACK</v>
      </c>
      <c r="AZ9" s="131">
        <f t="shared" si="17"/>
        <v>0</v>
      </c>
      <c r="BA9" s="124"/>
      <c r="BB9" s="130"/>
      <c r="BC9" s="131"/>
      <c r="BD9" s="124"/>
      <c r="BE9" s="130" t="str">
        <f t="shared" si="18"/>
        <v>STRAWS WRAPPED BLACK</v>
      </c>
      <c r="BF9" s="131">
        <f t="shared" si="19"/>
        <v>0</v>
      </c>
      <c r="BG9" s="124"/>
      <c r="BH9" s="132"/>
      <c r="BI9" s="133"/>
      <c r="BJ9" s="130" t="str">
        <f t="shared" si="20"/>
        <v>STRAWS WRAPPED BLACK</v>
      </c>
      <c r="BK9" s="131">
        <f t="shared" si="21"/>
        <v>1</v>
      </c>
      <c r="BM9" s="132"/>
      <c r="BN9" s="133"/>
    </row>
    <row r="10" ht="52.95" customHeight="1" spans="1:66" s="122" customFormat="1" x14ac:dyDescent="0.25">
      <c r="A10" s="123" t="s">
        <v>56</v>
      </c>
      <c r="B10" s="124"/>
      <c r="C10" s="123">
        <v>18</v>
      </c>
      <c r="D10" s="125"/>
      <c r="E10" s="126">
        <v>1</v>
      </c>
      <c r="F10" s="124"/>
      <c r="G10" s="123">
        <v>3</v>
      </c>
      <c r="H10" s="124"/>
      <c r="I10" s="126">
        <v>2</v>
      </c>
      <c r="J10" s="124"/>
      <c r="K10" s="123">
        <v>2</v>
      </c>
      <c r="L10" s="124"/>
      <c r="M10" s="126">
        <v>1</v>
      </c>
      <c r="N10" s="124"/>
      <c r="O10" s="123">
        <v>1</v>
      </c>
      <c r="P10" s="124"/>
      <c r="Q10" s="126">
        <v>2</v>
      </c>
      <c r="R10" s="124"/>
      <c r="S10" s="123">
        <v>2</v>
      </c>
      <c r="T10" s="124"/>
      <c r="U10" s="126">
        <v>1</v>
      </c>
      <c r="V10" s="124"/>
      <c r="W10" s="123">
        <v>1</v>
      </c>
      <c r="X10" s="124"/>
      <c r="Y10" s="126">
        <v>2</v>
      </c>
      <c r="Z10" s="124"/>
      <c r="AA10" s="130" t="str">
        <f t="shared" si="0"/>
        <v>PORTION CUP 1.5oz</v>
      </c>
      <c r="AB10" s="131">
        <f t="shared" si="1"/>
        <v>2</v>
      </c>
      <c r="AC10" s="124"/>
      <c r="AD10" s="130" t="str">
        <f t="shared" si="2"/>
        <v>PORTION CUP 1.5oz</v>
      </c>
      <c r="AE10" s="131">
        <f t="shared" si="3"/>
        <v>1</v>
      </c>
      <c r="AF10" s="124"/>
      <c r="AG10" s="130" t="str">
        <f t="shared" si="4"/>
        <v>PORTION CUP 1.5oz</v>
      </c>
      <c r="AH10" s="131">
        <f t="shared" si="5"/>
        <v>2</v>
      </c>
      <c r="AI10" s="124"/>
      <c r="AJ10" s="130" t="str">
        <f t="shared" si="6"/>
        <v>PORTION CUP 1.5oz</v>
      </c>
      <c r="AK10" s="131">
        <f t="shared" si="7"/>
        <v>2</v>
      </c>
      <c r="AL10" s="124"/>
      <c r="AM10" s="130" t="str">
        <f t="shared" si="8"/>
        <v>PORTION CUP 1.5oz</v>
      </c>
      <c r="AN10" s="131">
        <f t="shared" si="9"/>
        <v>1</v>
      </c>
      <c r="AO10" s="124"/>
      <c r="AP10" s="130" t="str">
        <f t="shared" si="10"/>
        <v>PORTION CUP 1.5oz</v>
      </c>
      <c r="AQ10" s="131">
        <f t="shared" si="11"/>
        <v>1</v>
      </c>
      <c r="AR10" s="124"/>
      <c r="AS10" s="130" t="str">
        <f t="shared" si="12"/>
        <v>PORTION CUP 1.5oz</v>
      </c>
      <c r="AT10" s="131">
        <f t="shared" si="13"/>
        <v>1</v>
      </c>
      <c r="AU10" s="124"/>
      <c r="AV10" s="130" t="str">
        <f t="shared" si="14"/>
        <v>PORTION CUP 1.5oz</v>
      </c>
      <c r="AW10" s="131">
        <f t="shared" si="15"/>
        <v>1</v>
      </c>
      <c r="AX10" s="124"/>
      <c r="AY10" s="130" t="str">
        <f t="shared" si="16"/>
        <v>PORTION CUP 1.5oz</v>
      </c>
      <c r="AZ10" s="131">
        <f t="shared" si="17"/>
        <v>0</v>
      </c>
      <c r="BA10" s="124"/>
      <c r="BB10" s="130"/>
      <c r="BC10" s="131"/>
      <c r="BD10" s="124"/>
      <c r="BE10" s="130" t="str">
        <f t="shared" si="18"/>
        <v>PORTION CUP 1.5oz</v>
      </c>
      <c r="BF10" s="131">
        <f t="shared" si="19"/>
        <v>0</v>
      </c>
      <c r="BG10" s="124"/>
      <c r="BH10" s="132"/>
      <c r="BI10" s="133"/>
      <c r="BJ10" s="130" t="str">
        <f t="shared" si="20"/>
        <v>PORTION CUP 1.5oz</v>
      </c>
      <c r="BK10" s="131">
        <f t="shared" si="21"/>
        <v>2</v>
      </c>
      <c r="BM10" s="132"/>
      <c r="BN10" s="133"/>
    </row>
    <row r="11" ht="52.95" customHeight="1" spans="1:66" s="122" customFormat="1" x14ac:dyDescent="0.25">
      <c r="A11" s="123" t="s">
        <v>57</v>
      </c>
      <c r="B11" s="124"/>
      <c r="C11" s="123">
        <v>6</v>
      </c>
      <c r="D11" s="136"/>
      <c r="E11" s="134">
        <v>1</v>
      </c>
      <c r="F11" s="124"/>
      <c r="G11" s="135">
        <v>1</v>
      </c>
      <c r="H11" s="124"/>
      <c r="I11" s="134">
        <v>2</v>
      </c>
      <c r="J11" s="124"/>
      <c r="K11" s="135">
        <v>1</v>
      </c>
      <c r="L11" s="124"/>
      <c r="M11" s="134"/>
      <c r="N11" s="124"/>
      <c r="O11" s="135"/>
      <c r="P11" s="124"/>
      <c r="Q11" s="134"/>
      <c r="R11" s="124"/>
      <c r="S11" s="135"/>
      <c r="T11" s="124"/>
      <c r="U11" s="134"/>
      <c r="V11" s="124"/>
      <c r="W11" s="135">
        <v>1</v>
      </c>
      <c r="X11" s="124"/>
      <c r="Y11" s="134"/>
      <c r="Z11" s="124"/>
      <c r="AA11" s="130" t="str">
        <f t="shared" si="0"/>
        <v>PORTION LID 2oz</v>
      </c>
      <c r="AB11" s="131">
        <f t="shared" si="1"/>
        <v>2</v>
      </c>
      <c r="AC11" s="124"/>
      <c r="AD11" s="130" t="str">
        <f t="shared" si="2"/>
        <v>PORTION LID 2oz</v>
      </c>
      <c r="AE11" s="131">
        <f t="shared" si="3"/>
        <v>1</v>
      </c>
      <c r="AF11" s="124"/>
      <c r="AG11" s="130" t="str">
        <f t="shared" si="4"/>
        <v>PORTION LID 2oz</v>
      </c>
      <c r="AH11" s="131">
        <f t="shared" si="5"/>
        <v>2</v>
      </c>
      <c r="AI11" s="124"/>
      <c r="AJ11" s="130" t="str">
        <f t="shared" si="6"/>
        <v>PORTION LID 2oz</v>
      </c>
      <c r="AK11" s="131">
        <f t="shared" si="7"/>
        <v>2</v>
      </c>
      <c r="AL11" s="124"/>
      <c r="AM11" s="130" t="str">
        <f t="shared" si="8"/>
        <v>PORTION LID 2oz</v>
      </c>
      <c r="AN11" s="131">
        <f t="shared" si="9"/>
        <v>1</v>
      </c>
      <c r="AO11" s="124"/>
      <c r="AP11" s="130" t="str">
        <f t="shared" si="10"/>
        <v>PORTION LID 2oz</v>
      </c>
      <c r="AQ11" s="131">
        <f t="shared" si="11"/>
        <v>1</v>
      </c>
      <c r="AR11" s="124"/>
      <c r="AS11" s="130" t="str">
        <f t="shared" si="12"/>
        <v>PORTION LID 2oz</v>
      </c>
      <c r="AT11" s="131">
        <f t="shared" si="13"/>
        <v>1</v>
      </c>
      <c r="AU11" s="124"/>
      <c r="AV11" s="130" t="str">
        <f t="shared" si="14"/>
        <v>PORTION LID 2oz</v>
      </c>
      <c r="AW11" s="131">
        <f t="shared" si="15"/>
        <v>1</v>
      </c>
      <c r="AX11" s="124"/>
      <c r="AY11" s="130" t="str">
        <f t="shared" si="16"/>
        <v>PORTION LID 2oz</v>
      </c>
      <c r="AZ11" s="131">
        <f t="shared" si="17"/>
        <v>0</v>
      </c>
      <c r="BA11" s="124"/>
      <c r="BB11" s="130"/>
      <c r="BC11" s="131"/>
      <c r="BD11" s="124"/>
      <c r="BE11" s="130" t="str">
        <f t="shared" si="18"/>
        <v>PORTION LID 2oz</v>
      </c>
      <c r="BF11" s="131">
        <f t="shared" si="19"/>
        <v>0</v>
      </c>
      <c r="BG11" s="124"/>
      <c r="BH11" s="132"/>
      <c r="BI11" s="133"/>
      <c r="BJ11" s="130" t="str">
        <f t="shared" si="20"/>
        <v>PORTION LID 2oz</v>
      </c>
      <c r="BK11" s="131">
        <f t="shared" si="21"/>
        <v>2</v>
      </c>
      <c r="BM11" s="132"/>
      <c r="BN11" s="133"/>
    </row>
    <row r="12" ht="52.95" customHeight="1" spans="1:66" s="122" customFormat="1" x14ac:dyDescent="0.25">
      <c r="A12" s="123" t="s">
        <v>58</v>
      </c>
      <c r="B12" s="124"/>
      <c r="C12" s="130">
        <v>4</v>
      </c>
      <c r="D12" s="125"/>
      <c r="E12" s="126"/>
      <c r="F12" s="124"/>
      <c r="G12" s="123"/>
      <c r="H12" s="124"/>
      <c r="I12" s="126">
        <v>1</v>
      </c>
      <c r="J12" s="124"/>
      <c r="K12" s="123"/>
      <c r="L12" s="124"/>
      <c r="M12" s="126"/>
      <c r="N12" s="124"/>
      <c r="O12" s="123"/>
      <c r="P12" s="124"/>
      <c r="Q12" s="126">
        <v>1</v>
      </c>
      <c r="R12" s="124"/>
      <c r="S12" s="123"/>
      <c r="T12" s="124"/>
      <c r="U12" s="126">
        <v>1</v>
      </c>
      <c r="V12" s="124"/>
      <c r="W12" s="123"/>
      <c r="X12" s="124"/>
      <c r="Y12" s="126">
        <v>1</v>
      </c>
      <c r="Z12" s="124"/>
      <c r="AA12" s="130" t="str">
        <f t="shared" si="0"/>
        <v>KIT FORK &amp; KNIFE HVY</v>
      </c>
      <c r="AB12" s="131">
        <f t="shared" si="1"/>
        <v>2</v>
      </c>
      <c r="AC12" s="124"/>
      <c r="AD12" s="130" t="str">
        <f t="shared" si="2"/>
        <v>KIT FORK &amp; KNIFE HVY</v>
      </c>
      <c r="AE12" s="131">
        <f t="shared" si="3"/>
        <v>0</v>
      </c>
      <c r="AF12" s="124"/>
      <c r="AG12" s="130" t="str">
        <f t="shared" si="4"/>
        <v>KIT FORK &amp; KNIFE HVY</v>
      </c>
      <c r="AH12" s="131">
        <f t="shared" si="5"/>
        <v>1</v>
      </c>
      <c r="AI12" s="124"/>
      <c r="AJ12" s="130" t="str">
        <f t="shared" si="6"/>
        <v>KIT FORK &amp; KNIFE HVY</v>
      </c>
      <c r="AK12" s="131">
        <f t="shared" si="7"/>
        <v>1</v>
      </c>
      <c r="AL12" s="124"/>
      <c r="AM12" s="130" t="str">
        <f t="shared" si="8"/>
        <v>KIT FORK &amp; KNIFE HVY</v>
      </c>
      <c r="AN12" s="131">
        <f t="shared" si="9"/>
        <v>1</v>
      </c>
      <c r="AO12" s="124"/>
      <c r="AP12" s="130" t="str">
        <f t="shared" si="10"/>
        <v>KIT FORK &amp; KNIFE HVY</v>
      </c>
      <c r="AQ12" s="131">
        <f t="shared" si="11"/>
        <v>0</v>
      </c>
      <c r="AR12" s="124"/>
      <c r="AS12" s="130" t="str">
        <f t="shared" si="12"/>
        <v>KIT FORK &amp; KNIFE HVY</v>
      </c>
      <c r="AT12" s="131">
        <f t="shared" si="13"/>
        <v>1</v>
      </c>
      <c r="AU12" s="124"/>
      <c r="AV12" s="130" t="str">
        <f t="shared" si="14"/>
        <v>KIT FORK &amp; KNIFE HVY</v>
      </c>
      <c r="AW12" s="131">
        <f t="shared" si="15"/>
        <v>1</v>
      </c>
      <c r="AX12" s="124"/>
      <c r="AY12" s="130" t="str">
        <f t="shared" si="16"/>
        <v>KIT FORK &amp; KNIFE HVY</v>
      </c>
      <c r="AZ12" s="131">
        <f t="shared" si="17"/>
        <v>0</v>
      </c>
      <c r="BA12" s="124"/>
      <c r="BB12" s="130"/>
      <c r="BC12" s="131"/>
      <c r="BD12" s="124"/>
      <c r="BE12" s="130" t="str">
        <f t="shared" si="18"/>
        <v>KIT FORK &amp; KNIFE HVY</v>
      </c>
      <c r="BF12" s="131">
        <f t="shared" si="19"/>
        <v>0</v>
      </c>
      <c r="BG12" s="124"/>
      <c r="BH12" s="132"/>
      <c r="BI12" s="133"/>
      <c r="BJ12" s="130" t="str">
        <f t="shared" si="20"/>
        <v>KIT FORK &amp; KNIFE HVY</v>
      </c>
      <c r="BK12" s="131">
        <f t="shared" si="21"/>
        <v>1</v>
      </c>
      <c r="BM12" s="132"/>
      <c r="BN12" s="133"/>
    </row>
    <row r="13" ht="52.95" customHeight="1" spans="1:66" s="122" customFormat="1" x14ac:dyDescent="0.25">
      <c r="A13" s="123" t="s">
        <v>59</v>
      </c>
      <c r="B13" s="124"/>
      <c r="C13" s="123">
        <v>2</v>
      </c>
      <c r="D13" s="125"/>
      <c r="E13" s="134"/>
      <c r="F13" s="124"/>
      <c r="G13" s="135"/>
      <c r="H13" s="124"/>
      <c r="I13" s="134"/>
      <c r="J13" s="124"/>
      <c r="K13" s="135"/>
      <c r="L13" s="124"/>
      <c r="M13" s="134"/>
      <c r="N13" s="124"/>
      <c r="O13" s="135"/>
      <c r="P13" s="124"/>
      <c r="Q13" s="134">
        <v>1</v>
      </c>
      <c r="R13" s="124"/>
      <c r="S13" s="135"/>
      <c r="T13" s="124"/>
      <c r="U13" s="134"/>
      <c r="V13" s="124"/>
      <c r="W13" s="135"/>
      <c r="X13" s="124"/>
      <c r="Y13" s="134">
        <v>1</v>
      </c>
      <c r="Z13" s="124"/>
      <c r="AA13" s="130" t="str">
        <f t="shared" si="0"/>
        <v>FORK HD PLASTIC</v>
      </c>
      <c r="AB13" s="131">
        <f t="shared" si="1"/>
        <v>1</v>
      </c>
      <c r="AC13" s="124"/>
      <c r="AD13" s="130" t="str">
        <f t="shared" si="2"/>
        <v>FORK HD PLASTIC</v>
      </c>
      <c r="AE13" s="131">
        <f t="shared" si="3"/>
        <v>2</v>
      </c>
      <c r="AF13" s="124"/>
      <c r="AG13" s="130" t="str">
        <f t="shared" si="4"/>
        <v>FORK HD PLASTIC</v>
      </c>
      <c r="AH13" s="131">
        <f t="shared" si="5"/>
        <v>1</v>
      </c>
      <c r="AI13" s="124"/>
      <c r="AJ13" s="130" t="str">
        <f t="shared" si="6"/>
        <v>FORK HD PLASTIC</v>
      </c>
      <c r="AK13" s="131">
        <f t="shared" si="7"/>
        <v>0</v>
      </c>
      <c r="AL13" s="124"/>
      <c r="AM13" s="130" t="str">
        <f t="shared" si="8"/>
        <v>FORK HD PLASTIC</v>
      </c>
      <c r="AN13" s="131">
        <f t="shared" si="9"/>
        <v>1</v>
      </c>
      <c r="AO13" s="124"/>
      <c r="AP13" s="130" t="str">
        <f t="shared" si="10"/>
        <v>FORK HD PLASTIC</v>
      </c>
      <c r="AQ13" s="131">
        <f t="shared" si="11"/>
        <v>1</v>
      </c>
      <c r="AR13" s="124"/>
      <c r="AS13" s="130" t="str">
        <f t="shared" si="12"/>
        <v>FORK HD PLASTIC</v>
      </c>
      <c r="AT13" s="131">
        <f t="shared" si="13"/>
        <v>0</v>
      </c>
      <c r="AU13" s="124"/>
      <c r="AV13" s="130" t="str">
        <f t="shared" si="14"/>
        <v>FORK HD PLASTIC</v>
      </c>
      <c r="AW13" s="131">
        <f t="shared" si="15"/>
        <v>1</v>
      </c>
      <c r="AX13" s="124"/>
      <c r="AY13" s="130" t="str">
        <f t="shared" si="16"/>
        <v>FORK HD PLASTIC</v>
      </c>
      <c r="AZ13" s="131">
        <f t="shared" si="17"/>
        <v>0</v>
      </c>
      <c r="BA13" s="124"/>
      <c r="BB13" s="130"/>
      <c r="BC13" s="131"/>
      <c r="BD13" s="124"/>
      <c r="BE13" s="130" t="str">
        <f t="shared" si="18"/>
        <v>FORK HD PLASTIC</v>
      </c>
      <c r="BF13" s="131">
        <f t="shared" si="19"/>
        <v>0</v>
      </c>
      <c r="BG13" s="124"/>
      <c r="BH13" s="132"/>
      <c r="BI13" s="133"/>
      <c r="BJ13" s="130" t="str">
        <f t="shared" si="20"/>
        <v>FORK HD PLASTIC</v>
      </c>
      <c r="BK13" s="131">
        <f t="shared" si="21"/>
        <v>1</v>
      </c>
      <c r="BM13" s="132"/>
      <c r="BN13" s="133"/>
    </row>
    <row r="14" ht="52.95" customHeight="1" spans="1:66" s="122" customFormat="1" x14ac:dyDescent="0.25">
      <c r="A14" s="123" t="s">
        <v>60</v>
      </c>
      <c r="B14" s="124"/>
      <c r="C14" s="123">
        <v>8</v>
      </c>
      <c r="D14" s="125"/>
      <c r="E14" s="134">
        <v>1</v>
      </c>
      <c r="F14" s="124"/>
      <c r="G14" s="135">
        <v>1</v>
      </c>
      <c r="H14" s="124"/>
      <c r="I14" s="134">
        <v>1</v>
      </c>
      <c r="J14" s="124"/>
      <c r="K14" s="135">
        <v>1</v>
      </c>
      <c r="L14" s="124"/>
      <c r="M14" s="134"/>
      <c r="N14" s="124"/>
      <c r="O14" s="135">
        <v>1</v>
      </c>
      <c r="P14" s="124"/>
      <c r="Q14" s="134"/>
      <c r="R14" s="124"/>
      <c r="S14" s="135">
        <v>1</v>
      </c>
      <c r="T14" s="124"/>
      <c r="U14" s="134">
        <v>1</v>
      </c>
      <c r="V14" s="124"/>
      <c r="W14" s="135"/>
      <c r="X14" s="124"/>
      <c r="Y14" s="134">
        <v>1</v>
      </c>
      <c r="Z14" s="124"/>
      <c r="AA14" s="130" t="str">
        <f t="shared" si="0"/>
        <v>SPOON PLASTIC</v>
      </c>
      <c r="AB14" s="131">
        <f t="shared" si="1"/>
        <v>1</v>
      </c>
      <c r="AC14" s="124"/>
      <c r="AD14" s="130" t="str">
        <f t="shared" si="2"/>
        <v>SPOON PLASTIC</v>
      </c>
      <c r="AE14" s="131">
        <f t="shared" si="3"/>
        <v>0</v>
      </c>
      <c r="AF14" s="124"/>
      <c r="AG14" s="130" t="str">
        <f t="shared" si="4"/>
        <v>SPOON PLASTIC</v>
      </c>
      <c r="AH14" s="131">
        <f t="shared" si="5"/>
        <v>1</v>
      </c>
      <c r="AI14" s="124"/>
      <c r="AJ14" s="130" t="str">
        <f t="shared" si="6"/>
        <v>SPOON PLASTIC</v>
      </c>
      <c r="AK14" s="131">
        <f t="shared" si="7"/>
        <v>0</v>
      </c>
      <c r="AL14" s="124"/>
      <c r="AM14" s="130" t="str">
        <f t="shared" si="8"/>
        <v>SPOON PLASTIC</v>
      </c>
      <c r="AN14" s="131">
        <f t="shared" si="9"/>
        <v>0</v>
      </c>
      <c r="AO14" s="124"/>
      <c r="AP14" s="130" t="str">
        <f t="shared" si="10"/>
        <v>SPOON PLASTIC</v>
      </c>
      <c r="AQ14" s="131">
        <f t="shared" si="11"/>
        <v>0</v>
      </c>
      <c r="AR14" s="124"/>
      <c r="AS14" s="130" t="str">
        <f t="shared" si="12"/>
        <v>SPOON PLASTIC</v>
      </c>
      <c r="AT14" s="131">
        <f t="shared" si="13"/>
        <v>0</v>
      </c>
      <c r="AU14" s="124"/>
      <c r="AV14" s="130" t="str">
        <f t="shared" si="14"/>
        <v>SPOON PLASTIC</v>
      </c>
      <c r="AW14" s="131">
        <f t="shared" si="15"/>
        <v>0</v>
      </c>
      <c r="AX14" s="124"/>
      <c r="AY14" s="130" t="str">
        <f t="shared" si="16"/>
        <v>SPOON PLASTIC</v>
      </c>
      <c r="AZ14" s="131">
        <f t="shared" si="17"/>
        <v>0</v>
      </c>
      <c r="BA14" s="124"/>
      <c r="BB14" s="130"/>
      <c r="BC14" s="131"/>
      <c r="BD14" s="124"/>
      <c r="BE14" s="130" t="str">
        <f t="shared" si="18"/>
        <v>SPOON PLASTIC</v>
      </c>
      <c r="BF14" s="131">
        <f t="shared" si="19"/>
        <v>0</v>
      </c>
      <c r="BG14" s="124"/>
      <c r="BH14" s="132"/>
      <c r="BI14" s="133"/>
      <c r="BJ14" s="130" t="str">
        <f t="shared" si="20"/>
        <v>SPOON PLASTIC</v>
      </c>
      <c r="BK14" s="131">
        <f t="shared" si="21"/>
        <v>0</v>
      </c>
      <c r="BM14" s="132"/>
      <c r="BN14" s="133"/>
    </row>
    <row r="15" ht="52.95" customHeight="1" spans="1:66" s="122" customFormat="1" x14ac:dyDescent="0.25">
      <c r="A15" s="123" t="s">
        <v>61</v>
      </c>
      <c r="B15" s="124"/>
      <c r="C15" s="123">
        <v>1</v>
      </c>
      <c r="D15" s="125"/>
      <c r="E15" s="126"/>
      <c r="F15" s="124"/>
      <c r="G15" s="123">
        <v>1</v>
      </c>
      <c r="H15" s="124"/>
      <c r="I15" s="126"/>
      <c r="J15" s="124"/>
      <c r="K15" s="123"/>
      <c r="L15" s="124"/>
      <c r="M15" s="126"/>
      <c r="N15" s="124"/>
      <c r="O15" s="123"/>
      <c r="P15" s="124"/>
      <c r="Q15" s="126"/>
      <c r="R15" s="124"/>
      <c r="S15" s="123"/>
      <c r="T15" s="124"/>
      <c r="U15" s="126"/>
      <c r="V15" s="124"/>
      <c r="W15" s="123"/>
      <c r="X15" s="124"/>
      <c r="Y15" s="126"/>
      <c r="Z15" s="124"/>
      <c r="AA15" s="130" t="str">
        <f t="shared" si="0"/>
        <v>T-SHIRT BAG</v>
      </c>
      <c r="AB15" s="131">
        <f t="shared" si="1"/>
        <v>1</v>
      </c>
      <c r="AC15" s="124"/>
      <c r="AD15" s="130" t="str">
        <f t="shared" si="2"/>
        <v>T-SHIRT BAG</v>
      </c>
      <c r="AE15" s="131">
        <f t="shared" si="3"/>
        <v>0</v>
      </c>
      <c r="AF15" s="124"/>
      <c r="AG15" s="130" t="str">
        <f t="shared" si="4"/>
        <v>T-SHIRT BAG</v>
      </c>
      <c r="AH15" s="131">
        <f t="shared" si="5"/>
        <v>1</v>
      </c>
      <c r="AI15" s="124"/>
      <c r="AJ15" s="130" t="str">
        <f t="shared" si="6"/>
        <v>T-SHIRT BAG</v>
      </c>
      <c r="AK15" s="131">
        <f t="shared" si="7"/>
        <v>0</v>
      </c>
      <c r="AL15" s="124"/>
      <c r="AM15" s="130" t="str">
        <f t="shared" si="8"/>
        <v>T-SHIRT BAG</v>
      </c>
      <c r="AN15" s="131">
        <f t="shared" si="9"/>
        <v>1</v>
      </c>
      <c r="AO15" s="124"/>
      <c r="AP15" s="130" t="str">
        <f t="shared" si="10"/>
        <v>T-SHIRT BAG</v>
      </c>
      <c r="AQ15" s="131">
        <f t="shared" si="11"/>
        <v>1</v>
      </c>
      <c r="AR15" s="124"/>
      <c r="AS15" s="130" t="str">
        <f t="shared" si="12"/>
        <v>T-SHIRT BAG</v>
      </c>
      <c r="AT15" s="131">
        <f t="shared" si="13"/>
        <v>0</v>
      </c>
      <c r="AU15" s="124"/>
      <c r="AV15" s="130" t="str">
        <f t="shared" si="14"/>
        <v>T-SHIRT BAG</v>
      </c>
      <c r="AW15" s="131">
        <f t="shared" si="15"/>
        <v>1</v>
      </c>
      <c r="AX15" s="124"/>
      <c r="AY15" s="130" t="str">
        <f t="shared" si="16"/>
        <v>T-SHIRT BAG</v>
      </c>
      <c r="AZ15" s="131">
        <f t="shared" si="17"/>
        <v>0</v>
      </c>
      <c r="BA15" s="124"/>
      <c r="BB15" s="130"/>
      <c r="BC15" s="131"/>
      <c r="BD15" s="124"/>
      <c r="BE15" s="130" t="str">
        <f t="shared" si="18"/>
        <v>T-SHIRT BAG</v>
      </c>
      <c r="BF15" s="131">
        <f t="shared" si="19"/>
        <v>0</v>
      </c>
      <c r="BG15" s="124"/>
      <c r="BH15" s="132"/>
      <c r="BI15" s="133"/>
      <c r="BJ15" s="130" t="str">
        <f t="shared" si="20"/>
        <v>T-SHIRT BAG</v>
      </c>
      <c r="BK15" s="131">
        <f t="shared" si="21"/>
        <v>0</v>
      </c>
      <c r="BM15" s="132"/>
      <c r="BN15" s="133"/>
    </row>
    <row r="16" ht="52.95" customHeight="1" spans="1:66" s="122" customFormat="1" x14ac:dyDescent="0.25">
      <c r="A16" s="123" t="s">
        <v>62</v>
      </c>
      <c r="B16" s="124"/>
      <c r="C16" s="123">
        <v>16</v>
      </c>
      <c r="D16" s="125"/>
      <c r="E16" s="134">
        <v>1</v>
      </c>
      <c r="F16" s="124"/>
      <c r="G16" s="135">
        <v>2</v>
      </c>
      <c r="H16" s="124"/>
      <c r="I16" s="134">
        <v>2</v>
      </c>
      <c r="J16" s="124"/>
      <c r="K16" s="135">
        <v>2</v>
      </c>
      <c r="L16" s="124"/>
      <c r="M16" s="134">
        <v>1</v>
      </c>
      <c r="N16" s="124"/>
      <c r="O16" s="135">
        <v>1</v>
      </c>
      <c r="P16" s="124"/>
      <c r="Q16" s="134">
        <v>1</v>
      </c>
      <c r="R16" s="124"/>
      <c r="S16" s="135">
        <v>2</v>
      </c>
      <c r="T16" s="124"/>
      <c r="U16" s="134">
        <v>1</v>
      </c>
      <c r="V16" s="124"/>
      <c r="W16" s="135">
        <v>1</v>
      </c>
      <c r="X16" s="124"/>
      <c r="Y16" s="134">
        <v>2</v>
      </c>
      <c r="Z16" s="124"/>
      <c r="AA16" s="130" t="str">
        <f t="shared" si="0"/>
        <v>2oz PORTION CUP</v>
      </c>
      <c r="AB16" s="131">
        <f t="shared" si="1"/>
        <v>0</v>
      </c>
      <c r="AC16" s="124"/>
      <c r="AD16" s="130" t="str">
        <f t="shared" si="2"/>
        <v>2oz PORTION CUP</v>
      </c>
      <c r="AE16" s="131">
        <f t="shared" si="3"/>
        <v>0</v>
      </c>
      <c r="AF16" s="124"/>
      <c r="AG16" s="130" t="str">
        <f t="shared" si="4"/>
        <v>2oz PORTION CUP</v>
      </c>
      <c r="AH16" s="131">
        <f t="shared" si="5"/>
        <v>0</v>
      </c>
      <c r="AI16" s="124"/>
      <c r="AJ16" s="130" t="str">
        <f t="shared" si="6"/>
        <v>2oz PORTION CUP</v>
      </c>
      <c r="AK16" s="131">
        <f t="shared" si="7"/>
        <v>1</v>
      </c>
      <c r="AL16" s="124"/>
      <c r="AM16" s="130" t="str">
        <f t="shared" si="8"/>
        <v>2oz PORTION CUP</v>
      </c>
      <c r="AN16" s="131">
        <f t="shared" si="9"/>
        <v>0</v>
      </c>
      <c r="AO16" s="124"/>
      <c r="AP16" s="130" t="str">
        <f t="shared" si="10"/>
        <v>2oz PORTION CUP</v>
      </c>
      <c r="AQ16" s="131">
        <f t="shared" si="11"/>
        <v>1</v>
      </c>
      <c r="AR16" s="124"/>
      <c r="AS16" s="130" t="str">
        <f t="shared" si="12"/>
        <v>2oz PORTION CUP</v>
      </c>
      <c r="AT16" s="131">
        <f t="shared" si="13"/>
        <v>0</v>
      </c>
      <c r="AU16" s="124"/>
      <c r="AV16" s="130" t="str">
        <f t="shared" si="14"/>
        <v>2oz PORTION CUP</v>
      </c>
      <c r="AW16" s="131">
        <f t="shared" si="15"/>
        <v>0</v>
      </c>
      <c r="AX16" s="124"/>
      <c r="AY16" s="130" t="str">
        <f t="shared" si="16"/>
        <v>2oz PORTION CUP</v>
      </c>
      <c r="AZ16" s="131">
        <f t="shared" si="17"/>
        <v>0</v>
      </c>
      <c r="BA16" s="124"/>
      <c r="BB16" s="130"/>
      <c r="BC16" s="131"/>
      <c r="BD16" s="124"/>
      <c r="BE16" s="130" t="str">
        <f t="shared" si="18"/>
        <v>2oz PORTION CUP</v>
      </c>
      <c r="BF16" s="131">
        <f t="shared" si="19"/>
        <v>0</v>
      </c>
      <c r="BG16" s="124"/>
      <c r="BH16" s="132"/>
      <c r="BI16" s="133"/>
      <c r="BJ16" s="130" t="str">
        <f t="shared" si="20"/>
        <v>2oz PORTION CUP</v>
      </c>
      <c r="BK16" s="131">
        <f t="shared" si="21"/>
        <v>0</v>
      </c>
      <c r="BM16" s="132"/>
      <c r="BN16" s="133"/>
    </row>
    <row r="17" ht="52.95" customHeight="1" spans="1:66" s="122" customFormat="1" x14ac:dyDescent="0.25">
      <c r="A17" s="123" t="s">
        <v>63</v>
      </c>
      <c r="B17" s="124"/>
      <c r="C17" s="123"/>
      <c r="D17" s="125"/>
      <c r="E17" s="134"/>
      <c r="F17" s="124"/>
      <c r="G17" s="135"/>
      <c r="H17" s="124"/>
      <c r="I17" s="134"/>
      <c r="J17" s="124"/>
      <c r="K17" s="135"/>
      <c r="L17" s="124"/>
      <c r="M17" s="134"/>
      <c r="N17" s="124"/>
      <c r="O17" s="135"/>
      <c r="P17" s="124"/>
      <c r="Q17" s="134"/>
      <c r="R17" s="124"/>
      <c r="S17" s="135"/>
      <c r="T17" s="124"/>
      <c r="U17" s="134"/>
      <c r="V17" s="124"/>
      <c r="W17" s="135"/>
      <c r="X17" s="124"/>
      <c r="Y17" s="134"/>
      <c r="Z17" s="124"/>
      <c r="AA17" s="130" t="str">
        <f t="shared" si="0"/>
        <v>XL NITRILE GLOVES</v>
      </c>
      <c r="AB17" s="131">
        <f t="shared" si="1"/>
        <v>2</v>
      </c>
      <c r="AC17" s="124"/>
      <c r="AD17" s="130" t="str">
        <f t="shared" si="2"/>
        <v>XL NITRILE GLOVES</v>
      </c>
      <c r="AE17" s="131">
        <f t="shared" si="3"/>
        <v>0</v>
      </c>
      <c r="AF17" s="124"/>
      <c r="AG17" s="130" t="str">
        <f t="shared" si="4"/>
        <v>XL NITRILE GLOVES</v>
      </c>
      <c r="AH17" s="131">
        <f t="shared" si="5"/>
        <v>1</v>
      </c>
      <c r="AI17" s="124"/>
      <c r="AJ17" s="130" t="str">
        <f t="shared" si="6"/>
        <v>XL NITRILE GLOVES</v>
      </c>
      <c r="AK17" s="131">
        <f t="shared" si="7"/>
        <v>1</v>
      </c>
      <c r="AL17" s="124"/>
      <c r="AM17" s="130" t="str">
        <f t="shared" si="8"/>
        <v>XL NITRILE GLOVES</v>
      </c>
      <c r="AN17" s="131">
        <f t="shared" si="9"/>
        <v>1</v>
      </c>
      <c r="AO17" s="124"/>
      <c r="AP17" s="130" t="str">
        <f t="shared" si="10"/>
        <v>XL NITRILE GLOVES</v>
      </c>
      <c r="AQ17" s="131">
        <f t="shared" si="11"/>
        <v>1</v>
      </c>
      <c r="AR17" s="124"/>
      <c r="AS17" s="130" t="str">
        <f t="shared" si="12"/>
        <v>XL NITRILE GLOVES</v>
      </c>
      <c r="AT17" s="131">
        <f t="shared" si="13"/>
        <v>2</v>
      </c>
      <c r="AU17" s="124"/>
      <c r="AV17" s="130" t="str">
        <f t="shared" si="14"/>
        <v>XL NITRILE GLOVES</v>
      </c>
      <c r="AW17" s="131">
        <f t="shared" si="15"/>
        <v>1</v>
      </c>
      <c r="AX17" s="124"/>
      <c r="AY17" s="130" t="str">
        <f t="shared" si="16"/>
        <v>XL NITRILE GLOVES</v>
      </c>
      <c r="AZ17" s="131">
        <f t="shared" si="17"/>
        <v>0</v>
      </c>
      <c r="BA17" s="124"/>
      <c r="BB17" s="130"/>
      <c r="BC17" s="131"/>
      <c r="BD17" s="124"/>
      <c r="BE17" s="130" t="str">
        <f t="shared" si="18"/>
        <v>XL NITRILE GLOVES</v>
      </c>
      <c r="BF17" s="131">
        <f t="shared" si="19"/>
        <v>0</v>
      </c>
      <c r="BG17" s="124"/>
      <c r="BH17" s="132"/>
      <c r="BI17" s="133"/>
      <c r="BJ17" s="130" t="str">
        <f t="shared" si="20"/>
        <v>XL NITRILE GLOVES</v>
      </c>
      <c r="BK17" s="131">
        <f t="shared" si="21"/>
        <v>2</v>
      </c>
      <c r="BM17" s="132"/>
      <c r="BN17" s="133"/>
    </row>
    <row r="18" ht="52.95" customHeight="1" spans="1:66" s="122" customFormat="1" x14ac:dyDescent="0.25">
      <c r="A18" s="123" t="s">
        <v>64</v>
      </c>
      <c r="B18" s="124"/>
      <c r="C18" s="123">
        <v>3</v>
      </c>
      <c r="D18" s="125"/>
      <c r="E18" s="134"/>
      <c r="F18" s="124"/>
      <c r="G18" s="135"/>
      <c r="H18" s="124"/>
      <c r="I18" s="134">
        <v>1</v>
      </c>
      <c r="J18" s="124"/>
      <c r="K18" s="135">
        <v>1</v>
      </c>
      <c r="L18" s="124"/>
      <c r="M18" s="134"/>
      <c r="N18" s="124"/>
      <c r="O18" s="135">
        <v>1</v>
      </c>
      <c r="P18" s="124"/>
      <c r="Q18" s="134"/>
      <c r="R18" s="124"/>
      <c r="S18" s="135"/>
      <c r="T18" s="124"/>
      <c r="U18" s="134"/>
      <c r="V18" s="124"/>
      <c r="W18" s="135"/>
      <c r="X18" s="124"/>
      <c r="Y18" s="134"/>
      <c r="Z18" s="124"/>
      <c r="AA18" s="130" t="str">
        <f t="shared" si="0"/>
        <v>MD VINYL GLOVES</v>
      </c>
      <c r="AB18" s="131">
        <f t="shared" si="1"/>
        <v>1</v>
      </c>
      <c r="AC18" s="124"/>
      <c r="AD18" s="130" t="str">
        <f t="shared" si="2"/>
        <v>MD VINYL GLOVES</v>
      </c>
      <c r="AE18" s="131">
        <f t="shared" si="3"/>
        <v>0</v>
      </c>
      <c r="AF18" s="124"/>
      <c r="AG18" s="130" t="str">
        <f t="shared" si="4"/>
        <v>MD VINYL GLOVES</v>
      </c>
      <c r="AH18" s="131">
        <f t="shared" si="5"/>
        <v>0</v>
      </c>
      <c r="AI18" s="124"/>
      <c r="AJ18" s="130" t="str">
        <f t="shared" si="6"/>
        <v>MD VINYL GLOVES</v>
      </c>
      <c r="AK18" s="131">
        <f t="shared" si="7"/>
        <v>0</v>
      </c>
      <c r="AL18" s="124"/>
      <c r="AM18" s="130" t="str">
        <f t="shared" si="8"/>
        <v>MD VINYL GLOVES</v>
      </c>
      <c r="AN18" s="131">
        <f t="shared" si="9"/>
        <v>1</v>
      </c>
      <c r="AO18" s="124"/>
      <c r="AP18" s="130" t="str">
        <f t="shared" si="10"/>
        <v>MD VINYL GLOVES</v>
      </c>
      <c r="AQ18" s="131">
        <f t="shared" si="11"/>
        <v>0</v>
      </c>
      <c r="AR18" s="124"/>
      <c r="AS18" s="130" t="str">
        <f t="shared" si="12"/>
        <v>MD VINYL GLOVES</v>
      </c>
      <c r="AT18" s="131">
        <f t="shared" si="13"/>
        <v>0</v>
      </c>
      <c r="AU18" s="124"/>
      <c r="AV18" s="130" t="str">
        <f t="shared" si="14"/>
        <v>MD VINYL GLOVES</v>
      </c>
      <c r="AW18" s="131">
        <f t="shared" si="15"/>
        <v>1</v>
      </c>
      <c r="AX18" s="124"/>
      <c r="AY18" s="130" t="str">
        <f t="shared" si="16"/>
        <v>MD VINYL GLOVES</v>
      </c>
      <c r="AZ18" s="131">
        <f t="shared" si="17"/>
        <v>0</v>
      </c>
      <c r="BA18" s="124"/>
      <c r="BB18" s="130"/>
      <c r="BC18" s="131"/>
      <c r="BD18" s="124"/>
      <c r="BE18" s="130" t="str">
        <f t="shared" si="18"/>
        <v>MD VINYL GLOVES</v>
      </c>
      <c r="BF18" s="131">
        <f t="shared" si="19"/>
        <v>0</v>
      </c>
      <c r="BG18" s="124"/>
      <c r="BH18" s="132"/>
      <c r="BI18" s="133"/>
      <c r="BJ18" s="130" t="str">
        <f t="shared" si="20"/>
        <v>MD VINYL GLOVES</v>
      </c>
      <c r="BK18" s="131">
        <f t="shared" si="21"/>
        <v>0</v>
      </c>
      <c r="BM18" s="132"/>
      <c r="BN18" s="133"/>
    </row>
    <row r="19" ht="52.95" customHeight="1" spans="1:66" s="122" customFormat="1" x14ac:dyDescent="0.25">
      <c r="A19" s="123" t="s">
        <v>65</v>
      </c>
      <c r="B19" s="124"/>
      <c r="C19" s="123">
        <v>8</v>
      </c>
      <c r="D19" s="125"/>
      <c r="E19" s="134"/>
      <c r="F19" s="124"/>
      <c r="G19" s="135">
        <v>1</v>
      </c>
      <c r="H19" s="124"/>
      <c r="I19" s="134">
        <v>1</v>
      </c>
      <c r="J19" s="124"/>
      <c r="K19" s="135">
        <v>1</v>
      </c>
      <c r="L19" s="124"/>
      <c r="M19" s="134">
        <v>1</v>
      </c>
      <c r="N19" s="124"/>
      <c r="O19" s="135"/>
      <c r="P19" s="124"/>
      <c r="Q19" s="134">
        <v>1</v>
      </c>
      <c r="R19" s="124"/>
      <c r="S19" s="135">
        <v>1</v>
      </c>
      <c r="T19" s="124"/>
      <c r="U19" s="134">
        <v>1</v>
      </c>
      <c r="V19" s="124"/>
      <c r="W19" s="135"/>
      <c r="X19" s="124"/>
      <c r="Y19" s="134">
        <v>1</v>
      </c>
      <c r="Z19" s="124"/>
      <c r="AA19" s="130" t="str">
        <f t="shared" si="0"/>
        <v>FOIL STD 12X1000</v>
      </c>
      <c r="AB19" s="131">
        <f t="shared" si="1"/>
        <v>1</v>
      </c>
      <c r="AC19" s="124"/>
      <c r="AD19" s="130" t="str">
        <f t="shared" si="2"/>
        <v>FOIL STD 12X1000</v>
      </c>
      <c r="AE19" s="131">
        <f t="shared" si="3"/>
        <v>0</v>
      </c>
      <c r="AF19" s="124"/>
      <c r="AG19" s="130" t="str">
        <f t="shared" si="4"/>
        <v>FOIL STD 12X1000</v>
      </c>
      <c r="AH19" s="131">
        <f t="shared" si="5"/>
        <v>1</v>
      </c>
      <c r="AI19" s="124"/>
      <c r="AJ19" s="130" t="str">
        <f t="shared" si="6"/>
        <v>FOIL STD 12X1000</v>
      </c>
      <c r="AK19" s="131">
        <f t="shared" si="7"/>
        <v>1</v>
      </c>
      <c r="AL19" s="124"/>
      <c r="AM19" s="130" t="str">
        <f t="shared" si="8"/>
        <v>FOIL STD 12X1000</v>
      </c>
      <c r="AN19" s="131">
        <f t="shared" si="9"/>
        <v>0</v>
      </c>
      <c r="AO19" s="124"/>
      <c r="AP19" s="130" t="str">
        <f t="shared" si="10"/>
        <v>FOIL STD 12X1000</v>
      </c>
      <c r="AQ19" s="131">
        <f t="shared" si="11"/>
        <v>1</v>
      </c>
      <c r="AR19" s="124"/>
      <c r="AS19" s="130" t="str">
        <f t="shared" si="12"/>
        <v>FOIL STD 12X1000</v>
      </c>
      <c r="AT19" s="131">
        <f t="shared" si="13"/>
        <v>0</v>
      </c>
      <c r="AU19" s="124"/>
      <c r="AV19" s="130" t="str">
        <f t="shared" si="14"/>
        <v>FOIL STD 12X1000</v>
      </c>
      <c r="AW19" s="131">
        <f t="shared" si="15"/>
        <v>1</v>
      </c>
      <c r="AX19" s="124"/>
      <c r="AY19" s="130" t="str">
        <f t="shared" si="16"/>
        <v>FOIL STD 12X1000</v>
      </c>
      <c r="AZ19" s="131">
        <f t="shared" si="17"/>
        <v>0</v>
      </c>
      <c r="BA19" s="124"/>
      <c r="BB19" s="130"/>
      <c r="BC19" s="131"/>
      <c r="BD19" s="124"/>
      <c r="BE19" s="130" t="str">
        <f t="shared" si="18"/>
        <v>FOIL STD 12X1000</v>
      </c>
      <c r="BF19" s="131">
        <f t="shared" si="19"/>
        <v>0</v>
      </c>
      <c r="BG19" s="124"/>
      <c r="BH19" s="132"/>
      <c r="BI19" s="133"/>
      <c r="BJ19" s="130" t="str">
        <f t="shared" si="20"/>
        <v>FOIL STD 12X1000</v>
      </c>
      <c r="BK19" s="131">
        <f t="shared" si="21"/>
        <v>1</v>
      </c>
      <c r="BM19" s="132"/>
      <c r="BN19" s="133"/>
    </row>
    <row r="20" ht="52.95" customHeight="1" spans="1:66" s="122" customFormat="1" x14ac:dyDescent="0.25">
      <c r="A20" s="123" t="s">
        <v>66</v>
      </c>
      <c r="B20" s="124"/>
      <c r="C20" s="123">
        <v>1</v>
      </c>
      <c r="D20" s="125"/>
      <c r="E20" s="134"/>
      <c r="F20" s="124"/>
      <c r="G20" s="135"/>
      <c r="H20" s="124"/>
      <c r="I20" s="134">
        <v>1</v>
      </c>
      <c r="J20" s="124"/>
      <c r="K20" s="135"/>
      <c r="L20" s="124"/>
      <c r="M20" s="134"/>
      <c r="N20" s="124"/>
      <c r="O20" s="135"/>
      <c r="P20" s="124"/>
      <c r="Q20" s="134"/>
      <c r="R20" s="124"/>
      <c r="S20" s="135"/>
      <c r="T20" s="124"/>
      <c r="U20" s="134"/>
      <c r="V20" s="124"/>
      <c r="W20" s="135"/>
      <c r="X20" s="124"/>
      <c r="Y20" s="134"/>
      <c r="Z20" s="124"/>
      <c r="AA20" s="130" t="str">
        <f t="shared" si="0"/>
        <v>THERMAL PAPER ROLL 3 1/8"</v>
      </c>
      <c r="AB20" s="131">
        <f t="shared" si="1"/>
        <v>0</v>
      </c>
      <c r="AC20" s="124"/>
      <c r="AD20" s="130" t="str">
        <f t="shared" si="2"/>
        <v>THERMAL PAPER ROLL 3 1/8"</v>
      </c>
      <c r="AE20" s="131">
        <f t="shared" si="3"/>
        <v>0</v>
      </c>
      <c r="AF20" s="124"/>
      <c r="AG20" s="130" t="str">
        <f t="shared" si="4"/>
        <v>THERMAL PAPER ROLL 3 1/8"</v>
      </c>
      <c r="AH20" s="131">
        <f t="shared" si="5"/>
        <v>0</v>
      </c>
      <c r="AI20" s="124"/>
      <c r="AJ20" s="130" t="str">
        <f t="shared" si="6"/>
        <v>THERMAL PAPER ROLL 3 1/8"</v>
      </c>
      <c r="AK20" s="131">
        <f t="shared" si="7"/>
        <v>0</v>
      </c>
      <c r="AL20" s="124"/>
      <c r="AM20" s="130" t="str">
        <f t="shared" si="8"/>
        <v>THERMAL PAPER ROLL 3 1/8"</v>
      </c>
      <c r="AN20" s="131">
        <f t="shared" si="9"/>
        <v>0</v>
      </c>
      <c r="AO20" s="124"/>
      <c r="AP20" s="130" t="str">
        <f t="shared" si="10"/>
        <v>THERMAL PAPER ROLL 3 1/8"</v>
      </c>
      <c r="AQ20" s="131">
        <f t="shared" si="11"/>
        <v>0</v>
      </c>
      <c r="AR20" s="124"/>
      <c r="AS20" s="130" t="str">
        <f t="shared" si="12"/>
        <v>THERMAL PAPER ROLL 3 1/8"</v>
      </c>
      <c r="AT20" s="131">
        <f t="shared" si="13"/>
        <v>1</v>
      </c>
      <c r="AU20" s="124"/>
      <c r="AV20" s="130" t="str">
        <f t="shared" si="14"/>
        <v>THERMAL PAPER ROLL 3 1/8"</v>
      </c>
      <c r="AW20" s="131">
        <f t="shared" si="15"/>
        <v>0</v>
      </c>
      <c r="AX20" s="124"/>
      <c r="AY20" s="130" t="str">
        <f t="shared" si="16"/>
        <v>THERMAL PAPER ROLL 3 1/8"</v>
      </c>
      <c r="AZ20" s="131">
        <f t="shared" si="17"/>
        <v>0</v>
      </c>
      <c r="BA20" s="124"/>
      <c r="BB20" s="130"/>
      <c r="BC20" s="131"/>
      <c r="BD20" s="124"/>
      <c r="BE20" s="130" t="str">
        <f t="shared" si="18"/>
        <v>THERMAL PAPER ROLL 3 1/8"</v>
      </c>
      <c r="BF20" s="131">
        <f t="shared" si="19"/>
        <v>0</v>
      </c>
      <c r="BG20" s="124"/>
      <c r="BH20" s="132"/>
      <c r="BI20" s="133"/>
      <c r="BJ20" s="130" t="str">
        <f t="shared" si="20"/>
        <v>THERMAL PAPER ROLL 3 1/8"</v>
      </c>
      <c r="BK20" s="131">
        <f t="shared" si="21"/>
        <v>0</v>
      </c>
      <c r="BM20" s="132"/>
      <c r="BN20" s="133"/>
    </row>
    <row r="21" ht="52.95" customHeight="1" spans="1:66" s="122" customFormat="1" x14ac:dyDescent="0.25">
      <c r="A21" s="123" t="s">
        <v>67</v>
      </c>
      <c r="B21" s="124"/>
      <c r="C21" s="123"/>
      <c r="D21" s="125"/>
      <c r="E21" s="134"/>
      <c r="F21" s="124"/>
      <c r="G21" s="135"/>
      <c r="H21" s="124"/>
      <c r="I21" s="134"/>
      <c r="J21" s="124"/>
      <c r="K21" s="135"/>
      <c r="L21" s="124"/>
      <c r="M21" s="134"/>
      <c r="N21" s="124"/>
      <c r="O21" s="135"/>
      <c r="P21" s="124"/>
      <c r="Q21" s="134"/>
      <c r="R21" s="124"/>
      <c r="S21" s="135"/>
      <c r="T21" s="124"/>
      <c r="U21" s="134"/>
      <c r="V21" s="124"/>
      <c r="W21" s="135"/>
      <c r="X21" s="124"/>
      <c r="Y21" s="134"/>
      <c r="Z21" s="124"/>
      <c r="AA21" s="130" t="str">
        <f t="shared" si="0"/>
        <v>DELI CONTAINER 32OZ CLEAR</v>
      </c>
      <c r="AB21" s="131">
        <f t="shared" si="1"/>
        <v>0</v>
      </c>
      <c r="AC21" s="124"/>
      <c r="AD21" s="130" t="str">
        <f t="shared" si="2"/>
        <v>DELI CONTAINER 32OZ CLEAR</v>
      </c>
      <c r="AE21" s="131">
        <f t="shared" si="3"/>
        <v>0</v>
      </c>
      <c r="AF21" s="124"/>
      <c r="AG21" s="130" t="str">
        <f t="shared" si="4"/>
        <v>DELI CONTAINER 32OZ CLEAR</v>
      </c>
      <c r="AH21" s="131">
        <f t="shared" si="5"/>
        <v>0</v>
      </c>
      <c r="AI21" s="124"/>
      <c r="AJ21" s="130" t="str">
        <f t="shared" si="6"/>
        <v>DELI CONTAINER 32OZ CLEAR</v>
      </c>
      <c r="AK21" s="131">
        <f t="shared" si="7"/>
        <v>0</v>
      </c>
      <c r="AL21" s="124"/>
      <c r="AM21" s="130" t="str">
        <f t="shared" si="8"/>
        <v>DELI CONTAINER 32OZ CLEAR</v>
      </c>
      <c r="AN21" s="131">
        <f t="shared" si="9"/>
        <v>0</v>
      </c>
      <c r="AO21" s="124"/>
      <c r="AP21" s="130" t="str">
        <f t="shared" si="10"/>
        <v>DELI CONTAINER 32OZ CLEAR</v>
      </c>
      <c r="AQ21" s="131">
        <f t="shared" si="11"/>
        <v>0</v>
      </c>
      <c r="AR21" s="124"/>
      <c r="AS21" s="130" t="str">
        <f t="shared" si="12"/>
        <v>DELI CONTAINER 32OZ CLEAR</v>
      </c>
      <c r="AT21" s="131">
        <f t="shared" si="13"/>
        <v>0</v>
      </c>
      <c r="AU21" s="124"/>
      <c r="AV21" s="130" t="str">
        <f t="shared" si="14"/>
        <v>DELI CONTAINER 32OZ CLEAR</v>
      </c>
      <c r="AW21" s="131">
        <f t="shared" si="15"/>
        <v>0</v>
      </c>
      <c r="AX21" s="124"/>
      <c r="AY21" s="130" t="str">
        <f t="shared" si="16"/>
        <v>DELI CONTAINER 32OZ CLEAR</v>
      </c>
      <c r="AZ21" s="131">
        <f t="shared" si="17"/>
        <v>0</v>
      </c>
      <c r="BA21" s="124"/>
      <c r="BB21" s="130"/>
      <c r="BC21" s="131"/>
      <c r="BD21" s="124"/>
      <c r="BE21" s="130" t="str">
        <f t="shared" si="18"/>
        <v>DELI CONTAINER 32OZ CLEAR</v>
      </c>
      <c r="BF21" s="131">
        <f t="shared" si="19"/>
        <v>0</v>
      </c>
      <c r="BG21" s="124"/>
      <c r="BH21" s="132"/>
      <c r="BI21" s="133"/>
      <c r="BJ21" s="130" t="str">
        <f t="shared" si="20"/>
        <v>DELI CONTAINER 32OZ CLEAR</v>
      </c>
      <c r="BK21" s="131">
        <f t="shared" si="21"/>
        <v>0</v>
      </c>
      <c r="BM21" s="132"/>
      <c r="BN21" s="133"/>
    </row>
    <row r="22" ht="52.95" customHeight="1" spans="1:66" s="122" customFormat="1" x14ac:dyDescent="0.25">
      <c r="A22" s="123" t="s">
        <v>68</v>
      </c>
      <c r="B22" s="124"/>
      <c r="C22" s="123">
        <v>2</v>
      </c>
      <c r="D22" s="125"/>
      <c r="E22" s="134">
        <v>1</v>
      </c>
      <c r="F22" s="124"/>
      <c r="G22" s="135"/>
      <c r="H22" s="124"/>
      <c r="I22" s="134"/>
      <c r="J22" s="124"/>
      <c r="K22" s="135"/>
      <c r="L22" s="124"/>
      <c r="M22" s="134"/>
      <c r="N22" s="124"/>
      <c r="O22" s="135"/>
      <c r="P22" s="124"/>
      <c r="Q22" s="134"/>
      <c r="R22" s="124"/>
      <c r="S22" s="135"/>
      <c r="T22" s="124"/>
      <c r="U22" s="134">
        <v>1</v>
      </c>
      <c r="V22" s="124"/>
      <c r="W22" s="135"/>
      <c r="X22" s="124"/>
      <c r="Y22" s="134"/>
      <c r="Z22" s="124"/>
      <c r="AA22" s="130" t="str">
        <f t="shared" si="0"/>
        <v>WAX PAPER 10X10</v>
      </c>
      <c r="AB22" s="131">
        <f t="shared" si="1"/>
        <v>0</v>
      </c>
      <c r="AC22" s="124"/>
      <c r="AD22" s="130" t="str">
        <f t="shared" si="2"/>
        <v>WAX PAPER 10X10</v>
      </c>
      <c r="AE22" s="131">
        <f t="shared" si="3"/>
        <v>0</v>
      </c>
      <c r="AF22" s="124"/>
      <c r="AG22" s="130" t="str">
        <f t="shared" si="4"/>
        <v>WAX PAPER 10X10</v>
      </c>
      <c r="AH22" s="131">
        <f t="shared" si="5"/>
        <v>0</v>
      </c>
      <c r="AI22" s="124"/>
      <c r="AJ22" s="130" t="str">
        <f t="shared" si="6"/>
        <v>WAX PAPER 10X10</v>
      </c>
      <c r="AK22" s="131">
        <f t="shared" si="7"/>
        <v>0</v>
      </c>
      <c r="AL22" s="124"/>
      <c r="AM22" s="130" t="str">
        <f t="shared" si="8"/>
        <v>WAX PAPER 10X10</v>
      </c>
      <c r="AN22" s="131">
        <f t="shared" si="9"/>
        <v>0</v>
      </c>
      <c r="AO22" s="124"/>
      <c r="AP22" s="130" t="str">
        <f t="shared" si="10"/>
        <v>WAX PAPER 10X10</v>
      </c>
      <c r="AQ22" s="131">
        <f t="shared" si="11"/>
        <v>0</v>
      </c>
      <c r="AR22" s="124"/>
      <c r="AS22" s="130" t="str">
        <f t="shared" si="12"/>
        <v>WAX PAPER 10X10</v>
      </c>
      <c r="AT22" s="131">
        <f t="shared" si="13"/>
        <v>0</v>
      </c>
      <c r="AU22" s="124"/>
      <c r="AV22" s="130" t="str">
        <f t="shared" si="14"/>
        <v>WAX PAPER 10X10</v>
      </c>
      <c r="AW22" s="131">
        <f t="shared" si="15"/>
        <v>0</v>
      </c>
      <c r="AX22" s="124"/>
      <c r="AY22" s="130" t="str">
        <f t="shared" si="16"/>
        <v>WAX PAPER 10X10</v>
      </c>
      <c r="AZ22" s="131">
        <f t="shared" si="17"/>
        <v>0</v>
      </c>
      <c r="BA22" s="124"/>
      <c r="BB22" s="130"/>
      <c r="BC22" s="131"/>
      <c r="BD22" s="124"/>
      <c r="BE22" s="130" t="str">
        <f t="shared" si="18"/>
        <v>WAX PAPER 10X10</v>
      </c>
      <c r="BF22" s="131">
        <f t="shared" si="19"/>
        <v>0</v>
      </c>
      <c r="BG22" s="124"/>
      <c r="BH22" s="132"/>
      <c r="BI22" s="133"/>
      <c r="BJ22" s="130" t="str">
        <f t="shared" si="20"/>
        <v>WAX PAPER 10X10</v>
      </c>
      <c r="BK22" s="131">
        <f t="shared" si="21"/>
        <v>0</v>
      </c>
      <c r="BM22" s="132"/>
      <c r="BN22" s="133"/>
    </row>
    <row r="23" ht="52.95" customHeight="1" spans="1:66" s="122" customFormat="1" x14ac:dyDescent="0.25">
      <c r="A23" s="123" t="s">
        <v>69</v>
      </c>
      <c r="B23" s="124"/>
      <c r="C23" s="123">
        <v>19</v>
      </c>
      <c r="D23" s="125"/>
      <c r="E23" s="134">
        <v>1</v>
      </c>
      <c r="F23" s="124"/>
      <c r="G23" s="135">
        <v>3</v>
      </c>
      <c r="H23" s="124"/>
      <c r="I23" s="134">
        <v>2</v>
      </c>
      <c r="J23" s="124"/>
      <c r="K23" s="135">
        <v>2</v>
      </c>
      <c r="L23" s="124"/>
      <c r="M23" s="134">
        <v>1</v>
      </c>
      <c r="N23" s="124"/>
      <c r="O23" s="135">
        <v>1</v>
      </c>
      <c r="P23" s="124"/>
      <c r="Q23" s="134">
        <v>2</v>
      </c>
      <c r="R23" s="124"/>
      <c r="S23" s="135">
        <v>2</v>
      </c>
      <c r="T23" s="124"/>
      <c r="U23" s="134">
        <v>2</v>
      </c>
      <c r="V23" s="124"/>
      <c r="W23" s="135">
        <v>1</v>
      </c>
      <c r="X23" s="124"/>
      <c r="Y23" s="134">
        <v>2</v>
      </c>
      <c r="Z23" s="124"/>
      <c r="AA23" s="130" t="str">
        <f t="shared" si="0"/>
        <v>BAGS #8 CRAFT PAPER</v>
      </c>
      <c r="AB23" s="131">
        <f t="shared" si="1"/>
        <v>2</v>
      </c>
      <c r="AC23" s="124"/>
      <c r="AD23" s="130" t="str">
        <f t="shared" si="2"/>
        <v>BAGS #8 CRAFT PAPER</v>
      </c>
      <c r="AE23" s="131">
        <f t="shared" si="3"/>
        <v>0</v>
      </c>
      <c r="AF23" s="124"/>
      <c r="AG23" s="130" t="str">
        <f t="shared" si="4"/>
        <v>BAGS #8 CRAFT PAPER</v>
      </c>
      <c r="AH23" s="131">
        <f t="shared" si="5"/>
        <v>4</v>
      </c>
      <c r="AI23" s="124"/>
      <c r="AJ23" s="130" t="str">
        <f t="shared" si="6"/>
        <v>BAGS #8 CRAFT PAPER</v>
      </c>
      <c r="AK23" s="131">
        <f t="shared" si="7"/>
        <v>1</v>
      </c>
      <c r="AL23" s="124"/>
      <c r="AM23" s="130" t="str">
        <f t="shared" si="8"/>
        <v>BAGS #8 CRAFT PAPER</v>
      </c>
      <c r="AN23" s="131">
        <f t="shared" si="9"/>
        <v>1</v>
      </c>
      <c r="AO23" s="124"/>
      <c r="AP23" s="130" t="str">
        <f t="shared" si="10"/>
        <v>BAGS #8 CRAFT PAPER</v>
      </c>
      <c r="AQ23" s="131">
        <f t="shared" si="11"/>
        <v>2</v>
      </c>
      <c r="AR23" s="124"/>
      <c r="AS23" s="130" t="str">
        <f t="shared" si="12"/>
        <v>BAGS #8 CRAFT PAPER</v>
      </c>
      <c r="AT23" s="131">
        <f t="shared" si="13"/>
        <v>1</v>
      </c>
      <c r="AU23" s="124"/>
      <c r="AV23" s="130" t="str">
        <f t="shared" si="14"/>
        <v>BAGS #8 CRAFT PAPER</v>
      </c>
      <c r="AW23" s="131">
        <f t="shared" si="15"/>
        <v>1</v>
      </c>
      <c r="AX23" s="124"/>
      <c r="AY23" s="130" t="str">
        <f t="shared" si="16"/>
        <v>BAGS #8 CRAFT PAPER</v>
      </c>
      <c r="AZ23" s="131">
        <f t="shared" si="17"/>
        <v>0</v>
      </c>
      <c r="BA23" s="124"/>
      <c r="BB23" s="130"/>
      <c r="BC23" s="131"/>
      <c r="BD23" s="124"/>
      <c r="BE23" s="130" t="str">
        <f t="shared" si="18"/>
        <v>BAGS #8 CRAFT PAPER</v>
      </c>
      <c r="BF23" s="131">
        <f t="shared" si="19"/>
        <v>0</v>
      </c>
      <c r="BG23" s="124"/>
      <c r="BH23" s="132"/>
      <c r="BI23" s="133"/>
      <c r="BJ23" s="130" t="str">
        <f t="shared" si="20"/>
        <v>BAGS #8 CRAFT PAPER</v>
      </c>
      <c r="BK23" s="131">
        <f t="shared" si="21"/>
        <v>3</v>
      </c>
      <c r="BM23" s="132"/>
      <c r="BN23" s="133"/>
    </row>
    <row r="24" ht="52.95" customHeight="1" spans="1:66" s="122" customFormat="1" x14ac:dyDescent="0.25">
      <c r="A24" s="123" t="s">
        <v>70</v>
      </c>
      <c r="B24" s="124"/>
      <c r="C24" s="123">
        <v>16</v>
      </c>
      <c r="D24" s="125"/>
      <c r="E24" s="134">
        <v>2</v>
      </c>
      <c r="F24" s="124"/>
      <c r="G24" s="135">
        <v>3</v>
      </c>
      <c r="H24" s="124"/>
      <c r="I24" s="134">
        <v>1</v>
      </c>
      <c r="J24" s="124"/>
      <c r="K24" s="135">
        <v>3</v>
      </c>
      <c r="L24" s="124"/>
      <c r="M24" s="134">
        <v>1</v>
      </c>
      <c r="N24" s="124"/>
      <c r="O24" s="135">
        <v>1</v>
      </c>
      <c r="P24" s="124"/>
      <c r="Q24" s="134">
        <v>1</v>
      </c>
      <c r="R24" s="124"/>
      <c r="S24" s="135">
        <v>1</v>
      </c>
      <c r="T24" s="124"/>
      <c r="U24" s="134">
        <v>1</v>
      </c>
      <c r="V24" s="124"/>
      <c r="W24" s="135">
        <v>1</v>
      </c>
      <c r="X24" s="124"/>
      <c r="Y24" s="134">
        <v>1</v>
      </c>
      <c r="Z24" s="124"/>
      <c r="AA24" s="130" t="str">
        <f t="shared" si="0"/>
        <v>SOAP 4-1</v>
      </c>
      <c r="AB24" s="131">
        <f t="shared" si="1"/>
        <v>2</v>
      </c>
      <c r="AC24" s="124"/>
      <c r="AD24" s="130" t="str">
        <f t="shared" si="2"/>
        <v>SOAP 4-1</v>
      </c>
      <c r="AE24" s="131">
        <f t="shared" si="3"/>
        <v>2</v>
      </c>
      <c r="AF24" s="124"/>
      <c r="AG24" s="130" t="str">
        <f t="shared" si="4"/>
        <v>SOAP 4-1</v>
      </c>
      <c r="AH24" s="131">
        <f t="shared" si="5"/>
        <v>4</v>
      </c>
      <c r="AI24" s="124"/>
      <c r="AJ24" s="130" t="str">
        <f t="shared" si="6"/>
        <v>SOAP 4-1</v>
      </c>
      <c r="AK24" s="131">
        <f t="shared" si="7"/>
        <v>1</v>
      </c>
      <c r="AL24" s="124"/>
      <c r="AM24" s="130" t="str">
        <f t="shared" si="8"/>
        <v>SOAP 4-1</v>
      </c>
      <c r="AN24" s="131">
        <f t="shared" si="9"/>
        <v>1</v>
      </c>
      <c r="AO24" s="124"/>
      <c r="AP24" s="130" t="str">
        <f t="shared" si="10"/>
        <v>SOAP 4-1</v>
      </c>
      <c r="AQ24" s="131">
        <f t="shared" si="11"/>
        <v>1</v>
      </c>
      <c r="AR24" s="124"/>
      <c r="AS24" s="130" t="str">
        <f t="shared" si="12"/>
        <v>SOAP 4-1</v>
      </c>
      <c r="AT24" s="131">
        <f t="shared" si="13"/>
        <v>2</v>
      </c>
      <c r="AU24" s="124"/>
      <c r="AV24" s="130" t="str">
        <f t="shared" si="14"/>
        <v>SOAP 4-1</v>
      </c>
      <c r="AW24" s="131">
        <f t="shared" si="15"/>
        <v>2</v>
      </c>
      <c r="AX24" s="124"/>
      <c r="AY24" s="130" t="str">
        <f t="shared" si="16"/>
        <v>SOAP 4-1</v>
      </c>
      <c r="AZ24" s="131">
        <f t="shared" si="17"/>
        <v>0</v>
      </c>
      <c r="BA24" s="124"/>
      <c r="BB24" s="130"/>
      <c r="BC24" s="131"/>
      <c r="BD24" s="124"/>
      <c r="BE24" s="130" t="str">
        <f t="shared" si="18"/>
        <v>SOAP 4-1</v>
      </c>
      <c r="BF24" s="131">
        <f t="shared" si="19"/>
        <v>0</v>
      </c>
      <c r="BG24" s="124"/>
      <c r="BH24" s="132"/>
      <c r="BI24" s="133"/>
      <c r="BJ24" s="130" t="str">
        <f t="shared" si="20"/>
        <v>SOAP 4-1</v>
      </c>
      <c r="BK24" s="131">
        <f t="shared" si="21"/>
        <v>1</v>
      </c>
      <c r="BM24" s="132"/>
      <c r="BN24" s="133"/>
    </row>
    <row r="25" ht="52.95" customHeight="1" spans="1:66" s="122" customFormat="1" x14ac:dyDescent="0.25">
      <c r="A25" s="123" t="s">
        <v>71</v>
      </c>
      <c r="B25" s="124"/>
      <c r="C25" s="123">
        <v>10</v>
      </c>
      <c r="D25" s="125"/>
      <c r="E25" s="134">
        <v>1</v>
      </c>
      <c r="F25" s="124"/>
      <c r="G25" s="135">
        <v>1</v>
      </c>
      <c r="H25" s="124"/>
      <c r="I25" s="134">
        <v>1</v>
      </c>
      <c r="J25" s="124"/>
      <c r="K25" s="135">
        <v>1</v>
      </c>
      <c r="L25" s="124"/>
      <c r="M25" s="134">
        <v>1</v>
      </c>
      <c r="N25" s="124"/>
      <c r="O25" s="135">
        <v>1</v>
      </c>
      <c r="P25" s="124"/>
      <c r="Q25" s="134"/>
      <c r="R25" s="124"/>
      <c r="S25" s="135">
        <v>1</v>
      </c>
      <c r="T25" s="124"/>
      <c r="U25" s="134">
        <v>1</v>
      </c>
      <c r="V25" s="124"/>
      <c r="W25" s="135">
        <v>1</v>
      </c>
      <c r="X25" s="124"/>
      <c r="Y25" s="134">
        <v>1</v>
      </c>
      <c r="Z25" s="124"/>
      <c r="AA25" s="130" t="str">
        <f t="shared" si="0"/>
        <v>OVEN &amp; GRILL 4-1</v>
      </c>
      <c r="AB25" s="131">
        <f t="shared" si="1"/>
        <v>1</v>
      </c>
      <c r="AC25" s="124"/>
      <c r="AD25" s="130" t="str">
        <f t="shared" si="2"/>
        <v>OVEN &amp; GRILL 4-1</v>
      </c>
      <c r="AE25" s="131">
        <f t="shared" si="3"/>
        <v>1</v>
      </c>
      <c r="AF25" s="124"/>
      <c r="AG25" s="130" t="str">
        <f t="shared" si="4"/>
        <v>OVEN &amp; GRILL 4-1</v>
      </c>
      <c r="AH25" s="131">
        <f t="shared" si="5"/>
        <v>1</v>
      </c>
      <c r="AI25" s="124"/>
      <c r="AJ25" s="130" t="str">
        <f t="shared" si="6"/>
        <v>OVEN &amp; GRILL 4-1</v>
      </c>
      <c r="AK25" s="131">
        <f t="shared" si="7"/>
        <v>1</v>
      </c>
      <c r="AL25" s="124"/>
      <c r="AM25" s="130" t="str">
        <f t="shared" si="8"/>
        <v>OVEN &amp; GRILL 4-1</v>
      </c>
      <c r="AN25" s="131">
        <f t="shared" si="9"/>
        <v>1</v>
      </c>
      <c r="AO25" s="124"/>
      <c r="AP25" s="130" t="str">
        <f t="shared" si="10"/>
        <v>OVEN &amp; GRILL 4-1</v>
      </c>
      <c r="AQ25" s="131">
        <f t="shared" si="11"/>
        <v>0</v>
      </c>
      <c r="AR25" s="124"/>
      <c r="AS25" s="130" t="str">
        <f t="shared" si="12"/>
        <v>OVEN &amp; GRILL 4-1</v>
      </c>
      <c r="AT25" s="131">
        <f t="shared" si="13"/>
        <v>0</v>
      </c>
      <c r="AU25" s="124"/>
      <c r="AV25" s="130" t="str">
        <f t="shared" si="14"/>
        <v>OVEN &amp; GRILL 4-1</v>
      </c>
      <c r="AW25" s="131">
        <f t="shared" si="15"/>
        <v>1</v>
      </c>
      <c r="AX25" s="124"/>
      <c r="AY25" s="130" t="str">
        <f t="shared" si="16"/>
        <v>OVEN &amp; GRILL 4-1</v>
      </c>
      <c r="AZ25" s="131">
        <f t="shared" si="17"/>
        <v>0</v>
      </c>
      <c r="BA25" s="124"/>
      <c r="BB25" s="130"/>
      <c r="BC25" s="131"/>
      <c r="BD25" s="124"/>
      <c r="BE25" s="130" t="str">
        <f t="shared" si="18"/>
        <v>OVEN &amp; GRILL 4-1</v>
      </c>
      <c r="BF25" s="131">
        <f t="shared" si="19"/>
        <v>0</v>
      </c>
      <c r="BG25" s="124"/>
      <c r="BH25" s="132"/>
      <c r="BI25" s="133"/>
      <c r="BJ25" s="130" t="str">
        <f t="shared" si="20"/>
        <v>OVEN &amp; GRILL 4-1</v>
      </c>
      <c r="BK25" s="131">
        <f t="shared" si="21"/>
        <v>1</v>
      </c>
      <c r="BM25" s="132"/>
      <c r="BN25" s="133"/>
    </row>
    <row r="26" ht="52.95" customHeight="1" spans="1:66" s="122" customFormat="1" x14ac:dyDescent="0.25">
      <c r="A26" s="123" t="s">
        <v>72</v>
      </c>
      <c r="B26" s="124"/>
      <c r="C26" s="123">
        <v>4</v>
      </c>
      <c r="D26" s="125"/>
      <c r="E26" s="134"/>
      <c r="F26" s="124"/>
      <c r="G26" s="135">
        <v>1</v>
      </c>
      <c r="H26" s="124"/>
      <c r="I26" s="134"/>
      <c r="J26" s="124"/>
      <c r="K26" s="135">
        <v>1</v>
      </c>
      <c r="L26" s="124"/>
      <c r="M26" s="134"/>
      <c r="N26" s="124"/>
      <c r="O26" s="135">
        <v>1</v>
      </c>
      <c r="P26" s="124"/>
      <c r="Q26" s="134"/>
      <c r="R26" s="124"/>
      <c r="S26" s="135">
        <v>1</v>
      </c>
      <c r="T26" s="124"/>
      <c r="U26" s="134"/>
      <c r="V26" s="124"/>
      <c r="W26" s="135"/>
      <c r="X26" s="124"/>
      <c r="Y26" s="134"/>
      <c r="Z26" s="124"/>
      <c r="AA26" s="130" t="str">
        <f t="shared" si="0"/>
        <v>BAGS TRASH</v>
      </c>
      <c r="AB26" s="131">
        <f t="shared" si="1"/>
        <v>1</v>
      </c>
      <c r="AC26" s="124"/>
      <c r="AD26" s="130" t="str">
        <f t="shared" si="2"/>
        <v>BAGS TRASH</v>
      </c>
      <c r="AE26" s="131">
        <f t="shared" si="3"/>
        <v>0</v>
      </c>
      <c r="AF26" s="124"/>
      <c r="AG26" s="130" t="str">
        <f t="shared" si="4"/>
        <v>BAGS TRASH</v>
      </c>
      <c r="AH26" s="131">
        <f t="shared" si="5"/>
        <v>1</v>
      </c>
      <c r="AI26" s="124"/>
      <c r="AJ26" s="130" t="str">
        <f t="shared" si="6"/>
        <v>BAGS TRASH</v>
      </c>
      <c r="AK26" s="131">
        <f t="shared" si="7"/>
        <v>0</v>
      </c>
      <c r="AL26" s="124"/>
      <c r="AM26" s="130" t="str">
        <f t="shared" si="8"/>
        <v>BAGS TRASH</v>
      </c>
      <c r="AN26" s="131">
        <f t="shared" si="9"/>
        <v>1</v>
      </c>
      <c r="AO26" s="124"/>
      <c r="AP26" s="130" t="str">
        <f t="shared" si="10"/>
        <v>BAGS TRASH</v>
      </c>
      <c r="AQ26" s="131">
        <f t="shared" si="11"/>
        <v>0</v>
      </c>
      <c r="AR26" s="124"/>
      <c r="AS26" s="130" t="str">
        <f t="shared" si="12"/>
        <v>BAGS TRASH</v>
      </c>
      <c r="AT26" s="131">
        <f t="shared" si="13"/>
        <v>0</v>
      </c>
      <c r="AU26" s="124"/>
      <c r="AV26" s="130" t="str">
        <f t="shared" si="14"/>
        <v>BAGS TRASH</v>
      </c>
      <c r="AW26" s="131">
        <f t="shared" si="15"/>
        <v>0</v>
      </c>
      <c r="AX26" s="124"/>
      <c r="AY26" s="130" t="str">
        <f t="shared" si="16"/>
        <v>BAGS TRASH</v>
      </c>
      <c r="AZ26" s="131">
        <f t="shared" si="17"/>
        <v>0</v>
      </c>
      <c r="BA26" s="124"/>
      <c r="BB26" s="130"/>
      <c r="BC26" s="131"/>
      <c r="BD26" s="124"/>
      <c r="BE26" s="130" t="str">
        <f t="shared" si="18"/>
        <v>BAGS TRASH</v>
      </c>
      <c r="BF26" s="131">
        <f t="shared" si="19"/>
        <v>0</v>
      </c>
      <c r="BG26" s="124"/>
      <c r="BH26" s="132"/>
      <c r="BI26" s="133"/>
      <c r="BJ26" s="130" t="str">
        <f t="shared" si="20"/>
        <v>BAGS TRASH</v>
      </c>
      <c r="BK26" s="131">
        <f t="shared" si="21"/>
        <v>1</v>
      </c>
      <c r="BM26" s="132"/>
      <c r="BN26" s="133"/>
    </row>
    <row r="27" ht="52.95" customHeight="1" spans="1:66" s="122" customFormat="1" x14ac:dyDescent="0.25">
      <c r="A27" s="123" t="s">
        <v>73</v>
      </c>
      <c r="B27" s="124"/>
      <c r="C27" s="123">
        <v>19</v>
      </c>
      <c r="D27" s="125"/>
      <c r="E27" s="134"/>
      <c r="F27" s="124"/>
      <c r="G27" s="135">
        <v>3</v>
      </c>
      <c r="H27" s="124"/>
      <c r="I27" s="134">
        <v>2</v>
      </c>
      <c r="J27" s="124"/>
      <c r="K27" s="135">
        <v>3</v>
      </c>
      <c r="L27" s="124"/>
      <c r="M27" s="134">
        <v>1</v>
      </c>
      <c r="N27" s="124"/>
      <c r="O27" s="135">
        <v>2</v>
      </c>
      <c r="P27" s="124"/>
      <c r="Q27" s="134">
        <v>1</v>
      </c>
      <c r="R27" s="124"/>
      <c r="S27" s="135">
        <v>3</v>
      </c>
      <c r="T27" s="124"/>
      <c r="U27" s="134">
        <v>1</v>
      </c>
      <c r="V27" s="124"/>
      <c r="W27" s="135">
        <v>1</v>
      </c>
      <c r="X27" s="124"/>
      <c r="Y27" s="134">
        <v>2</v>
      </c>
      <c r="Z27" s="124"/>
      <c r="AA27" s="130" t="str">
        <f t="shared" si="0"/>
        <v>EVAPORATED MILK</v>
      </c>
      <c r="AB27" s="131">
        <f t="shared" si="1"/>
        <v>3</v>
      </c>
      <c r="AC27" s="124"/>
      <c r="AD27" s="130" t="str">
        <f t="shared" si="2"/>
        <v>EVAPORATED MILK</v>
      </c>
      <c r="AE27" s="131">
        <f t="shared" si="3"/>
        <v>1</v>
      </c>
      <c r="AF27" s="124"/>
      <c r="AG27" s="130" t="str">
        <f t="shared" si="4"/>
        <v>EVAPORATED MILK</v>
      </c>
      <c r="AH27" s="131">
        <f t="shared" si="5"/>
        <v>3</v>
      </c>
      <c r="AI27" s="124"/>
      <c r="AJ27" s="130" t="str">
        <f t="shared" si="6"/>
        <v>EVAPORATED MILK</v>
      </c>
      <c r="AK27" s="131">
        <f t="shared" si="7"/>
        <v>2</v>
      </c>
      <c r="AL27" s="124"/>
      <c r="AM27" s="130" t="str">
        <f t="shared" si="8"/>
        <v>EVAPORATED MILK</v>
      </c>
      <c r="AN27" s="131">
        <f t="shared" si="9"/>
        <v>1</v>
      </c>
      <c r="AO27" s="124"/>
      <c r="AP27" s="130" t="str">
        <f t="shared" si="10"/>
        <v>EVAPORATED MILK</v>
      </c>
      <c r="AQ27" s="131">
        <f t="shared" si="11"/>
        <v>1</v>
      </c>
      <c r="AR27" s="124"/>
      <c r="AS27" s="130" t="str">
        <f t="shared" si="12"/>
        <v>EVAPORATED MILK</v>
      </c>
      <c r="AT27" s="131">
        <f t="shared" si="13"/>
        <v>2</v>
      </c>
      <c r="AU27" s="124"/>
      <c r="AV27" s="130" t="str">
        <f t="shared" si="14"/>
        <v>EVAPORATED MILK</v>
      </c>
      <c r="AW27" s="131">
        <f t="shared" si="15"/>
        <v>2</v>
      </c>
      <c r="AX27" s="124"/>
      <c r="AY27" s="130" t="str">
        <f t="shared" si="16"/>
        <v>EVAPORATED MILK</v>
      </c>
      <c r="AZ27" s="131">
        <f t="shared" si="17"/>
        <v>0</v>
      </c>
      <c r="BA27" s="124"/>
      <c r="BB27" s="130"/>
      <c r="BC27" s="131"/>
      <c r="BD27" s="124"/>
      <c r="BE27" s="130" t="str">
        <f t="shared" si="18"/>
        <v>EVAPORATED MILK</v>
      </c>
      <c r="BF27" s="131">
        <f t="shared" si="19"/>
        <v>0</v>
      </c>
      <c r="BG27" s="124"/>
      <c r="BH27" s="132"/>
      <c r="BI27" s="133"/>
      <c r="BJ27" s="130" t="str">
        <f t="shared" si="20"/>
        <v>EVAPORATED MILK</v>
      </c>
      <c r="BK27" s="131">
        <f t="shared" si="21"/>
        <v>2</v>
      </c>
      <c r="BM27" s="132"/>
      <c r="BN27" s="133"/>
    </row>
    <row r="28" ht="52.95" customHeight="1" spans="1:66" s="122" customFormat="1" x14ac:dyDescent="0.25">
      <c r="A28" s="123" t="s">
        <v>74</v>
      </c>
      <c r="B28" s="124"/>
      <c r="C28" s="123">
        <v>7</v>
      </c>
      <c r="D28" s="125"/>
      <c r="E28" s="134"/>
      <c r="F28" s="124"/>
      <c r="G28" s="135">
        <v>1</v>
      </c>
      <c r="H28" s="124"/>
      <c r="I28" s="134"/>
      <c r="J28" s="124"/>
      <c r="K28" s="135">
        <v>1</v>
      </c>
      <c r="L28" s="124"/>
      <c r="M28" s="134">
        <v>1</v>
      </c>
      <c r="N28" s="124"/>
      <c r="O28" s="135">
        <v>1</v>
      </c>
      <c r="P28" s="124"/>
      <c r="Q28" s="134"/>
      <c r="R28" s="124"/>
      <c r="S28" s="135">
        <v>1</v>
      </c>
      <c r="T28" s="124"/>
      <c r="U28" s="134">
        <v>1</v>
      </c>
      <c r="V28" s="124"/>
      <c r="W28" s="135"/>
      <c r="X28" s="124"/>
      <c r="Y28" s="134">
        <v>1</v>
      </c>
      <c r="Z28" s="124"/>
      <c r="AA28" s="130" t="str">
        <f t="shared" si="0"/>
        <v>CONDENSED MILK</v>
      </c>
      <c r="AB28" s="131">
        <f t="shared" si="1"/>
        <v>0</v>
      </c>
      <c r="AC28" s="124"/>
      <c r="AD28" s="130" t="str">
        <f t="shared" si="2"/>
        <v>CONDENSED MILK</v>
      </c>
      <c r="AE28" s="131">
        <f t="shared" si="3"/>
        <v>0</v>
      </c>
      <c r="AF28" s="124"/>
      <c r="AG28" s="130" t="str">
        <f t="shared" si="4"/>
        <v>CONDENSED MILK</v>
      </c>
      <c r="AH28" s="131">
        <f t="shared" si="5"/>
        <v>1</v>
      </c>
      <c r="AI28" s="124"/>
      <c r="AJ28" s="130" t="str">
        <f t="shared" si="6"/>
        <v>CONDENSED MILK</v>
      </c>
      <c r="AK28" s="131">
        <f t="shared" si="7"/>
        <v>1</v>
      </c>
      <c r="AL28" s="124"/>
      <c r="AM28" s="130" t="str">
        <f t="shared" si="8"/>
        <v>CONDENSED MILK</v>
      </c>
      <c r="AN28" s="131">
        <f t="shared" si="9"/>
        <v>1</v>
      </c>
      <c r="AO28" s="124"/>
      <c r="AP28" s="130" t="str">
        <f t="shared" si="10"/>
        <v>CONDENSED MILK</v>
      </c>
      <c r="AQ28" s="131">
        <f t="shared" si="11"/>
        <v>0</v>
      </c>
      <c r="AR28" s="124"/>
      <c r="AS28" s="130" t="str">
        <f t="shared" si="12"/>
        <v>CONDENSED MILK</v>
      </c>
      <c r="AT28" s="131">
        <f t="shared" si="13"/>
        <v>1</v>
      </c>
      <c r="AU28" s="124"/>
      <c r="AV28" s="130" t="str">
        <f t="shared" si="14"/>
        <v>CONDENSED MILK</v>
      </c>
      <c r="AW28" s="131">
        <f t="shared" si="15"/>
        <v>1</v>
      </c>
      <c r="AX28" s="124"/>
      <c r="AY28" s="130" t="str">
        <f t="shared" si="16"/>
        <v>CONDENSED MILK</v>
      </c>
      <c r="AZ28" s="131">
        <f t="shared" si="17"/>
        <v>0</v>
      </c>
      <c r="BA28" s="124"/>
      <c r="BB28" s="130"/>
      <c r="BC28" s="131"/>
      <c r="BD28" s="124"/>
      <c r="BE28" s="130" t="str">
        <f t="shared" si="18"/>
        <v>CONDENSED MILK</v>
      </c>
      <c r="BF28" s="131">
        <f t="shared" si="19"/>
        <v>0</v>
      </c>
      <c r="BG28" s="124"/>
      <c r="BH28" s="132"/>
      <c r="BI28" s="133"/>
      <c r="BJ28" s="130" t="str">
        <f t="shared" si="20"/>
        <v>CONDENSED MILK</v>
      </c>
      <c r="BK28" s="131">
        <f t="shared" si="21"/>
        <v>1</v>
      </c>
      <c r="BM28" s="132"/>
      <c r="BN28" s="133"/>
    </row>
    <row r="29" ht="52.95" customHeight="1" spans="1:66" s="122" customFormat="1" x14ac:dyDescent="0.25">
      <c r="A29" s="123" t="s">
        <v>75</v>
      </c>
      <c r="B29" s="124"/>
      <c r="C29" s="123">
        <v>5</v>
      </c>
      <c r="D29" s="137"/>
      <c r="E29" s="134"/>
      <c r="F29" s="124"/>
      <c r="G29" s="135">
        <v>1</v>
      </c>
      <c r="H29" s="124"/>
      <c r="I29" s="134"/>
      <c r="J29" s="124"/>
      <c r="K29" s="135">
        <v>1</v>
      </c>
      <c r="L29" s="124"/>
      <c r="M29" s="134"/>
      <c r="N29" s="124"/>
      <c r="O29" s="135">
        <v>1</v>
      </c>
      <c r="P29" s="124"/>
      <c r="Q29" s="134">
        <v>1</v>
      </c>
      <c r="R29" s="124"/>
      <c r="S29" s="135"/>
      <c r="T29" s="124"/>
      <c r="U29" s="134">
        <v>1</v>
      </c>
      <c r="V29" s="124"/>
      <c r="W29" s="135"/>
      <c r="X29" s="124"/>
      <c r="Y29" s="134"/>
      <c r="Z29" s="124"/>
      <c r="AA29" s="130" t="str">
        <f t="shared" si="0"/>
        <v>COCO LOPEZ</v>
      </c>
      <c r="AB29" s="131">
        <f t="shared" si="1"/>
        <v>1</v>
      </c>
      <c r="AC29" s="124"/>
      <c r="AD29" s="130" t="str">
        <f t="shared" si="2"/>
        <v>COCO LOPEZ</v>
      </c>
      <c r="AE29" s="131">
        <f t="shared" si="3"/>
        <v>0</v>
      </c>
      <c r="AF29" s="124"/>
      <c r="AG29" s="130" t="str">
        <f t="shared" si="4"/>
        <v>COCO LOPEZ</v>
      </c>
      <c r="AH29" s="131">
        <f t="shared" si="5"/>
        <v>1</v>
      </c>
      <c r="AI29" s="124"/>
      <c r="AJ29" s="130" t="str">
        <f t="shared" si="6"/>
        <v>COCO LOPEZ</v>
      </c>
      <c r="AK29" s="131">
        <f t="shared" si="7"/>
        <v>1</v>
      </c>
      <c r="AL29" s="124"/>
      <c r="AM29" s="130" t="str">
        <f t="shared" si="8"/>
        <v>COCO LOPEZ</v>
      </c>
      <c r="AN29" s="131">
        <f t="shared" si="9"/>
        <v>0</v>
      </c>
      <c r="AO29" s="124"/>
      <c r="AP29" s="130" t="str">
        <f t="shared" si="10"/>
        <v>COCO LOPEZ</v>
      </c>
      <c r="AQ29" s="131">
        <f t="shared" si="11"/>
        <v>1</v>
      </c>
      <c r="AR29" s="124"/>
      <c r="AS29" s="130" t="str">
        <f t="shared" si="12"/>
        <v>COCO LOPEZ</v>
      </c>
      <c r="AT29" s="131">
        <f t="shared" si="13"/>
        <v>0</v>
      </c>
      <c r="AU29" s="124"/>
      <c r="AV29" s="130" t="str">
        <f t="shared" si="14"/>
        <v>COCO LOPEZ</v>
      </c>
      <c r="AW29" s="131">
        <f t="shared" si="15"/>
        <v>1</v>
      </c>
      <c r="AX29" s="124"/>
      <c r="AY29" s="130" t="str">
        <f t="shared" si="16"/>
        <v>COCO LOPEZ</v>
      </c>
      <c r="AZ29" s="131">
        <f t="shared" si="17"/>
        <v>0</v>
      </c>
      <c r="BA29" s="124"/>
      <c r="BB29" s="130"/>
      <c r="BC29" s="131"/>
      <c r="BD29" s="124"/>
      <c r="BE29" s="130" t="str">
        <f t="shared" si="18"/>
        <v>COCO LOPEZ</v>
      </c>
      <c r="BF29" s="131">
        <f t="shared" si="19"/>
        <v>0</v>
      </c>
      <c r="BG29" s="124"/>
      <c r="BH29" s="132"/>
      <c r="BI29" s="133"/>
      <c r="BJ29" s="130" t="str">
        <f t="shared" si="20"/>
        <v>COCO LOPEZ</v>
      </c>
      <c r="BK29" s="131">
        <f t="shared" si="21"/>
        <v>1</v>
      </c>
      <c r="BM29" s="132"/>
      <c r="BN29" s="133"/>
    </row>
    <row r="30" ht="52.95" customHeight="1" spans="1:66" s="122" customFormat="1" x14ac:dyDescent="0.25">
      <c r="A30" s="123" t="s">
        <v>76</v>
      </c>
      <c r="B30" s="124"/>
      <c r="C30" s="123">
        <v>2</v>
      </c>
      <c r="D30" s="137"/>
      <c r="E30" s="134"/>
      <c r="F30" s="124"/>
      <c r="G30" s="135">
        <v>1</v>
      </c>
      <c r="H30" s="124"/>
      <c r="I30" s="134"/>
      <c r="J30" s="124"/>
      <c r="K30" s="135"/>
      <c r="L30" s="124"/>
      <c r="M30" s="134">
        <v>1</v>
      </c>
      <c r="N30" s="124"/>
      <c r="O30" s="135"/>
      <c r="P30" s="124"/>
      <c r="Q30" s="134"/>
      <c r="R30" s="124"/>
      <c r="S30" s="135"/>
      <c r="T30" s="124"/>
      <c r="U30" s="134"/>
      <c r="V30" s="124"/>
      <c r="W30" s="135"/>
      <c r="X30" s="124"/>
      <c r="Y30" s="134"/>
      <c r="Z30" s="124"/>
      <c r="AA30" s="130" t="str">
        <f t="shared" si="0"/>
        <v>GARLIC SALT</v>
      </c>
      <c r="AB30" s="131">
        <f t="shared" si="1"/>
        <v>0</v>
      </c>
      <c r="AC30" s="124"/>
      <c r="AD30" s="130" t="str">
        <f t="shared" si="2"/>
        <v>GARLIC SALT</v>
      </c>
      <c r="AE30" s="131">
        <f t="shared" si="3"/>
        <v>0</v>
      </c>
      <c r="AF30" s="124"/>
      <c r="AG30" s="130" t="str">
        <f t="shared" si="4"/>
        <v>GARLIC SALT</v>
      </c>
      <c r="AH30" s="131">
        <f t="shared" si="5"/>
        <v>0</v>
      </c>
      <c r="AI30" s="124"/>
      <c r="AJ30" s="130" t="str">
        <f t="shared" si="6"/>
        <v>GARLIC SALT</v>
      </c>
      <c r="AK30" s="131">
        <f t="shared" si="7"/>
        <v>0</v>
      </c>
      <c r="AL30" s="124"/>
      <c r="AM30" s="130" t="str">
        <f t="shared" si="8"/>
        <v>GARLIC SALT</v>
      </c>
      <c r="AN30" s="131">
        <f t="shared" si="9"/>
        <v>0</v>
      </c>
      <c r="AO30" s="124"/>
      <c r="AP30" s="130" t="str">
        <f t="shared" si="10"/>
        <v>GARLIC SALT</v>
      </c>
      <c r="AQ30" s="131">
        <f t="shared" si="11"/>
        <v>1</v>
      </c>
      <c r="AR30" s="124"/>
      <c r="AS30" s="130" t="str">
        <f t="shared" si="12"/>
        <v>GARLIC SALT</v>
      </c>
      <c r="AT30" s="131">
        <f t="shared" si="13"/>
        <v>0</v>
      </c>
      <c r="AU30" s="124"/>
      <c r="AV30" s="130" t="str">
        <f t="shared" si="14"/>
        <v>GARLIC SALT</v>
      </c>
      <c r="AW30" s="131">
        <f t="shared" si="15"/>
        <v>0</v>
      </c>
      <c r="AX30" s="124"/>
      <c r="AY30" s="130" t="str">
        <f t="shared" si="16"/>
        <v>GARLIC SALT</v>
      </c>
      <c r="AZ30" s="131">
        <f t="shared" si="17"/>
        <v>0</v>
      </c>
      <c r="BA30" s="124"/>
      <c r="BB30" s="130"/>
      <c r="BC30" s="131"/>
      <c r="BD30" s="124"/>
      <c r="BE30" s="130" t="str">
        <f t="shared" si="18"/>
        <v>GARLIC SALT</v>
      </c>
      <c r="BF30" s="131">
        <f t="shared" si="19"/>
        <v>0</v>
      </c>
      <c r="BG30" s="124"/>
      <c r="BH30" s="132"/>
      <c r="BI30" s="133"/>
      <c r="BJ30" s="130" t="str">
        <f t="shared" si="20"/>
        <v>GARLIC SALT</v>
      </c>
      <c r="BK30" s="131">
        <f t="shared" si="21"/>
        <v>0</v>
      </c>
      <c r="BM30" s="132"/>
      <c r="BN30" s="133"/>
    </row>
    <row r="31" ht="52.95" customHeight="1" spans="1:66" s="122" customFormat="1" x14ac:dyDescent="0.25">
      <c r="A31" s="123" t="s">
        <v>77</v>
      </c>
      <c r="B31" s="124"/>
      <c r="C31" s="123"/>
      <c r="D31" s="137"/>
      <c r="E31" s="134"/>
      <c r="F31" s="124"/>
      <c r="G31" s="135"/>
      <c r="H31" s="124"/>
      <c r="I31" s="134"/>
      <c r="J31" s="124"/>
      <c r="K31" s="135"/>
      <c r="L31" s="124"/>
      <c r="M31" s="134"/>
      <c r="N31" s="124"/>
      <c r="O31" s="135"/>
      <c r="P31" s="124"/>
      <c r="Q31" s="134"/>
      <c r="R31" s="124"/>
      <c r="S31" s="135"/>
      <c r="T31" s="124"/>
      <c r="U31" s="134"/>
      <c r="V31" s="124"/>
      <c r="W31" s="135"/>
      <c r="X31" s="124"/>
      <c r="Y31" s="134"/>
      <c r="Z31" s="124"/>
      <c r="AA31" s="130" t="str">
        <f t="shared" si="0"/>
        <v>BLUE TAPE</v>
      </c>
      <c r="AB31" s="131">
        <f t="shared" si="1"/>
        <v>0</v>
      </c>
      <c r="AC31" s="124"/>
      <c r="AD31" s="130" t="str">
        <f t="shared" si="2"/>
        <v>BLUE TAPE</v>
      </c>
      <c r="AE31" s="131">
        <f t="shared" si="3"/>
        <v>0</v>
      </c>
      <c r="AF31" s="124"/>
      <c r="AG31" s="130" t="str">
        <f t="shared" si="4"/>
        <v>BLUE TAPE</v>
      </c>
      <c r="AH31" s="131">
        <f t="shared" si="5"/>
        <v>0</v>
      </c>
      <c r="AI31" s="124"/>
      <c r="AJ31" s="130" t="str">
        <f t="shared" si="6"/>
        <v>BLUE TAPE</v>
      </c>
      <c r="AK31" s="131">
        <f t="shared" si="7"/>
        <v>0</v>
      </c>
      <c r="AL31" s="124"/>
      <c r="AM31" s="130" t="str">
        <f t="shared" si="8"/>
        <v>BLUE TAPE</v>
      </c>
      <c r="AN31" s="131">
        <f t="shared" si="9"/>
        <v>0</v>
      </c>
      <c r="AO31" s="124"/>
      <c r="AP31" s="130" t="str">
        <f t="shared" si="10"/>
        <v>BLUE TAPE</v>
      </c>
      <c r="AQ31" s="131">
        <f t="shared" si="11"/>
        <v>0</v>
      </c>
      <c r="AR31" s="124"/>
      <c r="AS31" s="130" t="str">
        <f t="shared" si="12"/>
        <v>BLUE TAPE</v>
      </c>
      <c r="AT31" s="131">
        <f t="shared" si="13"/>
        <v>0</v>
      </c>
      <c r="AU31" s="124"/>
      <c r="AV31" s="130" t="str">
        <f t="shared" si="14"/>
        <v>BLUE TAPE</v>
      </c>
      <c r="AW31" s="131">
        <f t="shared" si="15"/>
        <v>0</v>
      </c>
      <c r="AX31" s="124"/>
      <c r="AY31" s="130" t="str">
        <f t="shared" si="16"/>
        <v>BLUE TAPE</v>
      </c>
      <c r="AZ31" s="131">
        <f t="shared" si="17"/>
        <v>0</v>
      </c>
      <c r="BA31" s="124"/>
      <c r="BB31" s="130"/>
      <c r="BC31" s="131"/>
      <c r="BD31" s="124"/>
      <c r="BE31" s="130" t="str">
        <f t="shared" si="18"/>
        <v>BLUE TAPE</v>
      </c>
      <c r="BF31" s="131">
        <f t="shared" si="19"/>
        <v>0</v>
      </c>
      <c r="BG31" s="124"/>
      <c r="BH31" s="132"/>
      <c r="BI31" s="133"/>
      <c r="BJ31" s="130" t="str">
        <f t="shared" si="20"/>
        <v>BLUE TAPE</v>
      </c>
      <c r="BK31" s="131">
        <f t="shared" si="21"/>
        <v>0</v>
      </c>
      <c r="BM31" s="132"/>
      <c r="BN31" s="133"/>
    </row>
    <row r="32" ht="52.95" customHeight="1" spans="1:66" s="122" customFormat="1" x14ac:dyDescent="0.25">
      <c r="A32" s="123" t="s">
        <v>78</v>
      </c>
      <c r="B32" s="124"/>
      <c r="C32" s="123"/>
      <c r="D32" s="137"/>
      <c r="E32" s="134"/>
      <c r="F32" s="124"/>
      <c r="G32" s="135"/>
      <c r="H32" s="124"/>
      <c r="I32" s="134"/>
      <c r="J32" s="124"/>
      <c r="K32" s="135"/>
      <c r="L32" s="124"/>
      <c r="M32" s="134"/>
      <c r="N32" s="124"/>
      <c r="O32" s="135"/>
      <c r="P32" s="124"/>
      <c r="Q32" s="134"/>
      <c r="R32" s="124"/>
      <c r="S32" s="135"/>
      <c r="T32" s="124"/>
      <c r="U32" s="134"/>
      <c r="V32" s="124"/>
      <c r="W32" s="135"/>
      <c r="X32" s="124"/>
      <c r="Y32" s="134"/>
      <c r="Z32" s="124"/>
      <c r="AA32" s="130" t="str">
        <f t="shared" si="0"/>
        <v>MARKERS</v>
      </c>
      <c r="AB32" s="131">
        <f t="shared" si="1"/>
        <v>1</v>
      </c>
      <c r="AC32" s="124"/>
      <c r="AD32" s="130" t="str">
        <f t="shared" si="2"/>
        <v>MARKERS</v>
      </c>
      <c r="AE32" s="131">
        <f t="shared" si="3"/>
        <v>0</v>
      </c>
      <c r="AF32" s="124"/>
      <c r="AG32" s="130" t="str">
        <f t="shared" si="4"/>
        <v>MARKERS</v>
      </c>
      <c r="AH32" s="131">
        <f t="shared" si="5"/>
        <v>0</v>
      </c>
      <c r="AI32" s="124"/>
      <c r="AJ32" s="130" t="str">
        <f t="shared" si="6"/>
        <v>MARKERS</v>
      </c>
      <c r="AK32" s="131">
        <f t="shared" si="7"/>
        <v>0</v>
      </c>
      <c r="AL32" s="124"/>
      <c r="AM32" s="130" t="str">
        <f t="shared" si="8"/>
        <v>MARKERS</v>
      </c>
      <c r="AN32" s="131">
        <f t="shared" si="9"/>
        <v>0</v>
      </c>
      <c r="AO32" s="124"/>
      <c r="AP32" s="130" t="str">
        <f t="shared" si="10"/>
        <v>MARKERS</v>
      </c>
      <c r="AQ32" s="131">
        <f t="shared" si="11"/>
        <v>0</v>
      </c>
      <c r="AR32" s="124"/>
      <c r="AS32" s="130" t="str">
        <f t="shared" si="12"/>
        <v>MARKERS</v>
      </c>
      <c r="AT32" s="131">
        <f t="shared" si="13"/>
        <v>0</v>
      </c>
      <c r="AU32" s="124"/>
      <c r="AV32" s="130" t="str">
        <f t="shared" si="14"/>
        <v>MARKERS</v>
      </c>
      <c r="AW32" s="131">
        <f t="shared" si="15"/>
        <v>0</v>
      </c>
      <c r="AX32" s="124"/>
      <c r="AY32" s="130" t="str">
        <f t="shared" si="16"/>
        <v>MARKERS</v>
      </c>
      <c r="AZ32" s="131">
        <f t="shared" si="17"/>
        <v>0</v>
      </c>
      <c r="BA32" s="124"/>
      <c r="BB32" s="130"/>
      <c r="BC32" s="131"/>
      <c r="BD32" s="124"/>
      <c r="BE32" s="130" t="str">
        <f t="shared" si="18"/>
        <v>MARKERS</v>
      </c>
      <c r="BF32" s="131">
        <f t="shared" si="19"/>
        <v>0</v>
      </c>
      <c r="BG32" s="124"/>
      <c r="BH32" s="132"/>
      <c r="BI32" s="133"/>
      <c r="BJ32" s="130" t="str">
        <f t="shared" si="20"/>
        <v>MARKERS</v>
      </c>
      <c r="BK32" s="131">
        <f t="shared" si="21"/>
        <v>0</v>
      </c>
      <c r="BM32" s="132"/>
      <c r="BN32" s="133"/>
    </row>
    <row r="33" ht="52.95" customHeight="1" spans="1:66" s="122" customFormat="1" x14ac:dyDescent="0.25">
      <c r="A33" s="123" t="s">
        <v>79</v>
      </c>
      <c r="B33" s="124"/>
      <c r="C33" s="123">
        <v>3</v>
      </c>
      <c r="D33" s="137"/>
      <c r="E33" s="134"/>
      <c r="F33" s="124"/>
      <c r="G33" s="135"/>
      <c r="H33" s="124"/>
      <c r="I33" s="134">
        <v>1</v>
      </c>
      <c r="J33" s="124"/>
      <c r="K33" s="135"/>
      <c r="L33" s="124"/>
      <c r="M33" s="134"/>
      <c r="N33" s="124"/>
      <c r="O33" s="135"/>
      <c r="P33" s="124"/>
      <c r="Q33" s="134">
        <v>1</v>
      </c>
      <c r="R33" s="124"/>
      <c r="S33" s="135"/>
      <c r="T33" s="124"/>
      <c r="U33" s="134">
        <v>1</v>
      </c>
      <c r="V33" s="124"/>
      <c r="W33" s="135"/>
      <c r="X33" s="124"/>
      <c r="Y33" s="134"/>
      <c r="Z33" s="124"/>
      <c r="AA33" s="130" t="str">
        <f t="shared" si="0"/>
        <v>CLEAR TAPE</v>
      </c>
      <c r="AB33" s="131">
        <f t="shared" si="1"/>
        <v>0</v>
      </c>
      <c r="AC33" s="124"/>
      <c r="AD33" s="130" t="str">
        <f t="shared" si="2"/>
        <v>CLEAR TAPE</v>
      </c>
      <c r="AE33" s="131">
        <f t="shared" si="3"/>
        <v>0</v>
      </c>
      <c r="AF33" s="124"/>
      <c r="AG33" s="130" t="str">
        <f t="shared" si="4"/>
        <v>CLEAR TAPE</v>
      </c>
      <c r="AH33" s="131">
        <f t="shared" si="5"/>
        <v>0</v>
      </c>
      <c r="AI33" s="124"/>
      <c r="AJ33" s="130" t="str">
        <f t="shared" si="6"/>
        <v>CLEAR TAPE</v>
      </c>
      <c r="AK33" s="131">
        <f t="shared" si="7"/>
        <v>0</v>
      </c>
      <c r="AL33" s="124"/>
      <c r="AM33" s="130" t="str">
        <f t="shared" si="8"/>
        <v>CLEAR TAPE</v>
      </c>
      <c r="AN33" s="131">
        <f t="shared" si="9"/>
        <v>0</v>
      </c>
      <c r="AO33" s="124"/>
      <c r="AP33" s="130" t="str">
        <f t="shared" si="10"/>
        <v>CLEAR TAPE</v>
      </c>
      <c r="AQ33" s="131">
        <f t="shared" si="11"/>
        <v>0</v>
      </c>
      <c r="AR33" s="124"/>
      <c r="AS33" s="130" t="str">
        <f t="shared" si="12"/>
        <v>CLEAR TAPE</v>
      </c>
      <c r="AT33" s="131">
        <f t="shared" si="13"/>
        <v>0</v>
      </c>
      <c r="AU33" s="124"/>
      <c r="AV33" s="130" t="str">
        <f t="shared" si="14"/>
        <v>CLEAR TAPE</v>
      </c>
      <c r="AW33" s="131">
        <f t="shared" si="15"/>
        <v>0</v>
      </c>
      <c r="AX33" s="124"/>
      <c r="AY33" s="130" t="str">
        <f t="shared" si="16"/>
        <v>CLEAR TAPE</v>
      </c>
      <c r="AZ33" s="131">
        <f t="shared" si="17"/>
        <v>0</v>
      </c>
      <c r="BA33" s="124"/>
      <c r="BB33" s="130"/>
      <c r="BC33" s="131"/>
      <c r="BD33" s="124"/>
      <c r="BE33" s="130" t="str">
        <f t="shared" si="18"/>
        <v>CLEAR TAPE</v>
      </c>
      <c r="BF33" s="131">
        <f t="shared" si="19"/>
        <v>0</v>
      </c>
      <c r="BG33" s="124"/>
      <c r="BH33" s="132"/>
      <c r="BI33" s="133"/>
      <c r="BJ33" s="130" t="str">
        <f t="shared" si="20"/>
        <v>CLEAR TAPE</v>
      </c>
      <c r="BK33" s="131">
        <f t="shared" si="21"/>
        <v>0</v>
      </c>
      <c r="BM33" s="132"/>
      <c r="BN33" s="133"/>
    </row>
    <row r="34" ht="52.95" customHeight="1" spans="1:66" s="122" customFormat="1" x14ac:dyDescent="0.25">
      <c r="A34" s="123" t="s">
        <v>80</v>
      </c>
      <c r="B34" s="124"/>
      <c r="C34" s="123">
        <v>6</v>
      </c>
      <c r="D34" s="138"/>
      <c r="E34" s="134"/>
      <c r="F34" s="124"/>
      <c r="G34" s="135">
        <v>1</v>
      </c>
      <c r="H34" s="124"/>
      <c r="I34" s="134"/>
      <c r="J34" s="124"/>
      <c r="K34" s="135"/>
      <c r="L34" s="124"/>
      <c r="M34" s="134">
        <v>1</v>
      </c>
      <c r="N34" s="124"/>
      <c r="O34" s="135"/>
      <c r="P34" s="124"/>
      <c r="Q34" s="134">
        <v>1</v>
      </c>
      <c r="R34" s="124"/>
      <c r="S34" s="135">
        <v>1</v>
      </c>
      <c r="T34" s="124"/>
      <c r="U34" s="134">
        <v>1</v>
      </c>
      <c r="V34" s="124"/>
      <c r="W34" s="135"/>
      <c r="X34" s="124"/>
      <c r="Y34" s="134">
        <v>1</v>
      </c>
      <c r="Z34" s="124"/>
      <c r="AA34" s="130" t="str">
        <f t="shared" si="0"/>
        <v>TRAPOS AMARILLOS</v>
      </c>
      <c r="AB34" s="131">
        <f t="shared" si="1"/>
        <v>1</v>
      </c>
      <c r="AC34" s="124"/>
      <c r="AD34" s="130" t="str">
        <f t="shared" si="2"/>
        <v>TRAPOS AMARILLOS</v>
      </c>
      <c r="AE34" s="131">
        <f t="shared" si="3"/>
        <v>1</v>
      </c>
      <c r="AF34" s="124"/>
      <c r="AG34" s="130" t="str">
        <f t="shared" si="4"/>
        <v>TRAPOS AMARILLOS</v>
      </c>
      <c r="AH34" s="131">
        <f t="shared" si="5"/>
        <v>1</v>
      </c>
      <c r="AI34" s="124"/>
      <c r="AJ34" s="130" t="str">
        <f t="shared" si="6"/>
        <v>TRAPOS AMARILLOS</v>
      </c>
      <c r="AK34" s="131">
        <f t="shared" si="7"/>
        <v>0</v>
      </c>
      <c r="AL34" s="124"/>
      <c r="AM34" s="130" t="str">
        <f t="shared" si="8"/>
        <v>TRAPOS AMARILLOS</v>
      </c>
      <c r="AN34" s="131">
        <f t="shared" si="9"/>
        <v>0</v>
      </c>
      <c r="AO34" s="124"/>
      <c r="AP34" s="130" t="str">
        <f t="shared" si="10"/>
        <v>TRAPOS AMARILLOS</v>
      </c>
      <c r="AQ34" s="131">
        <f t="shared" si="11"/>
        <v>1</v>
      </c>
      <c r="AR34" s="124"/>
      <c r="AS34" s="130" t="str">
        <f t="shared" si="12"/>
        <v>TRAPOS AMARILLOS</v>
      </c>
      <c r="AT34" s="131">
        <f t="shared" si="13"/>
        <v>0</v>
      </c>
      <c r="AU34" s="124"/>
      <c r="AV34" s="130" t="str">
        <f t="shared" si="14"/>
        <v>TRAPOS AMARILLOS</v>
      </c>
      <c r="AW34" s="131">
        <f t="shared" si="15"/>
        <v>0</v>
      </c>
      <c r="AX34" s="124"/>
      <c r="AY34" s="130" t="str">
        <f t="shared" si="16"/>
        <v>TRAPOS AMARILLOS</v>
      </c>
      <c r="AZ34" s="131">
        <f t="shared" si="17"/>
        <v>0</v>
      </c>
      <c r="BA34" s="124"/>
      <c r="BB34" s="130"/>
      <c r="BC34" s="131"/>
      <c r="BD34" s="124"/>
      <c r="BE34" s="130" t="str">
        <f t="shared" si="18"/>
        <v>TRAPOS AMARILLOS</v>
      </c>
      <c r="BF34" s="131">
        <f t="shared" si="19"/>
        <v>0</v>
      </c>
      <c r="BG34" s="124"/>
      <c r="BH34" s="132"/>
      <c r="BI34" s="133"/>
      <c r="BJ34" s="130" t="str">
        <f t="shared" si="20"/>
        <v>TRAPOS AMARILLOS</v>
      </c>
      <c r="BK34" s="131">
        <f t="shared" si="21"/>
        <v>1</v>
      </c>
      <c r="BM34" s="132"/>
      <c r="BN34" s="133"/>
    </row>
    <row r="35" ht="52.95" customHeight="1" spans="1:66" s="122" customFormat="1" x14ac:dyDescent="0.25">
      <c r="A35" s="123" t="s">
        <v>81</v>
      </c>
      <c r="B35" s="124"/>
      <c r="C35" s="123">
        <v>3</v>
      </c>
      <c r="D35" s="138"/>
      <c r="E35" s="134"/>
      <c r="F35" s="124"/>
      <c r="G35" s="135"/>
      <c r="H35" s="124"/>
      <c r="I35" s="134"/>
      <c r="J35" s="124"/>
      <c r="K35" s="135"/>
      <c r="L35" s="124"/>
      <c r="M35" s="134">
        <v>1</v>
      </c>
      <c r="N35" s="124"/>
      <c r="O35" s="135"/>
      <c r="P35" s="124"/>
      <c r="Q35" s="134"/>
      <c r="R35" s="124"/>
      <c r="S35" s="135">
        <v>1</v>
      </c>
      <c r="T35" s="124"/>
      <c r="U35" s="134"/>
      <c r="V35" s="124"/>
      <c r="W35" s="135">
        <v>1</v>
      </c>
      <c r="X35" s="124"/>
      <c r="Y35" s="134"/>
      <c r="Z35" s="124"/>
      <c r="AA35" s="130" t="str">
        <f t="shared" si="0"/>
        <v>ARBOL BLEND</v>
      </c>
      <c r="AB35" s="131">
        <f t="shared" si="1"/>
        <v>0</v>
      </c>
      <c r="AC35" s="124"/>
      <c r="AD35" s="130" t="str">
        <f t="shared" si="2"/>
        <v>ARBOL BLEND</v>
      </c>
      <c r="AE35" s="131">
        <f t="shared" si="3"/>
        <v>1</v>
      </c>
      <c r="AF35" s="124"/>
      <c r="AG35" s="130" t="str">
        <f t="shared" si="4"/>
        <v>ARBOL BLEND</v>
      </c>
      <c r="AH35" s="131">
        <f t="shared" si="5"/>
        <v>0</v>
      </c>
      <c r="AI35" s="124"/>
      <c r="AJ35" s="130" t="str">
        <f t="shared" si="6"/>
        <v>ARBOL BLEND</v>
      </c>
      <c r="AK35" s="131">
        <f t="shared" si="7"/>
        <v>0</v>
      </c>
      <c r="AL35" s="124"/>
      <c r="AM35" s="130" t="str">
        <f t="shared" si="8"/>
        <v>ARBOL BLEND</v>
      </c>
      <c r="AN35" s="131">
        <f t="shared" si="9"/>
        <v>0</v>
      </c>
      <c r="AO35" s="124"/>
      <c r="AP35" s="130" t="str">
        <f t="shared" si="10"/>
        <v>ARBOL BLEND</v>
      </c>
      <c r="AQ35" s="131">
        <f t="shared" si="11"/>
        <v>0</v>
      </c>
      <c r="AR35" s="124"/>
      <c r="AS35" s="130" t="str">
        <f t="shared" si="12"/>
        <v>ARBOL BLEND</v>
      </c>
      <c r="AT35" s="131">
        <f t="shared" si="13"/>
        <v>0</v>
      </c>
      <c r="AU35" s="124"/>
      <c r="AV35" s="130" t="str">
        <f t="shared" si="14"/>
        <v>ARBOL BLEND</v>
      </c>
      <c r="AW35" s="131">
        <f t="shared" si="15"/>
        <v>0</v>
      </c>
      <c r="AX35" s="124"/>
      <c r="AY35" s="130" t="str">
        <f t="shared" si="16"/>
        <v>ARBOL BLEND</v>
      </c>
      <c r="AZ35" s="131">
        <f t="shared" si="17"/>
        <v>0</v>
      </c>
      <c r="BA35" s="124"/>
      <c r="BB35" s="130"/>
      <c r="BC35" s="131"/>
      <c r="BD35" s="124"/>
      <c r="BE35" s="130" t="str">
        <f t="shared" si="18"/>
        <v>ARBOL BLEND</v>
      </c>
      <c r="BF35" s="131">
        <f t="shared" si="19"/>
        <v>0</v>
      </c>
      <c r="BG35" s="124"/>
      <c r="BH35" s="132"/>
      <c r="BI35" s="133"/>
      <c r="BJ35" s="130" t="str">
        <f t="shared" si="20"/>
        <v>ARBOL BLEND</v>
      </c>
      <c r="BK35" s="131">
        <f t="shared" si="21"/>
        <v>0</v>
      </c>
      <c r="BM35" s="132"/>
      <c r="BN35" s="133"/>
    </row>
    <row r="36" ht="52.95" customHeight="1" spans="1:66" s="122" customFormat="1" x14ac:dyDescent="0.25">
      <c r="A36" s="123" t="s">
        <v>82</v>
      </c>
      <c r="B36" s="124"/>
      <c r="C36" s="123">
        <v>2</v>
      </c>
      <c r="D36" s="138"/>
      <c r="E36" s="134"/>
      <c r="F36" s="124"/>
      <c r="G36" s="135">
        <v>1</v>
      </c>
      <c r="H36" s="124"/>
      <c r="I36" s="134"/>
      <c r="J36" s="124"/>
      <c r="K36" s="135">
        <v>1</v>
      </c>
      <c r="L36" s="124"/>
      <c r="M36" s="134"/>
      <c r="N36" s="124"/>
      <c r="O36" s="135"/>
      <c r="P36" s="124"/>
      <c r="Q36" s="134"/>
      <c r="R36" s="124"/>
      <c r="S36" s="135"/>
      <c r="T36" s="124"/>
      <c r="U36" s="134"/>
      <c r="V36" s="124"/>
      <c r="W36" s="135"/>
      <c r="X36" s="124"/>
      <c r="Y36" s="134"/>
      <c r="Z36" s="124"/>
      <c r="AA36" s="130" t="str">
        <f t="shared" si="0"/>
        <v>RED SAUCE BLEND</v>
      </c>
      <c r="AB36" s="131">
        <f t="shared" si="1"/>
        <v>0</v>
      </c>
      <c r="AC36" s="124"/>
      <c r="AD36" s="130" t="str">
        <f t="shared" si="2"/>
        <v>RED SAUCE BLEND</v>
      </c>
      <c r="AE36" s="131">
        <f t="shared" si="3"/>
        <v>1</v>
      </c>
      <c r="AF36" s="124"/>
      <c r="AG36" s="130" t="str">
        <f t="shared" si="4"/>
        <v>RED SAUCE BLEND</v>
      </c>
      <c r="AH36" s="131">
        <f t="shared" si="5"/>
        <v>0</v>
      </c>
      <c r="AI36" s="124"/>
      <c r="AJ36" s="130" t="str">
        <f t="shared" si="6"/>
        <v>RED SAUCE BLEND</v>
      </c>
      <c r="AK36" s="131">
        <f t="shared" si="7"/>
        <v>0</v>
      </c>
      <c r="AL36" s="124"/>
      <c r="AM36" s="130" t="str">
        <f t="shared" si="8"/>
        <v>RED SAUCE BLEND</v>
      </c>
      <c r="AN36" s="131">
        <f t="shared" si="9"/>
        <v>0</v>
      </c>
      <c r="AO36" s="124"/>
      <c r="AP36" s="130" t="str">
        <f t="shared" si="10"/>
        <v>RED SAUCE BLEND</v>
      </c>
      <c r="AQ36" s="131">
        <f t="shared" si="11"/>
        <v>0</v>
      </c>
      <c r="AR36" s="124"/>
      <c r="AS36" s="130" t="str">
        <f t="shared" si="12"/>
        <v>RED SAUCE BLEND</v>
      </c>
      <c r="AT36" s="131">
        <f t="shared" si="13"/>
        <v>0</v>
      </c>
      <c r="AU36" s="124"/>
      <c r="AV36" s="130" t="str">
        <f t="shared" si="14"/>
        <v>RED SAUCE BLEND</v>
      </c>
      <c r="AW36" s="131">
        <f t="shared" si="15"/>
        <v>0</v>
      </c>
      <c r="AX36" s="124"/>
      <c r="AY36" s="130" t="str">
        <f t="shared" si="16"/>
        <v>RED SAUCE BLEND</v>
      </c>
      <c r="AZ36" s="131">
        <f t="shared" si="17"/>
        <v>0</v>
      </c>
      <c r="BA36" s="124"/>
      <c r="BB36" s="130"/>
      <c r="BC36" s="131"/>
      <c r="BD36" s="124"/>
      <c r="BE36" s="130" t="str">
        <f t="shared" si="18"/>
        <v>RED SAUCE BLEND</v>
      </c>
      <c r="BF36" s="131">
        <f t="shared" si="19"/>
        <v>0</v>
      </c>
      <c r="BG36" s="124"/>
      <c r="BH36" s="132"/>
      <c r="BI36" s="133"/>
      <c r="BJ36" s="130" t="str">
        <f t="shared" si="20"/>
        <v>RED SAUCE BLEND</v>
      </c>
      <c r="BK36" s="131">
        <f t="shared" si="21"/>
        <v>0</v>
      </c>
      <c r="BM36" s="132"/>
      <c r="BN36" s="133"/>
    </row>
    <row r="37" ht="52.95" customHeight="1" spans="1:66" s="122" customFormat="1" x14ac:dyDescent="0.25">
      <c r="A37" s="123" t="s">
        <v>83</v>
      </c>
      <c r="B37" s="124"/>
      <c r="C37" s="123">
        <v>4</v>
      </c>
      <c r="D37" s="138"/>
      <c r="E37" s="126"/>
      <c r="F37" s="124"/>
      <c r="G37" s="123">
        <v>1</v>
      </c>
      <c r="H37" s="124"/>
      <c r="I37" s="126">
        <v>1</v>
      </c>
      <c r="J37" s="124"/>
      <c r="K37" s="123">
        <v>1</v>
      </c>
      <c r="L37" s="124"/>
      <c r="M37" s="126"/>
      <c r="N37" s="124"/>
      <c r="O37" s="123"/>
      <c r="P37" s="124"/>
      <c r="Q37" s="126"/>
      <c r="R37" s="124"/>
      <c r="S37" s="123"/>
      <c r="T37" s="124"/>
      <c r="U37" s="126"/>
      <c r="V37" s="124"/>
      <c r="W37" s="135">
        <v>1</v>
      </c>
      <c r="X37" s="124"/>
      <c r="Y37" s="134"/>
      <c r="Z37" s="124"/>
      <c r="AA37" s="130" t="str">
        <f t="shared" si="0"/>
        <v>GREEN SAUCE BLEND</v>
      </c>
      <c r="AB37" s="131">
        <f t="shared" si="1"/>
        <v>0</v>
      </c>
      <c r="AC37" s="124"/>
      <c r="AD37" s="130" t="str">
        <f t="shared" si="2"/>
        <v>GREEN SAUCE BLEND</v>
      </c>
      <c r="AE37" s="131">
        <f t="shared" si="3"/>
        <v>0</v>
      </c>
      <c r="AF37" s="124"/>
      <c r="AG37" s="130" t="str">
        <f t="shared" si="4"/>
        <v>GREEN SAUCE BLEND</v>
      </c>
      <c r="AH37" s="131">
        <f t="shared" si="5"/>
        <v>1</v>
      </c>
      <c r="AI37" s="124"/>
      <c r="AJ37" s="130" t="str">
        <f t="shared" si="6"/>
        <v>GREEN SAUCE BLEND</v>
      </c>
      <c r="AK37" s="131">
        <f t="shared" si="7"/>
        <v>0</v>
      </c>
      <c r="AL37" s="124"/>
      <c r="AM37" s="130" t="str">
        <f t="shared" si="8"/>
        <v>GREEN SAUCE BLEND</v>
      </c>
      <c r="AN37" s="131">
        <f t="shared" si="9"/>
        <v>0</v>
      </c>
      <c r="AO37" s="124"/>
      <c r="AP37" s="130" t="str">
        <f t="shared" si="10"/>
        <v>GREEN SAUCE BLEND</v>
      </c>
      <c r="AQ37" s="131">
        <f t="shared" si="11"/>
        <v>0</v>
      </c>
      <c r="AR37" s="124"/>
      <c r="AS37" s="130" t="str">
        <f t="shared" si="12"/>
        <v>GREEN SAUCE BLEND</v>
      </c>
      <c r="AT37" s="131">
        <f t="shared" si="13"/>
        <v>0</v>
      </c>
      <c r="AU37" s="124"/>
      <c r="AV37" s="130" t="str">
        <f t="shared" si="14"/>
        <v>GREEN SAUCE BLEND</v>
      </c>
      <c r="AW37" s="131">
        <f t="shared" si="15"/>
        <v>1</v>
      </c>
      <c r="AX37" s="124"/>
      <c r="AY37" s="130" t="str">
        <f t="shared" si="16"/>
        <v>GREEN SAUCE BLEND</v>
      </c>
      <c r="AZ37" s="131">
        <f t="shared" si="17"/>
        <v>0</v>
      </c>
      <c r="BA37" s="124"/>
      <c r="BB37" s="130"/>
      <c r="BC37" s="131"/>
      <c r="BD37" s="124"/>
      <c r="BE37" s="130" t="str">
        <f t="shared" si="18"/>
        <v>GREEN SAUCE BLEND</v>
      </c>
      <c r="BF37" s="131">
        <f t="shared" si="19"/>
        <v>0</v>
      </c>
      <c r="BG37" s="124"/>
      <c r="BH37" s="132"/>
      <c r="BI37" s="133"/>
      <c r="BJ37" s="130" t="str">
        <f t="shared" si="20"/>
        <v>GREEN SAUCE BLEND</v>
      </c>
      <c r="BK37" s="131">
        <f t="shared" si="21"/>
        <v>0</v>
      </c>
      <c r="BM37" s="132"/>
      <c r="BN37" s="133"/>
    </row>
    <row r="38" ht="52.95" customHeight="1" spans="1:66" s="122" customFormat="1" x14ac:dyDescent="0.25">
      <c r="A38" s="123" t="s">
        <v>84</v>
      </c>
      <c r="B38" s="124"/>
      <c r="C38" s="123"/>
      <c r="D38" s="137"/>
      <c r="E38" s="134"/>
      <c r="F38" s="124"/>
      <c r="G38" s="135"/>
      <c r="H38" s="124"/>
      <c r="I38" s="134"/>
      <c r="J38" s="124"/>
      <c r="K38" s="135"/>
      <c r="L38" s="124"/>
      <c r="M38" s="134"/>
      <c r="N38" s="124"/>
      <c r="O38" s="135"/>
      <c r="P38" s="124"/>
      <c r="Q38" s="134"/>
      <c r="R38" s="124"/>
      <c r="S38" s="135"/>
      <c r="T38" s="124"/>
      <c r="U38" s="134"/>
      <c r="V38" s="124"/>
      <c r="W38" s="123"/>
      <c r="X38" s="124"/>
      <c r="Y38" s="126"/>
      <c r="Z38" s="124"/>
      <c r="AA38" s="130" t="str">
        <f t="shared" si="0"/>
        <v>HABANERO BLEND</v>
      </c>
      <c r="AB38" s="131">
        <f t="shared" si="1"/>
        <v>1</v>
      </c>
      <c r="AC38" s="124"/>
      <c r="AD38" s="130" t="str">
        <f t="shared" si="2"/>
        <v>HABANERO BLEND</v>
      </c>
      <c r="AE38" s="131">
        <f t="shared" si="3"/>
        <v>0</v>
      </c>
      <c r="AF38" s="124"/>
      <c r="AG38" s="130" t="str">
        <f t="shared" si="4"/>
        <v>HABANERO BLEND</v>
      </c>
      <c r="AH38" s="131">
        <f t="shared" si="5"/>
        <v>0</v>
      </c>
      <c r="AI38" s="124"/>
      <c r="AJ38" s="130" t="str">
        <f t="shared" si="6"/>
        <v>HABANERO BLEND</v>
      </c>
      <c r="AK38" s="131">
        <f t="shared" si="7"/>
        <v>0</v>
      </c>
      <c r="AL38" s="124"/>
      <c r="AM38" s="130" t="str">
        <f t="shared" si="8"/>
        <v>HABANERO BLEND</v>
      </c>
      <c r="AN38" s="131">
        <f t="shared" si="9"/>
        <v>1</v>
      </c>
      <c r="AO38" s="124"/>
      <c r="AP38" s="130" t="str">
        <f t="shared" si="10"/>
        <v>HABANERO BLEND</v>
      </c>
      <c r="AQ38" s="131">
        <f t="shared" si="11"/>
        <v>0</v>
      </c>
      <c r="AR38" s="124"/>
      <c r="AS38" s="130" t="str">
        <f t="shared" si="12"/>
        <v>HABANERO BLEND</v>
      </c>
      <c r="AT38" s="131">
        <f t="shared" si="13"/>
        <v>0</v>
      </c>
      <c r="AU38" s="124"/>
      <c r="AV38" s="130" t="str">
        <f t="shared" si="14"/>
        <v>HABANERO BLEND</v>
      </c>
      <c r="AW38" s="131">
        <f t="shared" si="15"/>
        <v>0</v>
      </c>
      <c r="AX38" s="124"/>
      <c r="AY38" s="130" t="str">
        <f t="shared" si="16"/>
        <v>HABANERO BLEND</v>
      </c>
      <c r="AZ38" s="131">
        <f t="shared" si="17"/>
        <v>0</v>
      </c>
      <c r="BA38" s="124"/>
      <c r="BB38" s="130"/>
      <c r="BC38" s="131"/>
      <c r="BD38" s="124"/>
      <c r="BE38" s="130" t="str">
        <f t="shared" si="18"/>
        <v>HABANERO BLEND</v>
      </c>
      <c r="BF38" s="131">
        <f t="shared" si="19"/>
        <v>0</v>
      </c>
      <c r="BG38" s="124"/>
      <c r="BH38" s="132"/>
      <c r="BI38" s="133"/>
      <c r="BJ38" s="130" t="str">
        <f t="shared" si="20"/>
        <v>HABANERO BLEND</v>
      </c>
      <c r="BK38" s="131">
        <f t="shared" si="21"/>
        <v>0</v>
      </c>
      <c r="BM38" s="132"/>
      <c r="BN38" s="133"/>
    </row>
    <row r="39" ht="52.95" customHeight="1" spans="1:66" s="122" customFormat="1" x14ac:dyDescent="0.25">
      <c r="A39" s="123" t="s">
        <v>85</v>
      </c>
      <c r="B39" s="124"/>
      <c r="C39" s="123">
        <v>1</v>
      </c>
      <c r="D39" s="137"/>
      <c r="E39" s="134"/>
      <c r="F39" s="124"/>
      <c r="G39" s="135"/>
      <c r="H39" s="124"/>
      <c r="I39" s="134">
        <v>1</v>
      </c>
      <c r="J39" s="124"/>
      <c r="K39" s="135"/>
      <c r="L39" s="124"/>
      <c r="M39" s="134"/>
      <c r="N39" s="124"/>
      <c r="O39" s="135"/>
      <c r="P39" s="124"/>
      <c r="Q39" s="134"/>
      <c r="R39" s="124"/>
      <c r="S39" s="135"/>
      <c r="T39" s="124"/>
      <c r="U39" s="134"/>
      <c r="V39" s="124"/>
      <c r="W39" s="135"/>
      <c r="X39" s="124"/>
      <c r="Y39" s="134"/>
      <c r="Z39" s="124"/>
      <c r="AA39" s="130" t="str">
        <f t="shared" si="0"/>
        <v>MOLE BLEND </v>
      </c>
      <c r="AB39" s="131">
        <f t="shared" si="1"/>
        <v>0</v>
      </c>
      <c r="AC39" s="124"/>
      <c r="AD39" s="130" t="str">
        <f t="shared" si="2"/>
        <v>MOLE BLEND </v>
      </c>
      <c r="AE39" s="131">
        <f t="shared" si="3"/>
        <v>0</v>
      </c>
      <c r="AF39" s="124"/>
      <c r="AG39" s="130" t="str">
        <f t="shared" si="4"/>
        <v>MOLE BLEND </v>
      </c>
      <c r="AH39" s="131">
        <f t="shared" si="5"/>
        <v>0</v>
      </c>
      <c r="AI39" s="124"/>
      <c r="AJ39" s="130" t="str">
        <f t="shared" si="6"/>
        <v>MOLE BLEND </v>
      </c>
      <c r="AK39" s="131">
        <f t="shared" si="7"/>
        <v>0</v>
      </c>
      <c r="AL39" s="124"/>
      <c r="AM39" s="130" t="str">
        <f t="shared" si="8"/>
        <v>MOLE BLEND </v>
      </c>
      <c r="AN39" s="131">
        <f t="shared" si="9"/>
        <v>0</v>
      </c>
      <c r="AO39" s="124"/>
      <c r="AP39" s="130" t="str">
        <f t="shared" si="10"/>
        <v>MOLE BLEND </v>
      </c>
      <c r="AQ39" s="131">
        <f t="shared" si="11"/>
        <v>0</v>
      </c>
      <c r="AR39" s="124"/>
      <c r="AS39" s="130" t="str">
        <f t="shared" si="12"/>
        <v>MOLE BLEND </v>
      </c>
      <c r="AT39" s="131">
        <f t="shared" si="13"/>
        <v>0</v>
      </c>
      <c r="AU39" s="124"/>
      <c r="AV39" s="130" t="str">
        <f t="shared" si="14"/>
        <v>MOLE BLEND </v>
      </c>
      <c r="AW39" s="131">
        <f t="shared" si="15"/>
        <v>0</v>
      </c>
      <c r="AX39" s="124"/>
      <c r="AY39" s="130" t="str">
        <f t="shared" si="16"/>
        <v>MOLE BLEND </v>
      </c>
      <c r="AZ39" s="131">
        <f t="shared" si="17"/>
        <v>0</v>
      </c>
      <c r="BA39" s="124"/>
      <c r="BB39" s="130"/>
      <c r="BC39" s="131"/>
      <c r="BD39" s="124"/>
      <c r="BE39" s="130" t="str">
        <f t="shared" si="18"/>
        <v>MOLE BLEND </v>
      </c>
      <c r="BF39" s="131">
        <f t="shared" si="19"/>
        <v>0</v>
      </c>
      <c r="BG39" s="124"/>
      <c r="BH39" s="132"/>
      <c r="BI39" s="133"/>
      <c r="BJ39" s="130" t="str">
        <f t="shared" si="20"/>
        <v>MOLE BLEND </v>
      </c>
      <c r="BK39" s="131">
        <f t="shared" si="21"/>
        <v>0</v>
      </c>
      <c r="BM39" s="132"/>
      <c r="BN39" s="133"/>
    </row>
    <row r="40" ht="52.95" customHeight="1" spans="1:66" s="122" customFormat="1" x14ac:dyDescent="0.25">
      <c r="A40" s="123" t="s">
        <v>86</v>
      </c>
      <c r="B40" s="124"/>
      <c r="C40" s="123">
        <v>1</v>
      </c>
      <c r="D40" s="137"/>
      <c r="E40" s="134"/>
      <c r="F40" s="124"/>
      <c r="G40" s="135"/>
      <c r="H40" s="124"/>
      <c r="I40" s="134"/>
      <c r="J40" s="124"/>
      <c r="K40" s="135">
        <v>1</v>
      </c>
      <c r="L40" s="124"/>
      <c r="M40" s="134"/>
      <c r="N40" s="124"/>
      <c r="O40" s="135"/>
      <c r="P40" s="124"/>
      <c r="Q40" s="134"/>
      <c r="R40" s="124"/>
      <c r="S40" s="135"/>
      <c r="T40" s="124"/>
      <c r="U40" s="134"/>
      <c r="V40" s="124"/>
      <c r="W40" s="135"/>
      <c r="X40" s="124"/>
      <c r="Y40" s="134"/>
      <c r="Z40" s="124"/>
      <c r="AA40" s="130" t="str">
        <f t="shared" si="0"/>
        <v>RANCHERO BLEND</v>
      </c>
      <c r="AB40" s="131">
        <f t="shared" si="1"/>
        <v>0</v>
      </c>
      <c r="AC40" s="124"/>
      <c r="AD40" s="130" t="str">
        <f t="shared" si="2"/>
        <v>RANCHERO BLEND</v>
      </c>
      <c r="AE40" s="131">
        <f t="shared" si="3"/>
        <v>0</v>
      </c>
      <c r="AF40" s="124"/>
      <c r="AG40" s="130" t="str">
        <f t="shared" si="4"/>
        <v>RANCHERO BLEND</v>
      </c>
      <c r="AH40" s="131">
        <f t="shared" si="5"/>
        <v>0</v>
      </c>
      <c r="AI40" s="124"/>
      <c r="AJ40" s="130" t="str">
        <f t="shared" si="6"/>
        <v>RANCHERO BLEND</v>
      </c>
      <c r="AK40" s="131">
        <f t="shared" si="7"/>
        <v>1</v>
      </c>
      <c r="AL40" s="124"/>
      <c r="AM40" s="130" t="str">
        <f t="shared" si="8"/>
        <v>RANCHERO BLEND</v>
      </c>
      <c r="AN40" s="131">
        <f t="shared" si="9"/>
        <v>0</v>
      </c>
      <c r="AO40" s="124"/>
      <c r="AP40" s="130" t="str">
        <f t="shared" si="10"/>
        <v>RANCHERO BLEND</v>
      </c>
      <c r="AQ40" s="131">
        <f t="shared" si="11"/>
        <v>0</v>
      </c>
      <c r="AR40" s="124"/>
      <c r="AS40" s="130" t="str">
        <f t="shared" si="12"/>
        <v>RANCHERO BLEND</v>
      </c>
      <c r="AT40" s="131">
        <f t="shared" si="13"/>
        <v>0</v>
      </c>
      <c r="AU40" s="124"/>
      <c r="AV40" s="130" t="str">
        <f t="shared" si="14"/>
        <v>RANCHERO BLEND</v>
      </c>
      <c r="AW40" s="131">
        <f t="shared" si="15"/>
        <v>0</v>
      </c>
      <c r="AX40" s="124"/>
      <c r="AY40" s="130" t="str">
        <f t="shared" si="16"/>
        <v>RANCHERO BLEND</v>
      </c>
      <c r="AZ40" s="131">
        <f t="shared" si="17"/>
        <v>0</v>
      </c>
      <c r="BA40" s="124"/>
      <c r="BB40" s="130"/>
      <c r="BC40" s="131"/>
      <c r="BD40" s="124"/>
      <c r="BE40" s="130" t="str">
        <f t="shared" si="18"/>
        <v>RANCHERO BLEND</v>
      </c>
      <c r="BF40" s="131">
        <f t="shared" si="19"/>
        <v>0</v>
      </c>
      <c r="BG40" s="124"/>
      <c r="BH40" s="132"/>
      <c r="BI40" s="133"/>
      <c r="BJ40" s="130" t="str">
        <f t="shared" si="20"/>
        <v>RANCHERO BLEND</v>
      </c>
      <c r="BK40" s="131">
        <f t="shared" si="21"/>
        <v>0</v>
      </c>
      <c r="BM40" s="132"/>
      <c r="BN40" s="133"/>
    </row>
    <row r="41" ht="52.95" customHeight="1" spans="1:66" s="122" customFormat="1" x14ac:dyDescent="0.25">
      <c r="A41" s="123" t="s">
        <v>87</v>
      </c>
      <c r="B41" s="124"/>
      <c r="C41" s="123"/>
      <c r="D41" s="137"/>
      <c r="E41" s="134"/>
      <c r="F41" s="124"/>
      <c r="G41" s="135"/>
      <c r="H41" s="124"/>
      <c r="I41" s="134"/>
      <c r="J41" s="124"/>
      <c r="K41" s="135"/>
      <c r="L41" s="124"/>
      <c r="M41" s="134"/>
      <c r="N41" s="124"/>
      <c r="O41" s="135"/>
      <c r="P41" s="124"/>
      <c r="Q41" s="134"/>
      <c r="R41" s="124"/>
      <c r="S41" s="135"/>
      <c r="T41" s="124"/>
      <c r="U41" s="134"/>
      <c r="V41" s="124"/>
      <c r="W41" s="135"/>
      <c r="X41" s="124"/>
      <c r="Y41" s="134"/>
      <c r="Z41" s="124"/>
      <c r="AA41" s="130" t="str">
        <f t="shared" si="0"/>
        <v>POBLANO BLEND</v>
      </c>
      <c r="AB41" s="131">
        <f t="shared" si="1"/>
        <v>0</v>
      </c>
      <c r="AC41" s="124"/>
      <c r="AD41" s="130" t="str">
        <f t="shared" si="2"/>
        <v>POBLANO BLEND</v>
      </c>
      <c r="AE41" s="131">
        <f t="shared" si="3"/>
        <v>1</v>
      </c>
      <c r="AF41" s="124"/>
      <c r="AG41" s="130" t="str">
        <f t="shared" si="4"/>
        <v>POBLANO BLEND</v>
      </c>
      <c r="AH41" s="131">
        <f t="shared" si="5"/>
        <v>0</v>
      </c>
      <c r="AI41" s="124"/>
      <c r="AJ41" s="130" t="str">
        <f t="shared" si="6"/>
        <v>POBLANO BLEND</v>
      </c>
      <c r="AK41" s="131">
        <f t="shared" si="7"/>
        <v>0</v>
      </c>
      <c r="AL41" s="124"/>
      <c r="AM41" s="130" t="str">
        <f t="shared" si="8"/>
        <v>POBLANO BLEND</v>
      </c>
      <c r="AN41" s="131">
        <f t="shared" si="9"/>
        <v>0</v>
      </c>
      <c r="AO41" s="124"/>
      <c r="AP41" s="130" t="str">
        <f t="shared" si="10"/>
        <v>POBLANO BLEND</v>
      </c>
      <c r="AQ41" s="131">
        <f t="shared" si="11"/>
        <v>0</v>
      </c>
      <c r="AR41" s="124"/>
      <c r="AS41" s="130" t="str">
        <f t="shared" si="12"/>
        <v>POBLANO BLEND</v>
      </c>
      <c r="AT41" s="131">
        <f t="shared" si="13"/>
        <v>0</v>
      </c>
      <c r="AU41" s="124"/>
      <c r="AV41" s="130" t="str">
        <f t="shared" si="14"/>
        <v>POBLANO BLEND</v>
      </c>
      <c r="AW41" s="131">
        <f t="shared" si="15"/>
        <v>0</v>
      </c>
      <c r="AX41" s="124"/>
      <c r="AY41" s="130" t="str">
        <f t="shared" si="16"/>
        <v>POBLANO BLEND</v>
      </c>
      <c r="AZ41" s="131">
        <f t="shared" si="17"/>
        <v>0</v>
      </c>
      <c r="BA41" s="124"/>
      <c r="BB41" s="130"/>
      <c r="BC41" s="131"/>
      <c r="BD41" s="124"/>
      <c r="BE41" s="130" t="str">
        <f t="shared" si="18"/>
        <v>POBLANO BLEND</v>
      </c>
      <c r="BF41" s="131">
        <f t="shared" si="19"/>
        <v>0</v>
      </c>
      <c r="BG41" s="124"/>
      <c r="BH41" s="132"/>
      <c r="BI41" s="133"/>
      <c r="BJ41" s="130" t="str">
        <f t="shared" si="20"/>
        <v>POBLANO BLEND</v>
      </c>
      <c r="BK41" s="131">
        <f t="shared" si="21"/>
        <v>0</v>
      </c>
      <c r="BM41" s="132"/>
      <c r="BN41" s="133"/>
    </row>
    <row r="42" ht="52.95" customHeight="1" spans="1:66" s="122" customFormat="1" x14ac:dyDescent="0.25">
      <c r="A42" s="123" t="s">
        <v>88</v>
      </c>
      <c r="B42" s="124"/>
      <c r="C42" s="123">
        <v>1</v>
      </c>
      <c r="D42" s="137"/>
      <c r="E42" s="134"/>
      <c r="F42" s="124"/>
      <c r="G42" s="135">
        <v>1</v>
      </c>
      <c r="H42" s="124"/>
      <c r="I42" s="134"/>
      <c r="J42" s="124"/>
      <c r="K42" s="135"/>
      <c r="L42" s="124"/>
      <c r="M42" s="134"/>
      <c r="N42" s="124"/>
      <c r="O42" s="135"/>
      <c r="P42" s="124"/>
      <c r="Q42" s="134"/>
      <c r="R42" s="124"/>
      <c r="S42" s="135"/>
      <c r="T42" s="124"/>
      <c r="U42" s="134"/>
      <c r="V42" s="124"/>
      <c r="W42" s="135"/>
      <c r="X42" s="124"/>
      <c r="Y42" s="134"/>
      <c r="Z42" s="124"/>
      <c r="AA42" s="130" t="str">
        <f t="shared" si="0"/>
        <v>CARNITAS BLEND</v>
      </c>
      <c r="AB42" s="131">
        <f t="shared" si="1"/>
        <v>0</v>
      </c>
      <c r="AC42" s="124"/>
      <c r="AD42" s="130" t="str">
        <f t="shared" si="2"/>
        <v>CARNITAS BLEND</v>
      </c>
      <c r="AE42" s="131">
        <f t="shared" si="3"/>
        <v>0</v>
      </c>
      <c r="AF42" s="124"/>
      <c r="AG42" s="130" t="str">
        <f t="shared" si="4"/>
        <v>CARNITAS BLEND</v>
      </c>
      <c r="AH42" s="131">
        <f t="shared" si="5"/>
        <v>1</v>
      </c>
      <c r="AI42" s="124"/>
      <c r="AJ42" s="130" t="str">
        <f t="shared" si="6"/>
        <v>CARNITAS BLEND</v>
      </c>
      <c r="AK42" s="131">
        <f t="shared" si="7"/>
        <v>1</v>
      </c>
      <c r="AL42" s="124"/>
      <c r="AM42" s="130" t="str">
        <f t="shared" si="8"/>
        <v>CARNITAS BLEND</v>
      </c>
      <c r="AN42" s="131">
        <f t="shared" si="9"/>
        <v>1</v>
      </c>
      <c r="AO42" s="124"/>
      <c r="AP42" s="130" t="str">
        <f t="shared" si="10"/>
        <v>CARNITAS BLEND</v>
      </c>
      <c r="AQ42" s="131">
        <f t="shared" si="11"/>
        <v>0</v>
      </c>
      <c r="AR42" s="124"/>
      <c r="AS42" s="130" t="str">
        <f t="shared" si="12"/>
        <v>CARNITAS BLEND</v>
      </c>
      <c r="AT42" s="131">
        <f t="shared" si="13"/>
        <v>0</v>
      </c>
      <c r="AU42" s="124"/>
      <c r="AV42" s="130" t="str">
        <f t="shared" si="14"/>
        <v>CARNITAS BLEND</v>
      </c>
      <c r="AW42" s="131">
        <f t="shared" si="15"/>
        <v>0</v>
      </c>
      <c r="AX42" s="124"/>
      <c r="AY42" s="130" t="str">
        <f t="shared" si="16"/>
        <v>CARNITAS BLEND</v>
      </c>
      <c r="AZ42" s="131">
        <f t="shared" si="17"/>
        <v>0</v>
      </c>
      <c r="BA42" s="124"/>
      <c r="BB42" s="130"/>
      <c r="BC42" s="131"/>
      <c r="BD42" s="124"/>
      <c r="BE42" s="130" t="str">
        <f t="shared" si="18"/>
        <v>CARNITAS BLEND</v>
      </c>
      <c r="BF42" s="131">
        <f t="shared" si="19"/>
        <v>0</v>
      </c>
      <c r="BG42" s="124"/>
      <c r="BH42" s="132"/>
      <c r="BI42" s="133"/>
      <c r="BJ42" s="130" t="str">
        <f t="shared" si="20"/>
        <v>CARNITAS BLEND</v>
      </c>
      <c r="BK42" s="131">
        <f t="shared" si="21"/>
        <v>0</v>
      </c>
      <c r="BM42" s="132"/>
      <c r="BN42" s="133"/>
    </row>
    <row r="43" ht="52.95" customHeight="1" spans="1:66" s="122" customFormat="1" x14ac:dyDescent="0.25">
      <c r="A43" s="123" t="s">
        <v>89</v>
      </c>
      <c r="B43" s="124"/>
      <c r="C43" s="123">
        <v>10</v>
      </c>
      <c r="D43" s="137"/>
      <c r="E43" s="134">
        <v>1</v>
      </c>
      <c r="F43" s="124"/>
      <c r="G43" s="135">
        <v>2</v>
      </c>
      <c r="H43" s="124"/>
      <c r="I43" s="134">
        <v>1</v>
      </c>
      <c r="J43" s="124"/>
      <c r="K43" s="135">
        <v>2</v>
      </c>
      <c r="L43" s="124"/>
      <c r="M43" s="134"/>
      <c r="N43" s="124"/>
      <c r="O43" s="135"/>
      <c r="P43" s="124"/>
      <c r="Q43" s="134">
        <v>1</v>
      </c>
      <c r="R43" s="124"/>
      <c r="S43" s="135"/>
      <c r="T43" s="124"/>
      <c r="U43" s="134">
        <v>2</v>
      </c>
      <c r="V43" s="124"/>
      <c r="W43" s="135"/>
      <c r="X43" s="124"/>
      <c r="Y43" s="134">
        <v>1</v>
      </c>
      <c r="Z43" s="124"/>
      <c r="AA43" s="130" t="str">
        <f t="shared" si="0"/>
        <v>RICE BLEND</v>
      </c>
      <c r="AB43" s="131">
        <f t="shared" si="1"/>
        <v>2</v>
      </c>
      <c r="AC43" s="124"/>
      <c r="AD43" s="130" t="str">
        <f t="shared" si="2"/>
        <v>RICE BLEND</v>
      </c>
      <c r="AE43" s="131">
        <f t="shared" si="3"/>
        <v>1</v>
      </c>
      <c r="AF43" s="124"/>
      <c r="AG43" s="130" t="str">
        <f t="shared" si="4"/>
        <v>RICE BLEND</v>
      </c>
      <c r="AH43" s="131">
        <f t="shared" si="5"/>
        <v>1</v>
      </c>
      <c r="AI43" s="124"/>
      <c r="AJ43" s="130" t="str">
        <f t="shared" si="6"/>
        <v>RICE BLEND</v>
      </c>
      <c r="AK43" s="131">
        <f t="shared" si="7"/>
        <v>1</v>
      </c>
      <c r="AL43" s="124"/>
      <c r="AM43" s="130" t="str">
        <f t="shared" si="8"/>
        <v>RICE BLEND</v>
      </c>
      <c r="AN43" s="131">
        <f t="shared" si="9"/>
        <v>1</v>
      </c>
      <c r="AO43" s="124"/>
      <c r="AP43" s="130" t="str">
        <f t="shared" si="10"/>
        <v>RICE BLEND</v>
      </c>
      <c r="AQ43" s="131">
        <f t="shared" si="11"/>
        <v>1</v>
      </c>
      <c r="AR43" s="124"/>
      <c r="AS43" s="130" t="str">
        <f t="shared" si="12"/>
        <v>RICE BLEND</v>
      </c>
      <c r="AT43" s="131">
        <f t="shared" si="13"/>
        <v>1</v>
      </c>
      <c r="AU43" s="124"/>
      <c r="AV43" s="130" t="str">
        <f t="shared" si="14"/>
        <v>RICE BLEND</v>
      </c>
      <c r="AW43" s="131">
        <f t="shared" si="15"/>
        <v>1</v>
      </c>
      <c r="AX43" s="124"/>
      <c r="AY43" s="130" t="str">
        <f t="shared" si="16"/>
        <v>RICE BLEND</v>
      </c>
      <c r="AZ43" s="131">
        <f t="shared" si="17"/>
        <v>0</v>
      </c>
      <c r="BA43" s="124"/>
      <c r="BB43" s="130"/>
      <c r="BC43" s="131"/>
      <c r="BD43" s="124"/>
      <c r="BE43" s="130" t="str">
        <f t="shared" si="18"/>
        <v>RICE BLEND</v>
      </c>
      <c r="BF43" s="131">
        <f t="shared" si="19"/>
        <v>0</v>
      </c>
      <c r="BG43" s="124"/>
      <c r="BH43" s="132"/>
      <c r="BI43" s="133"/>
      <c r="BJ43" s="130" t="str">
        <f t="shared" si="20"/>
        <v>RICE BLEND</v>
      </c>
      <c r="BK43" s="131">
        <f t="shared" si="21"/>
        <v>1</v>
      </c>
      <c r="BM43" s="132"/>
      <c r="BN43" s="133"/>
    </row>
    <row r="44" ht="52.95" customHeight="1" spans="1:66" s="122" customFormat="1" x14ac:dyDescent="0.25">
      <c r="A44" s="123" t="s">
        <v>90</v>
      </c>
      <c r="B44" s="124"/>
      <c r="C44" s="123">
        <v>3</v>
      </c>
      <c r="D44" s="137"/>
      <c r="E44" s="134"/>
      <c r="F44" s="124"/>
      <c r="G44" s="135"/>
      <c r="H44" s="124"/>
      <c r="I44" s="134">
        <v>1</v>
      </c>
      <c r="J44" s="124"/>
      <c r="K44" s="135"/>
      <c r="L44" s="124"/>
      <c r="M44" s="134"/>
      <c r="N44" s="124"/>
      <c r="O44" s="135"/>
      <c r="P44" s="124"/>
      <c r="Q44" s="134"/>
      <c r="R44" s="124"/>
      <c r="S44" s="135"/>
      <c r="T44" s="124"/>
      <c r="U44" s="134"/>
      <c r="V44" s="124"/>
      <c r="W44" s="135">
        <v>1</v>
      </c>
      <c r="X44" s="124"/>
      <c r="Y44" s="134">
        <v>1</v>
      </c>
      <c r="Z44" s="124"/>
      <c r="AA44" s="130" t="str">
        <f t="shared" si="0"/>
        <v>MANGO</v>
      </c>
      <c r="AB44" s="131">
        <f t="shared" si="1"/>
        <v>0</v>
      </c>
      <c r="AC44" s="124"/>
      <c r="AD44" s="130" t="str">
        <f t="shared" si="2"/>
        <v>MANGO</v>
      </c>
      <c r="AE44" s="131">
        <f t="shared" si="3"/>
        <v>1</v>
      </c>
      <c r="AF44" s="124"/>
      <c r="AG44" s="130" t="str">
        <f t="shared" si="4"/>
        <v>MANGO</v>
      </c>
      <c r="AH44" s="131">
        <f t="shared" si="5"/>
        <v>0</v>
      </c>
      <c r="AI44" s="124"/>
      <c r="AJ44" s="130" t="str">
        <f t="shared" si="6"/>
        <v>MANGO</v>
      </c>
      <c r="AK44" s="131">
        <f t="shared" si="7"/>
        <v>0</v>
      </c>
      <c r="AL44" s="124"/>
      <c r="AM44" s="130" t="str">
        <f t="shared" si="8"/>
        <v>MANGO</v>
      </c>
      <c r="AN44" s="131">
        <f t="shared" si="9"/>
        <v>0</v>
      </c>
      <c r="AO44" s="124"/>
      <c r="AP44" s="130" t="str">
        <f t="shared" si="10"/>
        <v>MANGO</v>
      </c>
      <c r="AQ44" s="131">
        <f t="shared" si="11"/>
        <v>1</v>
      </c>
      <c r="AR44" s="124"/>
      <c r="AS44" s="130" t="str">
        <f t="shared" si="12"/>
        <v>MANGO</v>
      </c>
      <c r="AT44" s="131">
        <f t="shared" si="13"/>
        <v>0</v>
      </c>
      <c r="AU44" s="124"/>
      <c r="AV44" s="130" t="str">
        <f t="shared" si="14"/>
        <v>MANGO</v>
      </c>
      <c r="AW44" s="131">
        <f t="shared" si="15"/>
        <v>0</v>
      </c>
      <c r="AX44" s="124"/>
      <c r="AY44" s="130" t="str">
        <f t="shared" si="16"/>
        <v>MANGO</v>
      </c>
      <c r="AZ44" s="131">
        <f t="shared" si="17"/>
        <v>0</v>
      </c>
      <c r="BA44" s="124"/>
      <c r="BB44" s="130"/>
      <c r="BC44" s="131"/>
      <c r="BD44" s="124"/>
      <c r="BE44" s="130" t="str">
        <f t="shared" si="18"/>
        <v>MANGO</v>
      </c>
      <c r="BF44" s="131">
        <f t="shared" si="19"/>
        <v>0</v>
      </c>
      <c r="BG44" s="124"/>
      <c r="BH44" s="132"/>
      <c r="BI44" s="133"/>
      <c r="BJ44" s="130" t="str">
        <f t="shared" si="20"/>
        <v>MANGO</v>
      </c>
      <c r="BK44" s="131">
        <f t="shared" si="21"/>
        <v>1</v>
      </c>
      <c r="BM44" s="132"/>
      <c r="BN44" s="133"/>
    </row>
    <row r="45" ht="52.95" customHeight="1" spans="1:66" s="122" customFormat="1" x14ac:dyDescent="0.25">
      <c r="A45" s="123" t="s">
        <v>91</v>
      </c>
      <c r="B45" s="124"/>
      <c r="C45" s="123">
        <v>5</v>
      </c>
      <c r="D45" s="137"/>
      <c r="E45" s="134">
        <v>1</v>
      </c>
      <c r="F45" s="124"/>
      <c r="G45" s="135"/>
      <c r="H45" s="124"/>
      <c r="I45" s="134">
        <v>1</v>
      </c>
      <c r="J45" s="124"/>
      <c r="K45" s="135"/>
      <c r="L45" s="124"/>
      <c r="M45" s="134"/>
      <c r="N45" s="124"/>
      <c r="O45" s="135">
        <v>1</v>
      </c>
      <c r="P45" s="124"/>
      <c r="Q45" s="134"/>
      <c r="R45" s="124"/>
      <c r="S45" s="135"/>
      <c r="T45" s="124"/>
      <c r="U45" s="134">
        <v>1</v>
      </c>
      <c r="V45" s="124"/>
      <c r="W45" s="135"/>
      <c r="X45" s="124"/>
      <c r="Y45" s="134">
        <v>1</v>
      </c>
      <c r="Z45" s="124"/>
      <c r="AA45" s="130" t="str">
        <f t="shared" si="0"/>
        <v>CUCUMBER LEMON</v>
      </c>
      <c r="AB45" s="131">
        <f t="shared" si="1"/>
        <v>0</v>
      </c>
      <c r="AC45" s="124"/>
      <c r="AD45" s="130" t="str">
        <f t="shared" si="2"/>
        <v>CUCUMBER LEMON</v>
      </c>
      <c r="AE45" s="131">
        <f t="shared" si="3"/>
        <v>0</v>
      </c>
      <c r="AF45" s="124"/>
      <c r="AG45" s="130" t="str">
        <f t="shared" si="4"/>
        <v>CUCUMBER LEMON</v>
      </c>
      <c r="AH45" s="131">
        <f t="shared" si="5"/>
        <v>0</v>
      </c>
      <c r="AI45" s="124"/>
      <c r="AJ45" s="130" t="str">
        <f t="shared" si="6"/>
        <v>CUCUMBER LEMON</v>
      </c>
      <c r="AK45" s="131">
        <f t="shared" si="7"/>
        <v>0</v>
      </c>
      <c r="AL45" s="124"/>
      <c r="AM45" s="130" t="str">
        <f t="shared" si="8"/>
        <v>CUCUMBER LEMON</v>
      </c>
      <c r="AN45" s="131">
        <f t="shared" si="9"/>
        <v>0</v>
      </c>
      <c r="AO45" s="124"/>
      <c r="AP45" s="130" t="str">
        <f t="shared" si="10"/>
        <v>CUCUMBER LEMON</v>
      </c>
      <c r="AQ45" s="131">
        <f t="shared" si="11"/>
        <v>1</v>
      </c>
      <c r="AR45" s="124"/>
      <c r="AS45" s="130" t="str">
        <f t="shared" si="12"/>
        <v>CUCUMBER LEMON</v>
      </c>
      <c r="AT45" s="131">
        <f t="shared" si="13"/>
        <v>0</v>
      </c>
      <c r="AU45" s="124"/>
      <c r="AV45" s="130" t="str">
        <f t="shared" si="14"/>
        <v>CUCUMBER LEMON</v>
      </c>
      <c r="AW45" s="131">
        <f t="shared" si="15"/>
        <v>0</v>
      </c>
      <c r="AX45" s="124"/>
      <c r="AY45" s="130" t="str">
        <f t="shared" si="16"/>
        <v>CUCUMBER LEMON</v>
      </c>
      <c r="AZ45" s="131">
        <f t="shared" si="17"/>
        <v>0</v>
      </c>
      <c r="BA45" s="124"/>
      <c r="BB45" s="130"/>
      <c r="BC45" s="131"/>
      <c r="BD45" s="124"/>
      <c r="BE45" s="130" t="str">
        <f t="shared" si="18"/>
        <v>CUCUMBER LEMON</v>
      </c>
      <c r="BF45" s="131">
        <f t="shared" si="19"/>
        <v>0</v>
      </c>
      <c r="BG45" s="124"/>
      <c r="BH45" s="132"/>
      <c r="BI45" s="133"/>
      <c r="BJ45" s="130" t="str">
        <f t="shared" si="20"/>
        <v>CUCUMBER LEMON</v>
      </c>
      <c r="BK45" s="131">
        <f t="shared" si="21"/>
        <v>1</v>
      </c>
      <c r="BM45" s="132"/>
      <c r="BN45" s="133"/>
    </row>
    <row r="46" ht="52.95" customHeight="1" spans="1:66" s="122" customFormat="1" x14ac:dyDescent="0.25">
      <c r="A46" s="123" t="s">
        <v>92</v>
      </c>
      <c r="B46" s="124"/>
      <c r="C46" s="123">
        <v>4</v>
      </c>
      <c r="D46" s="137"/>
      <c r="E46" s="134"/>
      <c r="F46" s="124"/>
      <c r="G46" s="135"/>
      <c r="H46" s="124"/>
      <c r="I46" s="134">
        <v>1</v>
      </c>
      <c r="J46" s="124"/>
      <c r="K46" s="135"/>
      <c r="L46" s="124"/>
      <c r="M46" s="134"/>
      <c r="N46" s="124"/>
      <c r="O46" s="135">
        <v>1</v>
      </c>
      <c r="P46" s="124"/>
      <c r="Q46" s="134"/>
      <c r="R46" s="124"/>
      <c r="S46" s="135"/>
      <c r="T46" s="124"/>
      <c r="U46" s="134">
        <v>1</v>
      </c>
      <c r="V46" s="124"/>
      <c r="W46" s="135"/>
      <c r="X46" s="139"/>
      <c r="Y46" s="134">
        <v>1</v>
      </c>
      <c r="Z46" s="124"/>
      <c r="AA46" s="130" t="str">
        <f t="shared" si="0"/>
        <v>JAMAICA</v>
      </c>
      <c r="AB46" s="131">
        <f t="shared" si="1"/>
        <v>0</v>
      </c>
      <c r="AC46" s="124"/>
      <c r="AD46" s="130" t="str">
        <f t="shared" si="2"/>
        <v>JAMAICA</v>
      </c>
      <c r="AE46" s="131">
        <f t="shared" si="3"/>
        <v>1</v>
      </c>
      <c r="AF46" s="124"/>
      <c r="AG46" s="130" t="str">
        <f t="shared" si="4"/>
        <v>JAMAICA</v>
      </c>
      <c r="AH46" s="131">
        <f t="shared" si="5"/>
        <v>0</v>
      </c>
      <c r="AI46" s="124"/>
      <c r="AJ46" s="130" t="str">
        <f t="shared" si="6"/>
        <v>JAMAICA</v>
      </c>
      <c r="AK46" s="131">
        <f t="shared" si="7"/>
        <v>0</v>
      </c>
      <c r="AL46" s="124"/>
      <c r="AM46" s="130" t="str">
        <f t="shared" si="8"/>
        <v>JAMAICA</v>
      </c>
      <c r="AN46" s="131">
        <f t="shared" si="9"/>
        <v>0</v>
      </c>
      <c r="AO46" s="124"/>
      <c r="AP46" s="130" t="str">
        <f t="shared" si="10"/>
        <v>JAMAICA</v>
      </c>
      <c r="AQ46" s="131">
        <f t="shared" si="11"/>
        <v>1</v>
      </c>
      <c r="AR46" s="124"/>
      <c r="AS46" s="130" t="str">
        <f t="shared" si="12"/>
        <v>JAMAICA</v>
      </c>
      <c r="AT46" s="131">
        <f t="shared" si="13"/>
        <v>0</v>
      </c>
      <c r="AU46" s="124"/>
      <c r="AV46" s="130" t="str">
        <f t="shared" si="14"/>
        <v>JAMAICA</v>
      </c>
      <c r="AW46" s="131">
        <f t="shared" si="15"/>
        <v>1</v>
      </c>
      <c r="AX46" s="124"/>
      <c r="AY46" s="130" t="str">
        <f t="shared" si="16"/>
        <v>JAMAICA</v>
      </c>
      <c r="AZ46" s="131">
        <f t="shared" si="17"/>
        <v>0</v>
      </c>
      <c r="BA46" s="124"/>
      <c r="BB46" s="130"/>
      <c r="BC46" s="131"/>
      <c r="BD46" s="124"/>
      <c r="BE46" s="130" t="str">
        <f t="shared" si="18"/>
        <v>JAMAICA</v>
      </c>
      <c r="BF46" s="131">
        <f t="shared" si="19"/>
        <v>0</v>
      </c>
      <c r="BG46" s="124"/>
      <c r="BH46" s="132"/>
      <c r="BI46" s="133"/>
      <c r="BJ46" s="130" t="str">
        <f t="shared" si="20"/>
        <v>JAMAICA</v>
      </c>
      <c r="BK46" s="131">
        <f t="shared" si="21"/>
        <v>1</v>
      </c>
      <c r="BM46" s="132"/>
      <c r="BN46" s="133"/>
    </row>
    <row r="47" spans="23:26" x14ac:dyDescent="0.25">
      <c r="W47" s="107"/>
      <c r="X47" s="107"/>
      <c r="Y47" s="107"/>
      <c r="Z47" s="140"/>
    </row>
    <row r="48" spans="23:26" x14ac:dyDescent="0.25">
      <c r="W48" s="107"/>
      <c r="X48" s="107"/>
      <c r="Y48" s="107"/>
      <c r="Z48" s="140"/>
    </row>
  </sheetData>
  <mergeCells count="14">
    <mergeCell ref="AA1:AB1"/>
    <mergeCell ref="AD1:AE1"/>
    <mergeCell ref="AG1:AH1"/>
    <mergeCell ref="AJ1:AK1"/>
    <mergeCell ref="AM1:AN1"/>
    <mergeCell ref="AP1:AQ1"/>
    <mergeCell ref="AS1:AT1"/>
    <mergeCell ref="AV1:AW1"/>
    <mergeCell ref="AY1:AZ1"/>
    <mergeCell ref="BB1:BC1"/>
    <mergeCell ref="BE1:BF1"/>
    <mergeCell ref="BH1:BI1"/>
    <mergeCell ref="BJ1:BK1"/>
    <mergeCell ref="BM1:BN1"/>
  </mergeCells>
  <pageMargins left="0.25" right="0.25" top="0.75" bottom="0.75" header="0.3" footer="0.3"/>
  <pageSetup orientation="portrait" horizontalDpi="4294967295" verticalDpi="4294967295" pageOrder="overThenDown" scale="28" fitToWidth="1" fitToHeight="0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55"/>
  <sheetViews>
    <sheetView workbookViewId="0" zoomScale="72" zoomScaleNormal="72">
      <pane xSplit="1" topLeftCell="H1" activePane="topRight" state="frozen"/>
      <selection pane="topRight" activeCell="I4" sqref="I4"/>
    </sheetView>
  </sheetViews>
  <sheetFormatPr defaultRowHeight="13.8" outlineLevelRow="0" outlineLevelCol="0" x14ac:dyDescent="0.3" defaultColWidth="9.109375" customHeight="1"/>
  <cols>
    <col min="1" max="1" width="30.77734375" style="1" customWidth="1"/>
    <col min="2" max="2" width="3.33203125" style="2" customWidth="1"/>
    <col min="3" max="3" width="14.77734375" style="1" customWidth="1"/>
    <col min="4" max="4" width="3.33203125" style="3" customWidth="1"/>
    <col min="5" max="5" width="14.77734375" style="4" customWidth="1"/>
    <col min="6" max="6" width="3.33203125" style="3" customWidth="1"/>
    <col min="7" max="7" width="14.77734375" style="4" customWidth="1"/>
    <col min="8" max="8" width="3.33203125" style="2" customWidth="1"/>
    <col min="9" max="9" width="7.77734375" style="5" customWidth="1"/>
    <col min="10" max="10" width="3.33203125" style="2" customWidth="1"/>
    <col min="11" max="11" width="7.77734375" style="5" customWidth="1"/>
    <col min="12" max="12" width="3.33203125" style="2" customWidth="1"/>
    <col min="13" max="13" width="7.77734375" style="5" customWidth="1"/>
    <col min="14" max="14" width="3.33203125" style="2" customWidth="1"/>
    <col min="15" max="15" width="7.77734375" style="5" customWidth="1"/>
    <col min="16" max="16" width="3.33203125" style="2" customWidth="1"/>
    <col min="17" max="17" width="7.77734375" style="5" customWidth="1"/>
    <col min="18" max="18" width="3.33203125" style="2" customWidth="1"/>
    <col min="19" max="19" width="7.77734375" style="5" customWidth="1"/>
    <col min="20" max="20" width="3.33203125" style="2" customWidth="1"/>
    <col min="21" max="21" width="7.77734375" style="5" customWidth="1"/>
    <col min="22" max="22" width="3.33203125" style="2" customWidth="1"/>
    <col min="23" max="23" width="7.77734375" style="5" customWidth="1"/>
    <col min="24" max="24" width="3.33203125" style="2" customWidth="1"/>
    <col min="25" max="25" width="7.77734375" style="5" customWidth="1"/>
    <col min="26" max="26" width="3.33203125" style="2" customWidth="1"/>
    <col min="27" max="27" width="7.77734375" style="5" customWidth="1"/>
    <col min="28" max="28" width="3.33203125" style="2" customWidth="1"/>
    <col min="29" max="29" width="7.77734375" style="5" customWidth="1"/>
    <col min="30" max="30" width="3.33203125" style="2" hidden="1" customWidth="1"/>
    <col min="31" max="31" width="7.77734375" style="5" hidden="1" customWidth="1"/>
    <col min="32" max="32" width="3.33203125" style="2" hidden="1" customWidth="1"/>
    <col min="33" max="33" width="7.77734375" style="5" hidden="1" customWidth="1"/>
    <col min="34" max="34" width="3.33203125" style="2" hidden="1" customWidth="1"/>
    <col min="35" max="35" width="7.77734375" style="5" hidden="1" customWidth="1"/>
    <col min="36" max="36" width="3.33203125" style="2" hidden="1" customWidth="1"/>
    <col min="37" max="37" width="7.77734375" style="5" hidden="1" customWidth="1"/>
    <col min="38" max="38" width="3.33203125" style="2" hidden="1" customWidth="1"/>
    <col min="39" max="39" width="7.77734375" style="5" hidden="1" customWidth="1"/>
    <col min="40" max="40" width="3.33203125" style="2" customWidth="1"/>
    <col min="41" max="41" width="7.77734375" style="5" customWidth="1"/>
    <col min="42" max="42" width="3.33203125" style="2" customWidth="1"/>
    <col min="43" max="43" width="7.77734375" style="5" customWidth="1"/>
    <col min="44" max="44" width="3.33203125" style="2" customWidth="1"/>
    <col min="45" max="45" width="7.77734375" style="5" customWidth="1"/>
    <col min="46" max="46" width="3.33203125" style="2" customWidth="1"/>
    <col min="47" max="47" width="7.77734375" style="5" customWidth="1"/>
    <col min="48" max="48" width="3.33203125" style="2" customWidth="1"/>
    <col min="49" max="49" width="3.77734375" style="2" customWidth="1"/>
    <col min="50" max="50" width="8.77734375" style="5" customWidth="1"/>
    <col min="51" max="51" width="3.33203125" style="2" customWidth="1"/>
    <col min="52" max="52" width="3.77734375" style="2" customWidth="1"/>
    <col min="53" max="53" width="8.77734375" style="5" customWidth="1"/>
    <col min="54" max="54" width="3.33203125" style="2" customWidth="1"/>
    <col min="55" max="55" width="3.77734375" style="2" customWidth="1"/>
    <col min="56" max="56" width="8.77734375" style="5" customWidth="1"/>
    <col min="57" max="57" width="3.33203125" style="2" customWidth="1"/>
    <col min="58" max="58" width="3.77734375" style="2" customWidth="1"/>
    <col min="59" max="59" width="8.77734375" style="5" customWidth="1"/>
    <col min="60" max="60" width="3.33203125" style="2" customWidth="1"/>
    <col min="61" max="61" width="3.77734375" style="2" customWidth="1"/>
    <col min="62" max="62" width="8.77734375" style="5" customWidth="1"/>
    <col min="63" max="63" width="3.33203125" style="2" customWidth="1"/>
    <col min="64" max="64" width="3.77734375" style="2" customWidth="1"/>
    <col min="65" max="65" width="8.77734375" style="5" customWidth="1"/>
    <col min="66" max="66" width="3.33203125" style="2" customWidth="1"/>
    <col min="67" max="67" width="3.77734375" style="2" customWidth="1"/>
    <col min="68" max="68" width="8.77734375" style="5" customWidth="1"/>
    <col min="69" max="69" width="3.33203125" style="2" customWidth="1"/>
    <col min="70" max="70" width="3.77734375" style="2" customWidth="1"/>
    <col min="71" max="71" width="8.77734375" style="5" customWidth="1"/>
    <col min="72" max="72" width="3.33203125" style="2" customWidth="1"/>
    <col min="73" max="73" width="3.77734375" style="2" customWidth="1"/>
    <col min="74" max="74" width="8.77734375" style="5" customWidth="1"/>
    <col min="75" max="75" width="3.33203125" style="2" customWidth="1"/>
    <col min="76" max="76" width="3.77734375" style="2" customWidth="1"/>
    <col min="77" max="77" width="8.77734375" style="5" customWidth="1"/>
    <col min="78" max="78" width="3.33203125" style="2" customWidth="1"/>
    <col min="79" max="79" width="3.77734375" style="2" customWidth="1"/>
    <col min="80" max="80" width="8.77734375" style="5" customWidth="1"/>
    <col min="81" max="81" width="3.33203125" style="2" hidden="1" customWidth="1"/>
    <col min="82" max="82" width="3.77734375" style="2" hidden="1" customWidth="1"/>
    <col min="83" max="83" width="8.77734375" style="5" hidden="1" customWidth="1"/>
    <col min="84" max="84" width="3.33203125" style="2" hidden="1" customWidth="1"/>
    <col min="85" max="85" width="3.77734375" style="2" hidden="1" customWidth="1"/>
    <col min="86" max="86" width="8.77734375" style="5" hidden="1" customWidth="1"/>
    <col min="87" max="87" width="3.33203125" style="2" hidden="1" customWidth="1"/>
    <col min="88" max="88" width="3.77734375" style="2" hidden="1" customWidth="1"/>
    <col min="89" max="89" width="8.77734375" style="5" hidden="1" customWidth="1"/>
    <col min="90" max="90" width="3.33203125" style="2" hidden="1" customWidth="1"/>
    <col min="91" max="91" width="3.77734375" style="2" hidden="1" customWidth="1"/>
    <col min="92" max="92" width="8.77734375" style="5" hidden="1" customWidth="1"/>
    <col min="93" max="93" width="3.33203125" style="2" hidden="1" customWidth="1"/>
    <col min="94" max="94" width="3.77734375" style="2" hidden="1" customWidth="1"/>
    <col min="95" max="95" width="8.77734375" style="5" hidden="1" customWidth="1"/>
    <col min="96" max="96" width="3.33203125" style="2" customWidth="1"/>
    <col min="97" max="97" width="3.77734375" style="2" customWidth="1"/>
    <col min="98" max="98" width="8.77734375" style="5" customWidth="1"/>
    <col min="99" max="99" width="3.33203125" style="2" customWidth="1"/>
    <col min="100" max="100" width="3.77734375" style="2" customWidth="1"/>
    <col min="101" max="101" width="8.77734375" style="5" customWidth="1"/>
    <col min="102" max="102" width="3.33203125" style="2" customWidth="1"/>
    <col min="103" max="103" width="3.77734375" style="2" customWidth="1"/>
    <col min="104" max="104" width="8.77734375" style="5" customWidth="1"/>
    <col min="105" max="105" width="3.33203125" style="2" customWidth="1"/>
    <col min="106" max="106" width="3.77734375" style="2" customWidth="1"/>
    <col min="107" max="107" width="8.77734375" style="5" customWidth="1"/>
    <col min="108" max="108" width="3.33203125" style="2" customWidth="1"/>
    <col min="109" max="109" width="11.77734375" style="6" customWidth="1"/>
    <col min="110" max="110" width="3.33203125" style="2" customWidth="1"/>
    <col min="111" max="111" width="11.77734375" style="6" customWidth="1"/>
    <col min="112" max="112" width="3.33203125" style="2" customWidth="1"/>
    <col min="113" max="113" width="11.77734375" style="6" customWidth="1"/>
    <col min="114" max="114" width="3.33203125" style="2" customWidth="1"/>
    <col min="115" max="115" width="11.77734375" style="6" customWidth="1"/>
    <col min="116" max="116" width="3.33203125" style="2" customWidth="1"/>
    <col min="117" max="117" width="13.77734375" style="7" customWidth="1"/>
    <col min="118" max="118" width="3.33203125" style="2" customWidth="1"/>
    <col min="119" max="119" width="13.77734375" style="8" customWidth="1"/>
    <col min="120" max="120" width="3.33203125" style="2" customWidth="1"/>
    <col min="121" max="121" width="13.77734375" style="7" customWidth="1"/>
    <col min="122" max="122" width="3.33203125" style="2" customWidth="1"/>
    <col min="123" max="123" width="7.88671875" style="6" customWidth="1"/>
    <col min="124" max="124" width="3.33203125" style="2" customWidth="1"/>
    <col min="125" max="125" width="7.88671875" style="6" customWidth="1"/>
    <col min="126" max="126" width="3.33203125" style="2" customWidth="1"/>
    <col min="127" max="127" width="13.77734375" style="6" customWidth="1"/>
    <col min="128" max="128" width="3.33203125" style="2" customWidth="1"/>
    <col min="129" max="129" width="13.77734375" style="6" customWidth="1"/>
    <col min="130" max="16384" width="9.109375" style="2" customWidth="1"/>
  </cols>
  <sheetData>
    <row r="1" ht="18" customHeight="1" spans="1:129" s="1" customFormat="1" x14ac:dyDescent="0.25">
      <c r="A1" s="9" t="s">
        <v>0</v>
      </c>
      <c r="B1" s="10"/>
      <c r="C1" s="11" t="s">
        <v>1</v>
      </c>
      <c r="D1" s="12"/>
      <c r="E1" s="13" t="s">
        <v>2</v>
      </c>
      <c r="F1" s="12"/>
      <c r="G1" s="14" t="s">
        <v>3</v>
      </c>
      <c r="H1" s="15"/>
      <c r="I1" s="16" t="s">
        <v>4</v>
      </c>
      <c r="J1" s="12"/>
      <c r="K1" s="16" t="s">
        <v>5</v>
      </c>
      <c r="L1" s="12"/>
      <c r="M1" s="16" t="s">
        <v>6</v>
      </c>
      <c r="N1" s="12"/>
      <c r="O1" s="16" t="s">
        <v>7</v>
      </c>
      <c r="P1" s="12"/>
      <c r="Q1" s="16" t="s">
        <v>8</v>
      </c>
      <c r="R1" s="12"/>
      <c r="S1" s="16" t="s">
        <v>9</v>
      </c>
      <c r="T1" s="12"/>
      <c r="U1" s="16" t="s">
        <v>10</v>
      </c>
      <c r="V1" s="12"/>
      <c r="W1" s="16" t="s">
        <v>11</v>
      </c>
      <c r="X1" s="12"/>
      <c r="Y1" s="16" t="s">
        <v>12</v>
      </c>
      <c r="Z1" s="12"/>
      <c r="AA1" s="16" t="s">
        <v>13</v>
      </c>
      <c r="AB1" s="12"/>
      <c r="AC1" s="16" t="s">
        <v>14</v>
      </c>
      <c r="AD1" s="12"/>
      <c r="AE1" s="16" t="s">
        <v>15</v>
      </c>
      <c r="AF1" s="17"/>
      <c r="AG1" s="16" t="s">
        <v>16</v>
      </c>
      <c r="AH1" s="12"/>
      <c r="AI1" s="16" t="s">
        <v>17</v>
      </c>
      <c r="AJ1" s="17"/>
      <c r="AK1" s="16" t="s">
        <v>18</v>
      </c>
      <c r="AL1" s="12"/>
      <c r="AM1" s="16" t="s">
        <v>19</v>
      </c>
      <c r="AN1" s="17"/>
      <c r="AO1" s="16" t="s">
        <v>20</v>
      </c>
      <c r="AP1" s="17"/>
      <c r="AQ1" s="16" t="s">
        <v>21</v>
      </c>
      <c r="AR1" s="17"/>
      <c r="AS1" s="16" t="s">
        <v>22</v>
      </c>
      <c r="AT1" s="17"/>
      <c r="AU1" s="18" t="s">
        <v>23</v>
      </c>
      <c r="AV1" s="17"/>
      <c r="AW1" s="19" t="s">
        <v>24</v>
      </c>
      <c r="AX1" s="20"/>
      <c r="AY1" s="17"/>
      <c r="AZ1" s="19" t="s">
        <v>25</v>
      </c>
      <c r="BA1" s="20"/>
      <c r="BB1" s="17"/>
      <c r="BC1" s="19" t="s">
        <v>26</v>
      </c>
      <c r="BD1" s="20"/>
      <c r="BE1" s="17"/>
      <c r="BF1" s="19" t="s">
        <v>27</v>
      </c>
      <c r="BG1" s="20"/>
      <c r="BH1" s="17"/>
      <c r="BI1" s="19" t="s">
        <v>28</v>
      </c>
      <c r="BJ1" s="20"/>
      <c r="BK1" s="17"/>
      <c r="BL1" s="19" t="s">
        <v>29</v>
      </c>
      <c r="BM1" s="20"/>
      <c r="BN1" s="17"/>
      <c r="BO1" s="19" t="s">
        <v>30</v>
      </c>
      <c r="BP1" s="20"/>
      <c r="BQ1" s="17"/>
      <c r="BR1" s="19" t="s">
        <v>31</v>
      </c>
      <c r="BS1" s="20"/>
      <c r="BT1" s="17"/>
      <c r="BU1" s="19" t="s">
        <v>32</v>
      </c>
      <c r="BV1" s="20"/>
      <c r="BW1" s="17"/>
      <c r="BX1" s="21" t="s">
        <v>33</v>
      </c>
      <c r="BY1" s="22"/>
      <c r="BZ1" s="17"/>
      <c r="CA1" s="19" t="s">
        <v>34</v>
      </c>
      <c r="CB1" s="20"/>
      <c r="CC1" s="17"/>
      <c r="CD1" s="21" t="s">
        <v>35</v>
      </c>
      <c r="CE1" s="22"/>
      <c r="CF1" s="17"/>
      <c r="CG1" s="21" t="s">
        <v>36</v>
      </c>
      <c r="CH1" s="22"/>
      <c r="CI1" s="17"/>
      <c r="CJ1" s="21" t="s">
        <v>37</v>
      </c>
      <c r="CK1" s="22"/>
      <c r="CL1" s="17"/>
      <c r="CM1" s="21" t="s">
        <v>38</v>
      </c>
      <c r="CN1" s="22"/>
      <c r="CO1" s="17"/>
      <c r="CP1" s="21" t="s">
        <v>39</v>
      </c>
      <c r="CQ1" s="22"/>
      <c r="CR1" s="17"/>
      <c r="CS1" s="21" t="s">
        <v>20</v>
      </c>
      <c r="CT1" s="22"/>
      <c r="CU1" s="17"/>
      <c r="CV1" s="21" t="s">
        <v>21</v>
      </c>
      <c r="CW1" s="22"/>
      <c r="CX1" s="17"/>
      <c r="CY1" s="21" t="s">
        <v>22</v>
      </c>
      <c r="CZ1" s="22"/>
      <c r="DA1" s="17"/>
      <c r="DB1" s="21" t="s">
        <v>23</v>
      </c>
      <c r="DC1" s="22"/>
      <c r="DD1" s="17"/>
      <c r="DE1" s="18" t="s">
        <v>40</v>
      </c>
      <c r="DF1" s="17"/>
      <c r="DG1" s="16" t="s">
        <v>41</v>
      </c>
      <c r="DH1" s="17"/>
      <c r="DI1" s="16" t="s">
        <v>42</v>
      </c>
      <c r="DJ1" s="17"/>
      <c r="DK1" s="23" t="s">
        <v>43</v>
      </c>
      <c r="DL1" s="17"/>
      <c r="DM1" s="24" t="s">
        <v>44</v>
      </c>
      <c r="DN1" s="17"/>
      <c r="DO1" s="23" t="s">
        <v>45</v>
      </c>
      <c r="DP1" s="17"/>
      <c r="DQ1" s="24" t="s">
        <v>3</v>
      </c>
      <c r="DR1" s="17"/>
      <c r="DS1" s="25" t="s">
        <v>46</v>
      </c>
      <c r="DT1" s="25"/>
      <c r="DU1" s="25"/>
      <c r="DV1" s="25"/>
      <c r="DW1" s="25"/>
      <c r="DX1" s="25"/>
      <c r="DY1" s="25"/>
    </row>
    <row r="2" ht="12" customHeight="1" spans="1:129" x14ac:dyDescent="0.25">
      <c r="A2" s="26" t="s">
        <v>47</v>
      </c>
      <c r="B2" s="27"/>
      <c r="C2" s="28"/>
      <c r="D2" s="29"/>
      <c r="E2" s="28">
        <v>54</v>
      </c>
      <c r="F2" s="29"/>
      <c r="G2" s="28">
        <v>62.1</v>
      </c>
      <c r="H2" s="8"/>
      <c r="I2" s="30"/>
      <c r="J2" s="8"/>
      <c r="K2" s="30"/>
      <c r="L2" s="8"/>
      <c r="M2" s="30"/>
      <c r="N2" s="8"/>
      <c r="O2" s="30"/>
      <c r="P2" s="8"/>
      <c r="Q2" s="30"/>
      <c r="R2" s="8"/>
      <c r="S2" s="30"/>
      <c r="T2" s="8"/>
      <c r="U2" s="30"/>
      <c r="V2" s="8"/>
      <c r="W2" s="30"/>
      <c r="X2" s="8"/>
      <c r="Y2" s="30"/>
      <c r="Z2" s="8"/>
      <c r="AA2" s="30"/>
      <c r="AB2" s="8"/>
      <c r="AC2" s="30"/>
      <c r="AD2" s="8"/>
      <c r="AE2" s="30"/>
      <c r="AG2" s="30"/>
      <c r="AH2" s="8"/>
      <c r="AI2" s="30"/>
      <c r="AJ2" s="8"/>
      <c r="AK2" s="30"/>
      <c r="AL2" s="8"/>
      <c r="AM2" s="30"/>
      <c r="AN2" s="8"/>
      <c r="AO2" s="30"/>
      <c r="AP2" s="8"/>
      <c r="AQ2" s="30"/>
      <c r="AR2" s="8"/>
      <c r="AS2" s="30"/>
      <c r="AT2" s="8"/>
      <c r="AU2" s="30"/>
      <c r="AV2" s="8"/>
      <c r="AW2" s="31">
        <f t="shared" ref="AW2:AW53" si="0">I2</f>
        <v>0</v>
      </c>
      <c r="AX2" s="32">
        <f t="shared" ref="AX2:AX53" si="1">AW2*G2</f>
        <v>0</v>
      </c>
      <c r="AY2" s="33"/>
      <c r="AZ2" s="31">
        <f t="shared" ref="AZ2:AZ53" si="2">K2</f>
        <v>0</v>
      </c>
      <c r="BA2" s="32">
        <f t="shared" ref="BA2:BA53" si="3">AZ2*G2</f>
        <v>0</v>
      </c>
      <c r="BB2" s="33"/>
      <c r="BC2" s="31">
        <f t="shared" ref="BC2:BC53" si="4">M2</f>
        <v>0</v>
      </c>
      <c r="BD2" s="32">
        <f t="shared" ref="BD2:BD53" si="5">BC2*G2</f>
        <v>0</v>
      </c>
      <c r="BE2" s="33"/>
      <c r="BF2" s="31">
        <f t="shared" ref="BF2:BF53" si="6">O2</f>
        <v>0</v>
      </c>
      <c r="BG2" s="32">
        <f t="shared" ref="BG2:BG53" si="7">BF2*G2</f>
        <v>0</v>
      </c>
      <c r="BH2" s="33"/>
      <c r="BI2" s="31">
        <f t="shared" ref="BI2:BI53" si="8">Q2</f>
        <v>0</v>
      </c>
      <c r="BJ2" s="32">
        <f t="shared" ref="BJ2:BJ53" si="9">BI2*G2</f>
        <v>0</v>
      </c>
      <c r="BK2" s="33"/>
      <c r="BL2" s="31">
        <f t="shared" ref="BL2:BL53" si="10">S2</f>
        <v>0</v>
      </c>
      <c r="BM2" s="32">
        <f t="shared" ref="BM2:BM53" si="11">BL2*G2</f>
        <v>0</v>
      </c>
      <c r="BN2" s="33"/>
      <c r="BO2" s="31">
        <f t="shared" ref="BO2:BO53" si="12">U2</f>
        <v>0</v>
      </c>
      <c r="BP2" s="32">
        <f t="shared" ref="BP2:BP53" si="13">BO2*G2</f>
        <v>0</v>
      </c>
      <c r="BQ2" s="33"/>
      <c r="BR2" s="31">
        <f t="shared" ref="BR2:BR53" si="14">W2</f>
        <v>0</v>
      </c>
      <c r="BS2" s="32">
        <f t="shared" ref="BS2:BS53" si="15">BR2*G2</f>
        <v>0</v>
      </c>
      <c r="BT2" s="33"/>
      <c r="BU2" s="31">
        <f t="shared" ref="BU2:BU53" si="16">Y2</f>
        <v>0</v>
      </c>
      <c r="BV2" s="32">
        <f t="shared" ref="BV2:BV53" si="17">BU2*G2</f>
        <v>0</v>
      </c>
      <c r="BW2" s="33"/>
      <c r="BX2" s="31">
        <f t="shared" ref="BX2:BX53" si="18">AA2</f>
        <v>0</v>
      </c>
      <c r="BY2" s="32">
        <f t="shared" ref="BY2:BY53" si="19">BX2*G2</f>
        <v>0</v>
      </c>
      <c r="BZ2" s="33"/>
      <c r="CA2" s="31">
        <f t="shared" ref="CA2:CA53" si="20">AC2</f>
        <v>0</v>
      </c>
      <c r="CB2" s="32">
        <f t="shared" ref="CB2:CB53" si="21">CA2*G2</f>
        <v>0</v>
      </c>
      <c r="CC2" s="33"/>
      <c r="CD2" s="31">
        <f t="shared" ref="CD2:CD53" si="22">AE2</f>
        <v>0</v>
      </c>
      <c r="CE2" s="32">
        <f t="shared" ref="CE2:CE53" si="23">CD2*G2</f>
        <v>0</v>
      </c>
      <c r="CF2" s="33"/>
      <c r="CG2" s="34">
        <f t="shared" ref="CG2:CG53" si="24">AG2</f>
        <v>0</v>
      </c>
      <c r="CH2" s="32">
        <f>CG2*JJ2</f>
        <v>0</v>
      </c>
      <c r="CI2" s="33"/>
      <c r="CJ2" s="34">
        <f t="shared" ref="CJ2:CJ53" si="25">AI2</f>
        <v>0</v>
      </c>
      <c r="CK2" s="32">
        <f t="shared" ref="CK2:CK53" si="26">CJ2*G2</f>
        <v>0</v>
      </c>
      <c r="CL2" s="33"/>
      <c r="CM2" s="34">
        <f t="shared" ref="CM2:CM53" si="27">AK2</f>
        <v>0</v>
      </c>
      <c r="CN2" s="32">
        <f t="shared" ref="CN2:CN53" si="28">CM2*G2</f>
        <v>0</v>
      </c>
      <c r="CO2" s="33"/>
      <c r="CP2" s="34">
        <f t="shared" ref="CP2:CP53" si="29">AM2</f>
        <v>0</v>
      </c>
      <c r="CQ2" s="32">
        <f t="shared" ref="CQ2:CQ53" si="30">CP2*G2</f>
        <v>0</v>
      </c>
      <c r="CR2" s="33"/>
      <c r="CS2" s="34">
        <f t="shared" ref="CS2:CS53" si="31">AO2</f>
        <v>0</v>
      </c>
      <c r="CT2" s="32">
        <f t="shared" ref="CT2:CT53" si="32">CS2*G2</f>
        <v>0</v>
      </c>
      <c r="CU2" s="33"/>
      <c r="CV2" s="31">
        <f t="shared" ref="CV2:CV53" si="33">AQ2</f>
        <v>0</v>
      </c>
      <c r="CW2" s="32">
        <f t="shared" ref="CW2:CW53" si="34">CV2*G2</f>
        <v>0</v>
      </c>
      <c r="CX2" s="33"/>
      <c r="CY2" s="31">
        <f t="shared" ref="CY2:CY53" si="35">AS2</f>
        <v>0</v>
      </c>
      <c r="CZ2" s="32">
        <f t="shared" ref="CZ2:CZ53" si="36">CY2*G2</f>
        <v>0</v>
      </c>
      <c r="DA2" s="33"/>
      <c r="DB2" s="31">
        <f t="shared" ref="DB2:DB53" si="37">AU2</f>
        <v>0</v>
      </c>
      <c r="DC2" s="32">
        <f t="shared" ref="DC2:DC53" si="38">DB2*G2</f>
        <v>0</v>
      </c>
      <c r="DD2" s="8"/>
      <c r="DE2" s="35">
        <v>177</v>
      </c>
      <c r="DF2" s="27"/>
      <c r="DG2" s="36">
        <f t="shared" ref="DG2:DG53" si="39">C2</f>
        <v>0</v>
      </c>
      <c r="DH2" s="27"/>
      <c r="DI2" s="36">
        <f t="shared" ref="DI2:DI53" si="40">SUM(I2:AV2)</f>
        <v>0</v>
      </c>
      <c r="DJ2" s="27"/>
      <c r="DK2" s="37">
        <f t="shared" ref="DK2:DK53" si="41">DE2+DG2-DI2</f>
        <v>177</v>
      </c>
      <c r="DL2" s="27"/>
      <c r="DM2" s="38">
        <f t="shared" ref="DM2:DM53" si="42">E2*DK2</f>
        <v>9558</v>
      </c>
      <c r="DN2" s="27"/>
      <c r="DO2" s="39" t="e">
        <f t="shared" ref="DO2:DO53" si="43">DK2/DI2</f>
        <v>#DIV/0!</v>
      </c>
      <c r="DP2" s="27"/>
      <c r="DQ2" s="38">
        <f t="shared" ref="DQ2:DQ53" si="44">G2*DK2</f>
        <v>10991.7</v>
      </c>
      <c r="DR2" s="27"/>
      <c r="DS2" s="40"/>
      <c r="DT2" s="40"/>
      <c r="DU2" s="40"/>
      <c r="DV2" s="40"/>
      <c r="DW2" s="40"/>
      <c r="DX2" s="40"/>
      <c r="DY2" s="40"/>
    </row>
    <row r="3" ht="12" customHeight="1" spans="1:129" x14ac:dyDescent="0.25">
      <c r="A3" s="41" t="s">
        <v>48</v>
      </c>
      <c r="B3" s="42"/>
      <c r="C3" s="43"/>
      <c r="D3" s="44"/>
      <c r="E3" s="45">
        <v>36.93</v>
      </c>
      <c r="F3" s="44"/>
      <c r="G3" s="45">
        <v>42.47</v>
      </c>
      <c r="I3" s="46"/>
      <c r="J3" s="47"/>
      <c r="K3" s="46"/>
      <c r="L3" s="47"/>
      <c r="M3" s="46"/>
      <c r="N3" s="47"/>
      <c r="O3" s="46"/>
      <c r="P3" s="47"/>
      <c r="Q3" s="46"/>
      <c r="R3" s="47"/>
      <c r="S3" s="46"/>
      <c r="T3" s="47"/>
      <c r="U3" s="46"/>
      <c r="V3" s="47"/>
      <c r="W3" s="46"/>
      <c r="X3" s="47"/>
      <c r="Y3" s="46"/>
      <c r="Z3" s="47"/>
      <c r="AA3" s="46"/>
      <c r="AB3" s="47"/>
      <c r="AC3" s="46"/>
      <c r="AD3" s="47"/>
      <c r="AE3" s="46"/>
      <c r="AF3" s="48"/>
      <c r="AG3" s="46"/>
      <c r="AH3" s="47"/>
      <c r="AI3" s="46"/>
      <c r="AJ3" s="47"/>
      <c r="AK3" s="46"/>
      <c r="AL3" s="47"/>
      <c r="AM3" s="46"/>
      <c r="AN3" s="47"/>
      <c r="AO3" s="46"/>
      <c r="AP3" s="47"/>
      <c r="AQ3" s="46"/>
      <c r="AR3" s="47"/>
      <c r="AS3" s="46"/>
      <c r="AT3" s="47"/>
      <c r="AU3" s="46"/>
      <c r="AV3" s="47"/>
      <c r="AW3" s="31">
        <f t="shared" si="0"/>
        <v>0</v>
      </c>
      <c r="AX3" s="49">
        <f t="shared" si="1"/>
        <v>0</v>
      </c>
      <c r="AY3" s="50"/>
      <c r="AZ3" s="31">
        <f t="shared" si="2"/>
        <v>0</v>
      </c>
      <c r="BA3" s="49">
        <f t="shared" si="3"/>
        <v>0</v>
      </c>
      <c r="BB3" s="50"/>
      <c r="BC3" s="31">
        <f t="shared" si="4"/>
        <v>0</v>
      </c>
      <c r="BD3" s="49">
        <f t="shared" si="5"/>
        <v>0</v>
      </c>
      <c r="BE3" s="50"/>
      <c r="BF3" s="31">
        <f t="shared" si="6"/>
        <v>0</v>
      </c>
      <c r="BG3" s="49">
        <f t="shared" si="7"/>
        <v>0</v>
      </c>
      <c r="BH3" s="50"/>
      <c r="BI3" s="31">
        <f t="shared" si="8"/>
        <v>0</v>
      </c>
      <c r="BJ3" s="49">
        <f t="shared" si="9"/>
        <v>0</v>
      </c>
      <c r="BK3" s="50"/>
      <c r="BL3" s="31">
        <f t="shared" si="10"/>
        <v>0</v>
      </c>
      <c r="BM3" s="49">
        <f t="shared" si="11"/>
        <v>0</v>
      </c>
      <c r="BN3" s="50"/>
      <c r="BO3" s="31">
        <f t="shared" si="12"/>
        <v>0</v>
      </c>
      <c r="BP3" s="49">
        <f t="shared" si="13"/>
        <v>0</v>
      </c>
      <c r="BQ3" s="50"/>
      <c r="BR3" s="31">
        <f t="shared" si="14"/>
        <v>0</v>
      </c>
      <c r="BS3" s="49">
        <f t="shared" si="15"/>
        <v>0</v>
      </c>
      <c r="BT3" s="50"/>
      <c r="BU3" s="31">
        <f t="shared" si="16"/>
        <v>0</v>
      </c>
      <c r="BV3" s="49">
        <f t="shared" si="17"/>
        <v>0</v>
      </c>
      <c r="BW3" s="50"/>
      <c r="BX3" s="31">
        <f t="shared" si="18"/>
        <v>0</v>
      </c>
      <c r="BY3" s="49">
        <f t="shared" si="19"/>
        <v>0</v>
      </c>
      <c r="BZ3" s="50"/>
      <c r="CA3" s="31">
        <f t="shared" si="20"/>
        <v>0</v>
      </c>
      <c r="CB3" s="49">
        <f t="shared" si="21"/>
        <v>0</v>
      </c>
      <c r="CC3" s="50"/>
      <c r="CD3" s="31">
        <f t="shared" si="22"/>
        <v>0</v>
      </c>
      <c r="CE3" s="49">
        <f t="shared" si="23"/>
        <v>0</v>
      </c>
      <c r="CF3" s="50"/>
      <c r="CG3" s="34">
        <f t="shared" si="24"/>
        <v>0</v>
      </c>
      <c r="CH3" s="49">
        <f t="shared" ref="CH3:CH53" si="45">CG3*G3</f>
        <v>0</v>
      </c>
      <c r="CI3" s="50"/>
      <c r="CJ3" s="34">
        <f t="shared" si="25"/>
        <v>0</v>
      </c>
      <c r="CK3" s="49">
        <f t="shared" si="26"/>
        <v>0</v>
      </c>
      <c r="CL3" s="50"/>
      <c r="CM3" s="34">
        <f t="shared" si="27"/>
        <v>0</v>
      </c>
      <c r="CN3" s="49">
        <f t="shared" si="28"/>
        <v>0</v>
      </c>
      <c r="CO3" s="50"/>
      <c r="CP3" s="34">
        <f t="shared" si="29"/>
        <v>0</v>
      </c>
      <c r="CQ3" s="49">
        <f t="shared" si="30"/>
        <v>0</v>
      </c>
      <c r="CR3" s="50"/>
      <c r="CS3" s="34">
        <f t="shared" si="31"/>
        <v>0</v>
      </c>
      <c r="CT3" s="49">
        <f t="shared" si="32"/>
        <v>0</v>
      </c>
      <c r="CU3" s="50"/>
      <c r="CV3" s="31">
        <f t="shared" si="33"/>
        <v>0</v>
      </c>
      <c r="CW3" s="49">
        <f t="shared" si="34"/>
        <v>0</v>
      </c>
      <c r="CX3" s="50"/>
      <c r="CY3" s="31">
        <f t="shared" si="35"/>
        <v>0</v>
      </c>
      <c r="CZ3" s="49">
        <f t="shared" si="36"/>
        <v>0</v>
      </c>
      <c r="DA3" s="50"/>
      <c r="DB3" s="31">
        <f t="shared" si="37"/>
        <v>0</v>
      </c>
      <c r="DC3" s="49">
        <f t="shared" si="38"/>
        <v>0</v>
      </c>
      <c r="DD3" s="47"/>
      <c r="DE3" s="51">
        <v>178</v>
      </c>
      <c r="DF3" s="52"/>
      <c r="DG3" s="53">
        <f t="shared" si="39"/>
        <v>0</v>
      </c>
      <c r="DH3" s="52"/>
      <c r="DI3" s="53">
        <f t="shared" si="40"/>
        <v>0</v>
      </c>
      <c r="DJ3" s="52"/>
      <c r="DK3" s="54">
        <f t="shared" si="41"/>
        <v>178</v>
      </c>
      <c r="DL3" s="52"/>
      <c r="DM3" s="55">
        <f t="shared" si="42"/>
        <v>6573.54</v>
      </c>
      <c r="DN3" s="52"/>
      <c r="DO3" s="56" t="e">
        <f t="shared" si="43"/>
        <v>#DIV/0!</v>
      </c>
      <c r="DP3" s="52"/>
      <c r="DQ3" s="55">
        <f t="shared" si="44"/>
        <v>7559.66</v>
      </c>
      <c r="DR3" s="52"/>
      <c r="DS3" s="57"/>
      <c r="DT3" s="57"/>
      <c r="DU3" s="57"/>
      <c r="DV3" s="57"/>
      <c r="DW3" s="57"/>
      <c r="DX3" s="57"/>
      <c r="DY3" s="57"/>
    </row>
    <row r="4" ht="12" customHeight="1" spans="1:129" x14ac:dyDescent="0.25">
      <c r="A4" s="58" t="s">
        <v>49</v>
      </c>
      <c r="B4" s="42"/>
      <c r="C4" s="59"/>
      <c r="D4" s="44"/>
      <c r="E4" s="60">
        <v>29.95</v>
      </c>
      <c r="F4" s="44"/>
      <c r="G4" s="61">
        <v>35.94</v>
      </c>
      <c r="I4" s="62">
        <v>2</v>
      </c>
      <c r="J4" s="63"/>
      <c r="K4" s="64">
        <v>3</v>
      </c>
      <c r="L4" s="3"/>
      <c r="M4" s="62">
        <v>1</v>
      </c>
      <c r="N4" s="3"/>
      <c r="O4" s="64">
        <v>3</v>
      </c>
      <c r="P4" s="3"/>
      <c r="Q4" s="62">
        <v>2</v>
      </c>
      <c r="R4" s="3"/>
      <c r="S4" s="64">
        <v>1</v>
      </c>
      <c r="T4" s="3"/>
      <c r="U4" s="62">
        <v>1</v>
      </c>
      <c r="V4" s="3"/>
      <c r="W4" s="64">
        <v>3</v>
      </c>
      <c r="X4" s="3"/>
      <c r="Y4" s="62">
        <v>2</v>
      </c>
      <c r="Z4" s="3"/>
      <c r="AA4" s="64">
        <v>1</v>
      </c>
      <c r="AB4" s="3"/>
      <c r="AC4" s="62">
        <v>2</v>
      </c>
      <c r="AD4" s="3"/>
      <c r="AE4" s="64"/>
      <c r="AF4" s="3"/>
      <c r="AG4" s="62"/>
      <c r="AH4" s="3"/>
      <c r="AI4" s="64"/>
      <c r="AJ4" s="3"/>
      <c r="AK4" s="62"/>
      <c r="AL4" s="3"/>
      <c r="AM4" s="64"/>
      <c r="AN4" s="3"/>
      <c r="AO4" s="62"/>
      <c r="AP4" s="3"/>
      <c r="AQ4" s="64"/>
      <c r="AR4" s="3"/>
      <c r="AS4" s="62"/>
      <c r="AT4" s="3"/>
      <c r="AU4" s="64"/>
      <c r="AW4" s="34">
        <f t="shared" si="0"/>
        <v>2</v>
      </c>
      <c r="AX4" s="65">
        <f t="shared" si="1"/>
        <v>71.88</v>
      </c>
      <c r="AY4" s="66"/>
      <c r="AZ4" s="34">
        <f t="shared" si="2"/>
        <v>3</v>
      </c>
      <c r="BA4" s="67">
        <f t="shared" si="3"/>
        <v>107.82</v>
      </c>
      <c r="BB4" s="66"/>
      <c r="BC4" s="34">
        <f t="shared" si="4"/>
        <v>1</v>
      </c>
      <c r="BD4" s="65">
        <f t="shared" si="5"/>
        <v>35.94</v>
      </c>
      <c r="BE4" s="66"/>
      <c r="BF4" s="34">
        <f t="shared" si="6"/>
        <v>3</v>
      </c>
      <c r="BG4" s="67">
        <f t="shared" si="7"/>
        <v>107.82</v>
      </c>
      <c r="BH4" s="66"/>
      <c r="BI4" s="34">
        <f t="shared" si="8"/>
        <v>2</v>
      </c>
      <c r="BJ4" s="65">
        <f t="shared" si="9"/>
        <v>71.88</v>
      </c>
      <c r="BK4" s="66"/>
      <c r="BL4" s="34">
        <f t="shared" si="10"/>
        <v>1</v>
      </c>
      <c r="BM4" s="67">
        <f t="shared" si="11"/>
        <v>35.94</v>
      </c>
      <c r="BN4" s="66"/>
      <c r="BO4" s="34">
        <f t="shared" si="12"/>
        <v>1</v>
      </c>
      <c r="BP4" s="65">
        <f t="shared" si="13"/>
        <v>35.94</v>
      </c>
      <c r="BQ4" s="66"/>
      <c r="BR4" s="34">
        <f t="shared" si="14"/>
        <v>3</v>
      </c>
      <c r="BS4" s="67">
        <f t="shared" si="15"/>
        <v>107.82</v>
      </c>
      <c r="BT4" s="66"/>
      <c r="BU4" s="34">
        <f t="shared" si="16"/>
        <v>2</v>
      </c>
      <c r="BV4" s="65">
        <f t="shared" si="17"/>
        <v>71.88</v>
      </c>
      <c r="BW4" s="66"/>
      <c r="BX4" s="34">
        <f t="shared" si="18"/>
        <v>1</v>
      </c>
      <c r="BY4" s="67">
        <f t="shared" si="19"/>
        <v>35.94</v>
      </c>
      <c r="BZ4" s="66"/>
      <c r="CA4" s="34">
        <f t="shared" si="20"/>
        <v>2</v>
      </c>
      <c r="CB4" s="65">
        <f t="shared" si="21"/>
        <v>71.88</v>
      </c>
      <c r="CC4" s="66"/>
      <c r="CD4" s="34">
        <f t="shared" si="22"/>
        <v>0</v>
      </c>
      <c r="CE4" s="67">
        <f t="shared" si="23"/>
        <v>0</v>
      </c>
      <c r="CF4" s="66"/>
      <c r="CG4" s="34">
        <f t="shared" si="24"/>
        <v>0</v>
      </c>
      <c r="CH4" s="67">
        <f t="shared" si="45"/>
        <v>0</v>
      </c>
      <c r="CI4" s="66"/>
      <c r="CJ4" s="34">
        <f t="shared" si="25"/>
        <v>0</v>
      </c>
      <c r="CK4" s="67">
        <f t="shared" si="26"/>
        <v>0</v>
      </c>
      <c r="CL4" s="66"/>
      <c r="CM4" s="34">
        <f t="shared" si="27"/>
        <v>0</v>
      </c>
      <c r="CN4" s="67">
        <f t="shared" si="28"/>
        <v>0</v>
      </c>
      <c r="CO4" s="66"/>
      <c r="CP4" s="34">
        <f t="shared" si="29"/>
        <v>0</v>
      </c>
      <c r="CQ4" s="67">
        <f t="shared" si="30"/>
        <v>0</v>
      </c>
      <c r="CR4" s="66"/>
      <c r="CS4" s="34">
        <f t="shared" si="31"/>
        <v>0</v>
      </c>
      <c r="CT4" s="65">
        <f t="shared" si="32"/>
        <v>0</v>
      </c>
      <c r="CU4" s="66"/>
      <c r="CV4" s="34">
        <f t="shared" si="33"/>
        <v>0</v>
      </c>
      <c r="CW4" s="67">
        <f t="shared" si="34"/>
        <v>0</v>
      </c>
      <c r="CX4" s="66"/>
      <c r="CY4" s="34">
        <f t="shared" si="35"/>
        <v>0</v>
      </c>
      <c r="CZ4" s="65">
        <f t="shared" si="36"/>
        <v>0</v>
      </c>
      <c r="DA4" s="66"/>
      <c r="DB4" s="34">
        <f t="shared" si="37"/>
        <v>0</v>
      </c>
      <c r="DC4" s="67">
        <f t="shared" si="38"/>
        <v>0</v>
      </c>
      <c r="DE4" s="68">
        <v>769</v>
      </c>
      <c r="DF4" s="42"/>
      <c r="DG4" s="69">
        <f t="shared" si="39"/>
        <v>0</v>
      </c>
      <c r="DH4" s="42"/>
      <c r="DI4" s="70">
        <f t="shared" si="40"/>
        <v>21</v>
      </c>
      <c r="DJ4" s="42"/>
      <c r="DK4" s="70">
        <f t="shared" si="41"/>
        <v>748</v>
      </c>
      <c r="DL4" s="42"/>
      <c r="DM4" s="71">
        <f t="shared" si="42"/>
        <v>22402.6</v>
      </c>
      <c r="DN4" s="42"/>
      <c r="DO4" s="72">
        <f t="shared" si="43"/>
        <v>35.61904761904762</v>
      </c>
      <c r="DP4" s="42"/>
      <c r="DQ4" s="71">
        <f t="shared" si="44"/>
        <v>26883.12</v>
      </c>
      <c r="DR4" s="42"/>
      <c r="DS4" s="69"/>
      <c r="DT4" s="42"/>
      <c r="DU4" s="71">
        <v>0</v>
      </c>
      <c r="DV4" s="42"/>
      <c r="DW4" s="73">
        <f t="shared" ref="DW4:DW53" si="46">DU4*1.2</f>
        <v>0</v>
      </c>
      <c r="DX4" s="42"/>
      <c r="DY4" s="71">
        <f t="shared" ref="DY4:DY53" si="47">DU4*DS4</f>
        <v>0</v>
      </c>
    </row>
    <row r="5" ht="12" customHeight="1" spans="1:129" x14ac:dyDescent="0.25">
      <c r="A5" s="74" t="s">
        <v>50</v>
      </c>
      <c r="B5" s="42"/>
      <c r="C5" s="75"/>
      <c r="D5" s="44"/>
      <c r="E5" s="60">
        <v>23</v>
      </c>
      <c r="F5" s="44"/>
      <c r="G5" s="61">
        <v>27.6</v>
      </c>
      <c r="I5" s="62">
        <v>2</v>
      </c>
      <c r="J5" s="63"/>
      <c r="K5" s="64">
        <v>6</v>
      </c>
      <c r="L5" s="3"/>
      <c r="M5" s="62">
        <v>5</v>
      </c>
      <c r="N5" s="3"/>
      <c r="O5" s="64">
        <v>5</v>
      </c>
      <c r="P5" s="3"/>
      <c r="Q5" s="62">
        <v>3</v>
      </c>
      <c r="R5" s="3"/>
      <c r="S5" s="64">
        <v>3</v>
      </c>
      <c r="T5" s="3"/>
      <c r="U5" s="62">
        <v>4</v>
      </c>
      <c r="V5" s="3"/>
      <c r="W5" s="64">
        <v>6</v>
      </c>
      <c r="X5" s="3"/>
      <c r="Y5" s="62">
        <v>3</v>
      </c>
      <c r="Z5" s="3"/>
      <c r="AA5" s="64">
        <v>2</v>
      </c>
      <c r="AB5" s="3"/>
      <c r="AC5" s="62">
        <v>2</v>
      </c>
      <c r="AD5" s="3"/>
      <c r="AE5" s="64"/>
      <c r="AF5" s="3"/>
      <c r="AG5" s="62"/>
      <c r="AH5" s="3"/>
      <c r="AI5" s="64"/>
      <c r="AJ5" s="3"/>
      <c r="AK5" s="62"/>
      <c r="AL5" s="3"/>
      <c r="AM5" s="64"/>
      <c r="AN5" s="3"/>
      <c r="AO5" s="62"/>
      <c r="AP5" s="3"/>
      <c r="AQ5" s="64"/>
      <c r="AR5" s="3"/>
      <c r="AS5" s="62"/>
      <c r="AT5" s="3"/>
      <c r="AU5" s="64"/>
      <c r="AW5" s="34">
        <f t="shared" si="0"/>
        <v>2</v>
      </c>
      <c r="AX5" s="65">
        <f t="shared" si="1"/>
        <v>55.2</v>
      </c>
      <c r="AY5" s="66"/>
      <c r="AZ5" s="31">
        <f t="shared" si="2"/>
        <v>6</v>
      </c>
      <c r="BA5" s="67">
        <f t="shared" si="3"/>
        <v>165.60000000000002</v>
      </c>
      <c r="BB5" s="66"/>
      <c r="BC5" s="31">
        <f t="shared" si="4"/>
        <v>5</v>
      </c>
      <c r="BD5" s="65">
        <f t="shared" si="5"/>
        <v>138</v>
      </c>
      <c r="BE5" s="66"/>
      <c r="BF5" s="31">
        <f t="shared" si="6"/>
        <v>5</v>
      </c>
      <c r="BG5" s="67">
        <f t="shared" si="7"/>
        <v>138</v>
      </c>
      <c r="BH5" s="66"/>
      <c r="BI5" s="31">
        <f t="shared" si="8"/>
        <v>3</v>
      </c>
      <c r="BJ5" s="65">
        <f t="shared" si="9"/>
        <v>82.80000000000001</v>
      </c>
      <c r="BK5" s="66"/>
      <c r="BL5" s="31">
        <f t="shared" si="10"/>
        <v>3</v>
      </c>
      <c r="BM5" s="67">
        <f t="shared" si="11"/>
        <v>82.80000000000001</v>
      </c>
      <c r="BN5" s="66"/>
      <c r="BO5" s="31">
        <f t="shared" si="12"/>
        <v>4</v>
      </c>
      <c r="BP5" s="65">
        <f t="shared" si="13"/>
        <v>110.4</v>
      </c>
      <c r="BQ5" s="66"/>
      <c r="BR5" s="31">
        <f t="shared" si="14"/>
        <v>6</v>
      </c>
      <c r="BS5" s="67">
        <f t="shared" si="15"/>
        <v>165.60000000000002</v>
      </c>
      <c r="BT5" s="66"/>
      <c r="BU5" s="31">
        <f t="shared" si="16"/>
        <v>3</v>
      </c>
      <c r="BV5" s="65">
        <f t="shared" si="17"/>
        <v>82.80000000000001</v>
      </c>
      <c r="BW5" s="66"/>
      <c r="BX5" s="31">
        <f t="shared" si="18"/>
        <v>2</v>
      </c>
      <c r="BY5" s="67">
        <f t="shared" si="19"/>
        <v>55.2</v>
      </c>
      <c r="BZ5" s="66"/>
      <c r="CA5" s="31">
        <f t="shared" si="20"/>
        <v>2</v>
      </c>
      <c r="CB5" s="65">
        <f t="shared" si="21"/>
        <v>55.2</v>
      </c>
      <c r="CC5" s="66"/>
      <c r="CD5" s="31">
        <f t="shared" si="22"/>
        <v>0</v>
      </c>
      <c r="CE5" s="67">
        <f t="shared" si="23"/>
        <v>0</v>
      </c>
      <c r="CF5" s="66"/>
      <c r="CG5" s="34">
        <f t="shared" si="24"/>
        <v>0</v>
      </c>
      <c r="CH5" s="67">
        <f t="shared" si="45"/>
        <v>0</v>
      </c>
      <c r="CI5" s="66"/>
      <c r="CJ5" s="34">
        <f t="shared" si="25"/>
        <v>0</v>
      </c>
      <c r="CK5" s="67">
        <f t="shared" si="26"/>
        <v>0</v>
      </c>
      <c r="CL5" s="66"/>
      <c r="CM5" s="34">
        <f t="shared" si="27"/>
        <v>0</v>
      </c>
      <c r="CN5" s="67">
        <f t="shared" si="28"/>
        <v>0</v>
      </c>
      <c r="CO5" s="66"/>
      <c r="CP5" s="34">
        <f t="shared" si="29"/>
        <v>0</v>
      </c>
      <c r="CQ5" s="67">
        <f t="shared" si="30"/>
        <v>0</v>
      </c>
      <c r="CR5" s="66"/>
      <c r="CS5" s="34">
        <f t="shared" si="31"/>
        <v>0</v>
      </c>
      <c r="CT5" s="65">
        <f t="shared" si="32"/>
        <v>0</v>
      </c>
      <c r="CU5" s="66"/>
      <c r="CV5" s="31">
        <f t="shared" si="33"/>
        <v>0</v>
      </c>
      <c r="CW5" s="67">
        <f t="shared" si="34"/>
        <v>0</v>
      </c>
      <c r="CX5" s="66"/>
      <c r="CY5" s="31">
        <f t="shared" si="35"/>
        <v>0</v>
      </c>
      <c r="CZ5" s="65">
        <f t="shared" si="36"/>
        <v>0</v>
      </c>
      <c r="DA5" s="66"/>
      <c r="DB5" s="31">
        <f t="shared" si="37"/>
        <v>0</v>
      </c>
      <c r="DC5" s="67">
        <f t="shared" si="38"/>
        <v>0</v>
      </c>
      <c r="DE5" s="76">
        <v>734</v>
      </c>
      <c r="DF5" s="42"/>
      <c r="DG5" s="69">
        <f t="shared" si="39"/>
        <v>0</v>
      </c>
      <c r="DH5" s="42"/>
      <c r="DI5" s="70">
        <f t="shared" si="40"/>
        <v>41</v>
      </c>
      <c r="DJ5" s="42"/>
      <c r="DK5" s="70">
        <f t="shared" si="41"/>
        <v>693</v>
      </c>
      <c r="DL5" s="42"/>
      <c r="DM5" s="71">
        <f t="shared" si="42"/>
        <v>15939</v>
      </c>
      <c r="DN5" s="42"/>
      <c r="DO5" s="72">
        <f t="shared" si="43"/>
        <v>16.902439024390244</v>
      </c>
      <c r="DP5" s="42"/>
      <c r="DQ5" s="71">
        <f t="shared" si="44"/>
        <v>19126.8</v>
      </c>
      <c r="DR5" s="42"/>
      <c r="DS5" s="69">
        <v>600</v>
      </c>
      <c r="DT5" s="42"/>
      <c r="DU5" s="71">
        <v>28.75</v>
      </c>
      <c r="DV5" s="42"/>
      <c r="DW5" s="73">
        <f t="shared" si="46"/>
        <v>34.5</v>
      </c>
      <c r="DX5" s="42"/>
      <c r="DY5" s="71">
        <f t="shared" si="47"/>
        <v>17250</v>
      </c>
    </row>
    <row r="6" ht="12" customHeight="1" spans="1:129" x14ac:dyDescent="0.25">
      <c r="A6" s="77" t="s">
        <v>51</v>
      </c>
      <c r="B6" s="42"/>
      <c r="C6" s="75"/>
      <c r="D6" s="44"/>
      <c r="E6" s="60">
        <v>38.95</v>
      </c>
      <c r="F6" s="44"/>
      <c r="G6" s="61">
        <v>46.74</v>
      </c>
      <c r="I6" s="62">
        <v>1</v>
      </c>
      <c r="J6" s="63"/>
      <c r="K6" s="64">
        <v>1</v>
      </c>
      <c r="L6" s="3"/>
      <c r="M6" s="62">
        <v>2</v>
      </c>
      <c r="N6" s="3"/>
      <c r="O6" s="64">
        <v>2</v>
      </c>
      <c r="P6" s="3"/>
      <c r="Q6" s="62">
        <v>1</v>
      </c>
      <c r="R6" s="3"/>
      <c r="S6" s="64">
        <v>1</v>
      </c>
      <c r="T6" s="3"/>
      <c r="U6" s="62">
        <v>1</v>
      </c>
      <c r="V6" s="3"/>
      <c r="W6" s="64">
        <v>1</v>
      </c>
      <c r="X6" s="3"/>
      <c r="Y6" s="62">
        <v>1</v>
      </c>
      <c r="Z6" s="3"/>
      <c r="AA6" s="64">
        <v>1</v>
      </c>
      <c r="AB6" s="3"/>
      <c r="AC6" s="62">
        <v>1</v>
      </c>
      <c r="AD6" s="3"/>
      <c r="AE6" s="64"/>
      <c r="AF6" s="3"/>
      <c r="AG6" s="62"/>
      <c r="AH6" s="3"/>
      <c r="AI6" s="64"/>
      <c r="AJ6" s="3"/>
      <c r="AK6" s="62"/>
      <c r="AL6" s="3"/>
      <c r="AM6" s="64"/>
      <c r="AN6" s="3"/>
      <c r="AO6" s="62"/>
      <c r="AP6" s="3"/>
      <c r="AQ6" s="64"/>
      <c r="AR6" s="3"/>
      <c r="AS6" s="62"/>
      <c r="AT6" s="3"/>
      <c r="AU6" s="64"/>
      <c r="AW6" s="34">
        <f t="shared" si="0"/>
        <v>1</v>
      </c>
      <c r="AX6" s="65">
        <f t="shared" si="1"/>
        <v>46.74</v>
      </c>
      <c r="AY6" s="66"/>
      <c r="AZ6" s="31">
        <f t="shared" si="2"/>
        <v>1</v>
      </c>
      <c r="BA6" s="67">
        <f t="shared" si="3"/>
        <v>46.74</v>
      </c>
      <c r="BB6" s="66"/>
      <c r="BC6" s="31">
        <f t="shared" si="4"/>
        <v>2</v>
      </c>
      <c r="BD6" s="65">
        <f t="shared" si="5"/>
        <v>93.48</v>
      </c>
      <c r="BE6" s="66"/>
      <c r="BF6" s="31">
        <f t="shared" si="6"/>
        <v>2</v>
      </c>
      <c r="BG6" s="67">
        <f t="shared" si="7"/>
        <v>93.48</v>
      </c>
      <c r="BH6" s="66"/>
      <c r="BI6" s="31">
        <f t="shared" si="8"/>
        <v>1</v>
      </c>
      <c r="BJ6" s="65">
        <f t="shared" si="9"/>
        <v>46.74</v>
      </c>
      <c r="BK6" s="66"/>
      <c r="BL6" s="31">
        <f t="shared" si="10"/>
        <v>1</v>
      </c>
      <c r="BM6" s="67">
        <f t="shared" si="11"/>
        <v>46.74</v>
      </c>
      <c r="BN6" s="66"/>
      <c r="BO6" s="31">
        <f t="shared" si="12"/>
        <v>1</v>
      </c>
      <c r="BP6" s="65">
        <f t="shared" si="13"/>
        <v>46.74</v>
      </c>
      <c r="BQ6" s="66"/>
      <c r="BR6" s="31">
        <f t="shared" si="14"/>
        <v>1</v>
      </c>
      <c r="BS6" s="67">
        <f t="shared" si="15"/>
        <v>46.74</v>
      </c>
      <c r="BT6" s="66"/>
      <c r="BU6" s="31">
        <f t="shared" si="16"/>
        <v>1</v>
      </c>
      <c r="BV6" s="65">
        <f t="shared" si="17"/>
        <v>46.74</v>
      </c>
      <c r="BW6" s="66"/>
      <c r="BX6" s="31">
        <f t="shared" si="18"/>
        <v>1</v>
      </c>
      <c r="BY6" s="67">
        <f t="shared" si="19"/>
        <v>46.74</v>
      </c>
      <c r="BZ6" s="66"/>
      <c r="CA6" s="31">
        <f t="shared" si="20"/>
        <v>1</v>
      </c>
      <c r="CB6" s="65">
        <f t="shared" si="21"/>
        <v>46.74</v>
      </c>
      <c r="CC6" s="66"/>
      <c r="CD6" s="31">
        <f t="shared" si="22"/>
        <v>0</v>
      </c>
      <c r="CE6" s="67">
        <f t="shared" si="23"/>
        <v>0</v>
      </c>
      <c r="CF6" s="66"/>
      <c r="CG6" s="34">
        <f t="shared" si="24"/>
        <v>0</v>
      </c>
      <c r="CH6" s="67">
        <f t="shared" si="45"/>
        <v>0</v>
      </c>
      <c r="CI6" s="66"/>
      <c r="CJ6" s="34">
        <f t="shared" si="25"/>
        <v>0</v>
      </c>
      <c r="CK6" s="67">
        <f t="shared" si="26"/>
        <v>0</v>
      </c>
      <c r="CL6" s="66"/>
      <c r="CM6" s="34">
        <f t="shared" si="27"/>
        <v>0</v>
      </c>
      <c r="CN6" s="67">
        <f t="shared" si="28"/>
        <v>0</v>
      </c>
      <c r="CO6" s="66"/>
      <c r="CP6" s="34">
        <f t="shared" si="29"/>
        <v>0</v>
      </c>
      <c r="CQ6" s="67">
        <f t="shared" si="30"/>
        <v>0</v>
      </c>
      <c r="CR6" s="66"/>
      <c r="CS6" s="34">
        <f t="shared" si="31"/>
        <v>0</v>
      </c>
      <c r="CT6" s="65">
        <f t="shared" si="32"/>
        <v>0</v>
      </c>
      <c r="CU6" s="66"/>
      <c r="CV6" s="31">
        <f t="shared" si="33"/>
        <v>0</v>
      </c>
      <c r="CW6" s="67">
        <f t="shared" si="34"/>
        <v>0</v>
      </c>
      <c r="CX6" s="66"/>
      <c r="CY6" s="31">
        <f t="shared" si="35"/>
        <v>0</v>
      </c>
      <c r="CZ6" s="65">
        <f t="shared" si="36"/>
        <v>0</v>
      </c>
      <c r="DA6" s="66"/>
      <c r="DB6" s="31">
        <f t="shared" si="37"/>
        <v>0</v>
      </c>
      <c r="DC6" s="67">
        <f t="shared" si="38"/>
        <v>0</v>
      </c>
      <c r="DE6" s="76">
        <v>221</v>
      </c>
      <c r="DF6" s="42"/>
      <c r="DG6" s="69">
        <f t="shared" si="39"/>
        <v>0</v>
      </c>
      <c r="DH6" s="42"/>
      <c r="DI6" s="70">
        <f t="shared" si="40"/>
        <v>13</v>
      </c>
      <c r="DJ6" s="42"/>
      <c r="DK6" s="70">
        <f t="shared" si="41"/>
        <v>208</v>
      </c>
      <c r="DL6" s="42"/>
      <c r="DM6" s="71">
        <f t="shared" si="42"/>
        <v>8101.6</v>
      </c>
      <c r="DN6" s="42"/>
      <c r="DO6" s="72">
        <f t="shared" si="43"/>
        <v>16</v>
      </c>
      <c r="DP6" s="42"/>
      <c r="DQ6" s="71">
        <f t="shared" si="44"/>
        <v>9721.92</v>
      </c>
      <c r="DR6" s="42"/>
      <c r="DS6" s="69"/>
      <c r="DT6" s="42"/>
      <c r="DU6" s="71">
        <v>0</v>
      </c>
      <c r="DV6" s="42"/>
      <c r="DW6" s="73">
        <f t="shared" si="46"/>
        <v>0</v>
      </c>
      <c r="DX6" s="42"/>
      <c r="DY6" s="71">
        <f t="shared" si="47"/>
        <v>0</v>
      </c>
    </row>
    <row r="7" ht="12" customHeight="1" spans="1:129" x14ac:dyDescent="0.25">
      <c r="A7" s="74" t="s">
        <v>52</v>
      </c>
      <c r="B7" s="42"/>
      <c r="C7" s="75"/>
      <c r="D7" s="44"/>
      <c r="E7" s="60">
        <v>44.95</v>
      </c>
      <c r="F7" s="44"/>
      <c r="G7" s="61">
        <v>53.94</v>
      </c>
      <c r="I7" s="62"/>
      <c r="J7" s="63"/>
      <c r="K7" s="64">
        <v>1</v>
      </c>
      <c r="L7" s="3"/>
      <c r="M7" s="62">
        <v>1</v>
      </c>
      <c r="N7" s="3"/>
      <c r="O7" s="64">
        <v>1</v>
      </c>
      <c r="P7" s="3"/>
      <c r="Q7" s="62"/>
      <c r="R7" s="3"/>
      <c r="S7" s="64"/>
      <c r="T7" s="3"/>
      <c r="U7" s="62"/>
      <c r="V7" s="3"/>
      <c r="W7" s="64"/>
      <c r="X7" s="3"/>
      <c r="Y7" s="62">
        <v>1</v>
      </c>
      <c r="Z7" s="3"/>
      <c r="AA7" s="64">
        <v>1</v>
      </c>
      <c r="AB7" s="3"/>
      <c r="AC7" s="62">
        <v>1</v>
      </c>
      <c r="AD7" s="3"/>
      <c r="AE7" s="64"/>
      <c r="AF7" s="3"/>
      <c r="AG7" s="62"/>
      <c r="AH7" s="3"/>
      <c r="AI7" s="64"/>
      <c r="AJ7" s="3"/>
      <c r="AK7" s="62"/>
      <c r="AL7" s="3"/>
      <c r="AM7" s="64"/>
      <c r="AN7" s="3"/>
      <c r="AO7" s="62"/>
      <c r="AP7" s="3"/>
      <c r="AQ7" s="64"/>
      <c r="AR7" s="3"/>
      <c r="AS7" s="62"/>
      <c r="AT7" s="3"/>
      <c r="AU7" s="64"/>
      <c r="AW7" s="34">
        <f t="shared" si="0"/>
        <v>0</v>
      </c>
      <c r="AX7" s="65">
        <f t="shared" si="1"/>
        <v>0</v>
      </c>
      <c r="AY7" s="66"/>
      <c r="AZ7" s="31">
        <f t="shared" si="2"/>
        <v>1</v>
      </c>
      <c r="BA7" s="67">
        <f t="shared" si="3"/>
        <v>53.94</v>
      </c>
      <c r="BB7" s="66"/>
      <c r="BC7" s="31">
        <f t="shared" si="4"/>
        <v>1</v>
      </c>
      <c r="BD7" s="65">
        <f t="shared" si="5"/>
        <v>53.94</v>
      </c>
      <c r="BE7" s="66"/>
      <c r="BF7" s="31">
        <f t="shared" si="6"/>
        <v>1</v>
      </c>
      <c r="BG7" s="67">
        <f t="shared" si="7"/>
        <v>53.94</v>
      </c>
      <c r="BH7" s="66"/>
      <c r="BI7" s="31">
        <f t="shared" si="8"/>
        <v>0</v>
      </c>
      <c r="BJ7" s="65">
        <f t="shared" si="9"/>
        <v>0</v>
      </c>
      <c r="BK7" s="66"/>
      <c r="BL7" s="31">
        <f t="shared" si="10"/>
        <v>0</v>
      </c>
      <c r="BM7" s="67">
        <f t="shared" si="11"/>
        <v>0</v>
      </c>
      <c r="BN7" s="66"/>
      <c r="BO7" s="31">
        <f t="shared" si="12"/>
        <v>0</v>
      </c>
      <c r="BP7" s="65">
        <f t="shared" si="13"/>
        <v>0</v>
      </c>
      <c r="BQ7" s="66"/>
      <c r="BR7" s="31">
        <f t="shared" si="14"/>
        <v>0</v>
      </c>
      <c r="BS7" s="67">
        <f t="shared" si="15"/>
        <v>0</v>
      </c>
      <c r="BT7" s="66"/>
      <c r="BU7" s="31">
        <f t="shared" si="16"/>
        <v>1</v>
      </c>
      <c r="BV7" s="65">
        <f t="shared" si="17"/>
        <v>53.94</v>
      </c>
      <c r="BW7" s="66"/>
      <c r="BX7" s="31">
        <f t="shared" si="18"/>
        <v>1</v>
      </c>
      <c r="BY7" s="67">
        <f t="shared" si="19"/>
        <v>53.94</v>
      </c>
      <c r="BZ7" s="66"/>
      <c r="CA7" s="31">
        <f t="shared" si="20"/>
        <v>1</v>
      </c>
      <c r="CB7" s="65">
        <f t="shared" si="21"/>
        <v>53.94</v>
      </c>
      <c r="CC7" s="66"/>
      <c r="CD7" s="31">
        <f t="shared" si="22"/>
        <v>0</v>
      </c>
      <c r="CE7" s="67">
        <f t="shared" si="23"/>
        <v>0</v>
      </c>
      <c r="CF7" s="66"/>
      <c r="CG7" s="34">
        <f t="shared" si="24"/>
        <v>0</v>
      </c>
      <c r="CH7" s="67">
        <f t="shared" si="45"/>
        <v>0</v>
      </c>
      <c r="CI7" s="66"/>
      <c r="CJ7" s="34">
        <f t="shared" si="25"/>
        <v>0</v>
      </c>
      <c r="CK7" s="67">
        <f t="shared" si="26"/>
        <v>0</v>
      </c>
      <c r="CL7" s="66"/>
      <c r="CM7" s="34">
        <f t="shared" si="27"/>
        <v>0</v>
      </c>
      <c r="CN7" s="67">
        <f t="shared" si="28"/>
        <v>0</v>
      </c>
      <c r="CO7" s="66"/>
      <c r="CP7" s="34">
        <f t="shared" si="29"/>
        <v>0</v>
      </c>
      <c r="CQ7" s="67">
        <f t="shared" si="30"/>
        <v>0</v>
      </c>
      <c r="CR7" s="66"/>
      <c r="CS7" s="34">
        <f t="shared" si="31"/>
        <v>0</v>
      </c>
      <c r="CT7" s="65">
        <f t="shared" si="32"/>
        <v>0</v>
      </c>
      <c r="CU7" s="66"/>
      <c r="CV7" s="31">
        <f t="shared" si="33"/>
        <v>0</v>
      </c>
      <c r="CW7" s="67">
        <f t="shared" si="34"/>
        <v>0</v>
      </c>
      <c r="CX7" s="66"/>
      <c r="CY7" s="31">
        <f t="shared" si="35"/>
        <v>0</v>
      </c>
      <c r="CZ7" s="65">
        <f t="shared" si="36"/>
        <v>0</v>
      </c>
      <c r="DA7" s="66"/>
      <c r="DB7" s="31">
        <f t="shared" si="37"/>
        <v>0</v>
      </c>
      <c r="DC7" s="67">
        <f t="shared" si="38"/>
        <v>0</v>
      </c>
      <c r="DE7" s="76">
        <v>65</v>
      </c>
      <c r="DF7" s="42"/>
      <c r="DG7" s="69">
        <f t="shared" si="39"/>
        <v>0</v>
      </c>
      <c r="DH7" s="42"/>
      <c r="DI7" s="70">
        <f t="shared" si="40"/>
        <v>6</v>
      </c>
      <c r="DJ7" s="42"/>
      <c r="DK7" s="70">
        <f t="shared" si="41"/>
        <v>59</v>
      </c>
      <c r="DL7" s="42"/>
      <c r="DM7" s="71">
        <f t="shared" si="42"/>
        <v>2652.05</v>
      </c>
      <c r="DN7" s="42"/>
      <c r="DO7" s="72">
        <f t="shared" si="43"/>
        <v>9.833333333333334</v>
      </c>
      <c r="DP7" s="42"/>
      <c r="DQ7" s="71">
        <f t="shared" si="44"/>
        <v>3182.46</v>
      </c>
      <c r="DR7" s="42"/>
      <c r="DS7" s="69"/>
      <c r="DT7" s="42"/>
      <c r="DU7" s="71">
        <v>0</v>
      </c>
      <c r="DV7" s="42"/>
      <c r="DW7" s="73">
        <f t="shared" si="46"/>
        <v>0</v>
      </c>
      <c r="DX7" s="42"/>
      <c r="DY7" s="71">
        <f t="shared" si="47"/>
        <v>0</v>
      </c>
    </row>
    <row r="8" ht="12" customHeight="1" spans="1:129" x14ac:dyDescent="0.25">
      <c r="A8" s="77" t="s">
        <v>53</v>
      </c>
      <c r="B8" s="42"/>
      <c r="C8" s="75"/>
      <c r="D8" s="44"/>
      <c r="E8" s="60">
        <v>18.25</v>
      </c>
      <c r="F8" s="44"/>
      <c r="G8" s="61">
        <v>21.9</v>
      </c>
      <c r="I8" s="62"/>
      <c r="J8" s="63"/>
      <c r="K8" s="64"/>
      <c r="L8" s="3"/>
      <c r="M8" s="62"/>
      <c r="N8" s="3"/>
      <c r="O8" s="64">
        <v>1</v>
      </c>
      <c r="P8" s="3"/>
      <c r="Q8" s="62">
        <v>1</v>
      </c>
      <c r="R8" s="3"/>
      <c r="S8" s="64"/>
      <c r="T8" s="3"/>
      <c r="U8" s="62"/>
      <c r="V8" s="3"/>
      <c r="W8" s="64">
        <v>1</v>
      </c>
      <c r="X8" s="3"/>
      <c r="Y8" s="62">
        <v>1</v>
      </c>
      <c r="Z8" s="3"/>
      <c r="AA8" s="64"/>
      <c r="AB8" s="3"/>
      <c r="AC8" s="62">
        <v>1</v>
      </c>
      <c r="AD8" s="3"/>
      <c r="AE8" s="64"/>
      <c r="AF8" s="3"/>
      <c r="AG8" s="62"/>
      <c r="AH8" s="3"/>
      <c r="AI8" s="64"/>
      <c r="AJ8" s="3"/>
      <c r="AK8" s="62"/>
      <c r="AL8" s="3"/>
      <c r="AM8" s="64"/>
      <c r="AN8" s="3"/>
      <c r="AO8" s="62"/>
      <c r="AP8" s="3"/>
      <c r="AQ8" s="64"/>
      <c r="AR8" s="3"/>
      <c r="AS8" s="62"/>
      <c r="AT8" s="3"/>
      <c r="AU8" s="64"/>
      <c r="AW8" s="34">
        <f t="shared" si="0"/>
        <v>0</v>
      </c>
      <c r="AX8" s="65">
        <f t="shared" si="1"/>
        <v>0</v>
      </c>
      <c r="AY8" s="66"/>
      <c r="AZ8" s="31">
        <f t="shared" si="2"/>
        <v>0</v>
      </c>
      <c r="BA8" s="67">
        <f t="shared" si="3"/>
        <v>0</v>
      </c>
      <c r="BB8" s="66"/>
      <c r="BC8" s="31">
        <f t="shared" si="4"/>
        <v>0</v>
      </c>
      <c r="BD8" s="65">
        <f t="shared" si="5"/>
        <v>0</v>
      </c>
      <c r="BE8" s="66"/>
      <c r="BF8" s="31">
        <f t="shared" si="6"/>
        <v>1</v>
      </c>
      <c r="BG8" s="67">
        <f t="shared" si="7"/>
        <v>21.9</v>
      </c>
      <c r="BH8" s="66"/>
      <c r="BI8" s="31">
        <f t="shared" si="8"/>
        <v>1</v>
      </c>
      <c r="BJ8" s="65">
        <f t="shared" si="9"/>
        <v>21.9</v>
      </c>
      <c r="BK8" s="66"/>
      <c r="BL8" s="31">
        <f t="shared" si="10"/>
        <v>0</v>
      </c>
      <c r="BM8" s="67">
        <f t="shared" si="11"/>
        <v>0</v>
      </c>
      <c r="BN8" s="66"/>
      <c r="BO8" s="31">
        <f t="shared" si="12"/>
        <v>0</v>
      </c>
      <c r="BP8" s="65">
        <f t="shared" si="13"/>
        <v>0</v>
      </c>
      <c r="BQ8" s="66"/>
      <c r="BR8" s="31">
        <f t="shared" si="14"/>
        <v>1</v>
      </c>
      <c r="BS8" s="67">
        <f t="shared" si="15"/>
        <v>21.9</v>
      </c>
      <c r="BT8" s="66"/>
      <c r="BU8" s="31">
        <f t="shared" si="16"/>
        <v>1</v>
      </c>
      <c r="BV8" s="65">
        <f t="shared" si="17"/>
        <v>21.9</v>
      </c>
      <c r="BW8" s="66"/>
      <c r="BX8" s="31">
        <f t="shared" si="18"/>
        <v>0</v>
      </c>
      <c r="BY8" s="67">
        <f t="shared" si="19"/>
        <v>0</v>
      </c>
      <c r="BZ8" s="66"/>
      <c r="CA8" s="31">
        <f t="shared" si="20"/>
        <v>1</v>
      </c>
      <c r="CB8" s="65">
        <f t="shared" si="21"/>
        <v>21.9</v>
      </c>
      <c r="CC8" s="66"/>
      <c r="CD8" s="31">
        <f t="shared" si="22"/>
        <v>0</v>
      </c>
      <c r="CE8" s="67">
        <f t="shared" si="23"/>
        <v>0</v>
      </c>
      <c r="CF8" s="66"/>
      <c r="CG8" s="34">
        <f t="shared" si="24"/>
        <v>0</v>
      </c>
      <c r="CH8" s="67">
        <f t="shared" si="45"/>
        <v>0</v>
      </c>
      <c r="CI8" s="66"/>
      <c r="CJ8" s="34">
        <f t="shared" si="25"/>
        <v>0</v>
      </c>
      <c r="CK8" s="67">
        <f t="shared" si="26"/>
        <v>0</v>
      </c>
      <c r="CL8" s="66"/>
      <c r="CM8" s="34">
        <f t="shared" si="27"/>
        <v>0</v>
      </c>
      <c r="CN8" s="67">
        <f t="shared" si="28"/>
        <v>0</v>
      </c>
      <c r="CO8" s="66"/>
      <c r="CP8" s="34">
        <f t="shared" si="29"/>
        <v>0</v>
      </c>
      <c r="CQ8" s="67">
        <f t="shared" si="30"/>
        <v>0</v>
      </c>
      <c r="CR8" s="66"/>
      <c r="CS8" s="34">
        <f t="shared" si="31"/>
        <v>0</v>
      </c>
      <c r="CT8" s="65">
        <f t="shared" si="32"/>
        <v>0</v>
      </c>
      <c r="CU8" s="66"/>
      <c r="CV8" s="31">
        <f t="shared" si="33"/>
        <v>0</v>
      </c>
      <c r="CW8" s="67">
        <f t="shared" si="34"/>
        <v>0</v>
      </c>
      <c r="CX8" s="66"/>
      <c r="CY8" s="31">
        <f t="shared" si="35"/>
        <v>0</v>
      </c>
      <c r="CZ8" s="65">
        <f t="shared" si="36"/>
        <v>0</v>
      </c>
      <c r="DA8" s="66"/>
      <c r="DB8" s="31">
        <f t="shared" si="37"/>
        <v>0</v>
      </c>
      <c r="DC8" s="67">
        <f t="shared" si="38"/>
        <v>0</v>
      </c>
      <c r="DE8" s="76">
        <v>110</v>
      </c>
      <c r="DF8" s="42"/>
      <c r="DG8" s="69">
        <f t="shared" si="39"/>
        <v>0</v>
      </c>
      <c r="DH8" s="42"/>
      <c r="DI8" s="70">
        <f t="shared" si="40"/>
        <v>5</v>
      </c>
      <c r="DJ8" s="42"/>
      <c r="DK8" s="70">
        <f t="shared" si="41"/>
        <v>105</v>
      </c>
      <c r="DL8" s="42"/>
      <c r="DM8" s="71">
        <f t="shared" si="42"/>
        <v>1916.25</v>
      </c>
      <c r="DN8" s="42"/>
      <c r="DO8" s="72">
        <f t="shared" si="43"/>
        <v>21</v>
      </c>
      <c r="DP8" s="42"/>
      <c r="DQ8" s="71">
        <f t="shared" si="44"/>
        <v>2299.5</v>
      </c>
      <c r="DR8" s="42"/>
      <c r="DS8" s="69"/>
      <c r="DT8" s="42"/>
      <c r="DU8" s="71">
        <v>0</v>
      </c>
      <c r="DV8" s="42"/>
      <c r="DW8" s="73">
        <f t="shared" si="46"/>
        <v>0</v>
      </c>
      <c r="DX8" s="42"/>
      <c r="DY8" s="71">
        <f t="shared" si="47"/>
        <v>0</v>
      </c>
    </row>
    <row r="9" ht="12" customHeight="1" spans="1:129" x14ac:dyDescent="0.25">
      <c r="A9" s="74" t="s">
        <v>54</v>
      </c>
      <c r="B9" s="42"/>
      <c r="C9" s="75"/>
      <c r="D9" s="44"/>
      <c r="E9" s="78">
        <v>29.95</v>
      </c>
      <c r="F9" s="44"/>
      <c r="G9" s="61">
        <v>35.94</v>
      </c>
      <c r="I9" s="62"/>
      <c r="J9" s="63"/>
      <c r="K9" s="64"/>
      <c r="L9" s="3"/>
      <c r="M9" s="62"/>
      <c r="N9" s="3"/>
      <c r="O9" s="64">
        <v>1</v>
      </c>
      <c r="P9" s="3"/>
      <c r="Q9" s="62"/>
      <c r="R9" s="3"/>
      <c r="S9" s="64"/>
      <c r="T9" s="3"/>
      <c r="U9" s="62"/>
      <c r="V9" s="3"/>
      <c r="W9" s="64"/>
      <c r="X9" s="3"/>
      <c r="Y9" s="62"/>
      <c r="Z9" s="3"/>
      <c r="AA9" s="64"/>
      <c r="AB9" s="3"/>
      <c r="AC9" s="62"/>
      <c r="AD9" s="3"/>
      <c r="AE9" s="64"/>
      <c r="AF9" s="3"/>
      <c r="AG9" s="62"/>
      <c r="AH9" s="3"/>
      <c r="AI9" s="64"/>
      <c r="AJ9" s="3"/>
      <c r="AK9" s="62"/>
      <c r="AL9" s="3"/>
      <c r="AM9" s="64"/>
      <c r="AN9" s="3"/>
      <c r="AO9" s="62"/>
      <c r="AP9" s="3"/>
      <c r="AQ9" s="64"/>
      <c r="AR9" s="3"/>
      <c r="AS9" s="62"/>
      <c r="AT9" s="3"/>
      <c r="AU9" s="64"/>
      <c r="AW9" s="34">
        <f t="shared" si="0"/>
        <v>0</v>
      </c>
      <c r="AX9" s="65">
        <f t="shared" si="1"/>
        <v>0</v>
      </c>
      <c r="AY9" s="66"/>
      <c r="AZ9" s="31">
        <f t="shared" si="2"/>
        <v>0</v>
      </c>
      <c r="BA9" s="67">
        <f t="shared" si="3"/>
        <v>0</v>
      </c>
      <c r="BB9" s="66"/>
      <c r="BC9" s="31">
        <f t="shared" si="4"/>
        <v>0</v>
      </c>
      <c r="BD9" s="65">
        <f t="shared" si="5"/>
        <v>0</v>
      </c>
      <c r="BE9" s="66"/>
      <c r="BF9" s="31">
        <f t="shared" si="6"/>
        <v>1</v>
      </c>
      <c r="BG9" s="67">
        <f t="shared" si="7"/>
        <v>35.94</v>
      </c>
      <c r="BH9" s="66"/>
      <c r="BI9" s="31">
        <f t="shared" si="8"/>
        <v>0</v>
      </c>
      <c r="BJ9" s="65">
        <f t="shared" si="9"/>
        <v>0</v>
      </c>
      <c r="BK9" s="66"/>
      <c r="BL9" s="31">
        <f t="shared" si="10"/>
        <v>0</v>
      </c>
      <c r="BM9" s="67">
        <f t="shared" si="11"/>
        <v>0</v>
      </c>
      <c r="BN9" s="66"/>
      <c r="BO9" s="31">
        <f t="shared" si="12"/>
        <v>0</v>
      </c>
      <c r="BP9" s="65">
        <f t="shared" si="13"/>
        <v>0</v>
      </c>
      <c r="BQ9" s="66"/>
      <c r="BR9" s="31">
        <f t="shared" si="14"/>
        <v>0</v>
      </c>
      <c r="BS9" s="67">
        <f t="shared" si="15"/>
        <v>0</v>
      </c>
      <c r="BT9" s="66"/>
      <c r="BU9" s="31">
        <f t="shared" si="16"/>
        <v>0</v>
      </c>
      <c r="BV9" s="65">
        <f t="shared" si="17"/>
        <v>0</v>
      </c>
      <c r="BW9" s="66"/>
      <c r="BX9" s="31">
        <f t="shared" si="18"/>
        <v>0</v>
      </c>
      <c r="BY9" s="67">
        <f t="shared" si="19"/>
        <v>0</v>
      </c>
      <c r="BZ9" s="66"/>
      <c r="CA9" s="31">
        <f t="shared" si="20"/>
        <v>0</v>
      </c>
      <c r="CB9" s="65">
        <f t="shared" si="21"/>
        <v>0</v>
      </c>
      <c r="CC9" s="66"/>
      <c r="CD9" s="31">
        <f t="shared" si="22"/>
        <v>0</v>
      </c>
      <c r="CE9" s="67">
        <f t="shared" si="23"/>
        <v>0</v>
      </c>
      <c r="CF9" s="66"/>
      <c r="CG9" s="34">
        <f t="shared" si="24"/>
        <v>0</v>
      </c>
      <c r="CH9" s="67">
        <f t="shared" si="45"/>
        <v>0</v>
      </c>
      <c r="CI9" s="66"/>
      <c r="CJ9" s="34">
        <f t="shared" si="25"/>
        <v>0</v>
      </c>
      <c r="CK9" s="67">
        <f t="shared" si="26"/>
        <v>0</v>
      </c>
      <c r="CL9" s="66"/>
      <c r="CM9" s="34">
        <f t="shared" si="27"/>
        <v>0</v>
      </c>
      <c r="CN9" s="67">
        <f t="shared" si="28"/>
        <v>0</v>
      </c>
      <c r="CO9" s="66"/>
      <c r="CP9" s="34">
        <f t="shared" si="29"/>
        <v>0</v>
      </c>
      <c r="CQ9" s="67">
        <f t="shared" si="30"/>
        <v>0</v>
      </c>
      <c r="CR9" s="66"/>
      <c r="CS9" s="34">
        <f t="shared" si="31"/>
        <v>0</v>
      </c>
      <c r="CT9" s="65">
        <f t="shared" si="32"/>
        <v>0</v>
      </c>
      <c r="CU9" s="66"/>
      <c r="CV9" s="31">
        <f t="shared" si="33"/>
        <v>0</v>
      </c>
      <c r="CW9" s="67">
        <f t="shared" si="34"/>
        <v>0</v>
      </c>
      <c r="CX9" s="66"/>
      <c r="CY9" s="31">
        <f t="shared" si="35"/>
        <v>0</v>
      </c>
      <c r="CZ9" s="65">
        <f t="shared" si="36"/>
        <v>0</v>
      </c>
      <c r="DA9" s="66"/>
      <c r="DB9" s="31">
        <f t="shared" si="37"/>
        <v>0</v>
      </c>
      <c r="DC9" s="67">
        <f t="shared" si="38"/>
        <v>0</v>
      </c>
      <c r="DE9" s="76">
        <v>36</v>
      </c>
      <c r="DF9" s="42"/>
      <c r="DG9" s="69">
        <f t="shared" si="39"/>
        <v>0</v>
      </c>
      <c r="DH9" s="42"/>
      <c r="DI9" s="70">
        <f t="shared" si="40"/>
        <v>1</v>
      </c>
      <c r="DJ9" s="42"/>
      <c r="DK9" s="70">
        <f t="shared" si="41"/>
        <v>35</v>
      </c>
      <c r="DL9" s="42"/>
      <c r="DM9" s="71">
        <f t="shared" si="42"/>
        <v>1048.25</v>
      </c>
      <c r="DN9" s="42"/>
      <c r="DO9" s="72">
        <f t="shared" si="43"/>
        <v>35</v>
      </c>
      <c r="DP9" s="42"/>
      <c r="DQ9" s="71">
        <f t="shared" si="44"/>
        <v>1257.8999999999999</v>
      </c>
      <c r="DR9" s="42"/>
      <c r="DS9" s="69"/>
      <c r="DT9" s="42"/>
      <c r="DU9" s="71">
        <v>0</v>
      </c>
      <c r="DV9" s="42"/>
      <c r="DW9" s="73">
        <f t="shared" si="46"/>
        <v>0</v>
      </c>
      <c r="DX9" s="42"/>
      <c r="DY9" s="71">
        <f t="shared" si="47"/>
        <v>0</v>
      </c>
    </row>
    <row r="10" ht="12" customHeight="1" spans="1:129" x14ac:dyDescent="0.25">
      <c r="A10" s="77" t="s">
        <v>55</v>
      </c>
      <c r="B10" s="42"/>
      <c r="C10" s="75"/>
      <c r="D10" s="44"/>
      <c r="E10" s="78">
        <v>22.95</v>
      </c>
      <c r="F10" s="44"/>
      <c r="G10" s="61">
        <v>27.54</v>
      </c>
      <c r="I10" s="62"/>
      <c r="J10" s="63"/>
      <c r="K10" s="64">
        <v>1</v>
      </c>
      <c r="L10" s="3"/>
      <c r="M10" s="62"/>
      <c r="N10" s="3"/>
      <c r="O10" s="64">
        <v>1</v>
      </c>
      <c r="P10" s="3"/>
      <c r="Q10" s="62"/>
      <c r="R10" s="3"/>
      <c r="S10" s="64"/>
      <c r="T10" s="3"/>
      <c r="U10" s="62"/>
      <c r="V10" s="3"/>
      <c r="W10" s="64">
        <v>1</v>
      </c>
      <c r="X10" s="3"/>
      <c r="Y10" s="62"/>
      <c r="Z10" s="3"/>
      <c r="AA10" s="64"/>
      <c r="AB10" s="3"/>
      <c r="AC10" s="62"/>
      <c r="AD10" s="3"/>
      <c r="AE10" s="64"/>
      <c r="AF10" s="3"/>
      <c r="AG10" s="62"/>
      <c r="AH10" s="3"/>
      <c r="AI10" s="64"/>
      <c r="AJ10" s="3"/>
      <c r="AK10" s="62"/>
      <c r="AL10" s="3"/>
      <c r="AM10" s="64"/>
      <c r="AN10" s="3"/>
      <c r="AO10" s="62"/>
      <c r="AP10" s="3"/>
      <c r="AQ10" s="64"/>
      <c r="AR10" s="3"/>
      <c r="AS10" s="62"/>
      <c r="AT10" s="3"/>
      <c r="AU10" s="64"/>
      <c r="AW10" s="34">
        <f t="shared" si="0"/>
        <v>0</v>
      </c>
      <c r="AX10" s="65">
        <f t="shared" si="1"/>
        <v>0</v>
      </c>
      <c r="AY10" s="66"/>
      <c r="AZ10" s="31">
        <f t="shared" si="2"/>
        <v>1</v>
      </c>
      <c r="BA10" s="67">
        <f t="shared" si="3"/>
        <v>27.54</v>
      </c>
      <c r="BB10" s="66"/>
      <c r="BC10" s="31">
        <f t="shared" si="4"/>
        <v>0</v>
      </c>
      <c r="BD10" s="65">
        <f t="shared" si="5"/>
        <v>0</v>
      </c>
      <c r="BE10" s="66"/>
      <c r="BF10" s="31">
        <f t="shared" si="6"/>
        <v>1</v>
      </c>
      <c r="BG10" s="67">
        <f t="shared" si="7"/>
        <v>27.54</v>
      </c>
      <c r="BH10" s="66"/>
      <c r="BI10" s="31">
        <f t="shared" si="8"/>
        <v>0</v>
      </c>
      <c r="BJ10" s="65">
        <f t="shared" si="9"/>
        <v>0</v>
      </c>
      <c r="BK10" s="66"/>
      <c r="BL10" s="31">
        <f t="shared" si="10"/>
        <v>0</v>
      </c>
      <c r="BM10" s="67">
        <f t="shared" si="11"/>
        <v>0</v>
      </c>
      <c r="BN10" s="66"/>
      <c r="BO10" s="31">
        <f t="shared" si="12"/>
        <v>0</v>
      </c>
      <c r="BP10" s="65">
        <f t="shared" si="13"/>
        <v>0</v>
      </c>
      <c r="BQ10" s="66"/>
      <c r="BR10" s="31">
        <f t="shared" si="14"/>
        <v>1</v>
      </c>
      <c r="BS10" s="67">
        <f t="shared" si="15"/>
        <v>27.54</v>
      </c>
      <c r="BT10" s="66"/>
      <c r="BU10" s="31">
        <f t="shared" si="16"/>
        <v>0</v>
      </c>
      <c r="BV10" s="65">
        <f t="shared" si="17"/>
        <v>0</v>
      </c>
      <c r="BW10" s="66"/>
      <c r="BX10" s="31">
        <f t="shared" si="18"/>
        <v>0</v>
      </c>
      <c r="BY10" s="67">
        <f t="shared" si="19"/>
        <v>0</v>
      </c>
      <c r="BZ10" s="66"/>
      <c r="CA10" s="31">
        <f t="shared" si="20"/>
        <v>0</v>
      </c>
      <c r="CB10" s="65">
        <f t="shared" si="21"/>
        <v>0</v>
      </c>
      <c r="CC10" s="66"/>
      <c r="CD10" s="31">
        <f t="shared" si="22"/>
        <v>0</v>
      </c>
      <c r="CE10" s="67">
        <f t="shared" si="23"/>
        <v>0</v>
      </c>
      <c r="CF10" s="66"/>
      <c r="CG10" s="34">
        <f t="shared" si="24"/>
        <v>0</v>
      </c>
      <c r="CH10" s="67">
        <f t="shared" si="45"/>
        <v>0</v>
      </c>
      <c r="CI10" s="66"/>
      <c r="CJ10" s="34">
        <f t="shared" si="25"/>
        <v>0</v>
      </c>
      <c r="CK10" s="67">
        <f t="shared" si="26"/>
        <v>0</v>
      </c>
      <c r="CL10" s="66"/>
      <c r="CM10" s="34">
        <f t="shared" si="27"/>
        <v>0</v>
      </c>
      <c r="CN10" s="67">
        <f t="shared" si="28"/>
        <v>0</v>
      </c>
      <c r="CO10" s="66"/>
      <c r="CP10" s="34">
        <f t="shared" si="29"/>
        <v>0</v>
      </c>
      <c r="CQ10" s="67">
        <f t="shared" si="30"/>
        <v>0</v>
      </c>
      <c r="CR10" s="66"/>
      <c r="CS10" s="34">
        <f t="shared" si="31"/>
        <v>0</v>
      </c>
      <c r="CT10" s="65">
        <f t="shared" si="32"/>
        <v>0</v>
      </c>
      <c r="CU10" s="66"/>
      <c r="CV10" s="31">
        <f t="shared" si="33"/>
        <v>0</v>
      </c>
      <c r="CW10" s="67">
        <f t="shared" si="34"/>
        <v>0</v>
      </c>
      <c r="CX10" s="66"/>
      <c r="CY10" s="31">
        <f t="shared" si="35"/>
        <v>0</v>
      </c>
      <c r="CZ10" s="65">
        <f t="shared" si="36"/>
        <v>0</v>
      </c>
      <c r="DA10" s="66"/>
      <c r="DB10" s="31">
        <f t="shared" si="37"/>
        <v>0</v>
      </c>
      <c r="DC10" s="67">
        <f t="shared" si="38"/>
        <v>0</v>
      </c>
      <c r="DE10" s="76">
        <v>97</v>
      </c>
      <c r="DF10" s="42"/>
      <c r="DG10" s="69">
        <f t="shared" si="39"/>
        <v>0</v>
      </c>
      <c r="DH10" s="42"/>
      <c r="DI10" s="70">
        <f t="shared" si="40"/>
        <v>3</v>
      </c>
      <c r="DJ10" s="42"/>
      <c r="DK10" s="70">
        <f t="shared" si="41"/>
        <v>94</v>
      </c>
      <c r="DL10" s="42"/>
      <c r="DM10" s="71">
        <f t="shared" si="42"/>
        <v>2157.2999999999997</v>
      </c>
      <c r="DN10" s="42"/>
      <c r="DO10" s="72">
        <f t="shared" si="43"/>
        <v>31.333333333333332</v>
      </c>
      <c r="DP10" s="42"/>
      <c r="DQ10" s="71">
        <f t="shared" si="44"/>
        <v>2588.7599999999998</v>
      </c>
      <c r="DR10" s="42"/>
      <c r="DS10" s="69"/>
      <c r="DT10" s="42"/>
      <c r="DU10" s="71">
        <v>0</v>
      </c>
      <c r="DV10" s="42"/>
      <c r="DW10" s="73">
        <f t="shared" si="46"/>
        <v>0</v>
      </c>
      <c r="DX10" s="42"/>
      <c r="DY10" s="71">
        <f t="shared" si="47"/>
        <v>0</v>
      </c>
    </row>
    <row r="11" ht="12" customHeight="1" spans="1:129" x14ac:dyDescent="0.25">
      <c r="A11" s="74" t="s">
        <v>56</v>
      </c>
      <c r="B11" s="42"/>
      <c r="C11" s="75"/>
      <c r="D11" s="44"/>
      <c r="E11" s="78">
        <v>21.99</v>
      </c>
      <c r="F11" s="44"/>
      <c r="G11" s="61">
        <v>26.39</v>
      </c>
      <c r="I11" s="62">
        <v>1</v>
      </c>
      <c r="J11" s="63"/>
      <c r="K11" s="64">
        <v>2</v>
      </c>
      <c r="L11" s="3"/>
      <c r="M11" s="62">
        <v>1</v>
      </c>
      <c r="N11" s="3"/>
      <c r="O11" s="64">
        <v>2</v>
      </c>
      <c r="P11" s="3"/>
      <c r="Q11" s="62">
        <v>1</v>
      </c>
      <c r="R11" s="3"/>
      <c r="S11" s="64">
        <v>1</v>
      </c>
      <c r="T11" s="3"/>
      <c r="U11" s="62">
        <v>1</v>
      </c>
      <c r="V11" s="3"/>
      <c r="W11" s="64">
        <v>2</v>
      </c>
      <c r="X11" s="3"/>
      <c r="Y11" s="62">
        <v>2</v>
      </c>
      <c r="Z11" s="3"/>
      <c r="AA11" s="64">
        <v>1</v>
      </c>
      <c r="AB11" s="3"/>
      <c r="AC11" s="62">
        <v>2</v>
      </c>
      <c r="AD11" s="3"/>
      <c r="AE11" s="64"/>
      <c r="AF11" s="3"/>
      <c r="AG11" s="62"/>
      <c r="AH11" s="3"/>
      <c r="AI11" s="64"/>
      <c r="AJ11" s="3"/>
      <c r="AK11" s="62"/>
      <c r="AL11" s="3"/>
      <c r="AM11" s="64"/>
      <c r="AN11" s="3"/>
      <c r="AO11" s="62"/>
      <c r="AP11" s="3"/>
      <c r="AQ11" s="64"/>
      <c r="AR11" s="3"/>
      <c r="AS11" s="62"/>
      <c r="AT11" s="3"/>
      <c r="AU11" s="64"/>
      <c r="AW11" s="34">
        <f t="shared" si="0"/>
        <v>1</v>
      </c>
      <c r="AX11" s="65">
        <f t="shared" si="1"/>
        <v>26.39</v>
      </c>
      <c r="AY11" s="66"/>
      <c r="AZ11" s="31">
        <f t="shared" si="2"/>
        <v>2</v>
      </c>
      <c r="BA11" s="67">
        <f t="shared" si="3"/>
        <v>52.78</v>
      </c>
      <c r="BB11" s="66"/>
      <c r="BC11" s="31">
        <f t="shared" si="4"/>
        <v>1</v>
      </c>
      <c r="BD11" s="65">
        <f t="shared" si="5"/>
        <v>26.39</v>
      </c>
      <c r="BE11" s="66"/>
      <c r="BF11" s="31">
        <f t="shared" si="6"/>
        <v>2</v>
      </c>
      <c r="BG11" s="67">
        <f t="shared" si="7"/>
        <v>52.78</v>
      </c>
      <c r="BH11" s="66"/>
      <c r="BI11" s="31">
        <f t="shared" si="8"/>
        <v>1</v>
      </c>
      <c r="BJ11" s="65">
        <f t="shared" si="9"/>
        <v>26.39</v>
      </c>
      <c r="BK11" s="66"/>
      <c r="BL11" s="31">
        <f t="shared" si="10"/>
        <v>1</v>
      </c>
      <c r="BM11" s="67">
        <f t="shared" si="11"/>
        <v>26.39</v>
      </c>
      <c r="BN11" s="66"/>
      <c r="BO11" s="31">
        <f t="shared" si="12"/>
        <v>1</v>
      </c>
      <c r="BP11" s="65">
        <f t="shared" si="13"/>
        <v>26.39</v>
      </c>
      <c r="BQ11" s="66"/>
      <c r="BR11" s="31">
        <f t="shared" si="14"/>
        <v>2</v>
      </c>
      <c r="BS11" s="67">
        <f t="shared" si="15"/>
        <v>52.78</v>
      </c>
      <c r="BT11" s="66"/>
      <c r="BU11" s="31">
        <f t="shared" si="16"/>
        <v>2</v>
      </c>
      <c r="BV11" s="65">
        <f t="shared" si="17"/>
        <v>52.78</v>
      </c>
      <c r="BW11" s="66"/>
      <c r="BX11" s="31">
        <f t="shared" si="18"/>
        <v>1</v>
      </c>
      <c r="BY11" s="67">
        <f t="shared" si="19"/>
        <v>26.39</v>
      </c>
      <c r="BZ11" s="66"/>
      <c r="CA11" s="31">
        <f t="shared" si="20"/>
        <v>2</v>
      </c>
      <c r="CB11" s="65">
        <f t="shared" si="21"/>
        <v>52.78</v>
      </c>
      <c r="CC11" s="66"/>
      <c r="CD11" s="31">
        <f t="shared" si="22"/>
        <v>0</v>
      </c>
      <c r="CE11" s="67">
        <f t="shared" si="23"/>
        <v>0</v>
      </c>
      <c r="CF11" s="66"/>
      <c r="CG11" s="34">
        <f t="shared" si="24"/>
        <v>0</v>
      </c>
      <c r="CH11" s="67">
        <f t="shared" si="45"/>
        <v>0</v>
      </c>
      <c r="CI11" s="66"/>
      <c r="CJ11" s="34">
        <f t="shared" si="25"/>
        <v>0</v>
      </c>
      <c r="CK11" s="67">
        <f t="shared" si="26"/>
        <v>0</v>
      </c>
      <c r="CL11" s="66"/>
      <c r="CM11" s="34">
        <f t="shared" si="27"/>
        <v>0</v>
      </c>
      <c r="CN11" s="67">
        <f t="shared" si="28"/>
        <v>0</v>
      </c>
      <c r="CO11" s="66"/>
      <c r="CP11" s="34">
        <f t="shared" si="29"/>
        <v>0</v>
      </c>
      <c r="CQ11" s="67">
        <f t="shared" si="30"/>
        <v>0</v>
      </c>
      <c r="CR11" s="66"/>
      <c r="CS11" s="34">
        <f t="shared" si="31"/>
        <v>0</v>
      </c>
      <c r="CT11" s="65">
        <f t="shared" si="32"/>
        <v>0</v>
      </c>
      <c r="CU11" s="66"/>
      <c r="CV11" s="31">
        <f t="shared" si="33"/>
        <v>0</v>
      </c>
      <c r="CW11" s="67">
        <f t="shared" si="34"/>
        <v>0</v>
      </c>
      <c r="CX11" s="66"/>
      <c r="CY11" s="31">
        <f t="shared" si="35"/>
        <v>0</v>
      </c>
      <c r="CZ11" s="65">
        <f t="shared" si="36"/>
        <v>0</v>
      </c>
      <c r="DA11" s="66"/>
      <c r="DB11" s="31">
        <f t="shared" si="37"/>
        <v>0</v>
      </c>
      <c r="DC11" s="67">
        <f t="shared" si="38"/>
        <v>0</v>
      </c>
      <c r="DE11" s="76">
        <v>357</v>
      </c>
      <c r="DF11" s="42"/>
      <c r="DG11" s="69">
        <f t="shared" si="39"/>
        <v>0</v>
      </c>
      <c r="DH11" s="42"/>
      <c r="DI11" s="70">
        <f t="shared" si="40"/>
        <v>16</v>
      </c>
      <c r="DJ11" s="42"/>
      <c r="DK11" s="70">
        <f t="shared" si="41"/>
        <v>341</v>
      </c>
      <c r="DL11" s="42"/>
      <c r="DM11" s="71">
        <f t="shared" si="42"/>
        <v>7498.589999999999</v>
      </c>
      <c r="DN11" s="42"/>
      <c r="DO11" s="72">
        <f t="shared" si="43"/>
        <v>21.3125</v>
      </c>
      <c r="DP11" s="42"/>
      <c r="DQ11" s="71">
        <f t="shared" si="44"/>
        <v>8998.99</v>
      </c>
      <c r="DR11" s="42"/>
      <c r="DS11" s="69"/>
      <c r="DT11" s="42"/>
      <c r="DU11" s="71">
        <v>0</v>
      </c>
      <c r="DV11" s="42"/>
      <c r="DW11" s="73">
        <f t="shared" si="46"/>
        <v>0</v>
      </c>
      <c r="DX11" s="42"/>
      <c r="DY11" s="71">
        <f t="shared" si="47"/>
        <v>0</v>
      </c>
    </row>
    <row r="12" ht="12" customHeight="1" spans="1:129" x14ac:dyDescent="0.25">
      <c r="A12" s="77" t="s">
        <v>57</v>
      </c>
      <c r="B12" s="42"/>
      <c r="C12" s="75"/>
      <c r="D12" s="44"/>
      <c r="E12" s="78">
        <v>18.745</v>
      </c>
      <c r="F12" s="44"/>
      <c r="G12" s="61">
        <v>22.49</v>
      </c>
      <c r="I12" s="62">
        <v>1</v>
      </c>
      <c r="J12" s="63"/>
      <c r="K12" s="64">
        <v>2</v>
      </c>
      <c r="L12" s="3"/>
      <c r="M12" s="62">
        <v>1</v>
      </c>
      <c r="N12" s="3"/>
      <c r="O12" s="64">
        <v>2</v>
      </c>
      <c r="P12" s="3"/>
      <c r="Q12" s="62">
        <v>1</v>
      </c>
      <c r="R12" s="3"/>
      <c r="S12" s="64">
        <v>1</v>
      </c>
      <c r="T12" s="3"/>
      <c r="U12" s="62">
        <v>1</v>
      </c>
      <c r="V12" s="3"/>
      <c r="W12" s="64">
        <v>2</v>
      </c>
      <c r="X12" s="3"/>
      <c r="Y12" s="62">
        <v>2</v>
      </c>
      <c r="Z12" s="3"/>
      <c r="AA12" s="64">
        <v>1</v>
      </c>
      <c r="AB12" s="3"/>
      <c r="AC12" s="62">
        <v>1</v>
      </c>
      <c r="AD12" s="3"/>
      <c r="AE12" s="64"/>
      <c r="AF12" s="3"/>
      <c r="AG12" s="62"/>
      <c r="AH12" s="3"/>
      <c r="AI12" s="64"/>
      <c r="AJ12" s="3"/>
      <c r="AK12" s="62"/>
      <c r="AL12" s="3"/>
      <c r="AM12" s="64"/>
      <c r="AN12" s="3"/>
      <c r="AO12" s="62"/>
      <c r="AP12" s="3"/>
      <c r="AQ12" s="64"/>
      <c r="AR12" s="3"/>
      <c r="AS12" s="62"/>
      <c r="AT12" s="3"/>
      <c r="AU12" s="64"/>
      <c r="AW12" s="34">
        <f t="shared" si="0"/>
        <v>1</v>
      </c>
      <c r="AX12" s="65">
        <f t="shared" si="1"/>
        <v>22.49</v>
      </c>
      <c r="AY12" s="66"/>
      <c r="AZ12" s="31">
        <f t="shared" si="2"/>
        <v>2</v>
      </c>
      <c r="BA12" s="67">
        <f t="shared" si="3"/>
        <v>44.98</v>
      </c>
      <c r="BB12" s="66"/>
      <c r="BC12" s="31">
        <f t="shared" si="4"/>
        <v>1</v>
      </c>
      <c r="BD12" s="65">
        <f t="shared" si="5"/>
        <v>22.49</v>
      </c>
      <c r="BE12" s="66"/>
      <c r="BF12" s="31">
        <f t="shared" si="6"/>
        <v>2</v>
      </c>
      <c r="BG12" s="67">
        <f t="shared" si="7"/>
        <v>44.98</v>
      </c>
      <c r="BH12" s="66"/>
      <c r="BI12" s="31">
        <f t="shared" si="8"/>
        <v>1</v>
      </c>
      <c r="BJ12" s="65">
        <f t="shared" si="9"/>
        <v>22.49</v>
      </c>
      <c r="BK12" s="66"/>
      <c r="BL12" s="31">
        <f t="shared" si="10"/>
        <v>1</v>
      </c>
      <c r="BM12" s="67">
        <f t="shared" si="11"/>
        <v>22.49</v>
      </c>
      <c r="BN12" s="66"/>
      <c r="BO12" s="31">
        <f t="shared" si="12"/>
        <v>1</v>
      </c>
      <c r="BP12" s="65">
        <f t="shared" si="13"/>
        <v>22.49</v>
      </c>
      <c r="BQ12" s="66"/>
      <c r="BR12" s="31">
        <f t="shared" si="14"/>
        <v>2</v>
      </c>
      <c r="BS12" s="67">
        <f t="shared" si="15"/>
        <v>44.98</v>
      </c>
      <c r="BT12" s="66"/>
      <c r="BU12" s="31">
        <f t="shared" si="16"/>
        <v>2</v>
      </c>
      <c r="BV12" s="65">
        <f t="shared" si="17"/>
        <v>44.98</v>
      </c>
      <c r="BW12" s="66"/>
      <c r="BX12" s="31">
        <f t="shared" si="18"/>
        <v>1</v>
      </c>
      <c r="BY12" s="67">
        <f t="shared" si="19"/>
        <v>22.49</v>
      </c>
      <c r="BZ12" s="66"/>
      <c r="CA12" s="31">
        <f t="shared" si="20"/>
        <v>1</v>
      </c>
      <c r="CB12" s="65">
        <f t="shared" si="21"/>
        <v>22.49</v>
      </c>
      <c r="CC12" s="66"/>
      <c r="CD12" s="31">
        <f t="shared" si="22"/>
        <v>0</v>
      </c>
      <c r="CE12" s="67">
        <f t="shared" si="23"/>
        <v>0</v>
      </c>
      <c r="CF12" s="66"/>
      <c r="CG12" s="34">
        <f t="shared" si="24"/>
        <v>0</v>
      </c>
      <c r="CH12" s="67">
        <f t="shared" si="45"/>
        <v>0</v>
      </c>
      <c r="CI12" s="66"/>
      <c r="CJ12" s="34">
        <f t="shared" si="25"/>
        <v>0</v>
      </c>
      <c r="CK12" s="67">
        <f t="shared" si="26"/>
        <v>0</v>
      </c>
      <c r="CL12" s="66"/>
      <c r="CM12" s="34">
        <f t="shared" si="27"/>
        <v>0</v>
      </c>
      <c r="CN12" s="67">
        <f t="shared" si="28"/>
        <v>0</v>
      </c>
      <c r="CO12" s="66"/>
      <c r="CP12" s="34">
        <f t="shared" si="29"/>
        <v>0</v>
      </c>
      <c r="CQ12" s="67">
        <f t="shared" si="30"/>
        <v>0</v>
      </c>
      <c r="CR12" s="66"/>
      <c r="CS12" s="34">
        <f t="shared" si="31"/>
        <v>0</v>
      </c>
      <c r="CT12" s="65">
        <f t="shared" si="32"/>
        <v>0</v>
      </c>
      <c r="CU12" s="66"/>
      <c r="CV12" s="31">
        <f t="shared" si="33"/>
        <v>0</v>
      </c>
      <c r="CW12" s="67">
        <f t="shared" si="34"/>
        <v>0</v>
      </c>
      <c r="CX12" s="66"/>
      <c r="CY12" s="31">
        <f t="shared" si="35"/>
        <v>0</v>
      </c>
      <c r="CZ12" s="65">
        <f t="shared" si="36"/>
        <v>0</v>
      </c>
      <c r="DA12" s="66"/>
      <c r="DB12" s="31">
        <f t="shared" si="37"/>
        <v>0</v>
      </c>
      <c r="DC12" s="67">
        <f t="shared" si="38"/>
        <v>0</v>
      </c>
      <c r="DE12" s="76">
        <v>491</v>
      </c>
      <c r="DF12" s="42"/>
      <c r="DG12" s="69">
        <f t="shared" si="39"/>
        <v>0</v>
      </c>
      <c r="DH12" s="42"/>
      <c r="DI12" s="70">
        <f t="shared" si="40"/>
        <v>15</v>
      </c>
      <c r="DJ12" s="42"/>
      <c r="DK12" s="70">
        <f t="shared" si="41"/>
        <v>476</v>
      </c>
      <c r="DL12" s="42"/>
      <c r="DM12" s="71">
        <f t="shared" si="42"/>
        <v>8922.62</v>
      </c>
      <c r="DN12" s="42"/>
      <c r="DO12" s="72">
        <f t="shared" si="43"/>
        <v>31.733333333333334</v>
      </c>
      <c r="DP12" s="42"/>
      <c r="DQ12" s="71">
        <f t="shared" si="44"/>
        <v>10705.24</v>
      </c>
      <c r="DR12" s="42"/>
      <c r="DS12" s="69"/>
      <c r="DT12" s="42"/>
      <c r="DU12" s="71">
        <v>0</v>
      </c>
      <c r="DV12" s="42"/>
      <c r="DW12" s="73">
        <f t="shared" si="46"/>
        <v>0</v>
      </c>
      <c r="DX12" s="42"/>
      <c r="DY12" s="71">
        <f t="shared" si="47"/>
        <v>0</v>
      </c>
    </row>
    <row r="13" ht="12" customHeight="1" spans="1:129" x14ac:dyDescent="0.25">
      <c r="A13" s="74" t="s">
        <v>58</v>
      </c>
      <c r="B13" s="27"/>
      <c r="C13" s="75"/>
      <c r="D13" s="29"/>
      <c r="E13" s="78">
        <v>27.5</v>
      </c>
      <c r="F13" s="29"/>
      <c r="G13" s="61">
        <v>33</v>
      </c>
      <c r="H13" s="8"/>
      <c r="I13" s="62"/>
      <c r="J13" s="63"/>
      <c r="K13" s="64">
        <v>1</v>
      </c>
      <c r="L13" s="3"/>
      <c r="M13" s="62">
        <v>1</v>
      </c>
      <c r="N13" s="3"/>
      <c r="O13" s="64">
        <v>2</v>
      </c>
      <c r="P13" s="3"/>
      <c r="Q13" s="62">
        <v>1</v>
      </c>
      <c r="R13" s="3"/>
      <c r="S13" s="64">
        <v>1</v>
      </c>
      <c r="T13" s="3"/>
      <c r="U13" s="62"/>
      <c r="V13" s="3"/>
      <c r="W13" s="64">
        <v>1</v>
      </c>
      <c r="X13" s="3"/>
      <c r="Y13" s="62">
        <v>1</v>
      </c>
      <c r="Z13" s="3"/>
      <c r="AA13" s="64"/>
      <c r="AB13" s="3"/>
      <c r="AC13" s="62"/>
      <c r="AD13" s="3"/>
      <c r="AE13" s="64"/>
      <c r="AF13" s="3"/>
      <c r="AG13" s="62"/>
      <c r="AH13" s="3"/>
      <c r="AI13" s="64"/>
      <c r="AJ13" s="3"/>
      <c r="AK13" s="62"/>
      <c r="AL13" s="3"/>
      <c r="AM13" s="64"/>
      <c r="AN13" s="3"/>
      <c r="AO13" s="62"/>
      <c r="AP13" s="3"/>
      <c r="AQ13" s="64"/>
      <c r="AR13" s="3"/>
      <c r="AS13" s="62"/>
      <c r="AT13" s="3"/>
      <c r="AU13" s="64"/>
      <c r="AW13" s="34">
        <f t="shared" si="0"/>
        <v>0</v>
      </c>
      <c r="AX13" s="65">
        <f t="shared" si="1"/>
        <v>0</v>
      </c>
      <c r="AY13" s="66"/>
      <c r="AZ13" s="31">
        <f t="shared" si="2"/>
        <v>1</v>
      </c>
      <c r="BA13" s="67">
        <f t="shared" si="3"/>
        <v>33</v>
      </c>
      <c r="BB13" s="66"/>
      <c r="BC13" s="31">
        <f t="shared" si="4"/>
        <v>1</v>
      </c>
      <c r="BD13" s="65">
        <f t="shared" si="5"/>
        <v>33</v>
      </c>
      <c r="BE13" s="66"/>
      <c r="BF13" s="31">
        <f t="shared" si="6"/>
        <v>2</v>
      </c>
      <c r="BG13" s="67">
        <f t="shared" si="7"/>
        <v>66</v>
      </c>
      <c r="BH13" s="66"/>
      <c r="BI13" s="31">
        <f t="shared" si="8"/>
        <v>1</v>
      </c>
      <c r="BJ13" s="65">
        <f t="shared" si="9"/>
        <v>33</v>
      </c>
      <c r="BK13" s="66"/>
      <c r="BL13" s="31">
        <f t="shared" si="10"/>
        <v>1</v>
      </c>
      <c r="BM13" s="67">
        <f t="shared" si="11"/>
        <v>33</v>
      </c>
      <c r="BN13" s="66"/>
      <c r="BO13" s="31">
        <f t="shared" si="12"/>
        <v>0</v>
      </c>
      <c r="BP13" s="65">
        <f t="shared" si="13"/>
        <v>0</v>
      </c>
      <c r="BQ13" s="66"/>
      <c r="BR13" s="31">
        <f t="shared" si="14"/>
        <v>1</v>
      </c>
      <c r="BS13" s="67">
        <f t="shared" si="15"/>
        <v>33</v>
      </c>
      <c r="BT13" s="66"/>
      <c r="BU13" s="31">
        <f t="shared" si="16"/>
        <v>1</v>
      </c>
      <c r="BV13" s="65">
        <f t="shared" si="17"/>
        <v>33</v>
      </c>
      <c r="BW13" s="66"/>
      <c r="BX13" s="31">
        <f t="shared" si="18"/>
        <v>0</v>
      </c>
      <c r="BY13" s="67">
        <f t="shared" si="19"/>
        <v>0</v>
      </c>
      <c r="BZ13" s="66"/>
      <c r="CA13" s="31">
        <f t="shared" si="20"/>
        <v>0</v>
      </c>
      <c r="CB13" s="65">
        <f t="shared" si="21"/>
        <v>0</v>
      </c>
      <c r="CC13" s="66"/>
      <c r="CD13" s="31">
        <f t="shared" si="22"/>
        <v>0</v>
      </c>
      <c r="CE13" s="67">
        <f t="shared" si="23"/>
        <v>0</v>
      </c>
      <c r="CF13" s="66"/>
      <c r="CG13" s="34">
        <f t="shared" si="24"/>
        <v>0</v>
      </c>
      <c r="CH13" s="67">
        <f t="shared" si="45"/>
        <v>0</v>
      </c>
      <c r="CI13" s="66"/>
      <c r="CJ13" s="34">
        <f t="shared" si="25"/>
        <v>0</v>
      </c>
      <c r="CK13" s="67">
        <f t="shared" si="26"/>
        <v>0</v>
      </c>
      <c r="CL13" s="66"/>
      <c r="CM13" s="34">
        <f t="shared" si="27"/>
        <v>0</v>
      </c>
      <c r="CN13" s="67">
        <f t="shared" si="28"/>
        <v>0</v>
      </c>
      <c r="CO13" s="66"/>
      <c r="CP13" s="34">
        <f t="shared" si="29"/>
        <v>0</v>
      </c>
      <c r="CQ13" s="67">
        <f t="shared" si="30"/>
        <v>0</v>
      </c>
      <c r="CR13" s="66"/>
      <c r="CS13" s="34">
        <f t="shared" si="31"/>
        <v>0</v>
      </c>
      <c r="CT13" s="65">
        <f t="shared" si="32"/>
        <v>0</v>
      </c>
      <c r="CU13" s="66"/>
      <c r="CV13" s="31">
        <f t="shared" si="33"/>
        <v>0</v>
      </c>
      <c r="CW13" s="67">
        <f t="shared" si="34"/>
        <v>0</v>
      </c>
      <c r="CX13" s="66"/>
      <c r="CY13" s="31">
        <f t="shared" si="35"/>
        <v>0</v>
      </c>
      <c r="CZ13" s="65">
        <f t="shared" si="36"/>
        <v>0</v>
      </c>
      <c r="DA13" s="66"/>
      <c r="DB13" s="31">
        <f t="shared" si="37"/>
        <v>0</v>
      </c>
      <c r="DC13" s="67">
        <f t="shared" si="38"/>
        <v>0</v>
      </c>
      <c r="DE13" s="76">
        <v>300</v>
      </c>
      <c r="DF13" s="42"/>
      <c r="DG13" s="69">
        <f t="shared" si="39"/>
        <v>0</v>
      </c>
      <c r="DH13" s="42"/>
      <c r="DI13" s="70">
        <f t="shared" si="40"/>
        <v>8</v>
      </c>
      <c r="DJ13" s="42"/>
      <c r="DK13" s="70">
        <f t="shared" si="41"/>
        <v>292</v>
      </c>
      <c r="DL13" s="42"/>
      <c r="DM13" s="71">
        <f t="shared" si="42"/>
        <v>8030</v>
      </c>
      <c r="DN13" s="42"/>
      <c r="DO13" s="72">
        <f t="shared" si="43"/>
        <v>36.5</v>
      </c>
      <c r="DP13" s="42"/>
      <c r="DQ13" s="71">
        <f t="shared" si="44"/>
        <v>9636</v>
      </c>
      <c r="DR13" s="42"/>
      <c r="DS13" s="69"/>
      <c r="DT13" s="42"/>
      <c r="DU13" s="71">
        <v>0</v>
      </c>
      <c r="DV13" s="42"/>
      <c r="DW13" s="73">
        <f t="shared" si="46"/>
        <v>0</v>
      </c>
      <c r="DX13" s="42"/>
      <c r="DY13" s="71">
        <f t="shared" si="47"/>
        <v>0</v>
      </c>
    </row>
    <row r="14" ht="12" customHeight="1" spans="1:129" x14ac:dyDescent="0.25">
      <c r="A14" s="58" t="s">
        <v>59</v>
      </c>
      <c r="B14" s="42"/>
      <c r="C14" s="75"/>
      <c r="D14" s="44"/>
      <c r="E14" s="78">
        <v>11.07</v>
      </c>
      <c r="F14" s="44"/>
      <c r="G14" s="61">
        <v>13.28</v>
      </c>
      <c r="I14" s="62">
        <v>2</v>
      </c>
      <c r="J14" s="63"/>
      <c r="K14" s="64">
        <v>1</v>
      </c>
      <c r="L14" s="3"/>
      <c r="M14" s="62">
        <v>1</v>
      </c>
      <c r="N14" s="3"/>
      <c r="O14" s="64">
        <v>1</v>
      </c>
      <c r="P14" s="3"/>
      <c r="Q14" s="62"/>
      <c r="R14" s="3"/>
      <c r="S14" s="64">
        <v>1</v>
      </c>
      <c r="T14" s="3"/>
      <c r="U14" s="62">
        <v>1</v>
      </c>
      <c r="V14" s="3"/>
      <c r="W14" s="64">
        <v>1</v>
      </c>
      <c r="X14" s="3"/>
      <c r="Y14" s="62"/>
      <c r="Z14" s="3"/>
      <c r="AA14" s="64">
        <v>1</v>
      </c>
      <c r="AB14" s="3"/>
      <c r="AC14" s="62"/>
      <c r="AD14" s="3"/>
      <c r="AE14" s="64"/>
      <c r="AF14" s="3"/>
      <c r="AG14" s="62"/>
      <c r="AH14" s="3"/>
      <c r="AI14" s="64"/>
      <c r="AJ14" s="3"/>
      <c r="AK14" s="62"/>
      <c r="AL14" s="3"/>
      <c r="AM14" s="64"/>
      <c r="AN14" s="3"/>
      <c r="AO14" s="62"/>
      <c r="AP14" s="3"/>
      <c r="AQ14" s="64"/>
      <c r="AR14" s="3"/>
      <c r="AS14" s="62"/>
      <c r="AT14" s="3"/>
      <c r="AU14" s="64"/>
      <c r="AW14" s="34">
        <f t="shared" si="0"/>
        <v>2</v>
      </c>
      <c r="AX14" s="65">
        <f t="shared" si="1"/>
        <v>26.56</v>
      </c>
      <c r="AY14" s="66"/>
      <c r="AZ14" s="31">
        <f t="shared" si="2"/>
        <v>1</v>
      </c>
      <c r="BA14" s="67">
        <f t="shared" si="3"/>
        <v>13.28</v>
      </c>
      <c r="BB14" s="66"/>
      <c r="BC14" s="31">
        <f t="shared" si="4"/>
        <v>1</v>
      </c>
      <c r="BD14" s="65">
        <f t="shared" si="5"/>
        <v>13.28</v>
      </c>
      <c r="BE14" s="66"/>
      <c r="BF14" s="31">
        <f t="shared" si="6"/>
        <v>1</v>
      </c>
      <c r="BG14" s="67">
        <f t="shared" si="7"/>
        <v>13.28</v>
      </c>
      <c r="BH14" s="66"/>
      <c r="BI14" s="31">
        <f t="shared" si="8"/>
        <v>0</v>
      </c>
      <c r="BJ14" s="65">
        <f t="shared" si="9"/>
        <v>0</v>
      </c>
      <c r="BK14" s="66"/>
      <c r="BL14" s="31">
        <f t="shared" si="10"/>
        <v>1</v>
      </c>
      <c r="BM14" s="67">
        <f t="shared" si="11"/>
        <v>13.28</v>
      </c>
      <c r="BN14" s="66"/>
      <c r="BO14" s="31">
        <f t="shared" si="12"/>
        <v>1</v>
      </c>
      <c r="BP14" s="65">
        <f t="shared" si="13"/>
        <v>13.28</v>
      </c>
      <c r="BQ14" s="66"/>
      <c r="BR14" s="31">
        <f t="shared" si="14"/>
        <v>1</v>
      </c>
      <c r="BS14" s="67">
        <f t="shared" si="15"/>
        <v>13.28</v>
      </c>
      <c r="BT14" s="66"/>
      <c r="BU14" s="31">
        <f t="shared" si="16"/>
        <v>0</v>
      </c>
      <c r="BV14" s="65">
        <f t="shared" si="17"/>
        <v>0</v>
      </c>
      <c r="BW14" s="66"/>
      <c r="BX14" s="31">
        <f t="shared" si="18"/>
        <v>1</v>
      </c>
      <c r="BY14" s="67">
        <f t="shared" si="19"/>
        <v>13.28</v>
      </c>
      <c r="BZ14" s="66"/>
      <c r="CA14" s="31">
        <f t="shared" si="20"/>
        <v>0</v>
      </c>
      <c r="CB14" s="65">
        <f t="shared" si="21"/>
        <v>0</v>
      </c>
      <c r="CC14" s="66"/>
      <c r="CD14" s="31">
        <f t="shared" si="22"/>
        <v>0</v>
      </c>
      <c r="CE14" s="67">
        <f t="shared" si="23"/>
        <v>0</v>
      </c>
      <c r="CF14" s="66"/>
      <c r="CG14" s="34">
        <f t="shared" si="24"/>
        <v>0</v>
      </c>
      <c r="CH14" s="67">
        <f t="shared" si="45"/>
        <v>0</v>
      </c>
      <c r="CI14" s="66"/>
      <c r="CJ14" s="34">
        <f t="shared" si="25"/>
        <v>0</v>
      </c>
      <c r="CK14" s="67">
        <f t="shared" si="26"/>
        <v>0</v>
      </c>
      <c r="CL14" s="66"/>
      <c r="CM14" s="34">
        <f t="shared" si="27"/>
        <v>0</v>
      </c>
      <c r="CN14" s="67">
        <f t="shared" si="28"/>
        <v>0</v>
      </c>
      <c r="CO14" s="66"/>
      <c r="CP14" s="34">
        <f t="shared" si="29"/>
        <v>0</v>
      </c>
      <c r="CQ14" s="67">
        <f t="shared" si="30"/>
        <v>0</v>
      </c>
      <c r="CR14" s="66"/>
      <c r="CS14" s="34">
        <f t="shared" si="31"/>
        <v>0</v>
      </c>
      <c r="CT14" s="65">
        <f t="shared" si="32"/>
        <v>0</v>
      </c>
      <c r="CU14" s="66"/>
      <c r="CV14" s="31">
        <f t="shared" si="33"/>
        <v>0</v>
      </c>
      <c r="CW14" s="67">
        <f t="shared" si="34"/>
        <v>0</v>
      </c>
      <c r="CX14" s="66"/>
      <c r="CY14" s="31">
        <f t="shared" si="35"/>
        <v>0</v>
      </c>
      <c r="CZ14" s="65">
        <f t="shared" si="36"/>
        <v>0</v>
      </c>
      <c r="DA14" s="66"/>
      <c r="DB14" s="31">
        <f t="shared" si="37"/>
        <v>0</v>
      </c>
      <c r="DC14" s="67">
        <f t="shared" si="38"/>
        <v>0</v>
      </c>
      <c r="DE14" s="76">
        <v>111</v>
      </c>
      <c r="DF14" s="42"/>
      <c r="DG14" s="69">
        <f t="shared" si="39"/>
        <v>0</v>
      </c>
      <c r="DH14" s="42"/>
      <c r="DI14" s="70">
        <f t="shared" si="40"/>
        <v>9</v>
      </c>
      <c r="DJ14" s="42"/>
      <c r="DK14" s="70">
        <f t="shared" si="41"/>
        <v>102</v>
      </c>
      <c r="DL14" s="42"/>
      <c r="DM14" s="71">
        <f t="shared" si="42"/>
        <v>1129.14</v>
      </c>
      <c r="DN14" s="42"/>
      <c r="DO14" s="72">
        <f t="shared" si="43"/>
        <v>11.333333333333334</v>
      </c>
      <c r="DP14" s="42"/>
      <c r="DQ14" s="71">
        <f t="shared" si="44"/>
        <v>1354.56</v>
      </c>
      <c r="DR14" s="42"/>
      <c r="DS14" s="69"/>
      <c r="DT14" s="42"/>
      <c r="DU14" s="71">
        <v>0</v>
      </c>
      <c r="DV14" s="42"/>
      <c r="DW14" s="73">
        <f t="shared" si="46"/>
        <v>0</v>
      </c>
      <c r="DX14" s="42"/>
      <c r="DY14" s="71">
        <f t="shared" si="47"/>
        <v>0</v>
      </c>
    </row>
    <row r="15" ht="12" customHeight="1" spans="1:129" x14ac:dyDescent="0.25">
      <c r="A15" s="79" t="s">
        <v>60</v>
      </c>
      <c r="B15" s="42"/>
      <c r="C15" s="75"/>
      <c r="D15" s="44"/>
      <c r="E15" s="78">
        <v>13.03</v>
      </c>
      <c r="F15" s="44"/>
      <c r="G15" s="61">
        <v>15.64</v>
      </c>
      <c r="I15" s="62"/>
      <c r="J15" s="63"/>
      <c r="K15" s="64">
        <v>1</v>
      </c>
      <c r="L15" s="3"/>
      <c r="M15" s="62"/>
      <c r="N15" s="3"/>
      <c r="O15" s="64">
        <v>1</v>
      </c>
      <c r="P15" s="3"/>
      <c r="Q15" s="62"/>
      <c r="R15" s="3"/>
      <c r="S15" s="64"/>
      <c r="T15" s="3"/>
      <c r="U15" s="62"/>
      <c r="V15" s="3"/>
      <c r="W15" s="64"/>
      <c r="X15" s="3"/>
      <c r="Y15" s="62"/>
      <c r="Z15" s="3"/>
      <c r="AA15" s="64">
        <v>1</v>
      </c>
      <c r="AB15" s="3"/>
      <c r="AC15" s="62"/>
      <c r="AD15" s="3"/>
      <c r="AE15" s="64"/>
      <c r="AF15" s="3"/>
      <c r="AG15" s="62"/>
      <c r="AH15" s="3"/>
      <c r="AI15" s="64"/>
      <c r="AJ15" s="3"/>
      <c r="AK15" s="62"/>
      <c r="AL15" s="3"/>
      <c r="AM15" s="64"/>
      <c r="AN15" s="3"/>
      <c r="AO15" s="62"/>
      <c r="AP15" s="3"/>
      <c r="AQ15" s="64"/>
      <c r="AR15" s="3"/>
      <c r="AS15" s="62"/>
      <c r="AT15" s="3"/>
      <c r="AU15" s="64"/>
      <c r="AW15" s="34">
        <f t="shared" si="0"/>
        <v>0</v>
      </c>
      <c r="AX15" s="65">
        <f t="shared" si="1"/>
        <v>0</v>
      </c>
      <c r="AY15" s="66"/>
      <c r="AZ15" s="31">
        <f t="shared" si="2"/>
        <v>1</v>
      </c>
      <c r="BA15" s="67">
        <f t="shared" si="3"/>
        <v>15.64</v>
      </c>
      <c r="BB15" s="66"/>
      <c r="BC15" s="31">
        <f t="shared" si="4"/>
        <v>0</v>
      </c>
      <c r="BD15" s="65">
        <f t="shared" si="5"/>
        <v>0</v>
      </c>
      <c r="BE15" s="66"/>
      <c r="BF15" s="31">
        <f t="shared" si="6"/>
        <v>1</v>
      </c>
      <c r="BG15" s="67">
        <f t="shared" si="7"/>
        <v>15.64</v>
      </c>
      <c r="BH15" s="66"/>
      <c r="BI15" s="31">
        <f t="shared" si="8"/>
        <v>0</v>
      </c>
      <c r="BJ15" s="65">
        <f t="shared" si="9"/>
        <v>0</v>
      </c>
      <c r="BK15" s="66"/>
      <c r="BL15" s="31">
        <f t="shared" si="10"/>
        <v>0</v>
      </c>
      <c r="BM15" s="67">
        <f t="shared" si="11"/>
        <v>0</v>
      </c>
      <c r="BN15" s="66"/>
      <c r="BO15" s="31">
        <f t="shared" si="12"/>
        <v>0</v>
      </c>
      <c r="BP15" s="65">
        <f t="shared" si="13"/>
        <v>0</v>
      </c>
      <c r="BQ15" s="66"/>
      <c r="BR15" s="31">
        <f t="shared" si="14"/>
        <v>0</v>
      </c>
      <c r="BS15" s="67">
        <f t="shared" si="15"/>
        <v>0</v>
      </c>
      <c r="BT15" s="66"/>
      <c r="BU15" s="31">
        <f t="shared" si="16"/>
        <v>0</v>
      </c>
      <c r="BV15" s="65">
        <f t="shared" si="17"/>
        <v>0</v>
      </c>
      <c r="BW15" s="66"/>
      <c r="BX15" s="31">
        <f t="shared" si="18"/>
        <v>1</v>
      </c>
      <c r="BY15" s="67">
        <f t="shared" si="19"/>
        <v>15.64</v>
      </c>
      <c r="BZ15" s="66"/>
      <c r="CA15" s="31">
        <f t="shared" si="20"/>
        <v>0</v>
      </c>
      <c r="CB15" s="65">
        <f t="shared" si="21"/>
        <v>0</v>
      </c>
      <c r="CC15" s="66"/>
      <c r="CD15" s="31">
        <f t="shared" si="22"/>
        <v>0</v>
      </c>
      <c r="CE15" s="67">
        <f t="shared" si="23"/>
        <v>0</v>
      </c>
      <c r="CF15" s="66"/>
      <c r="CG15" s="34">
        <f t="shared" si="24"/>
        <v>0</v>
      </c>
      <c r="CH15" s="67">
        <f t="shared" si="45"/>
        <v>0</v>
      </c>
      <c r="CI15" s="66"/>
      <c r="CJ15" s="34">
        <f t="shared" si="25"/>
        <v>0</v>
      </c>
      <c r="CK15" s="67">
        <f t="shared" si="26"/>
        <v>0</v>
      </c>
      <c r="CL15" s="66"/>
      <c r="CM15" s="34">
        <f t="shared" si="27"/>
        <v>0</v>
      </c>
      <c r="CN15" s="67">
        <f t="shared" si="28"/>
        <v>0</v>
      </c>
      <c r="CO15" s="66"/>
      <c r="CP15" s="34">
        <f t="shared" si="29"/>
        <v>0</v>
      </c>
      <c r="CQ15" s="67">
        <f t="shared" si="30"/>
        <v>0</v>
      </c>
      <c r="CR15" s="66"/>
      <c r="CS15" s="34">
        <f t="shared" si="31"/>
        <v>0</v>
      </c>
      <c r="CT15" s="65">
        <f t="shared" si="32"/>
        <v>0</v>
      </c>
      <c r="CU15" s="66"/>
      <c r="CV15" s="31">
        <f t="shared" si="33"/>
        <v>0</v>
      </c>
      <c r="CW15" s="67">
        <f t="shared" si="34"/>
        <v>0</v>
      </c>
      <c r="CX15" s="66"/>
      <c r="CY15" s="31">
        <f t="shared" si="35"/>
        <v>0</v>
      </c>
      <c r="CZ15" s="65">
        <f t="shared" si="36"/>
        <v>0</v>
      </c>
      <c r="DA15" s="66"/>
      <c r="DB15" s="31">
        <f t="shared" si="37"/>
        <v>0</v>
      </c>
      <c r="DC15" s="67">
        <f t="shared" si="38"/>
        <v>0</v>
      </c>
      <c r="DE15" s="76">
        <v>48</v>
      </c>
      <c r="DF15" s="42"/>
      <c r="DG15" s="69">
        <f t="shared" si="39"/>
        <v>0</v>
      </c>
      <c r="DH15" s="42"/>
      <c r="DI15" s="70">
        <f t="shared" si="40"/>
        <v>3</v>
      </c>
      <c r="DJ15" s="42"/>
      <c r="DK15" s="70">
        <f t="shared" si="41"/>
        <v>45</v>
      </c>
      <c r="DL15" s="42"/>
      <c r="DM15" s="71">
        <f t="shared" si="42"/>
        <v>586.35</v>
      </c>
      <c r="DN15" s="42"/>
      <c r="DO15" s="72">
        <f t="shared" si="43"/>
        <v>15</v>
      </c>
      <c r="DP15" s="42"/>
      <c r="DQ15" s="71">
        <f t="shared" si="44"/>
        <v>703.8000000000001</v>
      </c>
      <c r="DR15" s="42"/>
      <c r="DS15" s="69"/>
      <c r="DT15" s="42"/>
      <c r="DU15" s="71">
        <v>0</v>
      </c>
      <c r="DV15" s="42"/>
      <c r="DW15" s="73">
        <f t="shared" si="46"/>
        <v>0</v>
      </c>
      <c r="DX15" s="42"/>
      <c r="DY15" s="71">
        <f t="shared" si="47"/>
        <v>0</v>
      </c>
    </row>
    <row r="16" ht="12.45" customHeight="1" spans="1:129" x14ac:dyDescent="0.25">
      <c r="A16" s="77" t="s">
        <v>61</v>
      </c>
      <c r="B16" s="42"/>
      <c r="C16" s="75"/>
      <c r="D16" s="44"/>
      <c r="E16" s="78">
        <v>18.95</v>
      </c>
      <c r="F16" s="44"/>
      <c r="G16" s="61">
        <v>22.74</v>
      </c>
      <c r="I16" s="62"/>
      <c r="J16" s="63"/>
      <c r="K16" s="64">
        <v>1</v>
      </c>
      <c r="L16" s="3"/>
      <c r="M16" s="62">
        <v>1</v>
      </c>
      <c r="N16" s="3"/>
      <c r="O16" s="64">
        <v>1</v>
      </c>
      <c r="P16" s="3"/>
      <c r="Q16" s="62"/>
      <c r="R16" s="3"/>
      <c r="S16" s="64">
        <v>1</v>
      </c>
      <c r="T16" s="3"/>
      <c r="U16" s="62">
        <v>1</v>
      </c>
      <c r="V16" s="3"/>
      <c r="W16" s="64"/>
      <c r="X16" s="3"/>
      <c r="Y16" s="62"/>
      <c r="Z16" s="3"/>
      <c r="AA16" s="64">
        <v>1</v>
      </c>
      <c r="AB16" s="3"/>
      <c r="AC16" s="62">
        <v>1</v>
      </c>
      <c r="AD16" s="3"/>
      <c r="AE16" s="64"/>
      <c r="AF16" s="3"/>
      <c r="AG16" s="62"/>
      <c r="AH16" s="3"/>
      <c r="AI16" s="64"/>
      <c r="AJ16" s="3"/>
      <c r="AK16" s="62"/>
      <c r="AL16" s="3"/>
      <c r="AM16" s="64"/>
      <c r="AN16" s="3"/>
      <c r="AO16" s="62"/>
      <c r="AP16" s="3"/>
      <c r="AQ16" s="64"/>
      <c r="AR16" s="3"/>
      <c r="AS16" s="62"/>
      <c r="AT16" s="3"/>
      <c r="AU16" s="64"/>
      <c r="AW16" s="34">
        <f t="shared" si="0"/>
        <v>0</v>
      </c>
      <c r="AX16" s="65">
        <f t="shared" si="1"/>
        <v>0</v>
      </c>
      <c r="AY16" s="66"/>
      <c r="AZ16" s="31">
        <f t="shared" si="2"/>
        <v>1</v>
      </c>
      <c r="BA16" s="67">
        <f t="shared" si="3"/>
        <v>22.74</v>
      </c>
      <c r="BB16" s="66"/>
      <c r="BC16" s="31">
        <f t="shared" si="4"/>
        <v>1</v>
      </c>
      <c r="BD16" s="65">
        <f t="shared" si="5"/>
        <v>22.74</v>
      </c>
      <c r="BE16" s="66"/>
      <c r="BF16" s="31">
        <f t="shared" si="6"/>
        <v>1</v>
      </c>
      <c r="BG16" s="67">
        <f t="shared" si="7"/>
        <v>22.74</v>
      </c>
      <c r="BH16" s="66"/>
      <c r="BI16" s="31">
        <f t="shared" si="8"/>
        <v>0</v>
      </c>
      <c r="BJ16" s="65">
        <f t="shared" si="9"/>
        <v>0</v>
      </c>
      <c r="BK16" s="66"/>
      <c r="BL16" s="31">
        <f t="shared" si="10"/>
        <v>1</v>
      </c>
      <c r="BM16" s="67">
        <f t="shared" si="11"/>
        <v>22.74</v>
      </c>
      <c r="BN16" s="66"/>
      <c r="BO16" s="31">
        <f t="shared" si="12"/>
        <v>1</v>
      </c>
      <c r="BP16" s="65">
        <f t="shared" si="13"/>
        <v>22.74</v>
      </c>
      <c r="BQ16" s="66"/>
      <c r="BR16" s="31">
        <f t="shared" si="14"/>
        <v>0</v>
      </c>
      <c r="BS16" s="67">
        <f t="shared" si="15"/>
        <v>0</v>
      </c>
      <c r="BT16" s="66"/>
      <c r="BU16" s="31">
        <f t="shared" si="16"/>
        <v>0</v>
      </c>
      <c r="BV16" s="65">
        <f t="shared" si="17"/>
        <v>0</v>
      </c>
      <c r="BW16" s="66"/>
      <c r="BX16" s="31">
        <f t="shared" si="18"/>
        <v>1</v>
      </c>
      <c r="BY16" s="67">
        <f t="shared" si="19"/>
        <v>22.74</v>
      </c>
      <c r="BZ16" s="66"/>
      <c r="CA16" s="31">
        <f t="shared" si="20"/>
        <v>1</v>
      </c>
      <c r="CB16" s="65">
        <f t="shared" si="21"/>
        <v>22.74</v>
      </c>
      <c r="CC16" s="66"/>
      <c r="CD16" s="31">
        <f t="shared" si="22"/>
        <v>0</v>
      </c>
      <c r="CE16" s="67">
        <f t="shared" si="23"/>
        <v>0</v>
      </c>
      <c r="CF16" s="66"/>
      <c r="CG16" s="34">
        <f t="shared" si="24"/>
        <v>0</v>
      </c>
      <c r="CH16" s="67">
        <f t="shared" si="45"/>
        <v>0</v>
      </c>
      <c r="CI16" s="66"/>
      <c r="CJ16" s="34">
        <f t="shared" si="25"/>
        <v>0</v>
      </c>
      <c r="CK16" s="67">
        <f t="shared" si="26"/>
        <v>0</v>
      </c>
      <c r="CL16" s="66"/>
      <c r="CM16" s="34">
        <f t="shared" si="27"/>
        <v>0</v>
      </c>
      <c r="CN16" s="67">
        <f t="shared" si="28"/>
        <v>0</v>
      </c>
      <c r="CO16" s="66"/>
      <c r="CP16" s="34">
        <f t="shared" si="29"/>
        <v>0</v>
      </c>
      <c r="CQ16" s="67">
        <f t="shared" si="30"/>
        <v>0</v>
      </c>
      <c r="CR16" s="66"/>
      <c r="CS16" s="34">
        <f t="shared" si="31"/>
        <v>0</v>
      </c>
      <c r="CT16" s="65">
        <f t="shared" si="32"/>
        <v>0</v>
      </c>
      <c r="CU16" s="66"/>
      <c r="CV16" s="31">
        <f t="shared" si="33"/>
        <v>0</v>
      </c>
      <c r="CW16" s="67">
        <f t="shared" si="34"/>
        <v>0</v>
      </c>
      <c r="CX16" s="66"/>
      <c r="CY16" s="31">
        <f t="shared" si="35"/>
        <v>0</v>
      </c>
      <c r="CZ16" s="65">
        <f t="shared" si="36"/>
        <v>0</v>
      </c>
      <c r="DA16" s="66"/>
      <c r="DB16" s="31">
        <f t="shared" si="37"/>
        <v>0</v>
      </c>
      <c r="DC16" s="67">
        <f t="shared" si="38"/>
        <v>0</v>
      </c>
      <c r="DE16" s="76">
        <v>58</v>
      </c>
      <c r="DF16" s="42"/>
      <c r="DG16" s="69">
        <f t="shared" si="39"/>
        <v>0</v>
      </c>
      <c r="DH16" s="42"/>
      <c r="DI16" s="70">
        <f t="shared" si="40"/>
        <v>7</v>
      </c>
      <c r="DJ16" s="42"/>
      <c r="DK16" s="70">
        <f t="shared" si="41"/>
        <v>51</v>
      </c>
      <c r="DL16" s="42"/>
      <c r="DM16" s="71">
        <f t="shared" si="42"/>
        <v>966.4499999999999</v>
      </c>
      <c r="DN16" s="42"/>
      <c r="DO16" s="72">
        <f t="shared" si="43"/>
        <v>7.285714285714286</v>
      </c>
      <c r="DP16" s="42"/>
      <c r="DQ16" s="71">
        <f t="shared" si="44"/>
        <v>1159.74</v>
      </c>
      <c r="DR16" s="42"/>
      <c r="DS16" s="69"/>
      <c r="DT16" s="42"/>
      <c r="DU16" s="71">
        <v>0</v>
      </c>
      <c r="DV16" s="42"/>
      <c r="DW16" s="73">
        <f t="shared" si="46"/>
        <v>0</v>
      </c>
      <c r="DX16" s="42"/>
      <c r="DY16" s="71">
        <f t="shared" si="47"/>
        <v>0</v>
      </c>
    </row>
    <row r="17" ht="12" customHeight="1" spans="1:129" x14ac:dyDescent="0.25">
      <c r="A17" s="74" t="s">
        <v>62</v>
      </c>
      <c r="B17" s="42"/>
      <c r="C17" s="75"/>
      <c r="D17" s="44"/>
      <c r="E17" s="78">
        <v>22.95</v>
      </c>
      <c r="F17" s="44"/>
      <c r="G17" s="61">
        <v>27.54</v>
      </c>
      <c r="I17" s="62"/>
      <c r="J17" s="63"/>
      <c r="K17" s="64"/>
      <c r="L17" s="3"/>
      <c r="M17" s="62"/>
      <c r="N17" s="3"/>
      <c r="O17" s="64"/>
      <c r="P17" s="3"/>
      <c r="Q17" s="62"/>
      <c r="R17" s="3"/>
      <c r="S17" s="64"/>
      <c r="T17" s="3"/>
      <c r="U17" s="62">
        <v>1</v>
      </c>
      <c r="V17" s="3"/>
      <c r="W17" s="64"/>
      <c r="X17" s="3"/>
      <c r="Y17" s="62">
        <v>1</v>
      </c>
      <c r="Z17" s="3"/>
      <c r="AA17" s="64"/>
      <c r="AB17" s="3"/>
      <c r="AC17" s="62">
        <v>1</v>
      </c>
      <c r="AD17" s="3"/>
      <c r="AE17" s="64"/>
      <c r="AF17" s="3"/>
      <c r="AG17" s="62"/>
      <c r="AH17" s="3"/>
      <c r="AI17" s="64"/>
      <c r="AJ17" s="3"/>
      <c r="AK17" s="62"/>
      <c r="AL17" s="3"/>
      <c r="AM17" s="64"/>
      <c r="AN17" s="3"/>
      <c r="AO17" s="62"/>
      <c r="AP17" s="3"/>
      <c r="AQ17" s="64"/>
      <c r="AR17" s="3"/>
      <c r="AS17" s="62"/>
      <c r="AT17" s="3"/>
      <c r="AU17" s="64"/>
      <c r="AW17" s="34">
        <f t="shared" si="0"/>
        <v>0</v>
      </c>
      <c r="AX17" s="65">
        <f t="shared" si="1"/>
        <v>0</v>
      </c>
      <c r="AY17" s="66"/>
      <c r="AZ17" s="31">
        <f t="shared" si="2"/>
        <v>0</v>
      </c>
      <c r="BA17" s="67">
        <f t="shared" si="3"/>
        <v>0</v>
      </c>
      <c r="BB17" s="66"/>
      <c r="BC17" s="31">
        <f t="shared" si="4"/>
        <v>0</v>
      </c>
      <c r="BD17" s="65">
        <f t="shared" si="5"/>
        <v>0</v>
      </c>
      <c r="BE17" s="66"/>
      <c r="BF17" s="31">
        <f t="shared" si="6"/>
        <v>0</v>
      </c>
      <c r="BG17" s="67">
        <f t="shared" si="7"/>
        <v>0</v>
      </c>
      <c r="BH17" s="66"/>
      <c r="BI17" s="31">
        <f t="shared" si="8"/>
        <v>0</v>
      </c>
      <c r="BJ17" s="65">
        <f t="shared" si="9"/>
        <v>0</v>
      </c>
      <c r="BK17" s="66"/>
      <c r="BL17" s="31">
        <f t="shared" si="10"/>
        <v>0</v>
      </c>
      <c r="BM17" s="67">
        <f t="shared" si="11"/>
        <v>0</v>
      </c>
      <c r="BN17" s="66"/>
      <c r="BO17" s="31">
        <f t="shared" si="12"/>
        <v>1</v>
      </c>
      <c r="BP17" s="65">
        <f t="shared" si="13"/>
        <v>27.54</v>
      </c>
      <c r="BQ17" s="66"/>
      <c r="BR17" s="31">
        <f t="shared" si="14"/>
        <v>0</v>
      </c>
      <c r="BS17" s="67">
        <f t="shared" si="15"/>
        <v>0</v>
      </c>
      <c r="BT17" s="66"/>
      <c r="BU17" s="31">
        <f t="shared" si="16"/>
        <v>1</v>
      </c>
      <c r="BV17" s="65">
        <f t="shared" si="17"/>
        <v>27.54</v>
      </c>
      <c r="BW17" s="66"/>
      <c r="BX17" s="31">
        <f t="shared" si="18"/>
        <v>0</v>
      </c>
      <c r="BY17" s="67">
        <f t="shared" si="19"/>
        <v>0</v>
      </c>
      <c r="BZ17" s="66"/>
      <c r="CA17" s="31">
        <f t="shared" si="20"/>
        <v>1</v>
      </c>
      <c r="CB17" s="65">
        <f t="shared" si="21"/>
        <v>27.54</v>
      </c>
      <c r="CC17" s="66"/>
      <c r="CD17" s="31">
        <f t="shared" si="22"/>
        <v>0</v>
      </c>
      <c r="CE17" s="67">
        <f t="shared" si="23"/>
        <v>0</v>
      </c>
      <c r="CF17" s="66"/>
      <c r="CG17" s="34">
        <f t="shared" si="24"/>
        <v>0</v>
      </c>
      <c r="CH17" s="67">
        <f t="shared" si="45"/>
        <v>0</v>
      </c>
      <c r="CI17" s="66"/>
      <c r="CJ17" s="34">
        <f t="shared" si="25"/>
        <v>0</v>
      </c>
      <c r="CK17" s="67">
        <f t="shared" si="26"/>
        <v>0</v>
      </c>
      <c r="CL17" s="66"/>
      <c r="CM17" s="34">
        <f t="shared" si="27"/>
        <v>0</v>
      </c>
      <c r="CN17" s="67">
        <f t="shared" si="28"/>
        <v>0</v>
      </c>
      <c r="CO17" s="66"/>
      <c r="CP17" s="34">
        <f t="shared" si="29"/>
        <v>0</v>
      </c>
      <c r="CQ17" s="67">
        <f t="shared" si="30"/>
        <v>0</v>
      </c>
      <c r="CR17" s="66"/>
      <c r="CS17" s="34">
        <f t="shared" si="31"/>
        <v>0</v>
      </c>
      <c r="CT17" s="65">
        <f t="shared" si="32"/>
        <v>0</v>
      </c>
      <c r="CU17" s="66"/>
      <c r="CV17" s="31">
        <f t="shared" si="33"/>
        <v>0</v>
      </c>
      <c r="CW17" s="67">
        <f t="shared" si="34"/>
        <v>0</v>
      </c>
      <c r="CX17" s="66"/>
      <c r="CY17" s="31">
        <f t="shared" si="35"/>
        <v>0</v>
      </c>
      <c r="CZ17" s="65">
        <f t="shared" si="36"/>
        <v>0</v>
      </c>
      <c r="DA17" s="66"/>
      <c r="DB17" s="31">
        <f t="shared" si="37"/>
        <v>0</v>
      </c>
      <c r="DC17" s="67">
        <f t="shared" si="38"/>
        <v>0</v>
      </c>
      <c r="DE17" s="76">
        <v>82</v>
      </c>
      <c r="DF17" s="42"/>
      <c r="DG17" s="69">
        <f t="shared" si="39"/>
        <v>0</v>
      </c>
      <c r="DH17" s="42"/>
      <c r="DI17" s="70">
        <f t="shared" si="40"/>
        <v>3</v>
      </c>
      <c r="DJ17" s="42"/>
      <c r="DK17" s="70">
        <f t="shared" si="41"/>
        <v>79</v>
      </c>
      <c r="DL17" s="42"/>
      <c r="DM17" s="71">
        <f t="shared" si="42"/>
        <v>1813.05</v>
      </c>
      <c r="DN17" s="42"/>
      <c r="DO17" s="72">
        <f t="shared" si="43"/>
        <v>26.333333333333332</v>
      </c>
      <c r="DP17" s="42"/>
      <c r="DQ17" s="71">
        <f t="shared" si="44"/>
        <v>2175.66</v>
      </c>
      <c r="DR17" s="42"/>
      <c r="DS17" s="69"/>
      <c r="DT17" s="42"/>
      <c r="DU17" s="71">
        <v>0</v>
      </c>
      <c r="DV17" s="42"/>
      <c r="DW17" s="73">
        <f t="shared" si="46"/>
        <v>0</v>
      </c>
      <c r="DX17" s="42"/>
      <c r="DY17" s="71">
        <f t="shared" si="47"/>
        <v>0</v>
      </c>
    </row>
    <row r="18" ht="12" customHeight="1" spans="1:129" x14ac:dyDescent="0.25">
      <c r="A18" s="77" t="s">
        <v>63</v>
      </c>
      <c r="B18" s="42"/>
      <c r="C18" s="75"/>
      <c r="D18" s="44"/>
      <c r="E18" s="78">
        <v>33.95</v>
      </c>
      <c r="F18" s="44"/>
      <c r="G18" s="61">
        <v>40.74</v>
      </c>
      <c r="I18" s="62"/>
      <c r="J18" s="63"/>
      <c r="K18" s="64">
        <v>1</v>
      </c>
      <c r="L18" s="3"/>
      <c r="M18" s="62">
        <v>1</v>
      </c>
      <c r="N18" s="3"/>
      <c r="O18" s="64">
        <v>2</v>
      </c>
      <c r="P18" s="3"/>
      <c r="Q18" s="62">
        <v>2</v>
      </c>
      <c r="R18" s="3"/>
      <c r="S18" s="64">
        <v>1</v>
      </c>
      <c r="T18" s="3"/>
      <c r="U18" s="62">
        <v>1</v>
      </c>
      <c r="V18" s="3"/>
      <c r="W18" s="64">
        <v>2</v>
      </c>
      <c r="X18" s="3"/>
      <c r="Y18" s="62">
        <v>1</v>
      </c>
      <c r="Z18" s="3"/>
      <c r="AA18" s="64">
        <v>1</v>
      </c>
      <c r="AB18" s="3"/>
      <c r="AC18" s="62">
        <v>1</v>
      </c>
      <c r="AD18" s="3"/>
      <c r="AE18" s="64"/>
      <c r="AF18" s="3"/>
      <c r="AG18" s="62"/>
      <c r="AH18" s="3"/>
      <c r="AI18" s="64"/>
      <c r="AJ18" s="3"/>
      <c r="AK18" s="62"/>
      <c r="AL18" s="3"/>
      <c r="AM18" s="64"/>
      <c r="AN18" s="3"/>
      <c r="AO18" s="62"/>
      <c r="AP18" s="3"/>
      <c r="AQ18" s="64"/>
      <c r="AR18" s="3"/>
      <c r="AS18" s="62"/>
      <c r="AT18" s="3"/>
      <c r="AU18" s="64"/>
      <c r="AW18" s="34">
        <f t="shared" si="0"/>
        <v>0</v>
      </c>
      <c r="AX18" s="65">
        <f t="shared" si="1"/>
        <v>0</v>
      </c>
      <c r="AY18" s="66"/>
      <c r="AZ18" s="31">
        <f t="shared" si="2"/>
        <v>1</v>
      </c>
      <c r="BA18" s="67">
        <f t="shared" si="3"/>
        <v>40.74</v>
      </c>
      <c r="BB18" s="66"/>
      <c r="BC18" s="31">
        <f t="shared" si="4"/>
        <v>1</v>
      </c>
      <c r="BD18" s="65">
        <f t="shared" si="5"/>
        <v>40.74</v>
      </c>
      <c r="BE18" s="66"/>
      <c r="BF18" s="31">
        <f t="shared" si="6"/>
        <v>2</v>
      </c>
      <c r="BG18" s="67">
        <f t="shared" si="7"/>
        <v>81.48</v>
      </c>
      <c r="BH18" s="66"/>
      <c r="BI18" s="31">
        <f t="shared" si="8"/>
        <v>2</v>
      </c>
      <c r="BJ18" s="65">
        <f t="shared" si="9"/>
        <v>81.48</v>
      </c>
      <c r="BK18" s="66"/>
      <c r="BL18" s="31">
        <f t="shared" si="10"/>
        <v>1</v>
      </c>
      <c r="BM18" s="67">
        <f t="shared" si="11"/>
        <v>40.74</v>
      </c>
      <c r="BN18" s="66"/>
      <c r="BO18" s="31">
        <f t="shared" si="12"/>
        <v>1</v>
      </c>
      <c r="BP18" s="65">
        <f t="shared" si="13"/>
        <v>40.74</v>
      </c>
      <c r="BQ18" s="66"/>
      <c r="BR18" s="31">
        <f t="shared" si="14"/>
        <v>2</v>
      </c>
      <c r="BS18" s="67">
        <f t="shared" si="15"/>
        <v>81.48</v>
      </c>
      <c r="BT18" s="66"/>
      <c r="BU18" s="31">
        <f t="shared" si="16"/>
        <v>1</v>
      </c>
      <c r="BV18" s="65">
        <f t="shared" si="17"/>
        <v>40.74</v>
      </c>
      <c r="BW18" s="66"/>
      <c r="BX18" s="31">
        <f t="shared" si="18"/>
        <v>1</v>
      </c>
      <c r="BY18" s="67">
        <f t="shared" si="19"/>
        <v>40.74</v>
      </c>
      <c r="BZ18" s="66"/>
      <c r="CA18" s="31">
        <f t="shared" si="20"/>
        <v>1</v>
      </c>
      <c r="CB18" s="65">
        <f t="shared" si="21"/>
        <v>40.74</v>
      </c>
      <c r="CC18" s="66"/>
      <c r="CD18" s="31">
        <f t="shared" si="22"/>
        <v>0</v>
      </c>
      <c r="CE18" s="67">
        <f t="shared" si="23"/>
        <v>0</v>
      </c>
      <c r="CF18" s="66"/>
      <c r="CG18" s="34">
        <f t="shared" si="24"/>
        <v>0</v>
      </c>
      <c r="CH18" s="67">
        <f t="shared" si="45"/>
        <v>0</v>
      </c>
      <c r="CI18" s="66"/>
      <c r="CJ18" s="34">
        <f t="shared" si="25"/>
        <v>0</v>
      </c>
      <c r="CK18" s="67">
        <f t="shared" si="26"/>
        <v>0</v>
      </c>
      <c r="CL18" s="66"/>
      <c r="CM18" s="34">
        <f t="shared" si="27"/>
        <v>0</v>
      </c>
      <c r="CN18" s="67">
        <f t="shared" si="28"/>
        <v>0</v>
      </c>
      <c r="CO18" s="66"/>
      <c r="CP18" s="34">
        <f t="shared" si="29"/>
        <v>0</v>
      </c>
      <c r="CQ18" s="67">
        <f t="shared" si="30"/>
        <v>0</v>
      </c>
      <c r="CR18" s="66"/>
      <c r="CS18" s="34">
        <f t="shared" si="31"/>
        <v>0</v>
      </c>
      <c r="CT18" s="65">
        <f t="shared" si="32"/>
        <v>0</v>
      </c>
      <c r="CU18" s="66"/>
      <c r="CV18" s="31">
        <f t="shared" si="33"/>
        <v>0</v>
      </c>
      <c r="CW18" s="67">
        <f t="shared" si="34"/>
        <v>0</v>
      </c>
      <c r="CX18" s="66"/>
      <c r="CY18" s="31">
        <f t="shared" si="35"/>
        <v>0</v>
      </c>
      <c r="CZ18" s="65">
        <f t="shared" si="36"/>
        <v>0</v>
      </c>
      <c r="DA18" s="66"/>
      <c r="DB18" s="31">
        <f t="shared" si="37"/>
        <v>0</v>
      </c>
      <c r="DC18" s="67">
        <f t="shared" si="38"/>
        <v>0</v>
      </c>
      <c r="DE18" s="76">
        <v>354</v>
      </c>
      <c r="DF18" s="42"/>
      <c r="DG18" s="69">
        <f t="shared" si="39"/>
        <v>0</v>
      </c>
      <c r="DH18" s="42"/>
      <c r="DI18" s="70">
        <f t="shared" si="40"/>
        <v>13</v>
      </c>
      <c r="DJ18" s="42"/>
      <c r="DK18" s="70">
        <f t="shared" si="41"/>
        <v>341</v>
      </c>
      <c r="DL18" s="42"/>
      <c r="DM18" s="71">
        <f t="shared" si="42"/>
        <v>11576.95</v>
      </c>
      <c r="DN18" s="42"/>
      <c r="DO18" s="72">
        <f t="shared" si="43"/>
        <v>26.23076923076923</v>
      </c>
      <c r="DP18" s="42"/>
      <c r="DQ18" s="71">
        <f t="shared" si="44"/>
        <v>13892.34</v>
      </c>
      <c r="DR18" s="42"/>
      <c r="DS18" s="69"/>
      <c r="DT18" s="42"/>
      <c r="DU18" s="71">
        <v>0</v>
      </c>
      <c r="DV18" s="42"/>
      <c r="DW18" s="73">
        <f t="shared" si="46"/>
        <v>0</v>
      </c>
      <c r="DX18" s="42"/>
      <c r="DY18" s="71">
        <f t="shared" si="47"/>
        <v>0</v>
      </c>
    </row>
    <row r="19" ht="12" customHeight="1" spans="1:129" x14ac:dyDescent="0.25">
      <c r="A19" s="74" t="s">
        <v>64</v>
      </c>
      <c r="B19" s="42"/>
      <c r="C19" s="75"/>
      <c r="D19" s="44"/>
      <c r="E19" s="78">
        <v>15.85</v>
      </c>
      <c r="F19" s="44"/>
      <c r="G19" s="61">
        <v>19.02</v>
      </c>
      <c r="I19" s="62"/>
      <c r="J19" s="63"/>
      <c r="K19" s="64"/>
      <c r="L19" s="3"/>
      <c r="M19" s="62">
        <v>1</v>
      </c>
      <c r="N19" s="3"/>
      <c r="O19" s="64">
        <v>1</v>
      </c>
      <c r="P19" s="3"/>
      <c r="Q19" s="62"/>
      <c r="R19" s="3"/>
      <c r="S19" s="64">
        <v>1</v>
      </c>
      <c r="T19" s="3"/>
      <c r="U19" s="62"/>
      <c r="V19" s="3"/>
      <c r="W19" s="64"/>
      <c r="X19" s="3"/>
      <c r="Y19" s="62"/>
      <c r="Z19" s="3"/>
      <c r="AA19" s="64"/>
      <c r="AB19" s="3"/>
      <c r="AC19" s="62"/>
      <c r="AD19" s="3"/>
      <c r="AE19" s="64"/>
      <c r="AF19" s="3"/>
      <c r="AG19" s="62"/>
      <c r="AH19" s="3"/>
      <c r="AI19" s="64"/>
      <c r="AJ19" s="3"/>
      <c r="AK19" s="62"/>
      <c r="AL19" s="3"/>
      <c r="AM19" s="64"/>
      <c r="AN19" s="3"/>
      <c r="AO19" s="62"/>
      <c r="AP19" s="3"/>
      <c r="AQ19" s="64"/>
      <c r="AR19" s="3"/>
      <c r="AS19" s="62"/>
      <c r="AT19" s="3"/>
      <c r="AU19" s="64"/>
      <c r="AW19" s="34">
        <f t="shared" si="0"/>
        <v>0</v>
      </c>
      <c r="AX19" s="65">
        <f t="shared" si="1"/>
        <v>0</v>
      </c>
      <c r="AY19" s="66"/>
      <c r="AZ19" s="31">
        <f t="shared" si="2"/>
        <v>0</v>
      </c>
      <c r="BA19" s="67">
        <f t="shared" si="3"/>
        <v>0</v>
      </c>
      <c r="BB19" s="66"/>
      <c r="BC19" s="31">
        <f t="shared" si="4"/>
        <v>1</v>
      </c>
      <c r="BD19" s="65">
        <f t="shared" si="5"/>
        <v>19.02</v>
      </c>
      <c r="BE19" s="66"/>
      <c r="BF19" s="31">
        <f t="shared" si="6"/>
        <v>1</v>
      </c>
      <c r="BG19" s="67">
        <f t="shared" si="7"/>
        <v>19.02</v>
      </c>
      <c r="BH19" s="66"/>
      <c r="BI19" s="31">
        <f t="shared" si="8"/>
        <v>0</v>
      </c>
      <c r="BJ19" s="65">
        <f t="shared" si="9"/>
        <v>0</v>
      </c>
      <c r="BK19" s="66"/>
      <c r="BL19" s="31">
        <f t="shared" si="10"/>
        <v>1</v>
      </c>
      <c r="BM19" s="67">
        <f t="shared" si="11"/>
        <v>19.02</v>
      </c>
      <c r="BN19" s="66"/>
      <c r="BO19" s="31">
        <f t="shared" si="12"/>
        <v>0</v>
      </c>
      <c r="BP19" s="65">
        <f t="shared" si="13"/>
        <v>0</v>
      </c>
      <c r="BQ19" s="66"/>
      <c r="BR19" s="31">
        <f t="shared" si="14"/>
        <v>0</v>
      </c>
      <c r="BS19" s="67">
        <f t="shared" si="15"/>
        <v>0</v>
      </c>
      <c r="BT19" s="66"/>
      <c r="BU19" s="31">
        <f t="shared" si="16"/>
        <v>0</v>
      </c>
      <c r="BV19" s="65">
        <f t="shared" si="17"/>
        <v>0</v>
      </c>
      <c r="BW19" s="66"/>
      <c r="BX19" s="31">
        <f t="shared" si="18"/>
        <v>0</v>
      </c>
      <c r="BY19" s="67">
        <f t="shared" si="19"/>
        <v>0</v>
      </c>
      <c r="BZ19" s="66"/>
      <c r="CA19" s="31">
        <f t="shared" si="20"/>
        <v>0</v>
      </c>
      <c r="CB19" s="65">
        <f t="shared" si="21"/>
        <v>0</v>
      </c>
      <c r="CC19" s="66"/>
      <c r="CD19" s="31">
        <f t="shared" si="22"/>
        <v>0</v>
      </c>
      <c r="CE19" s="67">
        <f t="shared" si="23"/>
        <v>0</v>
      </c>
      <c r="CF19" s="66"/>
      <c r="CG19" s="34">
        <f t="shared" si="24"/>
        <v>0</v>
      </c>
      <c r="CH19" s="67">
        <f t="shared" si="45"/>
        <v>0</v>
      </c>
      <c r="CI19" s="66"/>
      <c r="CJ19" s="34">
        <f t="shared" si="25"/>
        <v>0</v>
      </c>
      <c r="CK19" s="67">
        <f t="shared" si="26"/>
        <v>0</v>
      </c>
      <c r="CL19" s="66"/>
      <c r="CM19" s="34">
        <f t="shared" si="27"/>
        <v>0</v>
      </c>
      <c r="CN19" s="67">
        <f t="shared" si="28"/>
        <v>0</v>
      </c>
      <c r="CO19" s="66"/>
      <c r="CP19" s="34">
        <f t="shared" si="29"/>
        <v>0</v>
      </c>
      <c r="CQ19" s="67">
        <f t="shared" si="30"/>
        <v>0</v>
      </c>
      <c r="CR19" s="66"/>
      <c r="CS19" s="34">
        <f t="shared" si="31"/>
        <v>0</v>
      </c>
      <c r="CT19" s="65">
        <f t="shared" si="32"/>
        <v>0</v>
      </c>
      <c r="CU19" s="66"/>
      <c r="CV19" s="31">
        <f t="shared" si="33"/>
        <v>0</v>
      </c>
      <c r="CW19" s="67">
        <f t="shared" si="34"/>
        <v>0</v>
      </c>
      <c r="CX19" s="66"/>
      <c r="CY19" s="31">
        <f t="shared" si="35"/>
        <v>0</v>
      </c>
      <c r="CZ19" s="65">
        <f t="shared" si="36"/>
        <v>0</v>
      </c>
      <c r="DA19" s="66"/>
      <c r="DB19" s="31">
        <f t="shared" si="37"/>
        <v>0</v>
      </c>
      <c r="DC19" s="67">
        <f t="shared" si="38"/>
        <v>0</v>
      </c>
      <c r="DE19" s="76">
        <v>39</v>
      </c>
      <c r="DF19" s="42"/>
      <c r="DG19" s="69">
        <f t="shared" si="39"/>
        <v>0</v>
      </c>
      <c r="DH19" s="42"/>
      <c r="DI19" s="70">
        <f t="shared" si="40"/>
        <v>3</v>
      </c>
      <c r="DJ19" s="42"/>
      <c r="DK19" s="70">
        <f t="shared" si="41"/>
        <v>36</v>
      </c>
      <c r="DL19" s="42"/>
      <c r="DM19" s="71">
        <f t="shared" si="42"/>
        <v>570.6</v>
      </c>
      <c r="DN19" s="42"/>
      <c r="DO19" s="72">
        <f t="shared" si="43"/>
        <v>12</v>
      </c>
      <c r="DP19" s="42"/>
      <c r="DQ19" s="71">
        <f t="shared" si="44"/>
        <v>684.72</v>
      </c>
      <c r="DR19" s="42"/>
      <c r="DS19" s="69"/>
      <c r="DT19" s="42"/>
      <c r="DU19" s="71">
        <v>0</v>
      </c>
      <c r="DV19" s="42"/>
      <c r="DW19" s="73">
        <f t="shared" si="46"/>
        <v>0</v>
      </c>
      <c r="DX19" s="42"/>
      <c r="DY19" s="71">
        <f t="shared" si="47"/>
        <v>0</v>
      </c>
    </row>
    <row r="20" ht="12" customHeight="1" spans="1:129" x14ac:dyDescent="0.25">
      <c r="A20" s="77" t="s">
        <v>65</v>
      </c>
      <c r="B20" s="42"/>
      <c r="C20" s="75"/>
      <c r="D20" s="44"/>
      <c r="E20" s="78">
        <v>21.95</v>
      </c>
      <c r="F20" s="44"/>
      <c r="G20" s="61">
        <v>26.34</v>
      </c>
      <c r="I20" s="62"/>
      <c r="J20" s="63"/>
      <c r="K20" s="64">
        <v>1</v>
      </c>
      <c r="L20" s="3"/>
      <c r="M20" s="62">
        <v>1</v>
      </c>
      <c r="N20" s="3"/>
      <c r="O20" s="64">
        <v>1</v>
      </c>
      <c r="P20" s="3"/>
      <c r="Q20" s="62"/>
      <c r="R20" s="3"/>
      <c r="S20" s="64"/>
      <c r="T20" s="3"/>
      <c r="U20" s="62">
        <v>1</v>
      </c>
      <c r="V20" s="3"/>
      <c r="W20" s="64">
        <v>1</v>
      </c>
      <c r="X20" s="3"/>
      <c r="Y20" s="62">
        <v>1</v>
      </c>
      <c r="Z20" s="3"/>
      <c r="AA20" s="64">
        <v>1</v>
      </c>
      <c r="AB20" s="3"/>
      <c r="AC20" s="62"/>
      <c r="AD20" s="3"/>
      <c r="AE20" s="64"/>
      <c r="AF20" s="3"/>
      <c r="AG20" s="62"/>
      <c r="AH20" s="3"/>
      <c r="AI20" s="64"/>
      <c r="AJ20" s="3"/>
      <c r="AK20" s="62"/>
      <c r="AL20" s="3"/>
      <c r="AM20" s="64"/>
      <c r="AN20" s="3"/>
      <c r="AO20" s="62"/>
      <c r="AP20" s="3"/>
      <c r="AQ20" s="64"/>
      <c r="AR20" s="3"/>
      <c r="AS20" s="62"/>
      <c r="AT20" s="3"/>
      <c r="AU20" s="64"/>
      <c r="AW20" s="34">
        <f t="shared" si="0"/>
        <v>0</v>
      </c>
      <c r="AX20" s="65">
        <f t="shared" si="1"/>
        <v>0</v>
      </c>
      <c r="AY20" s="66"/>
      <c r="AZ20" s="31">
        <f t="shared" si="2"/>
        <v>1</v>
      </c>
      <c r="BA20" s="67">
        <f t="shared" si="3"/>
        <v>26.34</v>
      </c>
      <c r="BB20" s="66"/>
      <c r="BC20" s="31">
        <f t="shared" si="4"/>
        <v>1</v>
      </c>
      <c r="BD20" s="65">
        <f t="shared" si="5"/>
        <v>26.34</v>
      </c>
      <c r="BE20" s="66"/>
      <c r="BF20" s="31">
        <f t="shared" si="6"/>
        <v>1</v>
      </c>
      <c r="BG20" s="67">
        <f t="shared" si="7"/>
        <v>26.34</v>
      </c>
      <c r="BH20" s="66"/>
      <c r="BI20" s="31">
        <f t="shared" si="8"/>
        <v>0</v>
      </c>
      <c r="BJ20" s="65">
        <f t="shared" si="9"/>
        <v>0</v>
      </c>
      <c r="BK20" s="66"/>
      <c r="BL20" s="31">
        <f t="shared" si="10"/>
        <v>0</v>
      </c>
      <c r="BM20" s="67">
        <f t="shared" si="11"/>
        <v>0</v>
      </c>
      <c r="BN20" s="66"/>
      <c r="BO20" s="31">
        <f t="shared" si="12"/>
        <v>1</v>
      </c>
      <c r="BP20" s="65">
        <f t="shared" si="13"/>
        <v>26.34</v>
      </c>
      <c r="BQ20" s="66"/>
      <c r="BR20" s="31">
        <f t="shared" si="14"/>
        <v>1</v>
      </c>
      <c r="BS20" s="67">
        <f t="shared" si="15"/>
        <v>26.34</v>
      </c>
      <c r="BT20" s="66"/>
      <c r="BU20" s="31">
        <f t="shared" si="16"/>
        <v>1</v>
      </c>
      <c r="BV20" s="65">
        <f t="shared" si="17"/>
        <v>26.34</v>
      </c>
      <c r="BW20" s="66"/>
      <c r="BX20" s="31">
        <f t="shared" si="18"/>
        <v>1</v>
      </c>
      <c r="BY20" s="67">
        <f t="shared" si="19"/>
        <v>26.34</v>
      </c>
      <c r="BZ20" s="66"/>
      <c r="CA20" s="31">
        <f t="shared" si="20"/>
        <v>0</v>
      </c>
      <c r="CB20" s="65">
        <f t="shared" si="21"/>
        <v>0</v>
      </c>
      <c r="CC20" s="66"/>
      <c r="CD20" s="31">
        <f t="shared" si="22"/>
        <v>0</v>
      </c>
      <c r="CE20" s="67">
        <f t="shared" si="23"/>
        <v>0</v>
      </c>
      <c r="CF20" s="66"/>
      <c r="CG20" s="34">
        <f t="shared" si="24"/>
        <v>0</v>
      </c>
      <c r="CH20" s="67">
        <f t="shared" si="45"/>
        <v>0</v>
      </c>
      <c r="CI20" s="66"/>
      <c r="CJ20" s="34">
        <f t="shared" si="25"/>
        <v>0</v>
      </c>
      <c r="CK20" s="67">
        <f t="shared" si="26"/>
        <v>0</v>
      </c>
      <c r="CL20" s="66"/>
      <c r="CM20" s="34">
        <f t="shared" si="27"/>
        <v>0</v>
      </c>
      <c r="CN20" s="67">
        <f t="shared" si="28"/>
        <v>0</v>
      </c>
      <c r="CO20" s="66"/>
      <c r="CP20" s="34">
        <f t="shared" si="29"/>
        <v>0</v>
      </c>
      <c r="CQ20" s="67">
        <f t="shared" si="30"/>
        <v>0</v>
      </c>
      <c r="CR20" s="66"/>
      <c r="CS20" s="34">
        <f t="shared" si="31"/>
        <v>0</v>
      </c>
      <c r="CT20" s="65">
        <f t="shared" si="32"/>
        <v>0</v>
      </c>
      <c r="CU20" s="66"/>
      <c r="CV20" s="31">
        <f t="shared" si="33"/>
        <v>0</v>
      </c>
      <c r="CW20" s="67">
        <f t="shared" si="34"/>
        <v>0</v>
      </c>
      <c r="CX20" s="66"/>
      <c r="CY20" s="31">
        <f t="shared" si="35"/>
        <v>0</v>
      </c>
      <c r="CZ20" s="65">
        <f t="shared" si="36"/>
        <v>0</v>
      </c>
      <c r="DA20" s="66"/>
      <c r="DB20" s="31">
        <f t="shared" si="37"/>
        <v>0</v>
      </c>
      <c r="DC20" s="67">
        <f t="shared" si="38"/>
        <v>0</v>
      </c>
      <c r="DE20" s="76">
        <v>1750</v>
      </c>
      <c r="DF20" s="42"/>
      <c r="DG20" s="69">
        <f t="shared" si="39"/>
        <v>0</v>
      </c>
      <c r="DH20" s="42"/>
      <c r="DI20" s="70">
        <f t="shared" si="40"/>
        <v>7</v>
      </c>
      <c r="DJ20" s="42"/>
      <c r="DK20" s="70">
        <f t="shared" si="41"/>
        <v>1743</v>
      </c>
      <c r="DL20" s="42"/>
      <c r="DM20" s="71">
        <f t="shared" si="42"/>
        <v>38258.85</v>
      </c>
      <c r="DN20" s="42"/>
      <c r="DO20" s="72">
        <f t="shared" si="43"/>
        <v>249</v>
      </c>
      <c r="DP20" s="42"/>
      <c r="DQ20" s="71">
        <f t="shared" si="44"/>
        <v>45910.62</v>
      </c>
      <c r="DR20" s="42"/>
      <c r="DS20" s="69">
        <v>486</v>
      </c>
      <c r="DT20" s="42"/>
      <c r="DU20" s="71">
        <v>23.95</v>
      </c>
      <c r="DV20" s="42"/>
      <c r="DW20" s="73">
        <f t="shared" si="46"/>
        <v>28.74</v>
      </c>
      <c r="DX20" s="42"/>
      <c r="DY20" s="71">
        <f t="shared" si="47"/>
        <v>11639.699999999999</v>
      </c>
    </row>
    <row r="21" ht="12" customHeight="1" spans="1:129" x14ac:dyDescent="0.25">
      <c r="A21" s="74" t="s">
        <v>66</v>
      </c>
      <c r="B21" s="42"/>
      <c r="C21" s="75"/>
      <c r="D21" s="44"/>
      <c r="E21" s="78">
        <v>33.5</v>
      </c>
      <c r="F21" s="44"/>
      <c r="G21" s="61">
        <v>40.2</v>
      </c>
      <c r="I21" s="62"/>
      <c r="J21" s="63"/>
      <c r="K21" s="64"/>
      <c r="L21" s="3"/>
      <c r="M21" s="62"/>
      <c r="N21" s="3"/>
      <c r="O21" s="64"/>
      <c r="P21" s="3"/>
      <c r="Q21" s="62">
        <v>1</v>
      </c>
      <c r="R21" s="3"/>
      <c r="S21" s="64"/>
      <c r="T21" s="3"/>
      <c r="U21" s="62"/>
      <c r="V21" s="3"/>
      <c r="W21" s="64"/>
      <c r="X21" s="3"/>
      <c r="Y21" s="62"/>
      <c r="Z21" s="3"/>
      <c r="AA21" s="64"/>
      <c r="AB21" s="3"/>
      <c r="AC21" s="62"/>
      <c r="AD21" s="3"/>
      <c r="AE21" s="64"/>
      <c r="AF21" s="3"/>
      <c r="AG21" s="62"/>
      <c r="AH21" s="3"/>
      <c r="AI21" s="64"/>
      <c r="AJ21" s="3"/>
      <c r="AK21" s="62"/>
      <c r="AL21" s="3"/>
      <c r="AM21" s="64"/>
      <c r="AN21" s="3"/>
      <c r="AO21" s="62"/>
      <c r="AP21" s="3"/>
      <c r="AQ21" s="64"/>
      <c r="AR21" s="3"/>
      <c r="AS21" s="62"/>
      <c r="AT21" s="3"/>
      <c r="AU21" s="64"/>
      <c r="AW21" s="34">
        <f t="shared" si="0"/>
        <v>0</v>
      </c>
      <c r="AX21" s="65">
        <f t="shared" si="1"/>
        <v>0</v>
      </c>
      <c r="AY21" s="66"/>
      <c r="AZ21" s="31">
        <f t="shared" si="2"/>
        <v>0</v>
      </c>
      <c r="BA21" s="67">
        <f t="shared" si="3"/>
        <v>0</v>
      </c>
      <c r="BB21" s="66"/>
      <c r="BC21" s="31">
        <f t="shared" si="4"/>
        <v>0</v>
      </c>
      <c r="BD21" s="65">
        <f t="shared" si="5"/>
        <v>0</v>
      </c>
      <c r="BE21" s="66"/>
      <c r="BF21" s="31">
        <f t="shared" si="6"/>
        <v>0</v>
      </c>
      <c r="BG21" s="67">
        <f t="shared" si="7"/>
        <v>0</v>
      </c>
      <c r="BH21" s="66"/>
      <c r="BI21" s="31">
        <f t="shared" si="8"/>
        <v>1</v>
      </c>
      <c r="BJ21" s="65">
        <f t="shared" si="9"/>
        <v>40.2</v>
      </c>
      <c r="BK21" s="66"/>
      <c r="BL21" s="31">
        <f t="shared" si="10"/>
        <v>0</v>
      </c>
      <c r="BM21" s="67">
        <f t="shared" si="11"/>
        <v>0</v>
      </c>
      <c r="BN21" s="66"/>
      <c r="BO21" s="31">
        <f t="shared" si="12"/>
        <v>0</v>
      </c>
      <c r="BP21" s="65">
        <f t="shared" si="13"/>
        <v>0</v>
      </c>
      <c r="BQ21" s="66"/>
      <c r="BR21" s="31">
        <f t="shared" si="14"/>
        <v>0</v>
      </c>
      <c r="BS21" s="67">
        <f t="shared" si="15"/>
        <v>0</v>
      </c>
      <c r="BT21" s="66"/>
      <c r="BU21" s="31">
        <f t="shared" si="16"/>
        <v>0</v>
      </c>
      <c r="BV21" s="65">
        <f t="shared" si="17"/>
        <v>0</v>
      </c>
      <c r="BW21" s="66"/>
      <c r="BX21" s="31">
        <f t="shared" si="18"/>
        <v>0</v>
      </c>
      <c r="BY21" s="67">
        <f t="shared" si="19"/>
        <v>0</v>
      </c>
      <c r="BZ21" s="66"/>
      <c r="CA21" s="31">
        <f t="shared" si="20"/>
        <v>0</v>
      </c>
      <c r="CB21" s="65">
        <f t="shared" si="21"/>
        <v>0</v>
      </c>
      <c r="CC21" s="66"/>
      <c r="CD21" s="31">
        <f t="shared" si="22"/>
        <v>0</v>
      </c>
      <c r="CE21" s="67">
        <f t="shared" si="23"/>
        <v>0</v>
      </c>
      <c r="CF21" s="66"/>
      <c r="CG21" s="34">
        <f t="shared" si="24"/>
        <v>0</v>
      </c>
      <c r="CH21" s="67">
        <f t="shared" si="45"/>
        <v>0</v>
      </c>
      <c r="CI21" s="66"/>
      <c r="CJ21" s="34">
        <f t="shared" si="25"/>
        <v>0</v>
      </c>
      <c r="CK21" s="67">
        <f t="shared" si="26"/>
        <v>0</v>
      </c>
      <c r="CL21" s="66"/>
      <c r="CM21" s="34">
        <f t="shared" si="27"/>
        <v>0</v>
      </c>
      <c r="CN21" s="67">
        <f t="shared" si="28"/>
        <v>0</v>
      </c>
      <c r="CO21" s="66"/>
      <c r="CP21" s="34">
        <f t="shared" si="29"/>
        <v>0</v>
      </c>
      <c r="CQ21" s="67">
        <f t="shared" si="30"/>
        <v>0</v>
      </c>
      <c r="CR21" s="66"/>
      <c r="CS21" s="34">
        <f t="shared" si="31"/>
        <v>0</v>
      </c>
      <c r="CT21" s="65">
        <f t="shared" si="32"/>
        <v>0</v>
      </c>
      <c r="CU21" s="66"/>
      <c r="CV21" s="31">
        <f t="shared" si="33"/>
        <v>0</v>
      </c>
      <c r="CW21" s="67">
        <f t="shared" si="34"/>
        <v>0</v>
      </c>
      <c r="CX21" s="66"/>
      <c r="CY21" s="31">
        <f t="shared" si="35"/>
        <v>0</v>
      </c>
      <c r="CZ21" s="65">
        <f t="shared" si="36"/>
        <v>0</v>
      </c>
      <c r="DA21" s="66"/>
      <c r="DB21" s="31">
        <f t="shared" si="37"/>
        <v>0</v>
      </c>
      <c r="DC21" s="67">
        <f t="shared" si="38"/>
        <v>0</v>
      </c>
      <c r="DE21" s="76">
        <v>61</v>
      </c>
      <c r="DF21" s="42"/>
      <c r="DG21" s="69">
        <f t="shared" si="39"/>
        <v>0</v>
      </c>
      <c r="DH21" s="42"/>
      <c r="DI21" s="70">
        <f t="shared" si="40"/>
        <v>1</v>
      </c>
      <c r="DJ21" s="42"/>
      <c r="DK21" s="70">
        <f t="shared" si="41"/>
        <v>60</v>
      </c>
      <c r="DL21" s="42"/>
      <c r="DM21" s="71">
        <f t="shared" si="42"/>
        <v>2010</v>
      </c>
      <c r="DN21" s="42"/>
      <c r="DO21" s="72">
        <f t="shared" si="43"/>
        <v>60</v>
      </c>
      <c r="DP21" s="42"/>
      <c r="DQ21" s="71">
        <f t="shared" si="44"/>
        <v>2412</v>
      </c>
      <c r="DR21" s="42"/>
      <c r="DS21" s="69">
        <v>90</v>
      </c>
      <c r="DT21" s="42"/>
      <c r="DU21" s="71">
        <v>39.95</v>
      </c>
      <c r="DV21" s="42"/>
      <c r="DW21" s="73">
        <f t="shared" si="46"/>
        <v>47.940000000000005</v>
      </c>
      <c r="DX21" s="42"/>
      <c r="DY21" s="71">
        <f t="shared" si="47"/>
        <v>3595.5000000000005</v>
      </c>
    </row>
    <row r="22" ht="12.45" customHeight="1" spans="1:129" x14ac:dyDescent="0.25">
      <c r="A22" s="77" t="s">
        <v>67</v>
      </c>
      <c r="B22" s="42"/>
      <c r="C22" s="75"/>
      <c r="D22" s="44"/>
      <c r="E22" s="78">
        <v>35.71</v>
      </c>
      <c r="F22" s="44"/>
      <c r="G22" s="61">
        <v>42.85</v>
      </c>
      <c r="I22" s="62"/>
      <c r="J22" s="63"/>
      <c r="K22" s="64"/>
      <c r="L22" s="3"/>
      <c r="M22" s="62"/>
      <c r="N22" s="3"/>
      <c r="O22" s="64"/>
      <c r="P22" s="3"/>
      <c r="Q22" s="62"/>
      <c r="R22" s="3"/>
      <c r="S22" s="64"/>
      <c r="T22" s="3"/>
      <c r="U22" s="62"/>
      <c r="V22" s="3"/>
      <c r="W22" s="64"/>
      <c r="X22" s="3"/>
      <c r="Y22" s="62"/>
      <c r="Z22" s="3"/>
      <c r="AA22" s="64">
        <v>1</v>
      </c>
      <c r="AB22" s="3"/>
      <c r="AC22" s="62"/>
      <c r="AD22" s="3"/>
      <c r="AE22" s="64"/>
      <c r="AF22" s="3"/>
      <c r="AG22" s="62"/>
      <c r="AH22" s="3"/>
      <c r="AI22" s="64"/>
      <c r="AJ22" s="3"/>
      <c r="AK22" s="62"/>
      <c r="AL22" s="3"/>
      <c r="AM22" s="64"/>
      <c r="AN22" s="3"/>
      <c r="AO22" s="62"/>
      <c r="AP22" s="3"/>
      <c r="AQ22" s="64"/>
      <c r="AR22" s="3"/>
      <c r="AS22" s="62"/>
      <c r="AT22" s="3"/>
      <c r="AU22" s="64"/>
      <c r="AW22" s="34">
        <f t="shared" si="0"/>
        <v>0</v>
      </c>
      <c r="AX22" s="65">
        <f t="shared" si="1"/>
        <v>0</v>
      </c>
      <c r="AY22" s="66"/>
      <c r="AZ22" s="31">
        <f t="shared" si="2"/>
        <v>0</v>
      </c>
      <c r="BA22" s="67">
        <f t="shared" si="3"/>
        <v>0</v>
      </c>
      <c r="BB22" s="66"/>
      <c r="BC22" s="31">
        <f t="shared" si="4"/>
        <v>0</v>
      </c>
      <c r="BD22" s="65">
        <f t="shared" si="5"/>
        <v>0</v>
      </c>
      <c r="BE22" s="66"/>
      <c r="BF22" s="31">
        <f t="shared" si="6"/>
        <v>0</v>
      </c>
      <c r="BG22" s="67">
        <f t="shared" si="7"/>
        <v>0</v>
      </c>
      <c r="BH22" s="66"/>
      <c r="BI22" s="31">
        <f t="shared" si="8"/>
        <v>0</v>
      </c>
      <c r="BJ22" s="65">
        <f t="shared" si="9"/>
        <v>0</v>
      </c>
      <c r="BK22" s="66"/>
      <c r="BL22" s="31">
        <f t="shared" si="10"/>
        <v>0</v>
      </c>
      <c r="BM22" s="67">
        <f t="shared" si="11"/>
        <v>0</v>
      </c>
      <c r="BN22" s="66"/>
      <c r="BO22" s="31">
        <f t="shared" si="12"/>
        <v>0</v>
      </c>
      <c r="BP22" s="65">
        <f t="shared" si="13"/>
        <v>0</v>
      </c>
      <c r="BQ22" s="66"/>
      <c r="BR22" s="31">
        <f t="shared" si="14"/>
        <v>0</v>
      </c>
      <c r="BS22" s="67">
        <f t="shared" si="15"/>
        <v>0</v>
      </c>
      <c r="BT22" s="66"/>
      <c r="BU22" s="31">
        <f t="shared" si="16"/>
        <v>0</v>
      </c>
      <c r="BV22" s="65">
        <f t="shared" si="17"/>
        <v>0</v>
      </c>
      <c r="BW22" s="66"/>
      <c r="BX22" s="31">
        <f t="shared" si="18"/>
        <v>1</v>
      </c>
      <c r="BY22" s="67">
        <f t="shared" si="19"/>
        <v>42.85</v>
      </c>
      <c r="BZ22" s="66"/>
      <c r="CA22" s="31">
        <f t="shared" si="20"/>
        <v>0</v>
      </c>
      <c r="CB22" s="65">
        <f t="shared" si="21"/>
        <v>0</v>
      </c>
      <c r="CC22" s="66"/>
      <c r="CD22" s="31">
        <f t="shared" si="22"/>
        <v>0</v>
      </c>
      <c r="CE22" s="67">
        <f t="shared" si="23"/>
        <v>0</v>
      </c>
      <c r="CF22" s="66"/>
      <c r="CG22" s="34">
        <f t="shared" si="24"/>
        <v>0</v>
      </c>
      <c r="CH22" s="67">
        <f t="shared" si="45"/>
        <v>0</v>
      </c>
      <c r="CI22" s="66"/>
      <c r="CJ22" s="34">
        <f t="shared" si="25"/>
        <v>0</v>
      </c>
      <c r="CK22" s="67">
        <f t="shared" si="26"/>
        <v>0</v>
      </c>
      <c r="CL22" s="66"/>
      <c r="CM22" s="34">
        <f t="shared" si="27"/>
        <v>0</v>
      </c>
      <c r="CN22" s="67">
        <f t="shared" si="28"/>
        <v>0</v>
      </c>
      <c r="CO22" s="66"/>
      <c r="CP22" s="34">
        <f t="shared" si="29"/>
        <v>0</v>
      </c>
      <c r="CQ22" s="67">
        <f t="shared" si="30"/>
        <v>0</v>
      </c>
      <c r="CR22" s="66"/>
      <c r="CS22" s="34">
        <f t="shared" si="31"/>
        <v>0</v>
      </c>
      <c r="CT22" s="65">
        <f t="shared" si="32"/>
        <v>0</v>
      </c>
      <c r="CU22" s="66"/>
      <c r="CV22" s="31">
        <f t="shared" si="33"/>
        <v>0</v>
      </c>
      <c r="CW22" s="67">
        <f t="shared" si="34"/>
        <v>0</v>
      </c>
      <c r="CX22" s="66"/>
      <c r="CY22" s="31">
        <f t="shared" si="35"/>
        <v>0</v>
      </c>
      <c r="CZ22" s="65">
        <f t="shared" si="36"/>
        <v>0</v>
      </c>
      <c r="DA22" s="66"/>
      <c r="DB22" s="31">
        <f t="shared" si="37"/>
        <v>0</v>
      </c>
      <c r="DC22" s="67">
        <f t="shared" si="38"/>
        <v>0</v>
      </c>
      <c r="DE22" s="76">
        <v>13</v>
      </c>
      <c r="DF22" s="42"/>
      <c r="DG22" s="69">
        <f t="shared" si="39"/>
        <v>0</v>
      </c>
      <c r="DH22" s="42"/>
      <c r="DI22" s="70">
        <f t="shared" si="40"/>
        <v>1</v>
      </c>
      <c r="DJ22" s="42"/>
      <c r="DK22" s="70">
        <f t="shared" si="41"/>
        <v>12</v>
      </c>
      <c r="DL22" s="42"/>
      <c r="DM22" s="71">
        <f t="shared" si="42"/>
        <v>428.52</v>
      </c>
      <c r="DN22" s="42"/>
      <c r="DO22" s="72">
        <f t="shared" si="43"/>
        <v>12</v>
      </c>
      <c r="DP22" s="42"/>
      <c r="DQ22" s="71">
        <f t="shared" si="44"/>
        <v>514.2</v>
      </c>
      <c r="DR22" s="42"/>
      <c r="DS22" s="69"/>
      <c r="DT22" s="42"/>
      <c r="DU22" s="71">
        <v>0</v>
      </c>
      <c r="DV22" s="42"/>
      <c r="DW22" s="73">
        <f t="shared" si="46"/>
        <v>0</v>
      </c>
      <c r="DX22" s="42"/>
      <c r="DY22" s="71">
        <f t="shared" si="47"/>
        <v>0</v>
      </c>
    </row>
    <row r="23" ht="12" customHeight="1" spans="1:129" x14ac:dyDescent="0.25">
      <c r="A23" s="74" t="s">
        <v>68</v>
      </c>
      <c r="B23" s="42"/>
      <c r="C23" s="75"/>
      <c r="D23" s="44"/>
      <c r="E23" s="78">
        <v>77.2</v>
      </c>
      <c r="F23" s="44"/>
      <c r="G23" s="61">
        <v>96.5</v>
      </c>
      <c r="I23" s="62"/>
      <c r="J23" s="63"/>
      <c r="K23" s="64"/>
      <c r="L23" s="3"/>
      <c r="M23" s="62"/>
      <c r="N23" s="3"/>
      <c r="O23" s="64"/>
      <c r="P23" s="3"/>
      <c r="Q23" s="62"/>
      <c r="R23" s="3"/>
      <c r="S23" s="64"/>
      <c r="T23" s="3"/>
      <c r="U23" s="62"/>
      <c r="V23" s="3"/>
      <c r="W23" s="64"/>
      <c r="X23" s="3"/>
      <c r="Y23" s="62"/>
      <c r="Z23" s="3"/>
      <c r="AA23" s="64"/>
      <c r="AB23" s="3"/>
      <c r="AC23" s="62"/>
      <c r="AD23" s="3"/>
      <c r="AE23" s="64"/>
      <c r="AF23" s="3"/>
      <c r="AG23" s="62"/>
      <c r="AH23" s="3"/>
      <c r="AI23" s="64"/>
      <c r="AJ23" s="3"/>
      <c r="AK23" s="62"/>
      <c r="AL23" s="3"/>
      <c r="AM23" s="64"/>
      <c r="AN23" s="3"/>
      <c r="AO23" s="62"/>
      <c r="AP23" s="3"/>
      <c r="AQ23" s="64"/>
      <c r="AR23" s="3"/>
      <c r="AS23" s="62"/>
      <c r="AT23" s="3"/>
      <c r="AU23" s="64"/>
      <c r="AW23" s="34">
        <f t="shared" si="0"/>
        <v>0</v>
      </c>
      <c r="AX23" s="65">
        <f t="shared" si="1"/>
        <v>0</v>
      </c>
      <c r="AY23" s="66"/>
      <c r="AZ23" s="31">
        <f t="shared" si="2"/>
        <v>0</v>
      </c>
      <c r="BA23" s="67">
        <f t="shared" si="3"/>
        <v>0</v>
      </c>
      <c r="BB23" s="66"/>
      <c r="BC23" s="31">
        <f t="shared" si="4"/>
        <v>0</v>
      </c>
      <c r="BD23" s="65">
        <f t="shared" si="5"/>
        <v>0</v>
      </c>
      <c r="BE23" s="66"/>
      <c r="BF23" s="31">
        <f t="shared" si="6"/>
        <v>0</v>
      </c>
      <c r="BG23" s="67">
        <f t="shared" si="7"/>
        <v>0</v>
      </c>
      <c r="BH23" s="66"/>
      <c r="BI23" s="31">
        <f t="shared" si="8"/>
        <v>0</v>
      </c>
      <c r="BJ23" s="65">
        <f t="shared" si="9"/>
        <v>0</v>
      </c>
      <c r="BK23" s="66"/>
      <c r="BL23" s="31">
        <f t="shared" si="10"/>
        <v>0</v>
      </c>
      <c r="BM23" s="67">
        <f t="shared" si="11"/>
        <v>0</v>
      </c>
      <c r="BN23" s="66"/>
      <c r="BO23" s="31">
        <f t="shared" si="12"/>
        <v>0</v>
      </c>
      <c r="BP23" s="65">
        <f t="shared" si="13"/>
        <v>0</v>
      </c>
      <c r="BQ23" s="66"/>
      <c r="BR23" s="31">
        <f t="shared" si="14"/>
        <v>0</v>
      </c>
      <c r="BS23" s="67">
        <f t="shared" si="15"/>
        <v>0</v>
      </c>
      <c r="BT23" s="66"/>
      <c r="BU23" s="31">
        <f t="shared" si="16"/>
        <v>0</v>
      </c>
      <c r="BV23" s="65">
        <f t="shared" si="17"/>
        <v>0</v>
      </c>
      <c r="BW23" s="66"/>
      <c r="BX23" s="31">
        <f t="shared" si="18"/>
        <v>0</v>
      </c>
      <c r="BY23" s="67">
        <f t="shared" si="19"/>
        <v>0</v>
      </c>
      <c r="BZ23" s="66"/>
      <c r="CA23" s="31">
        <f t="shared" si="20"/>
        <v>0</v>
      </c>
      <c r="CB23" s="65">
        <f t="shared" si="21"/>
        <v>0</v>
      </c>
      <c r="CC23" s="66"/>
      <c r="CD23" s="31">
        <f t="shared" si="22"/>
        <v>0</v>
      </c>
      <c r="CE23" s="67">
        <f t="shared" si="23"/>
        <v>0</v>
      </c>
      <c r="CF23" s="66"/>
      <c r="CG23" s="34">
        <f t="shared" si="24"/>
        <v>0</v>
      </c>
      <c r="CH23" s="67">
        <f t="shared" si="45"/>
        <v>0</v>
      </c>
      <c r="CI23" s="66"/>
      <c r="CJ23" s="34">
        <f t="shared" si="25"/>
        <v>0</v>
      </c>
      <c r="CK23" s="67">
        <f t="shared" si="26"/>
        <v>0</v>
      </c>
      <c r="CL23" s="66"/>
      <c r="CM23" s="34">
        <f t="shared" si="27"/>
        <v>0</v>
      </c>
      <c r="CN23" s="67">
        <f t="shared" si="28"/>
        <v>0</v>
      </c>
      <c r="CO23" s="66"/>
      <c r="CP23" s="34">
        <f t="shared" si="29"/>
        <v>0</v>
      </c>
      <c r="CQ23" s="67">
        <f t="shared" si="30"/>
        <v>0</v>
      </c>
      <c r="CR23" s="66"/>
      <c r="CS23" s="34">
        <f t="shared" si="31"/>
        <v>0</v>
      </c>
      <c r="CT23" s="65">
        <f t="shared" si="32"/>
        <v>0</v>
      </c>
      <c r="CU23" s="66"/>
      <c r="CV23" s="31">
        <f t="shared" si="33"/>
        <v>0</v>
      </c>
      <c r="CW23" s="67">
        <f t="shared" si="34"/>
        <v>0</v>
      </c>
      <c r="CX23" s="66"/>
      <c r="CY23" s="31">
        <f t="shared" si="35"/>
        <v>0</v>
      </c>
      <c r="CZ23" s="65">
        <f t="shared" si="36"/>
        <v>0</v>
      </c>
      <c r="DA23" s="66"/>
      <c r="DB23" s="31">
        <f t="shared" si="37"/>
        <v>0</v>
      </c>
      <c r="DC23" s="67">
        <f t="shared" si="38"/>
        <v>0</v>
      </c>
      <c r="DE23" s="76">
        <v>151</v>
      </c>
      <c r="DF23" s="42"/>
      <c r="DG23" s="69">
        <f t="shared" si="39"/>
        <v>0</v>
      </c>
      <c r="DH23" s="42"/>
      <c r="DI23" s="70">
        <f t="shared" si="40"/>
        <v>0</v>
      </c>
      <c r="DJ23" s="42"/>
      <c r="DK23" s="70">
        <f t="shared" si="41"/>
        <v>151</v>
      </c>
      <c r="DL23" s="42"/>
      <c r="DM23" s="71">
        <f t="shared" si="42"/>
        <v>11657.2</v>
      </c>
      <c r="DN23" s="42"/>
      <c r="DO23" s="72" t="e">
        <f t="shared" si="43"/>
        <v>#DIV/0!</v>
      </c>
      <c r="DP23" s="42"/>
      <c r="DQ23" s="71">
        <f t="shared" si="44"/>
        <v>14571.5</v>
      </c>
      <c r="DR23" s="42"/>
      <c r="DS23" s="69"/>
      <c r="DT23" s="42"/>
      <c r="DU23" s="71">
        <v>0</v>
      </c>
      <c r="DV23" s="42"/>
      <c r="DW23" s="73">
        <f t="shared" si="46"/>
        <v>0</v>
      </c>
      <c r="DX23" s="42"/>
      <c r="DY23" s="71">
        <f t="shared" si="47"/>
        <v>0</v>
      </c>
    </row>
    <row r="24" ht="12" customHeight="1" spans="1:129" x14ac:dyDescent="0.25">
      <c r="A24" s="77" t="s">
        <v>69</v>
      </c>
      <c r="B24" s="42"/>
      <c r="C24" s="75"/>
      <c r="D24" s="44"/>
      <c r="E24" s="78">
        <v>13.8</v>
      </c>
      <c r="F24" s="44"/>
      <c r="G24" s="61">
        <v>16.56</v>
      </c>
      <c r="I24" s="62"/>
      <c r="J24" s="63"/>
      <c r="K24" s="64">
        <v>4</v>
      </c>
      <c r="L24" s="3"/>
      <c r="M24" s="62">
        <v>1</v>
      </c>
      <c r="N24" s="3"/>
      <c r="O24" s="64">
        <v>2</v>
      </c>
      <c r="P24" s="3"/>
      <c r="Q24" s="62">
        <v>1</v>
      </c>
      <c r="R24" s="3"/>
      <c r="S24" s="64">
        <v>1</v>
      </c>
      <c r="T24" s="3"/>
      <c r="U24" s="62">
        <v>2</v>
      </c>
      <c r="V24" s="3"/>
      <c r="W24" s="64">
        <v>3</v>
      </c>
      <c r="X24" s="3"/>
      <c r="Y24" s="62">
        <v>1</v>
      </c>
      <c r="Z24" s="3"/>
      <c r="AA24" s="64">
        <v>1</v>
      </c>
      <c r="AB24" s="3"/>
      <c r="AC24" s="62">
        <v>1</v>
      </c>
      <c r="AD24" s="3"/>
      <c r="AE24" s="64"/>
      <c r="AF24" s="3"/>
      <c r="AG24" s="62"/>
      <c r="AH24" s="3"/>
      <c r="AI24" s="64"/>
      <c r="AJ24" s="3"/>
      <c r="AK24" s="62"/>
      <c r="AL24" s="3"/>
      <c r="AM24" s="64"/>
      <c r="AN24" s="3"/>
      <c r="AO24" s="62"/>
      <c r="AP24" s="3"/>
      <c r="AQ24" s="64"/>
      <c r="AR24" s="3"/>
      <c r="AS24" s="62"/>
      <c r="AT24" s="3"/>
      <c r="AU24" s="64"/>
      <c r="AW24" s="34">
        <f t="shared" si="0"/>
        <v>0</v>
      </c>
      <c r="AX24" s="65">
        <f t="shared" si="1"/>
        <v>0</v>
      </c>
      <c r="AY24" s="66"/>
      <c r="AZ24" s="31">
        <f t="shared" si="2"/>
        <v>4</v>
      </c>
      <c r="BA24" s="67">
        <f t="shared" si="3"/>
        <v>66.24</v>
      </c>
      <c r="BB24" s="66"/>
      <c r="BC24" s="31">
        <f t="shared" si="4"/>
        <v>1</v>
      </c>
      <c r="BD24" s="65">
        <f t="shared" si="5"/>
        <v>16.56</v>
      </c>
      <c r="BE24" s="66"/>
      <c r="BF24" s="31">
        <f t="shared" si="6"/>
        <v>2</v>
      </c>
      <c r="BG24" s="67">
        <f t="shared" si="7"/>
        <v>33.12</v>
      </c>
      <c r="BH24" s="66"/>
      <c r="BI24" s="31">
        <f t="shared" si="8"/>
        <v>1</v>
      </c>
      <c r="BJ24" s="65">
        <f t="shared" si="9"/>
        <v>16.56</v>
      </c>
      <c r="BK24" s="66"/>
      <c r="BL24" s="31">
        <f t="shared" si="10"/>
        <v>1</v>
      </c>
      <c r="BM24" s="67">
        <f t="shared" si="11"/>
        <v>16.56</v>
      </c>
      <c r="BN24" s="66"/>
      <c r="BO24" s="31">
        <f t="shared" si="12"/>
        <v>2</v>
      </c>
      <c r="BP24" s="65">
        <f t="shared" si="13"/>
        <v>33.12</v>
      </c>
      <c r="BQ24" s="66"/>
      <c r="BR24" s="31">
        <f t="shared" si="14"/>
        <v>3</v>
      </c>
      <c r="BS24" s="67">
        <f t="shared" si="15"/>
        <v>49.67999999999999</v>
      </c>
      <c r="BT24" s="66"/>
      <c r="BU24" s="31">
        <f t="shared" si="16"/>
        <v>1</v>
      </c>
      <c r="BV24" s="65">
        <f t="shared" si="17"/>
        <v>16.56</v>
      </c>
      <c r="BW24" s="66"/>
      <c r="BX24" s="31">
        <f t="shared" si="18"/>
        <v>1</v>
      </c>
      <c r="BY24" s="67">
        <f t="shared" si="19"/>
        <v>16.56</v>
      </c>
      <c r="BZ24" s="66"/>
      <c r="CA24" s="31">
        <f t="shared" si="20"/>
        <v>1</v>
      </c>
      <c r="CB24" s="65">
        <f t="shared" si="21"/>
        <v>16.56</v>
      </c>
      <c r="CC24" s="66"/>
      <c r="CD24" s="31">
        <f t="shared" si="22"/>
        <v>0</v>
      </c>
      <c r="CE24" s="67">
        <f t="shared" si="23"/>
        <v>0</v>
      </c>
      <c r="CF24" s="66"/>
      <c r="CG24" s="34">
        <f t="shared" si="24"/>
        <v>0</v>
      </c>
      <c r="CH24" s="67">
        <f t="shared" si="45"/>
        <v>0</v>
      </c>
      <c r="CI24" s="66"/>
      <c r="CJ24" s="34">
        <f t="shared" si="25"/>
        <v>0</v>
      </c>
      <c r="CK24" s="67">
        <f t="shared" si="26"/>
        <v>0</v>
      </c>
      <c r="CL24" s="66"/>
      <c r="CM24" s="34">
        <f t="shared" si="27"/>
        <v>0</v>
      </c>
      <c r="CN24" s="67">
        <f t="shared" si="28"/>
        <v>0</v>
      </c>
      <c r="CO24" s="66"/>
      <c r="CP24" s="34">
        <f t="shared" si="29"/>
        <v>0</v>
      </c>
      <c r="CQ24" s="67">
        <f t="shared" si="30"/>
        <v>0</v>
      </c>
      <c r="CR24" s="66"/>
      <c r="CS24" s="34">
        <f t="shared" si="31"/>
        <v>0</v>
      </c>
      <c r="CT24" s="65">
        <f t="shared" si="32"/>
        <v>0</v>
      </c>
      <c r="CU24" s="66"/>
      <c r="CV24" s="31">
        <f t="shared" si="33"/>
        <v>0</v>
      </c>
      <c r="CW24" s="67">
        <f t="shared" si="34"/>
        <v>0</v>
      </c>
      <c r="CX24" s="66"/>
      <c r="CY24" s="31">
        <f t="shared" si="35"/>
        <v>0</v>
      </c>
      <c r="CZ24" s="65">
        <f t="shared" si="36"/>
        <v>0</v>
      </c>
      <c r="DA24" s="66"/>
      <c r="DB24" s="31">
        <f t="shared" si="37"/>
        <v>0</v>
      </c>
      <c r="DC24" s="67">
        <f t="shared" si="38"/>
        <v>0</v>
      </c>
      <c r="DE24" s="76">
        <v>584</v>
      </c>
      <c r="DF24" s="42"/>
      <c r="DG24" s="69">
        <f t="shared" si="39"/>
        <v>0</v>
      </c>
      <c r="DH24" s="42"/>
      <c r="DI24" s="70">
        <f t="shared" si="40"/>
        <v>17</v>
      </c>
      <c r="DJ24" s="42"/>
      <c r="DK24" s="70">
        <f t="shared" si="41"/>
        <v>567</v>
      </c>
      <c r="DL24" s="42"/>
      <c r="DM24" s="71">
        <f t="shared" si="42"/>
        <v>7824.6</v>
      </c>
      <c r="DN24" s="42"/>
      <c r="DO24" s="72">
        <f t="shared" si="43"/>
        <v>33.35294117647059</v>
      </c>
      <c r="DP24" s="42"/>
      <c r="DQ24" s="71">
        <f t="shared" si="44"/>
        <v>9389.519999999999</v>
      </c>
      <c r="DR24" s="42"/>
      <c r="DS24" s="69"/>
      <c r="DT24" s="42"/>
      <c r="DU24" s="71">
        <v>0</v>
      </c>
      <c r="DV24" s="42"/>
      <c r="DW24" s="73">
        <f t="shared" si="46"/>
        <v>0</v>
      </c>
      <c r="DX24" s="42"/>
      <c r="DY24" s="71">
        <f t="shared" si="47"/>
        <v>0</v>
      </c>
    </row>
    <row r="25" ht="12" customHeight="1" spans="1:129" x14ac:dyDescent="0.25">
      <c r="A25" s="74" t="s">
        <v>70</v>
      </c>
      <c r="B25" s="42"/>
      <c r="C25" s="75"/>
      <c r="D25" s="44"/>
      <c r="E25" s="78">
        <v>27.99</v>
      </c>
      <c r="F25" s="44"/>
      <c r="G25" s="61">
        <v>33.59</v>
      </c>
      <c r="I25" s="62">
        <v>2</v>
      </c>
      <c r="J25" s="63"/>
      <c r="K25" s="64">
        <v>4</v>
      </c>
      <c r="L25" s="3"/>
      <c r="M25" s="62">
        <v>2</v>
      </c>
      <c r="N25" s="3"/>
      <c r="O25" s="64">
        <v>2</v>
      </c>
      <c r="P25" s="3"/>
      <c r="Q25" s="62">
        <v>2</v>
      </c>
      <c r="R25" s="3"/>
      <c r="S25" s="64">
        <v>1</v>
      </c>
      <c r="T25" s="3"/>
      <c r="U25" s="62">
        <v>1</v>
      </c>
      <c r="V25" s="3"/>
      <c r="W25" s="64">
        <v>1</v>
      </c>
      <c r="X25" s="3"/>
      <c r="Y25" s="62">
        <v>1</v>
      </c>
      <c r="Z25" s="3"/>
      <c r="AA25" s="64">
        <v>2</v>
      </c>
      <c r="AB25" s="3"/>
      <c r="AC25" s="62">
        <v>1</v>
      </c>
      <c r="AD25" s="3"/>
      <c r="AE25" s="64"/>
      <c r="AF25" s="3"/>
      <c r="AG25" s="62"/>
      <c r="AH25" s="3"/>
      <c r="AI25" s="64"/>
      <c r="AJ25" s="3"/>
      <c r="AK25" s="62"/>
      <c r="AL25" s="3"/>
      <c r="AM25" s="64"/>
      <c r="AN25" s="3"/>
      <c r="AO25" s="62"/>
      <c r="AP25" s="3"/>
      <c r="AQ25" s="64"/>
      <c r="AR25" s="3"/>
      <c r="AS25" s="62"/>
      <c r="AT25" s="3"/>
      <c r="AU25" s="64"/>
      <c r="AW25" s="34">
        <f t="shared" si="0"/>
        <v>2</v>
      </c>
      <c r="AX25" s="65">
        <f t="shared" si="1"/>
        <v>67.18</v>
      </c>
      <c r="AY25" s="66"/>
      <c r="AZ25" s="31">
        <f t="shared" si="2"/>
        <v>4</v>
      </c>
      <c r="BA25" s="67">
        <f t="shared" si="3"/>
        <v>134.36</v>
      </c>
      <c r="BB25" s="66"/>
      <c r="BC25" s="31">
        <f t="shared" si="4"/>
        <v>2</v>
      </c>
      <c r="BD25" s="65">
        <f t="shared" si="5"/>
        <v>67.18</v>
      </c>
      <c r="BE25" s="66"/>
      <c r="BF25" s="31">
        <f t="shared" si="6"/>
        <v>2</v>
      </c>
      <c r="BG25" s="67">
        <f t="shared" si="7"/>
        <v>67.18</v>
      </c>
      <c r="BH25" s="66"/>
      <c r="BI25" s="31">
        <f t="shared" si="8"/>
        <v>2</v>
      </c>
      <c r="BJ25" s="65">
        <f t="shared" si="9"/>
        <v>67.18</v>
      </c>
      <c r="BK25" s="66"/>
      <c r="BL25" s="31">
        <f t="shared" si="10"/>
        <v>1</v>
      </c>
      <c r="BM25" s="67">
        <f t="shared" si="11"/>
        <v>33.59</v>
      </c>
      <c r="BN25" s="66"/>
      <c r="BO25" s="31">
        <f t="shared" si="12"/>
        <v>1</v>
      </c>
      <c r="BP25" s="65">
        <f t="shared" si="13"/>
        <v>33.59</v>
      </c>
      <c r="BQ25" s="66"/>
      <c r="BR25" s="31">
        <f t="shared" si="14"/>
        <v>1</v>
      </c>
      <c r="BS25" s="67">
        <f t="shared" si="15"/>
        <v>33.59</v>
      </c>
      <c r="BT25" s="66"/>
      <c r="BU25" s="31">
        <f t="shared" si="16"/>
        <v>1</v>
      </c>
      <c r="BV25" s="65">
        <f t="shared" si="17"/>
        <v>33.59</v>
      </c>
      <c r="BW25" s="66"/>
      <c r="BX25" s="31">
        <f t="shared" si="18"/>
        <v>2</v>
      </c>
      <c r="BY25" s="67">
        <f t="shared" si="19"/>
        <v>67.18</v>
      </c>
      <c r="BZ25" s="66"/>
      <c r="CA25" s="31">
        <f t="shared" si="20"/>
        <v>1</v>
      </c>
      <c r="CB25" s="65">
        <f t="shared" si="21"/>
        <v>33.59</v>
      </c>
      <c r="CC25" s="66"/>
      <c r="CD25" s="31">
        <f t="shared" si="22"/>
        <v>0</v>
      </c>
      <c r="CE25" s="67">
        <f t="shared" si="23"/>
        <v>0</v>
      </c>
      <c r="CF25" s="66"/>
      <c r="CG25" s="34">
        <f t="shared" si="24"/>
        <v>0</v>
      </c>
      <c r="CH25" s="67">
        <f t="shared" si="45"/>
        <v>0</v>
      </c>
      <c r="CI25" s="66"/>
      <c r="CJ25" s="34">
        <f t="shared" si="25"/>
        <v>0</v>
      </c>
      <c r="CK25" s="67">
        <f t="shared" si="26"/>
        <v>0</v>
      </c>
      <c r="CL25" s="66"/>
      <c r="CM25" s="34">
        <f t="shared" si="27"/>
        <v>0</v>
      </c>
      <c r="CN25" s="67">
        <f t="shared" si="28"/>
        <v>0</v>
      </c>
      <c r="CO25" s="66"/>
      <c r="CP25" s="34">
        <f t="shared" si="29"/>
        <v>0</v>
      </c>
      <c r="CQ25" s="67">
        <f t="shared" si="30"/>
        <v>0</v>
      </c>
      <c r="CR25" s="66"/>
      <c r="CS25" s="34">
        <f t="shared" si="31"/>
        <v>0</v>
      </c>
      <c r="CT25" s="65">
        <f t="shared" si="32"/>
        <v>0</v>
      </c>
      <c r="CU25" s="66"/>
      <c r="CV25" s="31">
        <f t="shared" si="33"/>
        <v>0</v>
      </c>
      <c r="CW25" s="67">
        <f t="shared" si="34"/>
        <v>0</v>
      </c>
      <c r="CX25" s="66"/>
      <c r="CY25" s="31">
        <f t="shared" si="35"/>
        <v>0</v>
      </c>
      <c r="CZ25" s="65">
        <f t="shared" si="36"/>
        <v>0</v>
      </c>
      <c r="DA25" s="66"/>
      <c r="DB25" s="31">
        <f t="shared" si="37"/>
        <v>0</v>
      </c>
      <c r="DC25" s="67">
        <f t="shared" si="38"/>
        <v>0</v>
      </c>
      <c r="DE25" s="76">
        <v>101</v>
      </c>
      <c r="DF25" s="42"/>
      <c r="DG25" s="69">
        <f t="shared" si="39"/>
        <v>0</v>
      </c>
      <c r="DH25" s="42"/>
      <c r="DI25" s="70">
        <f t="shared" si="40"/>
        <v>19</v>
      </c>
      <c r="DJ25" s="42"/>
      <c r="DK25" s="70">
        <f t="shared" si="41"/>
        <v>82</v>
      </c>
      <c r="DL25" s="42"/>
      <c r="DM25" s="71">
        <f t="shared" si="42"/>
        <v>2295.18</v>
      </c>
      <c r="DN25" s="42"/>
      <c r="DO25" s="72">
        <f t="shared" si="43"/>
        <v>4.315789473684211</v>
      </c>
      <c r="DP25" s="42"/>
      <c r="DQ25" s="71">
        <f t="shared" si="44"/>
        <v>2754.38</v>
      </c>
      <c r="DR25" s="42"/>
      <c r="DS25" s="69"/>
      <c r="DT25" s="42"/>
      <c r="DU25" s="71">
        <v>0</v>
      </c>
      <c r="DV25" s="42"/>
      <c r="DW25" s="73">
        <f t="shared" si="46"/>
        <v>0</v>
      </c>
      <c r="DX25" s="42"/>
      <c r="DY25" s="71">
        <f t="shared" si="47"/>
        <v>0</v>
      </c>
    </row>
    <row r="26" ht="12" customHeight="1" spans="1:129" x14ac:dyDescent="0.25">
      <c r="A26" s="77" t="s">
        <v>71</v>
      </c>
      <c r="B26" s="42"/>
      <c r="C26" s="75"/>
      <c r="D26" s="44"/>
      <c r="E26" s="78">
        <v>32.99</v>
      </c>
      <c r="F26" s="44"/>
      <c r="G26" s="61">
        <v>39.59</v>
      </c>
      <c r="I26" s="62">
        <v>1</v>
      </c>
      <c r="J26" s="63"/>
      <c r="K26" s="64">
        <v>1</v>
      </c>
      <c r="L26" s="3"/>
      <c r="M26" s="62">
        <v>1</v>
      </c>
      <c r="N26" s="3"/>
      <c r="O26" s="64">
        <v>1</v>
      </c>
      <c r="P26" s="3"/>
      <c r="Q26" s="62"/>
      <c r="R26" s="3"/>
      <c r="S26" s="64">
        <v>1</v>
      </c>
      <c r="T26" s="3"/>
      <c r="U26" s="62"/>
      <c r="V26" s="3"/>
      <c r="W26" s="64">
        <v>1</v>
      </c>
      <c r="X26" s="3"/>
      <c r="Y26" s="62">
        <v>1</v>
      </c>
      <c r="Z26" s="3"/>
      <c r="AA26" s="64"/>
      <c r="AB26" s="3"/>
      <c r="AC26" s="62">
        <v>1</v>
      </c>
      <c r="AD26" s="3"/>
      <c r="AE26" s="64"/>
      <c r="AF26" s="3"/>
      <c r="AG26" s="62"/>
      <c r="AH26" s="3"/>
      <c r="AI26" s="64"/>
      <c r="AJ26" s="3"/>
      <c r="AK26" s="62"/>
      <c r="AL26" s="3"/>
      <c r="AM26" s="64"/>
      <c r="AN26" s="3"/>
      <c r="AO26" s="62"/>
      <c r="AP26" s="3"/>
      <c r="AQ26" s="64"/>
      <c r="AR26" s="3"/>
      <c r="AS26" s="62"/>
      <c r="AT26" s="3"/>
      <c r="AU26" s="64"/>
      <c r="AW26" s="34">
        <f t="shared" si="0"/>
        <v>1</v>
      </c>
      <c r="AX26" s="65">
        <f t="shared" si="1"/>
        <v>39.59</v>
      </c>
      <c r="AY26" s="66"/>
      <c r="AZ26" s="31">
        <f t="shared" si="2"/>
        <v>1</v>
      </c>
      <c r="BA26" s="67">
        <f t="shared" si="3"/>
        <v>39.59</v>
      </c>
      <c r="BB26" s="66"/>
      <c r="BC26" s="31">
        <f t="shared" si="4"/>
        <v>1</v>
      </c>
      <c r="BD26" s="65">
        <f t="shared" si="5"/>
        <v>39.59</v>
      </c>
      <c r="BE26" s="66"/>
      <c r="BF26" s="31">
        <f t="shared" si="6"/>
        <v>1</v>
      </c>
      <c r="BG26" s="67">
        <f t="shared" si="7"/>
        <v>39.59</v>
      </c>
      <c r="BH26" s="66"/>
      <c r="BI26" s="31">
        <f t="shared" si="8"/>
        <v>0</v>
      </c>
      <c r="BJ26" s="65">
        <f t="shared" si="9"/>
        <v>0</v>
      </c>
      <c r="BK26" s="66"/>
      <c r="BL26" s="31">
        <f t="shared" si="10"/>
        <v>1</v>
      </c>
      <c r="BM26" s="67">
        <f t="shared" si="11"/>
        <v>39.59</v>
      </c>
      <c r="BN26" s="66"/>
      <c r="BO26" s="31">
        <f t="shared" si="12"/>
        <v>0</v>
      </c>
      <c r="BP26" s="65">
        <f t="shared" si="13"/>
        <v>0</v>
      </c>
      <c r="BQ26" s="66"/>
      <c r="BR26" s="31">
        <f t="shared" si="14"/>
        <v>1</v>
      </c>
      <c r="BS26" s="67">
        <f t="shared" si="15"/>
        <v>39.59</v>
      </c>
      <c r="BT26" s="66"/>
      <c r="BU26" s="31">
        <f t="shared" si="16"/>
        <v>1</v>
      </c>
      <c r="BV26" s="65">
        <f t="shared" si="17"/>
        <v>39.59</v>
      </c>
      <c r="BW26" s="66"/>
      <c r="BX26" s="31">
        <f t="shared" si="18"/>
        <v>0</v>
      </c>
      <c r="BY26" s="67">
        <f t="shared" si="19"/>
        <v>0</v>
      </c>
      <c r="BZ26" s="66"/>
      <c r="CA26" s="31">
        <f t="shared" si="20"/>
        <v>1</v>
      </c>
      <c r="CB26" s="65">
        <f t="shared" si="21"/>
        <v>39.59</v>
      </c>
      <c r="CC26" s="66"/>
      <c r="CD26" s="31">
        <f t="shared" si="22"/>
        <v>0</v>
      </c>
      <c r="CE26" s="67">
        <f t="shared" si="23"/>
        <v>0</v>
      </c>
      <c r="CF26" s="66"/>
      <c r="CG26" s="34">
        <f t="shared" si="24"/>
        <v>0</v>
      </c>
      <c r="CH26" s="67">
        <f t="shared" si="45"/>
        <v>0</v>
      </c>
      <c r="CI26" s="66"/>
      <c r="CJ26" s="34">
        <f t="shared" si="25"/>
        <v>0</v>
      </c>
      <c r="CK26" s="67">
        <f t="shared" si="26"/>
        <v>0</v>
      </c>
      <c r="CL26" s="66"/>
      <c r="CM26" s="34">
        <f t="shared" si="27"/>
        <v>0</v>
      </c>
      <c r="CN26" s="67">
        <f t="shared" si="28"/>
        <v>0</v>
      </c>
      <c r="CO26" s="66"/>
      <c r="CP26" s="34">
        <f t="shared" si="29"/>
        <v>0</v>
      </c>
      <c r="CQ26" s="67">
        <f t="shared" si="30"/>
        <v>0</v>
      </c>
      <c r="CR26" s="66"/>
      <c r="CS26" s="34">
        <f t="shared" si="31"/>
        <v>0</v>
      </c>
      <c r="CT26" s="65">
        <f t="shared" si="32"/>
        <v>0</v>
      </c>
      <c r="CU26" s="66"/>
      <c r="CV26" s="31">
        <f t="shared" si="33"/>
        <v>0</v>
      </c>
      <c r="CW26" s="67">
        <f t="shared" si="34"/>
        <v>0</v>
      </c>
      <c r="CX26" s="66"/>
      <c r="CY26" s="31">
        <f t="shared" si="35"/>
        <v>0</v>
      </c>
      <c r="CZ26" s="65">
        <f t="shared" si="36"/>
        <v>0</v>
      </c>
      <c r="DA26" s="66"/>
      <c r="DB26" s="31">
        <f t="shared" si="37"/>
        <v>0</v>
      </c>
      <c r="DC26" s="67">
        <f t="shared" si="38"/>
        <v>0</v>
      </c>
      <c r="DE26" s="76">
        <v>108</v>
      </c>
      <c r="DF26" s="42"/>
      <c r="DG26" s="69">
        <f t="shared" si="39"/>
        <v>0</v>
      </c>
      <c r="DH26" s="42"/>
      <c r="DI26" s="70">
        <f t="shared" si="40"/>
        <v>8</v>
      </c>
      <c r="DJ26" s="42"/>
      <c r="DK26" s="70">
        <f t="shared" si="41"/>
        <v>100</v>
      </c>
      <c r="DL26" s="42"/>
      <c r="DM26" s="71">
        <f t="shared" si="42"/>
        <v>3299</v>
      </c>
      <c r="DN26" s="42"/>
      <c r="DO26" s="72">
        <f t="shared" si="43"/>
        <v>12.5</v>
      </c>
      <c r="DP26" s="42"/>
      <c r="DQ26" s="71">
        <f t="shared" si="44"/>
        <v>3959.0000000000005</v>
      </c>
      <c r="DR26" s="42"/>
      <c r="DS26" s="69"/>
      <c r="DT26" s="42"/>
      <c r="DU26" s="71">
        <v>0</v>
      </c>
      <c r="DV26" s="42"/>
      <c r="DW26" s="73">
        <f t="shared" si="46"/>
        <v>0</v>
      </c>
      <c r="DX26" s="42"/>
      <c r="DY26" s="71">
        <f t="shared" si="47"/>
        <v>0</v>
      </c>
    </row>
    <row r="27" ht="12" customHeight="1" spans="1:129" x14ac:dyDescent="0.25">
      <c r="A27" s="74" t="s">
        <v>72</v>
      </c>
      <c r="B27" s="42"/>
      <c r="C27" s="75"/>
      <c r="D27" s="44"/>
      <c r="E27" s="78">
        <v>23.05</v>
      </c>
      <c r="F27" s="44"/>
      <c r="G27" s="61">
        <v>27.66</v>
      </c>
      <c r="I27" s="62"/>
      <c r="J27" s="63"/>
      <c r="K27" s="64">
        <v>1</v>
      </c>
      <c r="L27" s="3"/>
      <c r="M27" s="62"/>
      <c r="N27" s="3"/>
      <c r="O27" s="64">
        <v>1</v>
      </c>
      <c r="P27" s="3"/>
      <c r="Q27" s="62"/>
      <c r="R27" s="3"/>
      <c r="S27" s="64">
        <v>1</v>
      </c>
      <c r="T27" s="3"/>
      <c r="U27" s="62"/>
      <c r="V27" s="3"/>
      <c r="W27" s="64">
        <v>1</v>
      </c>
      <c r="X27" s="3"/>
      <c r="Y27" s="62"/>
      <c r="Z27" s="3"/>
      <c r="AA27" s="64">
        <v>1</v>
      </c>
      <c r="AB27" s="3"/>
      <c r="AC27" s="62"/>
      <c r="AD27" s="3"/>
      <c r="AE27" s="64"/>
      <c r="AF27" s="3"/>
      <c r="AG27" s="62"/>
      <c r="AH27" s="3"/>
      <c r="AI27" s="64"/>
      <c r="AJ27" s="3"/>
      <c r="AK27" s="62"/>
      <c r="AL27" s="3"/>
      <c r="AM27" s="64"/>
      <c r="AN27" s="3"/>
      <c r="AO27" s="62"/>
      <c r="AP27" s="3"/>
      <c r="AQ27" s="64"/>
      <c r="AR27" s="3"/>
      <c r="AS27" s="62"/>
      <c r="AT27" s="3"/>
      <c r="AU27" s="64"/>
      <c r="AW27" s="34">
        <f t="shared" si="0"/>
        <v>0</v>
      </c>
      <c r="AX27" s="65">
        <f t="shared" si="1"/>
        <v>0</v>
      </c>
      <c r="AY27" s="66"/>
      <c r="AZ27" s="31">
        <f t="shared" si="2"/>
        <v>1</v>
      </c>
      <c r="BA27" s="67">
        <f t="shared" si="3"/>
        <v>27.66</v>
      </c>
      <c r="BB27" s="66"/>
      <c r="BC27" s="31">
        <f t="shared" si="4"/>
        <v>0</v>
      </c>
      <c r="BD27" s="65">
        <f t="shared" si="5"/>
        <v>0</v>
      </c>
      <c r="BE27" s="66"/>
      <c r="BF27" s="31">
        <f t="shared" si="6"/>
        <v>1</v>
      </c>
      <c r="BG27" s="67">
        <f t="shared" si="7"/>
        <v>27.66</v>
      </c>
      <c r="BH27" s="66"/>
      <c r="BI27" s="31">
        <f t="shared" si="8"/>
        <v>0</v>
      </c>
      <c r="BJ27" s="65">
        <f t="shared" si="9"/>
        <v>0</v>
      </c>
      <c r="BK27" s="66"/>
      <c r="BL27" s="31">
        <f t="shared" si="10"/>
        <v>1</v>
      </c>
      <c r="BM27" s="67">
        <f t="shared" si="11"/>
        <v>27.66</v>
      </c>
      <c r="BN27" s="66"/>
      <c r="BO27" s="31">
        <f t="shared" si="12"/>
        <v>0</v>
      </c>
      <c r="BP27" s="65">
        <f t="shared" si="13"/>
        <v>0</v>
      </c>
      <c r="BQ27" s="66"/>
      <c r="BR27" s="31">
        <f t="shared" si="14"/>
        <v>1</v>
      </c>
      <c r="BS27" s="67">
        <f t="shared" si="15"/>
        <v>27.66</v>
      </c>
      <c r="BT27" s="66"/>
      <c r="BU27" s="31">
        <f t="shared" si="16"/>
        <v>0</v>
      </c>
      <c r="BV27" s="65">
        <f t="shared" si="17"/>
        <v>0</v>
      </c>
      <c r="BW27" s="66"/>
      <c r="BX27" s="31">
        <f t="shared" si="18"/>
        <v>1</v>
      </c>
      <c r="BY27" s="67">
        <f t="shared" si="19"/>
        <v>27.66</v>
      </c>
      <c r="BZ27" s="66"/>
      <c r="CA27" s="31">
        <f t="shared" si="20"/>
        <v>0</v>
      </c>
      <c r="CB27" s="65">
        <f t="shared" si="21"/>
        <v>0</v>
      </c>
      <c r="CC27" s="66"/>
      <c r="CD27" s="31">
        <f t="shared" si="22"/>
        <v>0</v>
      </c>
      <c r="CE27" s="67">
        <f t="shared" si="23"/>
        <v>0</v>
      </c>
      <c r="CF27" s="66"/>
      <c r="CG27" s="34">
        <f t="shared" si="24"/>
        <v>0</v>
      </c>
      <c r="CH27" s="67">
        <f t="shared" si="45"/>
        <v>0</v>
      </c>
      <c r="CI27" s="66"/>
      <c r="CJ27" s="34">
        <f t="shared" si="25"/>
        <v>0</v>
      </c>
      <c r="CK27" s="67">
        <f t="shared" si="26"/>
        <v>0</v>
      </c>
      <c r="CL27" s="66"/>
      <c r="CM27" s="34">
        <f t="shared" si="27"/>
        <v>0</v>
      </c>
      <c r="CN27" s="67">
        <f t="shared" si="28"/>
        <v>0</v>
      </c>
      <c r="CO27" s="66"/>
      <c r="CP27" s="34">
        <f t="shared" si="29"/>
        <v>0</v>
      </c>
      <c r="CQ27" s="67">
        <f t="shared" si="30"/>
        <v>0</v>
      </c>
      <c r="CR27" s="66"/>
      <c r="CS27" s="34">
        <f t="shared" si="31"/>
        <v>0</v>
      </c>
      <c r="CT27" s="65">
        <f t="shared" si="32"/>
        <v>0</v>
      </c>
      <c r="CU27" s="66"/>
      <c r="CV27" s="31">
        <f t="shared" si="33"/>
        <v>0</v>
      </c>
      <c r="CW27" s="67">
        <f t="shared" si="34"/>
        <v>0</v>
      </c>
      <c r="CX27" s="66"/>
      <c r="CY27" s="31">
        <f t="shared" si="35"/>
        <v>0</v>
      </c>
      <c r="CZ27" s="65">
        <f t="shared" si="36"/>
        <v>0</v>
      </c>
      <c r="DA27" s="66"/>
      <c r="DB27" s="31">
        <f t="shared" si="37"/>
        <v>0</v>
      </c>
      <c r="DC27" s="67">
        <f t="shared" si="38"/>
        <v>0</v>
      </c>
      <c r="DE27" s="76">
        <v>143</v>
      </c>
      <c r="DF27" s="42"/>
      <c r="DG27" s="69">
        <f t="shared" si="39"/>
        <v>0</v>
      </c>
      <c r="DH27" s="42"/>
      <c r="DI27" s="70">
        <f t="shared" si="40"/>
        <v>5</v>
      </c>
      <c r="DJ27" s="42"/>
      <c r="DK27" s="70">
        <f t="shared" si="41"/>
        <v>138</v>
      </c>
      <c r="DL27" s="42"/>
      <c r="DM27" s="71">
        <f t="shared" si="42"/>
        <v>3180.9</v>
      </c>
      <c r="DN27" s="42"/>
      <c r="DO27" s="72">
        <f t="shared" si="43"/>
        <v>27.6</v>
      </c>
      <c r="DP27" s="42"/>
      <c r="DQ27" s="71">
        <f t="shared" si="44"/>
        <v>3817.08</v>
      </c>
      <c r="DR27" s="42"/>
      <c r="DS27" s="69"/>
      <c r="DT27" s="42"/>
      <c r="DU27" s="71">
        <v>0</v>
      </c>
      <c r="DV27" s="42"/>
      <c r="DW27" s="73">
        <f t="shared" si="46"/>
        <v>0</v>
      </c>
      <c r="DX27" s="42"/>
      <c r="DY27" s="71">
        <f t="shared" si="47"/>
        <v>0</v>
      </c>
    </row>
    <row r="28" ht="12" customHeight="1" spans="1:129" x14ac:dyDescent="0.25">
      <c r="A28" s="77" t="s">
        <v>73</v>
      </c>
      <c r="B28" s="42"/>
      <c r="C28" s="75"/>
      <c r="D28" s="44"/>
      <c r="E28" s="78">
        <v>26.11</v>
      </c>
      <c r="F28" s="44"/>
      <c r="G28" s="61">
        <v>31.33</v>
      </c>
      <c r="I28" s="62">
        <v>1</v>
      </c>
      <c r="J28" s="63"/>
      <c r="K28" s="64">
        <v>3</v>
      </c>
      <c r="L28" s="3"/>
      <c r="M28" s="62">
        <v>2</v>
      </c>
      <c r="N28" s="3"/>
      <c r="O28" s="64">
        <v>3</v>
      </c>
      <c r="P28" s="3"/>
      <c r="Q28" s="62">
        <v>2</v>
      </c>
      <c r="R28" s="3"/>
      <c r="S28" s="64">
        <v>1</v>
      </c>
      <c r="T28" s="3"/>
      <c r="U28" s="62">
        <v>1</v>
      </c>
      <c r="V28" s="3"/>
      <c r="W28" s="64">
        <v>2</v>
      </c>
      <c r="X28" s="3"/>
      <c r="Y28" s="62">
        <v>2</v>
      </c>
      <c r="Z28" s="3"/>
      <c r="AA28" s="64">
        <v>1</v>
      </c>
      <c r="AB28" s="3"/>
      <c r="AC28" s="62">
        <v>2</v>
      </c>
      <c r="AD28" s="3"/>
      <c r="AE28" s="64"/>
      <c r="AF28" s="3"/>
      <c r="AG28" s="62"/>
      <c r="AH28" s="3"/>
      <c r="AI28" s="64"/>
      <c r="AJ28" s="3"/>
      <c r="AK28" s="62"/>
      <c r="AL28" s="3"/>
      <c r="AM28" s="64"/>
      <c r="AN28" s="3"/>
      <c r="AO28" s="62"/>
      <c r="AP28" s="3"/>
      <c r="AQ28" s="64"/>
      <c r="AR28" s="3"/>
      <c r="AS28" s="62"/>
      <c r="AT28" s="3"/>
      <c r="AU28" s="64"/>
      <c r="AW28" s="34">
        <f t="shared" si="0"/>
        <v>1</v>
      </c>
      <c r="AX28" s="65">
        <f t="shared" si="1"/>
        <v>31.33</v>
      </c>
      <c r="AY28" s="66"/>
      <c r="AZ28" s="31">
        <f t="shared" si="2"/>
        <v>3</v>
      </c>
      <c r="BA28" s="67">
        <f t="shared" si="3"/>
        <v>93.99</v>
      </c>
      <c r="BB28" s="66"/>
      <c r="BC28" s="31">
        <f t="shared" si="4"/>
        <v>2</v>
      </c>
      <c r="BD28" s="65">
        <f t="shared" si="5"/>
        <v>62.66</v>
      </c>
      <c r="BE28" s="66"/>
      <c r="BF28" s="31">
        <f t="shared" si="6"/>
        <v>3</v>
      </c>
      <c r="BG28" s="67">
        <f t="shared" si="7"/>
        <v>93.99</v>
      </c>
      <c r="BH28" s="66"/>
      <c r="BI28" s="31">
        <f t="shared" si="8"/>
        <v>2</v>
      </c>
      <c r="BJ28" s="65">
        <f t="shared" si="9"/>
        <v>62.66</v>
      </c>
      <c r="BK28" s="66"/>
      <c r="BL28" s="31">
        <f t="shared" si="10"/>
        <v>1</v>
      </c>
      <c r="BM28" s="67">
        <f t="shared" si="11"/>
        <v>31.33</v>
      </c>
      <c r="BN28" s="66"/>
      <c r="BO28" s="31">
        <f t="shared" si="12"/>
        <v>1</v>
      </c>
      <c r="BP28" s="65">
        <f t="shared" si="13"/>
        <v>31.33</v>
      </c>
      <c r="BQ28" s="66"/>
      <c r="BR28" s="31">
        <f t="shared" si="14"/>
        <v>2</v>
      </c>
      <c r="BS28" s="67">
        <f t="shared" si="15"/>
        <v>62.66</v>
      </c>
      <c r="BT28" s="66"/>
      <c r="BU28" s="31">
        <f t="shared" si="16"/>
        <v>2</v>
      </c>
      <c r="BV28" s="65">
        <f t="shared" si="17"/>
        <v>62.66</v>
      </c>
      <c r="BW28" s="66"/>
      <c r="BX28" s="31">
        <f t="shared" si="18"/>
        <v>1</v>
      </c>
      <c r="BY28" s="67">
        <f t="shared" si="19"/>
        <v>31.33</v>
      </c>
      <c r="BZ28" s="66"/>
      <c r="CA28" s="31">
        <f t="shared" si="20"/>
        <v>2</v>
      </c>
      <c r="CB28" s="65">
        <f t="shared" si="21"/>
        <v>62.66</v>
      </c>
      <c r="CC28" s="66"/>
      <c r="CD28" s="31">
        <f t="shared" si="22"/>
        <v>0</v>
      </c>
      <c r="CE28" s="67">
        <f t="shared" si="23"/>
        <v>0</v>
      </c>
      <c r="CF28" s="66"/>
      <c r="CG28" s="34">
        <f t="shared" si="24"/>
        <v>0</v>
      </c>
      <c r="CH28" s="67">
        <f t="shared" si="45"/>
        <v>0</v>
      </c>
      <c r="CI28" s="66"/>
      <c r="CJ28" s="34">
        <f t="shared" si="25"/>
        <v>0</v>
      </c>
      <c r="CK28" s="67">
        <f t="shared" si="26"/>
        <v>0</v>
      </c>
      <c r="CL28" s="66"/>
      <c r="CM28" s="34">
        <f t="shared" si="27"/>
        <v>0</v>
      </c>
      <c r="CN28" s="67">
        <f t="shared" si="28"/>
        <v>0</v>
      </c>
      <c r="CO28" s="66"/>
      <c r="CP28" s="34">
        <f t="shared" si="29"/>
        <v>0</v>
      </c>
      <c r="CQ28" s="67">
        <f t="shared" si="30"/>
        <v>0</v>
      </c>
      <c r="CR28" s="66"/>
      <c r="CS28" s="34">
        <f t="shared" si="31"/>
        <v>0</v>
      </c>
      <c r="CT28" s="65">
        <f t="shared" si="32"/>
        <v>0</v>
      </c>
      <c r="CU28" s="66"/>
      <c r="CV28" s="31">
        <f t="shared" si="33"/>
        <v>0</v>
      </c>
      <c r="CW28" s="67">
        <f t="shared" si="34"/>
        <v>0</v>
      </c>
      <c r="CX28" s="66"/>
      <c r="CY28" s="31">
        <f t="shared" si="35"/>
        <v>0</v>
      </c>
      <c r="CZ28" s="65">
        <f t="shared" si="36"/>
        <v>0</v>
      </c>
      <c r="DA28" s="66"/>
      <c r="DB28" s="31">
        <f t="shared" si="37"/>
        <v>0</v>
      </c>
      <c r="DC28" s="67">
        <f t="shared" si="38"/>
        <v>0</v>
      </c>
      <c r="DE28" s="76">
        <v>43</v>
      </c>
      <c r="DF28" s="42"/>
      <c r="DG28" s="69">
        <f t="shared" si="39"/>
        <v>0</v>
      </c>
      <c r="DH28" s="42"/>
      <c r="DI28" s="70">
        <f t="shared" si="40"/>
        <v>20</v>
      </c>
      <c r="DJ28" s="42"/>
      <c r="DK28" s="70">
        <f t="shared" si="41"/>
        <v>23</v>
      </c>
      <c r="DL28" s="42"/>
      <c r="DM28" s="71">
        <f t="shared" si="42"/>
        <v>600.53</v>
      </c>
      <c r="DN28" s="42"/>
      <c r="DO28" s="72">
        <f t="shared" si="43"/>
        <v>1.15</v>
      </c>
      <c r="DP28" s="42"/>
      <c r="DQ28" s="71">
        <f t="shared" si="44"/>
        <v>720.5899999999999</v>
      </c>
      <c r="DR28" s="42"/>
      <c r="DS28" s="69"/>
      <c r="DT28" s="42"/>
      <c r="DU28" s="71">
        <v>0</v>
      </c>
      <c r="DV28" s="42"/>
      <c r="DW28" s="73">
        <f t="shared" si="46"/>
        <v>0</v>
      </c>
      <c r="DX28" s="42"/>
      <c r="DY28" s="71">
        <f t="shared" si="47"/>
        <v>0</v>
      </c>
    </row>
    <row r="29" ht="12" customHeight="1" spans="1:129" x14ac:dyDescent="0.25">
      <c r="A29" s="79" t="s">
        <v>74</v>
      </c>
      <c r="B29" s="42"/>
      <c r="C29" s="75"/>
      <c r="D29" s="44"/>
      <c r="E29" s="78">
        <v>42.24</v>
      </c>
      <c r="F29" s="44"/>
      <c r="G29" s="61">
        <v>50.69</v>
      </c>
      <c r="I29" s="62"/>
      <c r="J29" s="63"/>
      <c r="K29" s="64">
        <v>1</v>
      </c>
      <c r="L29" s="3"/>
      <c r="M29" s="62">
        <v>1</v>
      </c>
      <c r="N29" s="3"/>
      <c r="O29" s="64"/>
      <c r="P29" s="3"/>
      <c r="Q29" s="62">
        <v>1</v>
      </c>
      <c r="R29" s="3"/>
      <c r="S29" s="64">
        <v>1</v>
      </c>
      <c r="T29" s="3"/>
      <c r="U29" s="62"/>
      <c r="V29" s="3"/>
      <c r="W29" s="64">
        <v>1</v>
      </c>
      <c r="X29" s="3"/>
      <c r="Y29" s="62">
        <v>1</v>
      </c>
      <c r="Z29" s="3"/>
      <c r="AA29" s="64"/>
      <c r="AB29" s="3"/>
      <c r="AC29" s="62"/>
      <c r="AD29" s="3"/>
      <c r="AE29" s="64"/>
      <c r="AF29" s="3"/>
      <c r="AG29" s="62"/>
      <c r="AH29" s="3"/>
      <c r="AI29" s="64"/>
      <c r="AJ29" s="3"/>
      <c r="AK29" s="62"/>
      <c r="AL29" s="3"/>
      <c r="AM29" s="64"/>
      <c r="AN29" s="3"/>
      <c r="AO29" s="62"/>
      <c r="AP29" s="3"/>
      <c r="AQ29" s="64"/>
      <c r="AR29" s="3"/>
      <c r="AS29" s="62"/>
      <c r="AT29" s="3"/>
      <c r="AU29" s="64"/>
      <c r="AW29" s="34">
        <f t="shared" si="0"/>
        <v>0</v>
      </c>
      <c r="AX29" s="65">
        <f t="shared" si="1"/>
        <v>0</v>
      </c>
      <c r="AY29" s="66"/>
      <c r="AZ29" s="31">
        <f t="shared" si="2"/>
        <v>1</v>
      </c>
      <c r="BA29" s="67">
        <f t="shared" si="3"/>
        <v>50.69</v>
      </c>
      <c r="BB29" s="66"/>
      <c r="BC29" s="31">
        <f t="shared" si="4"/>
        <v>1</v>
      </c>
      <c r="BD29" s="65">
        <f t="shared" si="5"/>
        <v>50.69</v>
      </c>
      <c r="BE29" s="66"/>
      <c r="BF29" s="31">
        <f t="shared" si="6"/>
        <v>0</v>
      </c>
      <c r="BG29" s="67">
        <f t="shared" si="7"/>
        <v>0</v>
      </c>
      <c r="BH29" s="66"/>
      <c r="BI29" s="31">
        <f t="shared" si="8"/>
        <v>1</v>
      </c>
      <c r="BJ29" s="65">
        <f t="shared" si="9"/>
        <v>50.69</v>
      </c>
      <c r="BK29" s="66"/>
      <c r="BL29" s="31">
        <f t="shared" si="10"/>
        <v>1</v>
      </c>
      <c r="BM29" s="67">
        <f t="shared" si="11"/>
        <v>50.69</v>
      </c>
      <c r="BN29" s="66"/>
      <c r="BO29" s="31">
        <f t="shared" si="12"/>
        <v>0</v>
      </c>
      <c r="BP29" s="65">
        <f t="shared" si="13"/>
        <v>0</v>
      </c>
      <c r="BQ29" s="66"/>
      <c r="BR29" s="31">
        <f t="shared" si="14"/>
        <v>1</v>
      </c>
      <c r="BS29" s="67">
        <f t="shared" si="15"/>
        <v>50.69</v>
      </c>
      <c r="BT29" s="66"/>
      <c r="BU29" s="31">
        <f t="shared" si="16"/>
        <v>1</v>
      </c>
      <c r="BV29" s="65">
        <f t="shared" si="17"/>
        <v>50.69</v>
      </c>
      <c r="BW29" s="66"/>
      <c r="BX29" s="31">
        <f t="shared" si="18"/>
        <v>0</v>
      </c>
      <c r="BY29" s="67">
        <f t="shared" si="19"/>
        <v>0</v>
      </c>
      <c r="BZ29" s="66"/>
      <c r="CA29" s="31">
        <f t="shared" si="20"/>
        <v>0</v>
      </c>
      <c r="CB29" s="65">
        <f t="shared" si="21"/>
        <v>0</v>
      </c>
      <c r="CC29" s="66"/>
      <c r="CD29" s="31">
        <f t="shared" si="22"/>
        <v>0</v>
      </c>
      <c r="CE29" s="67">
        <f t="shared" si="23"/>
        <v>0</v>
      </c>
      <c r="CF29" s="66"/>
      <c r="CG29" s="34">
        <f t="shared" si="24"/>
        <v>0</v>
      </c>
      <c r="CH29" s="67">
        <f t="shared" si="45"/>
        <v>0</v>
      </c>
      <c r="CI29" s="66"/>
      <c r="CJ29" s="34">
        <f t="shared" si="25"/>
        <v>0</v>
      </c>
      <c r="CK29" s="67">
        <f t="shared" si="26"/>
        <v>0</v>
      </c>
      <c r="CL29" s="66"/>
      <c r="CM29" s="34">
        <f t="shared" si="27"/>
        <v>0</v>
      </c>
      <c r="CN29" s="67">
        <f t="shared" si="28"/>
        <v>0</v>
      </c>
      <c r="CO29" s="66"/>
      <c r="CP29" s="34">
        <f t="shared" si="29"/>
        <v>0</v>
      </c>
      <c r="CQ29" s="67">
        <f t="shared" si="30"/>
        <v>0</v>
      </c>
      <c r="CR29" s="66"/>
      <c r="CS29" s="34">
        <f t="shared" si="31"/>
        <v>0</v>
      </c>
      <c r="CT29" s="65">
        <f t="shared" si="32"/>
        <v>0</v>
      </c>
      <c r="CU29" s="66"/>
      <c r="CV29" s="31">
        <f t="shared" si="33"/>
        <v>0</v>
      </c>
      <c r="CW29" s="67">
        <f t="shared" si="34"/>
        <v>0</v>
      </c>
      <c r="CX29" s="66"/>
      <c r="CY29" s="31">
        <f t="shared" si="35"/>
        <v>0</v>
      </c>
      <c r="CZ29" s="65">
        <f t="shared" si="36"/>
        <v>0</v>
      </c>
      <c r="DA29" s="66"/>
      <c r="DB29" s="31">
        <f t="shared" si="37"/>
        <v>0</v>
      </c>
      <c r="DC29" s="67">
        <f t="shared" si="38"/>
        <v>0</v>
      </c>
      <c r="DE29" s="76">
        <v>77</v>
      </c>
      <c r="DF29" s="42"/>
      <c r="DG29" s="69">
        <f t="shared" si="39"/>
        <v>0</v>
      </c>
      <c r="DH29" s="42"/>
      <c r="DI29" s="70">
        <f t="shared" si="40"/>
        <v>6</v>
      </c>
      <c r="DJ29" s="42"/>
      <c r="DK29" s="70">
        <f t="shared" si="41"/>
        <v>71</v>
      </c>
      <c r="DL29" s="42"/>
      <c r="DM29" s="71">
        <f t="shared" si="42"/>
        <v>2999.04</v>
      </c>
      <c r="DN29" s="42"/>
      <c r="DO29" s="72">
        <f t="shared" si="43"/>
        <v>11.833333333333334</v>
      </c>
      <c r="DP29" s="42"/>
      <c r="DQ29" s="71">
        <f t="shared" si="44"/>
        <v>3598.99</v>
      </c>
      <c r="DR29" s="42"/>
      <c r="DS29" s="69"/>
      <c r="DT29" s="42"/>
      <c r="DU29" s="71">
        <v>0</v>
      </c>
      <c r="DV29" s="42"/>
      <c r="DW29" s="73">
        <f t="shared" si="46"/>
        <v>0</v>
      </c>
      <c r="DX29" s="42"/>
      <c r="DY29" s="71">
        <f t="shared" si="47"/>
        <v>0</v>
      </c>
    </row>
    <row r="30" ht="12" customHeight="1" spans="1:129" x14ac:dyDescent="0.25">
      <c r="A30" s="77" t="s">
        <v>75</v>
      </c>
      <c r="B30" s="42"/>
      <c r="C30" s="75"/>
      <c r="D30" s="44"/>
      <c r="E30" s="78">
        <v>75.69</v>
      </c>
      <c r="F30" s="44"/>
      <c r="G30" s="61">
        <v>90.83</v>
      </c>
      <c r="I30" s="62"/>
      <c r="J30" s="63"/>
      <c r="K30" s="64">
        <v>1</v>
      </c>
      <c r="L30" s="3"/>
      <c r="M30" s="62">
        <v>1</v>
      </c>
      <c r="N30" s="3"/>
      <c r="O30" s="64">
        <v>1</v>
      </c>
      <c r="P30" s="3"/>
      <c r="Q30" s="62"/>
      <c r="R30" s="3"/>
      <c r="S30" s="64"/>
      <c r="T30" s="3"/>
      <c r="U30" s="62">
        <v>1</v>
      </c>
      <c r="V30" s="3"/>
      <c r="W30" s="64">
        <v>1</v>
      </c>
      <c r="X30" s="3"/>
      <c r="Y30" s="62">
        <v>1</v>
      </c>
      <c r="Z30" s="3"/>
      <c r="AA30" s="64"/>
      <c r="AB30" s="3"/>
      <c r="AC30" s="62"/>
      <c r="AD30" s="3"/>
      <c r="AE30" s="64"/>
      <c r="AF30" s="3"/>
      <c r="AG30" s="62"/>
      <c r="AH30" s="3"/>
      <c r="AI30" s="64"/>
      <c r="AJ30" s="3"/>
      <c r="AK30" s="62"/>
      <c r="AL30" s="3"/>
      <c r="AM30" s="64"/>
      <c r="AN30" s="3"/>
      <c r="AO30" s="62"/>
      <c r="AP30" s="3"/>
      <c r="AQ30" s="64"/>
      <c r="AR30" s="3"/>
      <c r="AS30" s="62"/>
      <c r="AT30" s="3"/>
      <c r="AU30" s="64"/>
      <c r="AW30" s="34">
        <f t="shared" si="0"/>
        <v>0</v>
      </c>
      <c r="AX30" s="65">
        <f t="shared" si="1"/>
        <v>0</v>
      </c>
      <c r="AY30" s="66"/>
      <c r="AZ30" s="31">
        <f t="shared" si="2"/>
        <v>1</v>
      </c>
      <c r="BA30" s="67">
        <f t="shared" si="3"/>
        <v>90.83</v>
      </c>
      <c r="BB30" s="66"/>
      <c r="BC30" s="31">
        <f t="shared" si="4"/>
        <v>1</v>
      </c>
      <c r="BD30" s="65">
        <f t="shared" si="5"/>
        <v>90.83</v>
      </c>
      <c r="BE30" s="66"/>
      <c r="BF30" s="31">
        <f t="shared" si="6"/>
        <v>1</v>
      </c>
      <c r="BG30" s="67">
        <f t="shared" si="7"/>
        <v>90.83</v>
      </c>
      <c r="BH30" s="66"/>
      <c r="BI30" s="31">
        <f t="shared" si="8"/>
        <v>0</v>
      </c>
      <c r="BJ30" s="65">
        <f t="shared" si="9"/>
        <v>0</v>
      </c>
      <c r="BK30" s="66"/>
      <c r="BL30" s="31">
        <f t="shared" si="10"/>
        <v>0</v>
      </c>
      <c r="BM30" s="67">
        <f t="shared" si="11"/>
        <v>0</v>
      </c>
      <c r="BN30" s="66"/>
      <c r="BO30" s="31">
        <f t="shared" si="12"/>
        <v>1</v>
      </c>
      <c r="BP30" s="65">
        <f t="shared" si="13"/>
        <v>90.83</v>
      </c>
      <c r="BQ30" s="66"/>
      <c r="BR30" s="31">
        <f t="shared" si="14"/>
        <v>1</v>
      </c>
      <c r="BS30" s="67">
        <f t="shared" si="15"/>
        <v>90.83</v>
      </c>
      <c r="BT30" s="66"/>
      <c r="BU30" s="31">
        <f t="shared" si="16"/>
        <v>1</v>
      </c>
      <c r="BV30" s="65">
        <f t="shared" si="17"/>
        <v>90.83</v>
      </c>
      <c r="BW30" s="66"/>
      <c r="BX30" s="31">
        <f t="shared" si="18"/>
        <v>0</v>
      </c>
      <c r="BY30" s="67">
        <f t="shared" si="19"/>
        <v>0</v>
      </c>
      <c r="BZ30" s="66"/>
      <c r="CA30" s="31">
        <f t="shared" si="20"/>
        <v>0</v>
      </c>
      <c r="CB30" s="65">
        <f t="shared" si="21"/>
        <v>0</v>
      </c>
      <c r="CC30" s="66"/>
      <c r="CD30" s="31">
        <f t="shared" si="22"/>
        <v>0</v>
      </c>
      <c r="CE30" s="67">
        <f t="shared" si="23"/>
        <v>0</v>
      </c>
      <c r="CF30" s="66"/>
      <c r="CG30" s="34">
        <f t="shared" si="24"/>
        <v>0</v>
      </c>
      <c r="CH30" s="67">
        <f t="shared" si="45"/>
        <v>0</v>
      </c>
      <c r="CI30" s="66"/>
      <c r="CJ30" s="34">
        <f t="shared" si="25"/>
        <v>0</v>
      </c>
      <c r="CK30" s="67">
        <f t="shared" si="26"/>
        <v>0</v>
      </c>
      <c r="CL30" s="66"/>
      <c r="CM30" s="34">
        <f t="shared" si="27"/>
        <v>0</v>
      </c>
      <c r="CN30" s="67">
        <f t="shared" si="28"/>
        <v>0</v>
      </c>
      <c r="CO30" s="66"/>
      <c r="CP30" s="34">
        <f t="shared" si="29"/>
        <v>0</v>
      </c>
      <c r="CQ30" s="67">
        <f t="shared" si="30"/>
        <v>0</v>
      </c>
      <c r="CR30" s="66"/>
      <c r="CS30" s="34">
        <f t="shared" si="31"/>
        <v>0</v>
      </c>
      <c r="CT30" s="65">
        <f t="shared" si="32"/>
        <v>0</v>
      </c>
      <c r="CU30" s="66"/>
      <c r="CV30" s="31">
        <f t="shared" si="33"/>
        <v>0</v>
      </c>
      <c r="CW30" s="67">
        <f t="shared" si="34"/>
        <v>0</v>
      </c>
      <c r="CX30" s="66"/>
      <c r="CY30" s="31">
        <f t="shared" si="35"/>
        <v>0</v>
      </c>
      <c r="CZ30" s="65">
        <f t="shared" si="36"/>
        <v>0</v>
      </c>
      <c r="DA30" s="66"/>
      <c r="DB30" s="31">
        <f t="shared" si="37"/>
        <v>0</v>
      </c>
      <c r="DC30" s="67">
        <f t="shared" si="38"/>
        <v>0</v>
      </c>
      <c r="DE30" s="76">
        <v>11</v>
      </c>
      <c r="DF30" s="42"/>
      <c r="DG30" s="69">
        <f t="shared" si="39"/>
        <v>0</v>
      </c>
      <c r="DH30" s="42"/>
      <c r="DI30" s="70">
        <f t="shared" si="40"/>
        <v>6</v>
      </c>
      <c r="DJ30" s="42"/>
      <c r="DK30" s="70">
        <f t="shared" si="41"/>
        <v>5</v>
      </c>
      <c r="DL30" s="42"/>
      <c r="DM30" s="71">
        <f t="shared" si="42"/>
        <v>378.45</v>
      </c>
      <c r="DN30" s="42"/>
      <c r="DO30" s="72">
        <f t="shared" si="43"/>
        <v>0.8333333333333334</v>
      </c>
      <c r="DP30" s="42"/>
      <c r="DQ30" s="71">
        <f t="shared" si="44"/>
        <v>454.15</v>
      </c>
      <c r="DR30" s="42"/>
      <c r="DS30" s="69"/>
      <c r="DT30" s="42"/>
      <c r="DU30" s="71">
        <v>0</v>
      </c>
      <c r="DV30" s="42"/>
      <c r="DW30" s="73">
        <f t="shared" si="46"/>
        <v>0</v>
      </c>
      <c r="DX30" s="42"/>
      <c r="DY30" s="71">
        <f t="shared" si="47"/>
        <v>0</v>
      </c>
    </row>
    <row r="31" ht="12" customHeight="1" spans="1:129" x14ac:dyDescent="0.25">
      <c r="A31" s="74" t="s">
        <v>76</v>
      </c>
      <c r="B31" s="42"/>
      <c r="C31" s="75"/>
      <c r="D31" s="44"/>
      <c r="E31" s="78">
        <v>5</v>
      </c>
      <c r="F31" s="44"/>
      <c r="G31" s="61">
        <v>6</v>
      </c>
      <c r="I31" s="62"/>
      <c r="J31" s="63"/>
      <c r="K31" s="64"/>
      <c r="L31" s="3"/>
      <c r="M31" s="62"/>
      <c r="N31" s="3"/>
      <c r="O31" s="64"/>
      <c r="P31" s="3"/>
      <c r="Q31" s="62"/>
      <c r="R31" s="3"/>
      <c r="S31" s="64"/>
      <c r="T31" s="3"/>
      <c r="U31" s="62">
        <v>1</v>
      </c>
      <c r="V31" s="3"/>
      <c r="W31" s="64"/>
      <c r="X31" s="3"/>
      <c r="Y31" s="62"/>
      <c r="Z31" s="3"/>
      <c r="AA31" s="64"/>
      <c r="AB31" s="3"/>
      <c r="AC31" s="62"/>
      <c r="AD31" s="3"/>
      <c r="AE31" s="64"/>
      <c r="AF31" s="3"/>
      <c r="AG31" s="62"/>
      <c r="AH31" s="3"/>
      <c r="AI31" s="64"/>
      <c r="AJ31" s="3"/>
      <c r="AK31" s="62"/>
      <c r="AL31" s="3"/>
      <c r="AM31" s="64"/>
      <c r="AN31" s="3"/>
      <c r="AO31" s="62"/>
      <c r="AP31" s="3"/>
      <c r="AQ31" s="64"/>
      <c r="AR31" s="3"/>
      <c r="AS31" s="62"/>
      <c r="AT31" s="3"/>
      <c r="AU31" s="64"/>
      <c r="AW31" s="34">
        <f t="shared" si="0"/>
        <v>0</v>
      </c>
      <c r="AX31" s="65">
        <f t="shared" si="1"/>
        <v>0</v>
      </c>
      <c r="AY31" s="66"/>
      <c r="AZ31" s="31">
        <f t="shared" si="2"/>
        <v>0</v>
      </c>
      <c r="BA31" s="67">
        <f t="shared" si="3"/>
        <v>0</v>
      </c>
      <c r="BB31" s="66"/>
      <c r="BC31" s="31">
        <f t="shared" si="4"/>
        <v>0</v>
      </c>
      <c r="BD31" s="65">
        <f t="shared" si="5"/>
        <v>0</v>
      </c>
      <c r="BE31" s="66"/>
      <c r="BF31" s="31">
        <f t="shared" si="6"/>
        <v>0</v>
      </c>
      <c r="BG31" s="67">
        <f t="shared" si="7"/>
        <v>0</v>
      </c>
      <c r="BH31" s="66"/>
      <c r="BI31" s="31">
        <f t="shared" si="8"/>
        <v>0</v>
      </c>
      <c r="BJ31" s="65">
        <f t="shared" si="9"/>
        <v>0</v>
      </c>
      <c r="BK31" s="66"/>
      <c r="BL31" s="31">
        <f t="shared" si="10"/>
        <v>0</v>
      </c>
      <c r="BM31" s="67">
        <f t="shared" si="11"/>
        <v>0</v>
      </c>
      <c r="BN31" s="66"/>
      <c r="BO31" s="31">
        <f t="shared" si="12"/>
        <v>1</v>
      </c>
      <c r="BP31" s="65">
        <f t="shared" si="13"/>
        <v>6</v>
      </c>
      <c r="BQ31" s="66"/>
      <c r="BR31" s="31">
        <f t="shared" si="14"/>
        <v>0</v>
      </c>
      <c r="BS31" s="67">
        <f t="shared" si="15"/>
        <v>0</v>
      </c>
      <c r="BT31" s="66"/>
      <c r="BU31" s="31">
        <f t="shared" si="16"/>
        <v>0</v>
      </c>
      <c r="BV31" s="65">
        <f t="shared" si="17"/>
        <v>0</v>
      </c>
      <c r="BW31" s="66"/>
      <c r="BX31" s="31">
        <f t="shared" si="18"/>
        <v>0</v>
      </c>
      <c r="BY31" s="67">
        <f t="shared" si="19"/>
        <v>0</v>
      </c>
      <c r="BZ31" s="66"/>
      <c r="CA31" s="31">
        <f t="shared" si="20"/>
        <v>0</v>
      </c>
      <c r="CB31" s="65">
        <f t="shared" si="21"/>
        <v>0</v>
      </c>
      <c r="CC31" s="66"/>
      <c r="CD31" s="31">
        <f t="shared" si="22"/>
        <v>0</v>
      </c>
      <c r="CE31" s="67">
        <f t="shared" si="23"/>
        <v>0</v>
      </c>
      <c r="CF31" s="66"/>
      <c r="CG31" s="34">
        <f t="shared" si="24"/>
        <v>0</v>
      </c>
      <c r="CH31" s="67">
        <f t="shared" si="45"/>
        <v>0</v>
      </c>
      <c r="CI31" s="66"/>
      <c r="CJ31" s="34">
        <f t="shared" si="25"/>
        <v>0</v>
      </c>
      <c r="CK31" s="67">
        <f t="shared" si="26"/>
        <v>0</v>
      </c>
      <c r="CL31" s="66"/>
      <c r="CM31" s="34">
        <f t="shared" si="27"/>
        <v>0</v>
      </c>
      <c r="CN31" s="67">
        <f t="shared" si="28"/>
        <v>0</v>
      </c>
      <c r="CO31" s="66"/>
      <c r="CP31" s="34">
        <f t="shared" si="29"/>
        <v>0</v>
      </c>
      <c r="CQ31" s="67">
        <f t="shared" si="30"/>
        <v>0</v>
      </c>
      <c r="CR31" s="66"/>
      <c r="CS31" s="34">
        <f t="shared" si="31"/>
        <v>0</v>
      </c>
      <c r="CT31" s="65">
        <f t="shared" si="32"/>
        <v>0</v>
      </c>
      <c r="CU31" s="66"/>
      <c r="CV31" s="31">
        <f t="shared" si="33"/>
        <v>0</v>
      </c>
      <c r="CW31" s="67">
        <f t="shared" si="34"/>
        <v>0</v>
      </c>
      <c r="CX31" s="66"/>
      <c r="CY31" s="31">
        <f t="shared" si="35"/>
        <v>0</v>
      </c>
      <c r="CZ31" s="65">
        <f t="shared" si="36"/>
        <v>0</v>
      </c>
      <c r="DA31" s="66"/>
      <c r="DB31" s="31">
        <f t="shared" si="37"/>
        <v>0</v>
      </c>
      <c r="DC31" s="67">
        <f t="shared" si="38"/>
        <v>0</v>
      </c>
      <c r="DE31" s="76">
        <v>4</v>
      </c>
      <c r="DF31" s="42"/>
      <c r="DG31" s="69">
        <f t="shared" si="39"/>
        <v>0</v>
      </c>
      <c r="DH31" s="42"/>
      <c r="DI31" s="70">
        <f t="shared" si="40"/>
        <v>1</v>
      </c>
      <c r="DJ31" s="42"/>
      <c r="DK31" s="70">
        <f t="shared" si="41"/>
        <v>3</v>
      </c>
      <c r="DL31" s="42"/>
      <c r="DM31" s="71">
        <f t="shared" si="42"/>
        <v>15</v>
      </c>
      <c r="DN31" s="42"/>
      <c r="DO31" s="72">
        <f t="shared" si="43"/>
        <v>3</v>
      </c>
      <c r="DP31" s="42"/>
      <c r="DQ31" s="71">
        <f t="shared" si="44"/>
        <v>18</v>
      </c>
      <c r="DR31" s="42"/>
      <c r="DS31" s="69"/>
      <c r="DT31" s="42"/>
      <c r="DU31" s="71">
        <v>0</v>
      </c>
      <c r="DV31" s="42"/>
      <c r="DW31" s="73">
        <f t="shared" si="46"/>
        <v>0</v>
      </c>
      <c r="DX31" s="42"/>
      <c r="DY31" s="71">
        <f t="shared" si="47"/>
        <v>0</v>
      </c>
    </row>
    <row r="32" ht="12.45" customHeight="1" spans="1:129" s="6" customFormat="1" x14ac:dyDescent="0.25">
      <c r="A32" s="77" t="s">
        <v>77</v>
      </c>
      <c r="B32" s="42"/>
      <c r="C32" s="75"/>
      <c r="D32" s="44"/>
      <c r="E32" s="78">
        <v>30</v>
      </c>
      <c r="F32" s="44"/>
      <c r="G32" s="61">
        <v>36</v>
      </c>
      <c r="H32" s="2"/>
      <c r="I32" s="62"/>
      <c r="J32" s="63"/>
      <c r="K32" s="64"/>
      <c r="L32" s="3"/>
      <c r="M32" s="62"/>
      <c r="N32" s="3"/>
      <c r="O32" s="64"/>
      <c r="P32" s="3"/>
      <c r="Q32" s="62"/>
      <c r="R32" s="3"/>
      <c r="S32" s="64"/>
      <c r="T32" s="3"/>
      <c r="U32" s="62"/>
      <c r="V32" s="3"/>
      <c r="W32" s="64"/>
      <c r="X32" s="3"/>
      <c r="Y32" s="62"/>
      <c r="Z32" s="3"/>
      <c r="AA32" s="64"/>
      <c r="AB32" s="3"/>
      <c r="AC32" s="62"/>
      <c r="AD32" s="3"/>
      <c r="AE32" s="64"/>
      <c r="AF32" s="3"/>
      <c r="AG32" s="62"/>
      <c r="AH32" s="3"/>
      <c r="AI32" s="64"/>
      <c r="AJ32" s="3"/>
      <c r="AK32" s="62"/>
      <c r="AL32" s="3"/>
      <c r="AM32" s="64"/>
      <c r="AN32" s="3"/>
      <c r="AO32" s="62"/>
      <c r="AP32" s="3"/>
      <c r="AQ32" s="64"/>
      <c r="AR32" s="3"/>
      <c r="AS32" s="62"/>
      <c r="AT32" s="3"/>
      <c r="AU32" s="64"/>
      <c r="AV32" s="2"/>
      <c r="AW32" s="34">
        <f t="shared" si="0"/>
        <v>0</v>
      </c>
      <c r="AX32" s="65">
        <f t="shared" si="1"/>
        <v>0</v>
      </c>
      <c r="AY32" s="66"/>
      <c r="AZ32" s="31">
        <f t="shared" si="2"/>
        <v>0</v>
      </c>
      <c r="BA32" s="67">
        <f t="shared" si="3"/>
        <v>0</v>
      </c>
      <c r="BB32" s="66"/>
      <c r="BC32" s="31">
        <f t="shared" si="4"/>
        <v>0</v>
      </c>
      <c r="BD32" s="65">
        <f t="shared" si="5"/>
        <v>0</v>
      </c>
      <c r="BE32" s="66"/>
      <c r="BF32" s="31">
        <f t="shared" si="6"/>
        <v>0</v>
      </c>
      <c r="BG32" s="67">
        <f t="shared" si="7"/>
        <v>0</v>
      </c>
      <c r="BH32" s="66"/>
      <c r="BI32" s="31">
        <f t="shared" si="8"/>
        <v>0</v>
      </c>
      <c r="BJ32" s="65">
        <f t="shared" si="9"/>
        <v>0</v>
      </c>
      <c r="BK32" s="66"/>
      <c r="BL32" s="31">
        <f t="shared" si="10"/>
        <v>0</v>
      </c>
      <c r="BM32" s="67">
        <f t="shared" si="11"/>
        <v>0</v>
      </c>
      <c r="BN32" s="66"/>
      <c r="BO32" s="31">
        <f t="shared" si="12"/>
        <v>0</v>
      </c>
      <c r="BP32" s="65">
        <f t="shared" si="13"/>
        <v>0</v>
      </c>
      <c r="BQ32" s="66"/>
      <c r="BR32" s="31">
        <f t="shared" si="14"/>
        <v>0</v>
      </c>
      <c r="BS32" s="67">
        <f t="shared" si="15"/>
        <v>0</v>
      </c>
      <c r="BT32" s="66"/>
      <c r="BU32" s="31">
        <f t="shared" si="16"/>
        <v>0</v>
      </c>
      <c r="BV32" s="65">
        <f t="shared" si="17"/>
        <v>0</v>
      </c>
      <c r="BW32" s="66"/>
      <c r="BX32" s="31">
        <f t="shared" si="18"/>
        <v>0</v>
      </c>
      <c r="BY32" s="67">
        <f t="shared" si="19"/>
        <v>0</v>
      </c>
      <c r="BZ32" s="66"/>
      <c r="CA32" s="31">
        <f t="shared" si="20"/>
        <v>0</v>
      </c>
      <c r="CB32" s="65">
        <f t="shared" si="21"/>
        <v>0</v>
      </c>
      <c r="CC32" s="66"/>
      <c r="CD32" s="31">
        <f t="shared" si="22"/>
        <v>0</v>
      </c>
      <c r="CE32" s="67">
        <f t="shared" si="23"/>
        <v>0</v>
      </c>
      <c r="CF32" s="66"/>
      <c r="CG32" s="34">
        <f t="shared" si="24"/>
        <v>0</v>
      </c>
      <c r="CH32" s="67">
        <f t="shared" si="45"/>
        <v>0</v>
      </c>
      <c r="CI32" s="66"/>
      <c r="CJ32" s="34">
        <f t="shared" si="25"/>
        <v>0</v>
      </c>
      <c r="CK32" s="67">
        <f t="shared" si="26"/>
        <v>0</v>
      </c>
      <c r="CL32" s="66"/>
      <c r="CM32" s="34">
        <f t="shared" si="27"/>
        <v>0</v>
      </c>
      <c r="CN32" s="67">
        <f t="shared" si="28"/>
        <v>0</v>
      </c>
      <c r="CO32" s="66"/>
      <c r="CP32" s="34">
        <f t="shared" si="29"/>
        <v>0</v>
      </c>
      <c r="CQ32" s="67">
        <f t="shared" si="30"/>
        <v>0</v>
      </c>
      <c r="CR32" s="66"/>
      <c r="CS32" s="34">
        <f t="shared" si="31"/>
        <v>0</v>
      </c>
      <c r="CT32" s="65">
        <f t="shared" si="32"/>
        <v>0</v>
      </c>
      <c r="CU32" s="66"/>
      <c r="CV32" s="31">
        <f t="shared" si="33"/>
        <v>0</v>
      </c>
      <c r="CW32" s="67">
        <f t="shared" si="34"/>
        <v>0</v>
      </c>
      <c r="CX32" s="66"/>
      <c r="CY32" s="31">
        <f t="shared" si="35"/>
        <v>0</v>
      </c>
      <c r="CZ32" s="65">
        <f t="shared" si="36"/>
        <v>0</v>
      </c>
      <c r="DA32" s="66"/>
      <c r="DB32" s="31">
        <f t="shared" si="37"/>
        <v>0</v>
      </c>
      <c r="DC32" s="67">
        <f t="shared" si="38"/>
        <v>0</v>
      </c>
      <c r="DD32" s="2"/>
      <c r="DE32" s="76">
        <v>2</v>
      </c>
      <c r="DF32" s="42"/>
      <c r="DG32" s="69">
        <f t="shared" si="39"/>
        <v>0</v>
      </c>
      <c r="DH32" s="42"/>
      <c r="DI32" s="70">
        <f t="shared" si="40"/>
        <v>0</v>
      </c>
      <c r="DJ32" s="42"/>
      <c r="DK32" s="70">
        <f t="shared" si="41"/>
        <v>2</v>
      </c>
      <c r="DL32" s="42"/>
      <c r="DM32" s="71">
        <f t="shared" si="42"/>
        <v>60</v>
      </c>
      <c r="DN32" s="42"/>
      <c r="DO32" s="72" t="e">
        <f t="shared" si="43"/>
        <v>#DIV/0!</v>
      </c>
      <c r="DP32" s="42"/>
      <c r="DQ32" s="71">
        <f t="shared" si="44"/>
        <v>72</v>
      </c>
      <c r="DR32" s="42"/>
      <c r="DS32" s="69"/>
      <c r="DT32" s="42"/>
      <c r="DU32" s="71">
        <v>0</v>
      </c>
      <c r="DV32" s="42"/>
      <c r="DW32" s="73">
        <f t="shared" si="46"/>
        <v>0</v>
      </c>
      <c r="DX32" s="42"/>
      <c r="DY32" s="71">
        <f t="shared" si="47"/>
        <v>0</v>
      </c>
    </row>
    <row r="33" ht="12.45" customHeight="1" spans="1:129" x14ac:dyDescent="0.25">
      <c r="A33" s="74" t="s">
        <v>78</v>
      </c>
      <c r="B33" s="42"/>
      <c r="C33" s="75"/>
      <c r="D33" s="44"/>
      <c r="E33" s="78">
        <v>5</v>
      </c>
      <c r="F33" s="44"/>
      <c r="G33" s="61">
        <v>6</v>
      </c>
      <c r="I33" s="62"/>
      <c r="J33" s="63"/>
      <c r="K33" s="64"/>
      <c r="L33" s="3"/>
      <c r="M33" s="62"/>
      <c r="N33" s="3"/>
      <c r="O33" s="64">
        <v>1</v>
      </c>
      <c r="P33" s="3"/>
      <c r="Q33" s="62"/>
      <c r="R33" s="3"/>
      <c r="S33" s="64"/>
      <c r="T33" s="3"/>
      <c r="U33" s="62"/>
      <c r="V33" s="3"/>
      <c r="W33" s="64"/>
      <c r="X33" s="3"/>
      <c r="Y33" s="62"/>
      <c r="Z33" s="3"/>
      <c r="AA33" s="64"/>
      <c r="AB33" s="3"/>
      <c r="AC33" s="62"/>
      <c r="AD33" s="3"/>
      <c r="AE33" s="64"/>
      <c r="AF33" s="3"/>
      <c r="AG33" s="62"/>
      <c r="AH33" s="3"/>
      <c r="AI33" s="64"/>
      <c r="AJ33" s="3"/>
      <c r="AK33" s="62"/>
      <c r="AL33" s="3"/>
      <c r="AM33" s="64"/>
      <c r="AN33" s="3"/>
      <c r="AO33" s="62"/>
      <c r="AP33" s="3"/>
      <c r="AQ33" s="64"/>
      <c r="AR33" s="3"/>
      <c r="AS33" s="62"/>
      <c r="AT33" s="3"/>
      <c r="AU33" s="64"/>
      <c r="AW33" s="34">
        <f t="shared" si="0"/>
        <v>0</v>
      </c>
      <c r="AX33" s="65">
        <f t="shared" si="1"/>
        <v>0</v>
      </c>
      <c r="AY33" s="66"/>
      <c r="AZ33" s="31">
        <f t="shared" si="2"/>
        <v>0</v>
      </c>
      <c r="BA33" s="67">
        <f t="shared" si="3"/>
        <v>0</v>
      </c>
      <c r="BB33" s="66"/>
      <c r="BC33" s="31">
        <f t="shared" si="4"/>
        <v>0</v>
      </c>
      <c r="BD33" s="65">
        <f t="shared" si="5"/>
        <v>0</v>
      </c>
      <c r="BE33" s="66"/>
      <c r="BF33" s="31">
        <f t="shared" si="6"/>
        <v>1</v>
      </c>
      <c r="BG33" s="67">
        <f t="shared" si="7"/>
        <v>6</v>
      </c>
      <c r="BH33" s="66"/>
      <c r="BI33" s="31">
        <f t="shared" si="8"/>
        <v>0</v>
      </c>
      <c r="BJ33" s="65">
        <f t="shared" si="9"/>
        <v>0</v>
      </c>
      <c r="BK33" s="66"/>
      <c r="BL33" s="31">
        <f t="shared" si="10"/>
        <v>0</v>
      </c>
      <c r="BM33" s="67">
        <f t="shared" si="11"/>
        <v>0</v>
      </c>
      <c r="BN33" s="66"/>
      <c r="BO33" s="31">
        <f t="shared" si="12"/>
        <v>0</v>
      </c>
      <c r="BP33" s="65">
        <f t="shared" si="13"/>
        <v>0</v>
      </c>
      <c r="BQ33" s="66"/>
      <c r="BR33" s="31">
        <f t="shared" si="14"/>
        <v>0</v>
      </c>
      <c r="BS33" s="67">
        <f t="shared" si="15"/>
        <v>0</v>
      </c>
      <c r="BT33" s="66"/>
      <c r="BU33" s="31">
        <f t="shared" si="16"/>
        <v>0</v>
      </c>
      <c r="BV33" s="65">
        <f t="shared" si="17"/>
        <v>0</v>
      </c>
      <c r="BW33" s="66"/>
      <c r="BX33" s="31">
        <f t="shared" si="18"/>
        <v>0</v>
      </c>
      <c r="BY33" s="67">
        <f t="shared" si="19"/>
        <v>0</v>
      </c>
      <c r="BZ33" s="66"/>
      <c r="CA33" s="31">
        <f t="shared" si="20"/>
        <v>0</v>
      </c>
      <c r="CB33" s="65">
        <f t="shared" si="21"/>
        <v>0</v>
      </c>
      <c r="CC33" s="66"/>
      <c r="CD33" s="31">
        <f t="shared" si="22"/>
        <v>0</v>
      </c>
      <c r="CE33" s="67">
        <f t="shared" si="23"/>
        <v>0</v>
      </c>
      <c r="CF33" s="66"/>
      <c r="CG33" s="34">
        <f t="shared" si="24"/>
        <v>0</v>
      </c>
      <c r="CH33" s="67">
        <f t="shared" si="45"/>
        <v>0</v>
      </c>
      <c r="CI33" s="66"/>
      <c r="CJ33" s="34">
        <f t="shared" si="25"/>
        <v>0</v>
      </c>
      <c r="CK33" s="67">
        <f t="shared" si="26"/>
        <v>0</v>
      </c>
      <c r="CL33" s="66"/>
      <c r="CM33" s="34">
        <f t="shared" si="27"/>
        <v>0</v>
      </c>
      <c r="CN33" s="67">
        <f t="shared" si="28"/>
        <v>0</v>
      </c>
      <c r="CO33" s="66"/>
      <c r="CP33" s="34">
        <f t="shared" si="29"/>
        <v>0</v>
      </c>
      <c r="CQ33" s="67">
        <f t="shared" si="30"/>
        <v>0</v>
      </c>
      <c r="CR33" s="66"/>
      <c r="CS33" s="34">
        <f t="shared" si="31"/>
        <v>0</v>
      </c>
      <c r="CT33" s="65">
        <f t="shared" si="32"/>
        <v>0</v>
      </c>
      <c r="CU33" s="66"/>
      <c r="CV33" s="31">
        <f t="shared" si="33"/>
        <v>0</v>
      </c>
      <c r="CW33" s="67">
        <f t="shared" si="34"/>
        <v>0</v>
      </c>
      <c r="CX33" s="66"/>
      <c r="CY33" s="31">
        <f t="shared" si="35"/>
        <v>0</v>
      </c>
      <c r="CZ33" s="65">
        <f t="shared" si="36"/>
        <v>0</v>
      </c>
      <c r="DA33" s="66"/>
      <c r="DB33" s="31">
        <f t="shared" si="37"/>
        <v>0</v>
      </c>
      <c r="DC33" s="67">
        <f t="shared" si="38"/>
        <v>0</v>
      </c>
      <c r="DE33" s="76">
        <v>15</v>
      </c>
      <c r="DF33" s="42"/>
      <c r="DG33" s="69">
        <f t="shared" si="39"/>
        <v>0</v>
      </c>
      <c r="DH33" s="42"/>
      <c r="DI33" s="70">
        <f t="shared" si="40"/>
        <v>1</v>
      </c>
      <c r="DJ33" s="42"/>
      <c r="DK33" s="70">
        <f t="shared" si="41"/>
        <v>14</v>
      </c>
      <c r="DL33" s="42"/>
      <c r="DM33" s="71">
        <f t="shared" si="42"/>
        <v>70</v>
      </c>
      <c r="DN33" s="42"/>
      <c r="DO33" s="72">
        <f t="shared" si="43"/>
        <v>14</v>
      </c>
      <c r="DP33" s="42"/>
      <c r="DQ33" s="71">
        <f t="shared" si="44"/>
        <v>84</v>
      </c>
      <c r="DR33" s="42"/>
      <c r="DS33" s="69"/>
      <c r="DT33" s="42"/>
      <c r="DU33" s="71">
        <v>0</v>
      </c>
      <c r="DV33" s="42"/>
      <c r="DW33" s="73">
        <f t="shared" si="46"/>
        <v>0</v>
      </c>
      <c r="DX33" s="42"/>
      <c r="DY33" s="71">
        <f t="shared" si="47"/>
        <v>0</v>
      </c>
    </row>
    <row r="34" ht="12.45" customHeight="1" spans="1:129" x14ac:dyDescent="0.25">
      <c r="A34" s="77" t="s">
        <v>79</v>
      </c>
      <c r="B34" s="42"/>
      <c r="C34" s="75"/>
      <c r="D34" s="44"/>
      <c r="E34" s="78">
        <v>5</v>
      </c>
      <c r="F34" s="44"/>
      <c r="G34" s="61">
        <v>6</v>
      </c>
      <c r="I34" s="62"/>
      <c r="J34" s="63"/>
      <c r="K34" s="64"/>
      <c r="L34" s="3"/>
      <c r="M34" s="62"/>
      <c r="N34" s="3"/>
      <c r="O34" s="64"/>
      <c r="P34" s="3"/>
      <c r="Q34" s="62"/>
      <c r="R34" s="3"/>
      <c r="S34" s="64"/>
      <c r="T34" s="3"/>
      <c r="U34" s="62"/>
      <c r="V34" s="3"/>
      <c r="W34" s="64"/>
      <c r="X34" s="3"/>
      <c r="Y34" s="62"/>
      <c r="Z34" s="3"/>
      <c r="AA34" s="64"/>
      <c r="AB34" s="3"/>
      <c r="AC34" s="62"/>
      <c r="AD34" s="3"/>
      <c r="AE34" s="64"/>
      <c r="AF34" s="3"/>
      <c r="AG34" s="62"/>
      <c r="AH34" s="3"/>
      <c r="AI34" s="64"/>
      <c r="AJ34" s="3"/>
      <c r="AK34" s="62"/>
      <c r="AL34" s="3"/>
      <c r="AM34" s="64"/>
      <c r="AN34" s="3"/>
      <c r="AO34" s="62"/>
      <c r="AP34" s="3"/>
      <c r="AQ34" s="64"/>
      <c r="AR34" s="3"/>
      <c r="AS34" s="62"/>
      <c r="AT34" s="3"/>
      <c r="AU34" s="64"/>
      <c r="AW34" s="34">
        <f t="shared" si="0"/>
        <v>0</v>
      </c>
      <c r="AX34" s="65">
        <f t="shared" si="1"/>
        <v>0</v>
      </c>
      <c r="AY34" s="66"/>
      <c r="AZ34" s="31">
        <f t="shared" si="2"/>
        <v>0</v>
      </c>
      <c r="BA34" s="67">
        <f t="shared" si="3"/>
        <v>0</v>
      </c>
      <c r="BB34" s="66"/>
      <c r="BC34" s="31">
        <f t="shared" si="4"/>
        <v>0</v>
      </c>
      <c r="BD34" s="65">
        <f t="shared" si="5"/>
        <v>0</v>
      </c>
      <c r="BE34" s="66"/>
      <c r="BF34" s="31">
        <f t="shared" si="6"/>
        <v>0</v>
      </c>
      <c r="BG34" s="67">
        <f t="shared" si="7"/>
        <v>0</v>
      </c>
      <c r="BH34" s="66"/>
      <c r="BI34" s="31">
        <f t="shared" si="8"/>
        <v>0</v>
      </c>
      <c r="BJ34" s="65">
        <f t="shared" si="9"/>
        <v>0</v>
      </c>
      <c r="BK34" s="66"/>
      <c r="BL34" s="31">
        <f t="shared" si="10"/>
        <v>0</v>
      </c>
      <c r="BM34" s="67">
        <f t="shared" si="11"/>
        <v>0</v>
      </c>
      <c r="BN34" s="66"/>
      <c r="BO34" s="31">
        <f t="shared" si="12"/>
        <v>0</v>
      </c>
      <c r="BP34" s="65">
        <f t="shared" si="13"/>
        <v>0</v>
      </c>
      <c r="BQ34" s="66"/>
      <c r="BR34" s="31">
        <f t="shared" si="14"/>
        <v>0</v>
      </c>
      <c r="BS34" s="67">
        <f t="shared" si="15"/>
        <v>0</v>
      </c>
      <c r="BT34" s="66"/>
      <c r="BU34" s="31">
        <f t="shared" si="16"/>
        <v>0</v>
      </c>
      <c r="BV34" s="65">
        <f t="shared" si="17"/>
        <v>0</v>
      </c>
      <c r="BW34" s="66"/>
      <c r="BX34" s="31">
        <f t="shared" si="18"/>
        <v>0</v>
      </c>
      <c r="BY34" s="67">
        <f t="shared" si="19"/>
        <v>0</v>
      </c>
      <c r="BZ34" s="66"/>
      <c r="CA34" s="31">
        <f t="shared" si="20"/>
        <v>0</v>
      </c>
      <c r="CB34" s="65">
        <f t="shared" si="21"/>
        <v>0</v>
      </c>
      <c r="CC34" s="66"/>
      <c r="CD34" s="31">
        <f t="shared" si="22"/>
        <v>0</v>
      </c>
      <c r="CE34" s="67">
        <f t="shared" si="23"/>
        <v>0</v>
      </c>
      <c r="CF34" s="66"/>
      <c r="CG34" s="34">
        <f t="shared" si="24"/>
        <v>0</v>
      </c>
      <c r="CH34" s="67">
        <f t="shared" si="45"/>
        <v>0</v>
      </c>
      <c r="CI34" s="66"/>
      <c r="CJ34" s="34">
        <f t="shared" si="25"/>
        <v>0</v>
      </c>
      <c r="CK34" s="67">
        <f t="shared" si="26"/>
        <v>0</v>
      </c>
      <c r="CL34" s="66"/>
      <c r="CM34" s="34">
        <f t="shared" si="27"/>
        <v>0</v>
      </c>
      <c r="CN34" s="67">
        <f t="shared" si="28"/>
        <v>0</v>
      </c>
      <c r="CO34" s="66"/>
      <c r="CP34" s="34">
        <f t="shared" si="29"/>
        <v>0</v>
      </c>
      <c r="CQ34" s="67">
        <f t="shared" si="30"/>
        <v>0</v>
      </c>
      <c r="CR34" s="66"/>
      <c r="CS34" s="34">
        <f t="shared" si="31"/>
        <v>0</v>
      </c>
      <c r="CT34" s="65">
        <f t="shared" si="32"/>
        <v>0</v>
      </c>
      <c r="CU34" s="66"/>
      <c r="CV34" s="31">
        <f t="shared" si="33"/>
        <v>0</v>
      </c>
      <c r="CW34" s="67">
        <f t="shared" si="34"/>
        <v>0</v>
      </c>
      <c r="CX34" s="66"/>
      <c r="CY34" s="31">
        <f t="shared" si="35"/>
        <v>0</v>
      </c>
      <c r="CZ34" s="65">
        <f t="shared" si="36"/>
        <v>0</v>
      </c>
      <c r="DA34" s="66"/>
      <c r="DB34" s="31">
        <f t="shared" si="37"/>
        <v>0</v>
      </c>
      <c r="DC34" s="67">
        <f t="shared" si="38"/>
        <v>0</v>
      </c>
      <c r="DE34" s="76">
        <v>8</v>
      </c>
      <c r="DF34" s="42"/>
      <c r="DG34" s="69">
        <f t="shared" si="39"/>
        <v>0</v>
      </c>
      <c r="DH34" s="42"/>
      <c r="DI34" s="70">
        <f t="shared" si="40"/>
        <v>0</v>
      </c>
      <c r="DJ34" s="42"/>
      <c r="DK34" s="70">
        <f t="shared" si="41"/>
        <v>8</v>
      </c>
      <c r="DL34" s="42"/>
      <c r="DM34" s="71">
        <f t="shared" si="42"/>
        <v>40</v>
      </c>
      <c r="DN34" s="42"/>
      <c r="DO34" s="72" t="e">
        <f t="shared" si="43"/>
        <v>#DIV/0!</v>
      </c>
      <c r="DP34" s="42"/>
      <c r="DQ34" s="71">
        <f t="shared" si="44"/>
        <v>48</v>
      </c>
      <c r="DR34" s="42"/>
      <c r="DS34" s="69"/>
      <c r="DT34" s="42"/>
      <c r="DU34" s="71">
        <v>0</v>
      </c>
      <c r="DV34" s="42"/>
      <c r="DW34" s="73">
        <f t="shared" si="46"/>
        <v>0</v>
      </c>
      <c r="DX34" s="42"/>
      <c r="DY34" s="71">
        <f t="shared" si="47"/>
        <v>0</v>
      </c>
    </row>
    <row r="35" ht="12.45" customHeight="1" spans="1:129" x14ac:dyDescent="0.25">
      <c r="A35" s="74" t="s">
        <v>80</v>
      </c>
      <c r="B35" s="42"/>
      <c r="C35" s="75"/>
      <c r="D35" s="44"/>
      <c r="E35" s="78">
        <v>5</v>
      </c>
      <c r="F35" s="44"/>
      <c r="G35" s="61">
        <v>6</v>
      </c>
      <c r="I35" s="62">
        <v>1</v>
      </c>
      <c r="J35" s="63"/>
      <c r="K35" s="64">
        <v>1</v>
      </c>
      <c r="L35" s="3"/>
      <c r="M35" s="62"/>
      <c r="N35" s="3"/>
      <c r="O35" s="64">
        <v>1</v>
      </c>
      <c r="P35" s="3"/>
      <c r="Q35" s="62"/>
      <c r="R35" s="3"/>
      <c r="S35" s="64"/>
      <c r="T35" s="3"/>
      <c r="U35" s="62">
        <v>1</v>
      </c>
      <c r="V35" s="3"/>
      <c r="W35" s="64">
        <v>1</v>
      </c>
      <c r="X35" s="3"/>
      <c r="Y35" s="62"/>
      <c r="Z35" s="3"/>
      <c r="AA35" s="64"/>
      <c r="AB35" s="3"/>
      <c r="AC35" s="62"/>
      <c r="AD35" s="3"/>
      <c r="AE35" s="64"/>
      <c r="AF35" s="3"/>
      <c r="AG35" s="62"/>
      <c r="AH35" s="3"/>
      <c r="AI35" s="64"/>
      <c r="AJ35" s="3"/>
      <c r="AK35" s="62"/>
      <c r="AL35" s="3"/>
      <c r="AM35" s="64"/>
      <c r="AN35" s="3"/>
      <c r="AO35" s="62"/>
      <c r="AP35" s="3"/>
      <c r="AQ35" s="64"/>
      <c r="AR35" s="3"/>
      <c r="AS35" s="62"/>
      <c r="AT35" s="3"/>
      <c r="AU35" s="64"/>
      <c r="AW35" s="34">
        <f t="shared" si="0"/>
        <v>1</v>
      </c>
      <c r="AX35" s="65">
        <f t="shared" si="1"/>
        <v>6</v>
      </c>
      <c r="AY35" s="66"/>
      <c r="AZ35" s="31">
        <f t="shared" si="2"/>
        <v>1</v>
      </c>
      <c r="BA35" s="67">
        <f t="shared" si="3"/>
        <v>6</v>
      </c>
      <c r="BB35" s="66"/>
      <c r="BC35" s="31">
        <f t="shared" si="4"/>
        <v>0</v>
      </c>
      <c r="BD35" s="65">
        <f t="shared" si="5"/>
        <v>0</v>
      </c>
      <c r="BE35" s="66"/>
      <c r="BF35" s="31">
        <f t="shared" si="6"/>
        <v>1</v>
      </c>
      <c r="BG35" s="67">
        <f t="shared" si="7"/>
        <v>6</v>
      </c>
      <c r="BH35" s="66"/>
      <c r="BI35" s="31">
        <f t="shared" si="8"/>
        <v>0</v>
      </c>
      <c r="BJ35" s="65">
        <f t="shared" si="9"/>
        <v>0</v>
      </c>
      <c r="BK35" s="66"/>
      <c r="BL35" s="31">
        <f t="shared" si="10"/>
        <v>0</v>
      </c>
      <c r="BM35" s="67">
        <f t="shared" si="11"/>
        <v>0</v>
      </c>
      <c r="BN35" s="66"/>
      <c r="BO35" s="31">
        <f t="shared" si="12"/>
        <v>1</v>
      </c>
      <c r="BP35" s="65">
        <f t="shared" si="13"/>
        <v>6</v>
      </c>
      <c r="BQ35" s="66"/>
      <c r="BR35" s="31">
        <f t="shared" si="14"/>
        <v>1</v>
      </c>
      <c r="BS35" s="67">
        <f t="shared" si="15"/>
        <v>6</v>
      </c>
      <c r="BT35" s="66"/>
      <c r="BU35" s="31">
        <f t="shared" si="16"/>
        <v>0</v>
      </c>
      <c r="BV35" s="65">
        <f t="shared" si="17"/>
        <v>0</v>
      </c>
      <c r="BW35" s="66"/>
      <c r="BX35" s="31">
        <f t="shared" si="18"/>
        <v>0</v>
      </c>
      <c r="BY35" s="67">
        <f t="shared" si="19"/>
        <v>0</v>
      </c>
      <c r="BZ35" s="66"/>
      <c r="CA35" s="31">
        <f t="shared" si="20"/>
        <v>0</v>
      </c>
      <c r="CB35" s="65">
        <f t="shared" si="21"/>
        <v>0</v>
      </c>
      <c r="CC35" s="66"/>
      <c r="CD35" s="31">
        <f t="shared" si="22"/>
        <v>0</v>
      </c>
      <c r="CE35" s="67">
        <f t="shared" si="23"/>
        <v>0</v>
      </c>
      <c r="CF35" s="66"/>
      <c r="CG35" s="34">
        <f t="shared" si="24"/>
        <v>0</v>
      </c>
      <c r="CH35" s="67">
        <f t="shared" si="45"/>
        <v>0</v>
      </c>
      <c r="CI35" s="66"/>
      <c r="CJ35" s="34">
        <f t="shared" si="25"/>
        <v>0</v>
      </c>
      <c r="CK35" s="67">
        <f t="shared" si="26"/>
        <v>0</v>
      </c>
      <c r="CL35" s="66"/>
      <c r="CM35" s="34">
        <f t="shared" si="27"/>
        <v>0</v>
      </c>
      <c r="CN35" s="67">
        <f t="shared" si="28"/>
        <v>0</v>
      </c>
      <c r="CO35" s="66"/>
      <c r="CP35" s="34">
        <f t="shared" si="29"/>
        <v>0</v>
      </c>
      <c r="CQ35" s="67">
        <f t="shared" si="30"/>
        <v>0</v>
      </c>
      <c r="CR35" s="66"/>
      <c r="CS35" s="34">
        <f t="shared" si="31"/>
        <v>0</v>
      </c>
      <c r="CT35" s="65">
        <f t="shared" si="32"/>
        <v>0</v>
      </c>
      <c r="CU35" s="66"/>
      <c r="CV35" s="31">
        <f t="shared" si="33"/>
        <v>0</v>
      </c>
      <c r="CW35" s="67">
        <f t="shared" si="34"/>
        <v>0</v>
      </c>
      <c r="CX35" s="66"/>
      <c r="CY35" s="31">
        <f t="shared" si="35"/>
        <v>0</v>
      </c>
      <c r="CZ35" s="65">
        <f t="shared" si="36"/>
        <v>0</v>
      </c>
      <c r="DA35" s="66"/>
      <c r="DB35" s="31">
        <f t="shared" si="37"/>
        <v>0</v>
      </c>
      <c r="DC35" s="67">
        <f t="shared" si="38"/>
        <v>0</v>
      </c>
      <c r="DE35" s="76">
        <v>10</v>
      </c>
      <c r="DF35" s="42"/>
      <c r="DG35" s="69">
        <f t="shared" si="39"/>
        <v>0</v>
      </c>
      <c r="DH35" s="42"/>
      <c r="DI35" s="70">
        <f t="shared" si="40"/>
        <v>5</v>
      </c>
      <c r="DJ35" s="42"/>
      <c r="DK35" s="70">
        <f t="shared" si="41"/>
        <v>5</v>
      </c>
      <c r="DL35" s="42"/>
      <c r="DM35" s="71">
        <f t="shared" si="42"/>
        <v>25</v>
      </c>
      <c r="DN35" s="42"/>
      <c r="DO35" s="72">
        <f t="shared" si="43"/>
        <v>1</v>
      </c>
      <c r="DP35" s="42"/>
      <c r="DQ35" s="71">
        <f t="shared" si="44"/>
        <v>30</v>
      </c>
      <c r="DR35" s="42"/>
      <c r="DS35" s="69"/>
      <c r="DT35" s="42"/>
      <c r="DU35" s="71">
        <v>0</v>
      </c>
      <c r="DV35" s="42"/>
      <c r="DW35" s="73">
        <f t="shared" si="46"/>
        <v>0</v>
      </c>
      <c r="DX35" s="42"/>
      <c r="DY35" s="71">
        <f t="shared" si="47"/>
        <v>0</v>
      </c>
    </row>
    <row r="36" ht="12.45" customHeight="1" spans="1:129" x14ac:dyDescent="0.25">
      <c r="A36" s="77" t="s">
        <v>81</v>
      </c>
      <c r="B36" s="42"/>
      <c r="C36" s="75"/>
      <c r="D36" s="44"/>
      <c r="E36" s="78">
        <v>25</v>
      </c>
      <c r="F36" s="44"/>
      <c r="G36" s="61">
        <v>30</v>
      </c>
      <c r="I36" s="62">
        <v>1</v>
      </c>
      <c r="J36" s="63"/>
      <c r="K36" s="64"/>
      <c r="L36" s="3"/>
      <c r="M36" s="62"/>
      <c r="N36" s="3"/>
      <c r="O36" s="64"/>
      <c r="P36" s="3"/>
      <c r="Q36" s="62"/>
      <c r="R36" s="3"/>
      <c r="S36" s="64"/>
      <c r="T36" s="3"/>
      <c r="U36" s="62"/>
      <c r="V36" s="3"/>
      <c r="W36" s="64"/>
      <c r="X36" s="3"/>
      <c r="Y36" s="62"/>
      <c r="Z36" s="3"/>
      <c r="AA36" s="64"/>
      <c r="AB36" s="3"/>
      <c r="AC36" s="62"/>
      <c r="AD36" s="3"/>
      <c r="AE36" s="64"/>
      <c r="AF36" s="3"/>
      <c r="AG36" s="62"/>
      <c r="AH36" s="3"/>
      <c r="AI36" s="64"/>
      <c r="AJ36" s="3"/>
      <c r="AK36" s="62"/>
      <c r="AL36" s="3"/>
      <c r="AM36" s="64"/>
      <c r="AN36" s="3"/>
      <c r="AO36" s="62"/>
      <c r="AP36" s="3"/>
      <c r="AQ36" s="64"/>
      <c r="AR36" s="3"/>
      <c r="AS36" s="62"/>
      <c r="AT36" s="3"/>
      <c r="AU36" s="64"/>
      <c r="AW36" s="34">
        <f t="shared" si="0"/>
        <v>1</v>
      </c>
      <c r="AX36" s="65">
        <f t="shared" si="1"/>
        <v>30</v>
      </c>
      <c r="AY36" s="66"/>
      <c r="AZ36" s="31">
        <f t="shared" si="2"/>
        <v>0</v>
      </c>
      <c r="BA36" s="67">
        <f t="shared" si="3"/>
        <v>0</v>
      </c>
      <c r="BB36" s="66"/>
      <c r="BC36" s="31">
        <f t="shared" si="4"/>
        <v>0</v>
      </c>
      <c r="BD36" s="65">
        <f t="shared" si="5"/>
        <v>0</v>
      </c>
      <c r="BE36" s="66"/>
      <c r="BF36" s="31">
        <f t="shared" si="6"/>
        <v>0</v>
      </c>
      <c r="BG36" s="67">
        <f t="shared" si="7"/>
        <v>0</v>
      </c>
      <c r="BH36" s="66"/>
      <c r="BI36" s="31">
        <f t="shared" si="8"/>
        <v>0</v>
      </c>
      <c r="BJ36" s="65">
        <f t="shared" si="9"/>
        <v>0</v>
      </c>
      <c r="BK36" s="66"/>
      <c r="BL36" s="31">
        <f t="shared" si="10"/>
        <v>0</v>
      </c>
      <c r="BM36" s="67">
        <f t="shared" si="11"/>
        <v>0</v>
      </c>
      <c r="BN36" s="66"/>
      <c r="BO36" s="31">
        <f t="shared" si="12"/>
        <v>0</v>
      </c>
      <c r="BP36" s="65">
        <f t="shared" si="13"/>
        <v>0</v>
      </c>
      <c r="BQ36" s="66"/>
      <c r="BR36" s="31">
        <f t="shared" si="14"/>
        <v>0</v>
      </c>
      <c r="BS36" s="67">
        <f t="shared" si="15"/>
        <v>0</v>
      </c>
      <c r="BT36" s="66"/>
      <c r="BU36" s="31">
        <f t="shared" si="16"/>
        <v>0</v>
      </c>
      <c r="BV36" s="65">
        <f t="shared" si="17"/>
        <v>0</v>
      </c>
      <c r="BW36" s="66"/>
      <c r="BX36" s="31">
        <f t="shared" si="18"/>
        <v>0</v>
      </c>
      <c r="BY36" s="67">
        <f t="shared" si="19"/>
        <v>0</v>
      </c>
      <c r="BZ36" s="66"/>
      <c r="CA36" s="31">
        <f t="shared" si="20"/>
        <v>0</v>
      </c>
      <c r="CB36" s="65">
        <f t="shared" si="21"/>
        <v>0</v>
      </c>
      <c r="CC36" s="66"/>
      <c r="CD36" s="31">
        <f t="shared" si="22"/>
        <v>0</v>
      </c>
      <c r="CE36" s="67">
        <f t="shared" si="23"/>
        <v>0</v>
      </c>
      <c r="CF36" s="66"/>
      <c r="CG36" s="34">
        <f t="shared" si="24"/>
        <v>0</v>
      </c>
      <c r="CH36" s="67">
        <f t="shared" si="45"/>
        <v>0</v>
      </c>
      <c r="CI36" s="66"/>
      <c r="CJ36" s="34">
        <f t="shared" si="25"/>
        <v>0</v>
      </c>
      <c r="CK36" s="67">
        <f t="shared" si="26"/>
        <v>0</v>
      </c>
      <c r="CL36" s="66"/>
      <c r="CM36" s="34">
        <f t="shared" si="27"/>
        <v>0</v>
      </c>
      <c r="CN36" s="67">
        <f t="shared" si="28"/>
        <v>0</v>
      </c>
      <c r="CO36" s="66"/>
      <c r="CP36" s="34">
        <f t="shared" si="29"/>
        <v>0</v>
      </c>
      <c r="CQ36" s="67">
        <f t="shared" si="30"/>
        <v>0</v>
      </c>
      <c r="CR36" s="66"/>
      <c r="CS36" s="34">
        <f t="shared" si="31"/>
        <v>0</v>
      </c>
      <c r="CT36" s="65">
        <f t="shared" si="32"/>
        <v>0</v>
      </c>
      <c r="CU36" s="66"/>
      <c r="CV36" s="31">
        <f t="shared" si="33"/>
        <v>0</v>
      </c>
      <c r="CW36" s="67">
        <f t="shared" si="34"/>
        <v>0</v>
      </c>
      <c r="CX36" s="66"/>
      <c r="CY36" s="31">
        <f t="shared" si="35"/>
        <v>0</v>
      </c>
      <c r="CZ36" s="65">
        <f t="shared" si="36"/>
        <v>0</v>
      </c>
      <c r="DA36" s="66"/>
      <c r="DB36" s="31">
        <f t="shared" si="37"/>
        <v>0</v>
      </c>
      <c r="DC36" s="67">
        <f t="shared" si="38"/>
        <v>0</v>
      </c>
      <c r="DE36" s="76">
        <v>17</v>
      </c>
      <c r="DF36" s="42"/>
      <c r="DG36" s="69">
        <f t="shared" si="39"/>
        <v>0</v>
      </c>
      <c r="DH36" s="42"/>
      <c r="DI36" s="70">
        <f t="shared" si="40"/>
        <v>1</v>
      </c>
      <c r="DJ36" s="42"/>
      <c r="DK36" s="70">
        <f t="shared" si="41"/>
        <v>16</v>
      </c>
      <c r="DL36" s="42"/>
      <c r="DM36" s="71">
        <f t="shared" si="42"/>
        <v>400</v>
      </c>
      <c r="DN36" s="42"/>
      <c r="DO36" s="72">
        <f t="shared" si="43"/>
        <v>16</v>
      </c>
      <c r="DP36" s="42"/>
      <c r="DQ36" s="71">
        <f t="shared" si="44"/>
        <v>480</v>
      </c>
      <c r="DR36" s="42"/>
      <c r="DS36" s="69"/>
      <c r="DT36" s="42"/>
      <c r="DU36" s="71">
        <v>0</v>
      </c>
      <c r="DV36" s="42"/>
      <c r="DW36" s="73">
        <f t="shared" si="46"/>
        <v>0</v>
      </c>
      <c r="DX36" s="42"/>
      <c r="DY36" s="71">
        <f t="shared" si="47"/>
        <v>0</v>
      </c>
    </row>
    <row r="37" ht="12.45" customHeight="1" spans="1:129" x14ac:dyDescent="0.25">
      <c r="A37" s="79" t="s">
        <v>82</v>
      </c>
      <c r="B37" s="42"/>
      <c r="C37" s="75"/>
      <c r="D37" s="44"/>
      <c r="E37" s="78">
        <v>25</v>
      </c>
      <c r="F37" s="44"/>
      <c r="G37" s="61">
        <v>30</v>
      </c>
      <c r="I37" s="62">
        <v>1</v>
      </c>
      <c r="J37" s="63"/>
      <c r="K37" s="64"/>
      <c r="L37" s="3"/>
      <c r="M37" s="62"/>
      <c r="N37" s="3"/>
      <c r="O37" s="64"/>
      <c r="P37" s="3"/>
      <c r="Q37" s="62"/>
      <c r="R37" s="3"/>
      <c r="S37" s="64"/>
      <c r="T37" s="3"/>
      <c r="U37" s="62"/>
      <c r="V37" s="3"/>
      <c r="W37" s="64"/>
      <c r="X37" s="3"/>
      <c r="Y37" s="62"/>
      <c r="Z37" s="3"/>
      <c r="AA37" s="64"/>
      <c r="AB37" s="3"/>
      <c r="AC37" s="62"/>
      <c r="AD37" s="3"/>
      <c r="AE37" s="64"/>
      <c r="AF37" s="3"/>
      <c r="AG37" s="62"/>
      <c r="AH37" s="3"/>
      <c r="AI37" s="64"/>
      <c r="AJ37" s="3"/>
      <c r="AK37" s="62"/>
      <c r="AL37" s="3"/>
      <c r="AM37" s="64"/>
      <c r="AN37" s="3"/>
      <c r="AO37" s="62"/>
      <c r="AP37" s="3"/>
      <c r="AQ37" s="64"/>
      <c r="AR37" s="3"/>
      <c r="AS37" s="62"/>
      <c r="AT37" s="3"/>
      <c r="AU37" s="64"/>
      <c r="AW37" s="34">
        <f t="shared" si="0"/>
        <v>1</v>
      </c>
      <c r="AX37" s="65">
        <f t="shared" si="1"/>
        <v>30</v>
      </c>
      <c r="AY37" s="66"/>
      <c r="AZ37" s="31">
        <f t="shared" si="2"/>
        <v>0</v>
      </c>
      <c r="BA37" s="67">
        <f t="shared" si="3"/>
        <v>0</v>
      </c>
      <c r="BB37" s="66"/>
      <c r="BC37" s="31">
        <f t="shared" si="4"/>
        <v>0</v>
      </c>
      <c r="BD37" s="65">
        <f t="shared" si="5"/>
        <v>0</v>
      </c>
      <c r="BE37" s="66"/>
      <c r="BF37" s="31">
        <f t="shared" si="6"/>
        <v>0</v>
      </c>
      <c r="BG37" s="67">
        <f t="shared" si="7"/>
        <v>0</v>
      </c>
      <c r="BH37" s="66"/>
      <c r="BI37" s="31">
        <f t="shared" si="8"/>
        <v>0</v>
      </c>
      <c r="BJ37" s="65">
        <f t="shared" si="9"/>
        <v>0</v>
      </c>
      <c r="BK37" s="66"/>
      <c r="BL37" s="31">
        <f t="shared" si="10"/>
        <v>0</v>
      </c>
      <c r="BM37" s="67">
        <f t="shared" si="11"/>
        <v>0</v>
      </c>
      <c r="BN37" s="66"/>
      <c r="BO37" s="31">
        <f t="shared" si="12"/>
        <v>0</v>
      </c>
      <c r="BP37" s="65">
        <f t="shared" si="13"/>
        <v>0</v>
      </c>
      <c r="BQ37" s="66"/>
      <c r="BR37" s="31">
        <f t="shared" si="14"/>
        <v>0</v>
      </c>
      <c r="BS37" s="67">
        <f t="shared" si="15"/>
        <v>0</v>
      </c>
      <c r="BT37" s="66"/>
      <c r="BU37" s="31">
        <f t="shared" si="16"/>
        <v>0</v>
      </c>
      <c r="BV37" s="65">
        <f t="shared" si="17"/>
        <v>0</v>
      </c>
      <c r="BW37" s="66"/>
      <c r="BX37" s="31">
        <f t="shared" si="18"/>
        <v>0</v>
      </c>
      <c r="BY37" s="67">
        <f t="shared" si="19"/>
        <v>0</v>
      </c>
      <c r="BZ37" s="66"/>
      <c r="CA37" s="31">
        <f t="shared" si="20"/>
        <v>0</v>
      </c>
      <c r="CB37" s="65">
        <f t="shared" si="21"/>
        <v>0</v>
      </c>
      <c r="CC37" s="66"/>
      <c r="CD37" s="31">
        <f t="shared" si="22"/>
        <v>0</v>
      </c>
      <c r="CE37" s="67">
        <f t="shared" si="23"/>
        <v>0</v>
      </c>
      <c r="CF37" s="66"/>
      <c r="CG37" s="34">
        <f t="shared" si="24"/>
        <v>0</v>
      </c>
      <c r="CH37" s="67">
        <f t="shared" si="45"/>
        <v>0</v>
      </c>
      <c r="CI37" s="66"/>
      <c r="CJ37" s="34">
        <f t="shared" si="25"/>
        <v>0</v>
      </c>
      <c r="CK37" s="67">
        <f t="shared" si="26"/>
        <v>0</v>
      </c>
      <c r="CL37" s="66"/>
      <c r="CM37" s="34">
        <f t="shared" si="27"/>
        <v>0</v>
      </c>
      <c r="CN37" s="67">
        <f t="shared" si="28"/>
        <v>0</v>
      </c>
      <c r="CO37" s="66"/>
      <c r="CP37" s="34">
        <f t="shared" si="29"/>
        <v>0</v>
      </c>
      <c r="CQ37" s="67">
        <f t="shared" si="30"/>
        <v>0</v>
      </c>
      <c r="CR37" s="66"/>
      <c r="CS37" s="34">
        <f t="shared" si="31"/>
        <v>0</v>
      </c>
      <c r="CT37" s="65">
        <f t="shared" si="32"/>
        <v>0</v>
      </c>
      <c r="CU37" s="66"/>
      <c r="CV37" s="31">
        <f t="shared" si="33"/>
        <v>0</v>
      </c>
      <c r="CW37" s="67">
        <f t="shared" si="34"/>
        <v>0</v>
      </c>
      <c r="CX37" s="66"/>
      <c r="CY37" s="31">
        <f t="shared" si="35"/>
        <v>0</v>
      </c>
      <c r="CZ37" s="65">
        <f t="shared" si="36"/>
        <v>0</v>
      </c>
      <c r="DA37" s="66"/>
      <c r="DB37" s="31">
        <f t="shared" si="37"/>
        <v>0</v>
      </c>
      <c r="DC37" s="67">
        <f t="shared" si="38"/>
        <v>0</v>
      </c>
      <c r="DE37" s="76">
        <v>40</v>
      </c>
      <c r="DF37" s="42"/>
      <c r="DG37" s="69">
        <f t="shared" si="39"/>
        <v>0</v>
      </c>
      <c r="DH37" s="42"/>
      <c r="DI37" s="70">
        <f t="shared" si="40"/>
        <v>1</v>
      </c>
      <c r="DJ37" s="42"/>
      <c r="DK37" s="70">
        <f t="shared" si="41"/>
        <v>39</v>
      </c>
      <c r="DL37" s="42"/>
      <c r="DM37" s="71">
        <f t="shared" si="42"/>
        <v>975</v>
      </c>
      <c r="DN37" s="42"/>
      <c r="DO37" s="72">
        <f t="shared" si="43"/>
        <v>39</v>
      </c>
      <c r="DP37" s="42"/>
      <c r="DQ37" s="71">
        <f t="shared" si="44"/>
        <v>1170</v>
      </c>
      <c r="DR37" s="42"/>
      <c r="DS37" s="69"/>
      <c r="DT37" s="42"/>
      <c r="DU37" s="71">
        <v>0</v>
      </c>
      <c r="DV37" s="42"/>
      <c r="DW37" s="73">
        <f t="shared" si="46"/>
        <v>0</v>
      </c>
      <c r="DX37" s="42"/>
      <c r="DY37" s="71">
        <f t="shared" si="47"/>
        <v>0</v>
      </c>
    </row>
    <row r="38" ht="12.45" customHeight="1" spans="1:129" x14ac:dyDescent="0.25">
      <c r="A38" s="77" t="s">
        <v>83</v>
      </c>
      <c r="B38" s="42"/>
      <c r="C38" s="75"/>
      <c r="D38" s="44"/>
      <c r="E38" s="78">
        <v>25</v>
      </c>
      <c r="F38" s="44"/>
      <c r="G38" s="61">
        <v>30</v>
      </c>
      <c r="I38" s="62"/>
      <c r="J38" s="63"/>
      <c r="K38" s="64">
        <v>1</v>
      </c>
      <c r="L38" s="3"/>
      <c r="M38" s="62">
        <v>1</v>
      </c>
      <c r="N38" s="3"/>
      <c r="O38" s="64"/>
      <c r="P38" s="3"/>
      <c r="Q38" s="62"/>
      <c r="R38" s="3"/>
      <c r="S38" s="64"/>
      <c r="T38" s="3"/>
      <c r="U38" s="62"/>
      <c r="V38" s="3"/>
      <c r="W38" s="64"/>
      <c r="X38" s="3"/>
      <c r="Y38" s="62"/>
      <c r="Z38" s="3"/>
      <c r="AA38" s="64"/>
      <c r="AB38" s="3"/>
      <c r="AC38" s="62"/>
      <c r="AD38" s="3"/>
      <c r="AE38" s="64"/>
      <c r="AF38" s="3"/>
      <c r="AG38" s="62"/>
      <c r="AH38" s="3"/>
      <c r="AI38" s="64"/>
      <c r="AJ38" s="3"/>
      <c r="AK38" s="62"/>
      <c r="AL38" s="3"/>
      <c r="AM38" s="64"/>
      <c r="AN38" s="3"/>
      <c r="AO38" s="62"/>
      <c r="AP38" s="3"/>
      <c r="AQ38" s="64"/>
      <c r="AR38" s="3"/>
      <c r="AS38" s="62"/>
      <c r="AT38" s="3"/>
      <c r="AU38" s="64"/>
      <c r="AW38" s="34">
        <f t="shared" si="0"/>
        <v>0</v>
      </c>
      <c r="AX38" s="65">
        <f t="shared" si="1"/>
        <v>0</v>
      </c>
      <c r="AY38" s="66"/>
      <c r="AZ38" s="31">
        <f t="shared" si="2"/>
        <v>1</v>
      </c>
      <c r="BA38" s="67">
        <f t="shared" si="3"/>
        <v>30</v>
      </c>
      <c r="BB38" s="66"/>
      <c r="BC38" s="31">
        <f t="shared" si="4"/>
        <v>1</v>
      </c>
      <c r="BD38" s="65">
        <f t="shared" si="5"/>
        <v>30</v>
      </c>
      <c r="BE38" s="66"/>
      <c r="BF38" s="31">
        <f t="shared" si="6"/>
        <v>0</v>
      </c>
      <c r="BG38" s="67">
        <f t="shared" si="7"/>
        <v>0</v>
      </c>
      <c r="BH38" s="66"/>
      <c r="BI38" s="31">
        <f t="shared" si="8"/>
        <v>0</v>
      </c>
      <c r="BJ38" s="65">
        <f t="shared" si="9"/>
        <v>0</v>
      </c>
      <c r="BK38" s="66"/>
      <c r="BL38" s="31">
        <f t="shared" si="10"/>
        <v>0</v>
      </c>
      <c r="BM38" s="67">
        <f t="shared" si="11"/>
        <v>0</v>
      </c>
      <c r="BN38" s="66"/>
      <c r="BO38" s="31">
        <f t="shared" si="12"/>
        <v>0</v>
      </c>
      <c r="BP38" s="65">
        <f t="shared" si="13"/>
        <v>0</v>
      </c>
      <c r="BQ38" s="66"/>
      <c r="BR38" s="31">
        <f t="shared" si="14"/>
        <v>0</v>
      </c>
      <c r="BS38" s="67">
        <f t="shared" si="15"/>
        <v>0</v>
      </c>
      <c r="BT38" s="66"/>
      <c r="BU38" s="31">
        <f t="shared" si="16"/>
        <v>0</v>
      </c>
      <c r="BV38" s="65">
        <f t="shared" si="17"/>
        <v>0</v>
      </c>
      <c r="BW38" s="66"/>
      <c r="BX38" s="31">
        <f t="shared" si="18"/>
        <v>0</v>
      </c>
      <c r="BY38" s="67">
        <f t="shared" si="19"/>
        <v>0</v>
      </c>
      <c r="BZ38" s="66"/>
      <c r="CA38" s="31">
        <f t="shared" si="20"/>
        <v>0</v>
      </c>
      <c r="CB38" s="65">
        <f t="shared" si="21"/>
        <v>0</v>
      </c>
      <c r="CC38" s="66"/>
      <c r="CD38" s="31">
        <f t="shared" si="22"/>
        <v>0</v>
      </c>
      <c r="CE38" s="67">
        <f t="shared" si="23"/>
        <v>0</v>
      </c>
      <c r="CF38" s="66"/>
      <c r="CG38" s="34">
        <f t="shared" si="24"/>
        <v>0</v>
      </c>
      <c r="CH38" s="67">
        <f t="shared" si="45"/>
        <v>0</v>
      </c>
      <c r="CI38" s="66"/>
      <c r="CJ38" s="34">
        <f t="shared" si="25"/>
        <v>0</v>
      </c>
      <c r="CK38" s="67">
        <f t="shared" si="26"/>
        <v>0</v>
      </c>
      <c r="CL38" s="66"/>
      <c r="CM38" s="34">
        <f t="shared" si="27"/>
        <v>0</v>
      </c>
      <c r="CN38" s="67">
        <f t="shared" si="28"/>
        <v>0</v>
      </c>
      <c r="CO38" s="66"/>
      <c r="CP38" s="34">
        <f t="shared" si="29"/>
        <v>0</v>
      </c>
      <c r="CQ38" s="67">
        <f t="shared" si="30"/>
        <v>0</v>
      </c>
      <c r="CR38" s="66"/>
      <c r="CS38" s="34">
        <f t="shared" si="31"/>
        <v>0</v>
      </c>
      <c r="CT38" s="65">
        <f t="shared" si="32"/>
        <v>0</v>
      </c>
      <c r="CU38" s="66"/>
      <c r="CV38" s="31">
        <f t="shared" si="33"/>
        <v>0</v>
      </c>
      <c r="CW38" s="67">
        <f t="shared" si="34"/>
        <v>0</v>
      </c>
      <c r="CX38" s="66"/>
      <c r="CY38" s="31">
        <f t="shared" si="35"/>
        <v>0</v>
      </c>
      <c r="CZ38" s="65">
        <f t="shared" si="36"/>
        <v>0</v>
      </c>
      <c r="DA38" s="66"/>
      <c r="DB38" s="31">
        <f t="shared" si="37"/>
        <v>0</v>
      </c>
      <c r="DC38" s="67">
        <f t="shared" si="38"/>
        <v>0</v>
      </c>
      <c r="DE38" s="76">
        <v>74</v>
      </c>
      <c r="DF38" s="42"/>
      <c r="DG38" s="69">
        <f t="shared" si="39"/>
        <v>0</v>
      </c>
      <c r="DH38" s="42"/>
      <c r="DI38" s="70">
        <f t="shared" si="40"/>
        <v>2</v>
      </c>
      <c r="DJ38" s="42"/>
      <c r="DK38" s="70">
        <f t="shared" si="41"/>
        <v>72</v>
      </c>
      <c r="DL38" s="42"/>
      <c r="DM38" s="71">
        <f t="shared" si="42"/>
        <v>1800</v>
      </c>
      <c r="DN38" s="42"/>
      <c r="DO38" s="72">
        <f t="shared" si="43"/>
        <v>36</v>
      </c>
      <c r="DP38" s="42"/>
      <c r="DQ38" s="71">
        <f t="shared" si="44"/>
        <v>2160</v>
      </c>
      <c r="DR38" s="42"/>
      <c r="DS38" s="69"/>
      <c r="DT38" s="42"/>
      <c r="DU38" s="71">
        <v>0</v>
      </c>
      <c r="DV38" s="42"/>
      <c r="DW38" s="73">
        <f t="shared" si="46"/>
        <v>0</v>
      </c>
      <c r="DX38" s="42"/>
      <c r="DY38" s="71">
        <f t="shared" si="47"/>
        <v>0</v>
      </c>
    </row>
    <row r="39" ht="12.45" customHeight="1" spans="1:129" x14ac:dyDescent="0.25">
      <c r="A39" s="74" t="s">
        <v>84</v>
      </c>
      <c r="B39" s="42"/>
      <c r="C39" s="75"/>
      <c r="D39" s="44"/>
      <c r="E39" s="78">
        <v>25</v>
      </c>
      <c r="F39" s="44"/>
      <c r="G39" s="61">
        <v>30</v>
      </c>
      <c r="I39" s="62"/>
      <c r="J39" s="63"/>
      <c r="K39" s="64"/>
      <c r="L39" s="3"/>
      <c r="M39" s="62"/>
      <c r="N39" s="3"/>
      <c r="O39" s="64">
        <v>1</v>
      </c>
      <c r="P39" s="3"/>
      <c r="Q39" s="62"/>
      <c r="R39" s="3"/>
      <c r="S39" s="64">
        <v>1</v>
      </c>
      <c r="T39" s="3"/>
      <c r="U39" s="62"/>
      <c r="V39" s="3"/>
      <c r="W39" s="64"/>
      <c r="X39" s="3"/>
      <c r="Y39" s="62"/>
      <c r="Z39" s="3"/>
      <c r="AA39" s="64"/>
      <c r="AB39" s="3"/>
      <c r="AC39" s="62"/>
      <c r="AD39" s="3"/>
      <c r="AE39" s="64"/>
      <c r="AF39" s="3"/>
      <c r="AG39" s="62"/>
      <c r="AH39" s="3"/>
      <c r="AI39" s="64"/>
      <c r="AJ39" s="3"/>
      <c r="AK39" s="62"/>
      <c r="AL39" s="3"/>
      <c r="AM39" s="64"/>
      <c r="AN39" s="3"/>
      <c r="AO39" s="62"/>
      <c r="AP39" s="3"/>
      <c r="AQ39" s="64"/>
      <c r="AR39" s="3"/>
      <c r="AS39" s="62"/>
      <c r="AT39" s="3"/>
      <c r="AU39" s="64"/>
      <c r="AW39" s="34">
        <f t="shared" si="0"/>
        <v>0</v>
      </c>
      <c r="AX39" s="65">
        <f t="shared" si="1"/>
        <v>0</v>
      </c>
      <c r="AY39" s="66"/>
      <c r="AZ39" s="31">
        <f t="shared" si="2"/>
        <v>0</v>
      </c>
      <c r="BA39" s="67">
        <f t="shared" si="3"/>
        <v>0</v>
      </c>
      <c r="BB39" s="66"/>
      <c r="BC39" s="31">
        <f t="shared" si="4"/>
        <v>0</v>
      </c>
      <c r="BD39" s="65">
        <f t="shared" si="5"/>
        <v>0</v>
      </c>
      <c r="BE39" s="66"/>
      <c r="BF39" s="31">
        <f t="shared" si="6"/>
        <v>1</v>
      </c>
      <c r="BG39" s="67">
        <f t="shared" si="7"/>
        <v>30</v>
      </c>
      <c r="BH39" s="66"/>
      <c r="BI39" s="31">
        <f t="shared" si="8"/>
        <v>0</v>
      </c>
      <c r="BJ39" s="65">
        <f t="shared" si="9"/>
        <v>0</v>
      </c>
      <c r="BK39" s="66"/>
      <c r="BL39" s="31">
        <f t="shared" si="10"/>
        <v>1</v>
      </c>
      <c r="BM39" s="67">
        <f t="shared" si="11"/>
        <v>30</v>
      </c>
      <c r="BN39" s="66"/>
      <c r="BO39" s="31">
        <f t="shared" si="12"/>
        <v>0</v>
      </c>
      <c r="BP39" s="65">
        <f t="shared" si="13"/>
        <v>0</v>
      </c>
      <c r="BQ39" s="66"/>
      <c r="BR39" s="31">
        <f t="shared" si="14"/>
        <v>0</v>
      </c>
      <c r="BS39" s="67">
        <f t="shared" si="15"/>
        <v>0</v>
      </c>
      <c r="BT39" s="66"/>
      <c r="BU39" s="31">
        <f t="shared" si="16"/>
        <v>0</v>
      </c>
      <c r="BV39" s="65">
        <f t="shared" si="17"/>
        <v>0</v>
      </c>
      <c r="BW39" s="66"/>
      <c r="BX39" s="31">
        <f t="shared" si="18"/>
        <v>0</v>
      </c>
      <c r="BY39" s="67">
        <f t="shared" si="19"/>
        <v>0</v>
      </c>
      <c r="BZ39" s="66"/>
      <c r="CA39" s="31">
        <f t="shared" si="20"/>
        <v>0</v>
      </c>
      <c r="CB39" s="65">
        <f t="shared" si="21"/>
        <v>0</v>
      </c>
      <c r="CC39" s="66"/>
      <c r="CD39" s="31">
        <f t="shared" si="22"/>
        <v>0</v>
      </c>
      <c r="CE39" s="67">
        <f t="shared" si="23"/>
        <v>0</v>
      </c>
      <c r="CF39" s="66"/>
      <c r="CG39" s="34">
        <f t="shared" si="24"/>
        <v>0</v>
      </c>
      <c r="CH39" s="67">
        <f t="shared" si="45"/>
        <v>0</v>
      </c>
      <c r="CI39" s="66"/>
      <c r="CJ39" s="34">
        <f t="shared" si="25"/>
        <v>0</v>
      </c>
      <c r="CK39" s="67">
        <f t="shared" si="26"/>
        <v>0</v>
      </c>
      <c r="CL39" s="66"/>
      <c r="CM39" s="34">
        <f t="shared" si="27"/>
        <v>0</v>
      </c>
      <c r="CN39" s="67">
        <f t="shared" si="28"/>
        <v>0</v>
      </c>
      <c r="CO39" s="66"/>
      <c r="CP39" s="34">
        <f t="shared" si="29"/>
        <v>0</v>
      </c>
      <c r="CQ39" s="67">
        <f t="shared" si="30"/>
        <v>0</v>
      </c>
      <c r="CR39" s="66"/>
      <c r="CS39" s="34">
        <f t="shared" si="31"/>
        <v>0</v>
      </c>
      <c r="CT39" s="65">
        <f t="shared" si="32"/>
        <v>0</v>
      </c>
      <c r="CU39" s="66"/>
      <c r="CV39" s="31">
        <f t="shared" si="33"/>
        <v>0</v>
      </c>
      <c r="CW39" s="67">
        <f t="shared" si="34"/>
        <v>0</v>
      </c>
      <c r="CX39" s="66"/>
      <c r="CY39" s="31">
        <f t="shared" si="35"/>
        <v>0</v>
      </c>
      <c r="CZ39" s="65">
        <f t="shared" si="36"/>
        <v>0</v>
      </c>
      <c r="DA39" s="66"/>
      <c r="DB39" s="31">
        <f t="shared" si="37"/>
        <v>0</v>
      </c>
      <c r="DC39" s="67">
        <f t="shared" si="38"/>
        <v>0</v>
      </c>
      <c r="DE39" s="76">
        <v>56</v>
      </c>
      <c r="DF39" s="42"/>
      <c r="DG39" s="69">
        <f t="shared" si="39"/>
        <v>0</v>
      </c>
      <c r="DH39" s="42"/>
      <c r="DI39" s="70">
        <f t="shared" si="40"/>
        <v>2</v>
      </c>
      <c r="DJ39" s="42"/>
      <c r="DK39" s="70">
        <f t="shared" si="41"/>
        <v>54</v>
      </c>
      <c r="DL39" s="42"/>
      <c r="DM39" s="71">
        <f t="shared" si="42"/>
        <v>1350</v>
      </c>
      <c r="DN39" s="42"/>
      <c r="DO39" s="72">
        <f t="shared" si="43"/>
        <v>27</v>
      </c>
      <c r="DP39" s="42"/>
      <c r="DQ39" s="71">
        <f t="shared" si="44"/>
        <v>1620</v>
      </c>
      <c r="DR39" s="42"/>
      <c r="DS39" s="69"/>
      <c r="DT39" s="42"/>
      <c r="DU39" s="71">
        <v>0</v>
      </c>
      <c r="DV39" s="42"/>
      <c r="DW39" s="73">
        <f t="shared" si="46"/>
        <v>0</v>
      </c>
      <c r="DX39" s="42"/>
      <c r="DY39" s="71">
        <f t="shared" si="47"/>
        <v>0</v>
      </c>
    </row>
    <row r="40" ht="12.45" customHeight="1" spans="1:129" s="6" customFormat="1" x14ac:dyDescent="0.25">
      <c r="A40" s="77" t="s">
        <v>85</v>
      </c>
      <c r="B40" s="42"/>
      <c r="C40" s="75"/>
      <c r="D40" s="44"/>
      <c r="E40" s="78">
        <v>25</v>
      </c>
      <c r="F40" s="44"/>
      <c r="G40" s="61">
        <v>30</v>
      </c>
      <c r="H40" s="2"/>
      <c r="I40" s="62"/>
      <c r="J40" s="63"/>
      <c r="K40" s="64"/>
      <c r="L40" s="3"/>
      <c r="M40" s="62"/>
      <c r="N40" s="3"/>
      <c r="O40" s="64"/>
      <c r="P40" s="3"/>
      <c r="Q40" s="62"/>
      <c r="R40" s="3"/>
      <c r="S40" s="64"/>
      <c r="T40" s="3"/>
      <c r="U40" s="62"/>
      <c r="V40" s="3"/>
      <c r="W40" s="64"/>
      <c r="X40" s="3"/>
      <c r="Y40" s="62"/>
      <c r="Z40" s="3"/>
      <c r="AA40" s="64">
        <v>1</v>
      </c>
      <c r="AB40" s="3"/>
      <c r="AC40" s="62"/>
      <c r="AD40" s="3"/>
      <c r="AE40" s="64"/>
      <c r="AF40" s="3"/>
      <c r="AG40" s="62"/>
      <c r="AH40" s="3"/>
      <c r="AI40" s="64"/>
      <c r="AJ40" s="3"/>
      <c r="AK40" s="62"/>
      <c r="AL40" s="3"/>
      <c r="AM40" s="64"/>
      <c r="AN40" s="3"/>
      <c r="AO40" s="62"/>
      <c r="AP40" s="3"/>
      <c r="AQ40" s="64"/>
      <c r="AR40" s="3"/>
      <c r="AS40" s="62"/>
      <c r="AT40" s="3"/>
      <c r="AU40" s="64"/>
      <c r="AV40" s="2"/>
      <c r="AW40" s="34">
        <f t="shared" si="0"/>
        <v>0</v>
      </c>
      <c r="AX40" s="65">
        <f t="shared" si="1"/>
        <v>0</v>
      </c>
      <c r="AY40" s="66"/>
      <c r="AZ40" s="31">
        <f t="shared" si="2"/>
        <v>0</v>
      </c>
      <c r="BA40" s="67">
        <f t="shared" si="3"/>
        <v>0</v>
      </c>
      <c r="BB40" s="66"/>
      <c r="BC40" s="31">
        <f t="shared" si="4"/>
        <v>0</v>
      </c>
      <c r="BD40" s="65">
        <f t="shared" si="5"/>
        <v>0</v>
      </c>
      <c r="BE40" s="66"/>
      <c r="BF40" s="31">
        <f t="shared" si="6"/>
        <v>0</v>
      </c>
      <c r="BG40" s="67">
        <f t="shared" si="7"/>
        <v>0</v>
      </c>
      <c r="BH40" s="66"/>
      <c r="BI40" s="31">
        <f t="shared" si="8"/>
        <v>0</v>
      </c>
      <c r="BJ40" s="65">
        <f t="shared" si="9"/>
        <v>0</v>
      </c>
      <c r="BK40" s="66"/>
      <c r="BL40" s="31">
        <f t="shared" si="10"/>
        <v>0</v>
      </c>
      <c r="BM40" s="67">
        <f t="shared" si="11"/>
        <v>0</v>
      </c>
      <c r="BN40" s="66"/>
      <c r="BO40" s="31">
        <f t="shared" si="12"/>
        <v>0</v>
      </c>
      <c r="BP40" s="65">
        <f t="shared" si="13"/>
        <v>0</v>
      </c>
      <c r="BQ40" s="66"/>
      <c r="BR40" s="31">
        <f t="shared" si="14"/>
        <v>0</v>
      </c>
      <c r="BS40" s="67">
        <f t="shared" si="15"/>
        <v>0</v>
      </c>
      <c r="BT40" s="66"/>
      <c r="BU40" s="31">
        <f t="shared" si="16"/>
        <v>0</v>
      </c>
      <c r="BV40" s="65">
        <f t="shared" si="17"/>
        <v>0</v>
      </c>
      <c r="BW40" s="66"/>
      <c r="BX40" s="31">
        <f t="shared" si="18"/>
        <v>1</v>
      </c>
      <c r="BY40" s="67">
        <f t="shared" si="19"/>
        <v>30</v>
      </c>
      <c r="BZ40" s="66"/>
      <c r="CA40" s="31">
        <f t="shared" si="20"/>
        <v>0</v>
      </c>
      <c r="CB40" s="65">
        <f t="shared" si="21"/>
        <v>0</v>
      </c>
      <c r="CC40" s="66"/>
      <c r="CD40" s="31">
        <f t="shared" si="22"/>
        <v>0</v>
      </c>
      <c r="CE40" s="67">
        <f t="shared" si="23"/>
        <v>0</v>
      </c>
      <c r="CF40" s="66"/>
      <c r="CG40" s="34">
        <f t="shared" si="24"/>
        <v>0</v>
      </c>
      <c r="CH40" s="67">
        <f t="shared" si="45"/>
        <v>0</v>
      </c>
      <c r="CI40" s="66"/>
      <c r="CJ40" s="34">
        <f t="shared" si="25"/>
        <v>0</v>
      </c>
      <c r="CK40" s="67">
        <f t="shared" si="26"/>
        <v>0</v>
      </c>
      <c r="CL40" s="66"/>
      <c r="CM40" s="34">
        <f t="shared" si="27"/>
        <v>0</v>
      </c>
      <c r="CN40" s="67">
        <f t="shared" si="28"/>
        <v>0</v>
      </c>
      <c r="CO40" s="66"/>
      <c r="CP40" s="34">
        <f t="shared" si="29"/>
        <v>0</v>
      </c>
      <c r="CQ40" s="67">
        <f t="shared" si="30"/>
        <v>0</v>
      </c>
      <c r="CR40" s="66"/>
      <c r="CS40" s="34">
        <f t="shared" si="31"/>
        <v>0</v>
      </c>
      <c r="CT40" s="65">
        <f t="shared" si="32"/>
        <v>0</v>
      </c>
      <c r="CU40" s="66"/>
      <c r="CV40" s="31">
        <f t="shared" si="33"/>
        <v>0</v>
      </c>
      <c r="CW40" s="67">
        <f t="shared" si="34"/>
        <v>0</v>
      </c>
      <c r="CX40" s="66"/>
      <c r="CY40" s="31">
        <f t="shared" si="35"/>
        <v>0</v>
      </c>
      <c r="CZ40" s="65">
        <f t="shared" si="36"/>
        <v>0</v>
      </c>
      <c r="DA40" s="66"/>
      <c r="DB40" s="31">
        <f t="shared" si="37"/>
        <v>0</v>
      </c>
      <c r="DC40" s="67">
        <f t="shared" si="38"/>
        <v>0</v>
      </c>
      <c r="DD40" s="2"/>
      <c r="DE40" s="76">
        <v>64</v>
      </c>
      <c r="DF40" s="42"/>
      <c r="DG40" s="69">
        <f t="shared" si="39"/>
        <v>0</v>
      </c>
      <c r="DH40" s="42"/>
      <c r="DI40" s="70">
        <f t="shared" si="40"/>
        <v>1</v>
      </c>
      <c r="DJ40" s="42"/>
      <c r="DK40" s="70">
        <f t="shared" si="41"/>
        <v>63</v>
      </c>
      <c r="DL40" s="42"/>
      <c r="DM40" s="71">
        <f t="shared" si="42"/>
        <v>1575</v>
      </c>
      <c r="DN40" s="42"/>
      <c r="DO40" s="72">
        <f t="shared" si="43"/>
        <v>63</v>
      </c>
      <c r="DP40" s="42"/>
      <c r="DQ40" s="71">
        <f t="shared" si="44"/>
        <v>1890</v>
      </c>
      <c r="DR40" s="42"/>
      <c r="DS40" s="69"/>
      <c r="DT40" s="42"/>
      <c r="DU40" s="71">
        <v>0</v>
      </c>
      <c r="DV40" s="42"/>
      <c r="DW40" s="73">
        <f t="shared" si="46"/>
        <v>0</v>
      </c>
      <c r="DX40" s="42"/>
      <c r="DY40" s="71">
        <f t="shared" si="47"/>
        <v>0</v>
      </c>
    </row>
    <row r="41" ht="12.45" customHeight="1" spans="1:129" x14ac:dyDescent="0.25">
      <c r="A41" s="74" t="s">
        <v>86</v>
      </c>
      <c r="B41" s="42"/>
      <c r="C41" s="75"/>
      <c r="D41" s="44"/>
      <c r="E41" s="78">
        <v>25</v>
      </c>
      <c r="F41" s="44"/>
      <c r="G41" s="61">
        <v>30</v>
      </c>
      <c r="I41" s="62"/>
      <c r="J41" s="63"/>
      <c r="K41" s="64"/>
      <c r="L41" s="3"/>
      <c r="M41" s="62"/>
      <c r="N41" s="3"/>
      <c r="O41" s="64"/>
      <c r="P41" s="3"/>
      <c r="Q41" s="62"/>
      <c r="R41" s="3"/>
      <c r="S41" s="64"/>
      <c r="T41" s="3"/>
      <c r="U41" s="62"/>
      <c r="V41" s="3"/>
      <c r="W41" s="64"/>
      <c r="X41" s="3"/>
      <c r="Y41" s="62">
        <v>1</v>
      </c>
      <c r="Z41" s="3"/>
      <c r="AA41" s="64"/>
      <c r="AB41" s="3"/>
      <c r="AC41" s="62"/>
      <c r="AD41" s="3"/>
      <c r="AE41" s="64"/>
      <c r="AF41" s="3"/>
      <c r="AG41" s="62"/>
      <c r="AH41" s="3"/>
      <c r="AI41" s="64"/>
      <c r="AJ41" s="3"/>
      <c r="AK41" s="62"/>
      <c r="AL41" s="3"/>
      <c r="AM41" s="64"/>
      <c r="AN41" s="3"/>
      <c r="AO41" s="62"/>
      <c r="AP41" s="3"/>
      <c r="AQ41" s="64"/>
      <c r="AR41" s="3"/>
      <c r="AS41" s="62"/>
      <c r="AT41" s="3"/>
      <c r="AU41" s="64"/>
      <c r="AW41" s="34">
        <f t="shared" si="0"/>
        <v>0</v>
      </c>
      <c r="AX41" s="65">
        <f t="shared" si="1"/>
        <v>0</v>
      </c>
      <c r="AY41" s="66"/>
      <c r="AZ41" s="31">
        <f t="shared" si="2"/>
        <v>0</v>
      </c>
      <c r="BA41" s="67">
        <f t="shared" si="3"/>
        <v>0</v>
      </c>
      <c r="BB41" s="66"/>
      <c r="BC41" s="31">
        <f t="shared" si="4"/>
        <v>0</v>
      </c>
      <c r="BD41" s="65">
        <f t="shared" si="5"/>
        <v>0</v>
      </c>
      <c r="BE41" s="66"/>
      <c r="BF41" s="31">
        <f t="shared" si="6"/>
        <v>0</v>
      </c>
      <c r="BG41" s="67">
        <f t="shared" si="7"/>
        <v>0</v>
      </c>
      <c r="BH41" s="66"/>
      <c r="BI41" s="31">
        <f t="shared" si="8"/>
        <v>0</v>
      </c>
      <c r="BJ41" s="65">
        <f t="shared" si="9"/>
        <v>0</v>
      </c>
      <c r="BK41" s="66"/>
      <c r="BL41" s="31">
        <f t="shared" si="10"/>
        <v>0</v>
      </c>
      <c r="BM41" s="67">
        <f t="shared" si="11"/>
        <v>0</v>
      </c>
      <c r="BN41" s="66"/>
      <c r="BO41" s="31">
        <f t="shared" si="12"/>
        <v>0</v>
      </c>
      <c r="BP41" s="65">
        <f t="shared" si="13"/>
        <v>0</v>
      </c>
      <c r="BQ41" s="66"/>
      <c r="BR41" s="31">
        <f t="shared" si="14"/>
        <v>0</v>
      </c>
      <c r="BS41" s="67">
        <f t="shared" si="15"/>
        <v>0</v>
      </c>
      <c r="BT41" s="66"/>
      <c r="BU41" s="31">
        <f t="shared" si="16"/>
        <v>1</v>
      </c>
      <c r="BV41" s="65">
        <f t="shared" si="17"/>
        <v>30</v>
      </c>
      <c r="BW41" s="66"/>
      <c r="BX41" s="31">
        <f t="shared" si="18"/>
        <v>0</v>
      </c>
      <c r="BY41" s="67">
        <f t="shared" si="19"/>
        <v>0</v>
      </c>
      <c r="BZ41" s="66"/>
      <c r="CA41" s="31">
        <f t="shared" si="20"/>
        <v>0</v>
      </c>
      <c r="CB41" s="65">
        <f t="shared" si="21"/>
        <v>0</v>
      </c>
      <c r="CC41" s="66"/>
      <c r="CD41" s="31">
        <f t="shared" si="22"/>
        <v>0</v>
      </c>
      <c r="CE41" s="67">
        <f t="shared" si="23"/>
        <v>0</v>
      </c>
      <c r="CF41" s="66"/>
      <c r="CG41" s="34">
        <f t="shared" si="24"/>
        <v>0</v>
      </c>
      <c r="CH41" s="67">
        <f t="shared" si="45"/>
        <v>0</v>
      </c>
      <c r="CI41" s="66"/>
      <c r="CJ41" s="34">
        <f t="shared" si="25"/>
        <v>0</v>
      </c>
      <c r="CK41" s="67">
        <f t="shared" si="26"/>
        <v>0</v>
      </c>
      <c r="CL41" s="66"/>
      <c r="CM41" s="34">
        <f t="shared" si="27"/>
        <v>0</v>
      </c>
      <c r="CN41" s="67">
        <f t="shared" si="28"/>
        <v>0</v>
      </c>
      <c r="CO41" s="66"/>
      <c r="CP41" s="34">
        <f t="shared" si="29"/>
        <v>0</v>
      </c>
      <c r="CQ41" s="67">
        <f t="shared" si="30"/>
        <v>0</v>
      </c>
      <c r="CR41" s="66"/>
      <c r="CS41" s="34">
        <f t="shared" si="31"/>
        <v>0</v>
      </c>
      <c r="CT41" s="65">
        <f t="shared" si="32"/>
        <v>0</v>
      </c>
      <c r="CU41" s="66"/>
      <c r="CV41" s="31">
        <f t="shared" si="33"/>
        <v>0</v>
      </c>
      <c r="CW41" s="67">
        <f t="shared" si="34"/>
        <v>0</v>
      </c>
      <c r="CX41" s="66"/>
      <c r="CY41" s="31">
        <f t="shared" si="35"/>
        <v>0</v>
      </c>
      <c r="CZ41" s="65">
        <f t="shared" si="36"/>
        <v>0</v>
      </c>
      <c r="DA41" s="66"/>
      <c r="DB41" s="31">
        <f t="shared" si="37"/>
        <v>0</v>
      </c>
      <c r="DC41" s="67">
        <f t="shared" si="38"/>
        <v>0</v>
      </c>
      <c r="DE41" s="76">
        <v>47</v>
      </c>
      <c r="DF41" s="42"/>
      <c r="DG41" s="69">
        <f t="shared" si="39"/>
        <v>0</v>
      </c>
      <c r="DH41" s="42"/>
      <c r="DI41" s="70">
        <f t="shared" si="40"/>
        <v>1</v>
      </c>
      <c r="DJ41" s="42"/>
      <c r="DK41" s="70">
        <f t="shared" si="41"/>
        <v>46</v>
      </c>
      <c r="DL41" s="42"/>
      <c r="DM41" s="71">
        <f t="shared" si="42"/>
        <v>1150</v>
      </c>
      <c r="DN41" s="42"/>
      <c r="DO41" s="72">
        <f t="shared" si="43"/>
        <v>46</v>
      </c>
      <c r="DP41" s="42"/>
      <c r="DQ41" s="71">
        <f t="shared" si="44"/>
        <v>1380</v>
      </c>
      <c r="DR41" s="42"/>
      <c r="DS41" s="69"/>
      <c r="DT41" s="42"/>
      <c r="DU41" s="71">
        <v>0</v>
      </c>
      <c r="DV41" s="42"/>
      <c r="DW41" s="73">
        <f t="shared" si="46"/>
        <v>0</v>
      </c>
      <c r="DX41" s="42"/>
      <c r="DY41" s="71">
        <f t="shared" si="47"/>
        <v>0</v>
      </c>
    </row>
    <row r="42" ht="12.45" customHeight="1" spans="1:129" x14ac:dyDescent="0.25">
      <c r="A42" s="77" t="s">
        <v>87</v>
      </c>
      <c r="B42" s="42"/>
      <c r="C42" s="75"/>
      <c r="D42" s="44"/>
      <c r="E42" s="78">
        <v>25</v>
      </c>
      <c r="F42" s="44"/>
      <c r="G42" s="61">
        <v>30</v>
      </c>
      <c r="I42" s="62">
        <v>1</v>
      </c>
      <c r="J42" s="63"/>
      <c r="K42" s="64"/>
      <c r="L42" s="3"/>
      <c r="M42" s="62"/>
      <c r="N42" s="3"/>
      <c r="O42" s="64"/>
      <c r="P42" s="3"/>
      <c r="Q42" s="62"/>
      <c r="R42" s="3"/>
      <c r="S42" s="64"/>
      <c r="T42" s="3"/>
      <c r="U42" s="62"/>
      <c r="V42" s="3"/>
      <c r="W42" s="64"/>
      <c r="X42" s="3"/>
      <c r="Y42" s="62"/>
      <c r="Z42" s="3"/>
      <c r="AA42" s="64"/>
      <c r="AB42" s="3"/>
      <c r="AC42" s="62"/>
      <c r="AD42" s="3"/>
      <c r="AE42" s="64"/>
      <c r="AF42" s="3"/>
      <c r="AG42" s="62"/>
      <c r="AH42" s="3"/>
      <c r="AI42" s="64"/>
      <c r="AJ42" s="3"/>
      <c r="AK42" s="62"/>
      <c r="AL42" s="3"/>
      <c r="AM42" s="64"/>
      <c r="AN42" s="3"/>
      <c r="AO42" s="62"/>
      <c r="AP42" s="3"/>
      <c r="AQ42" s="64"/>
      <c r="AR42" s="3"/>
      <c r="AS42" s="62"/>
      <c r="AT42" s="3"/>
      <c r="AU42" s="64"/>
      <c r="AW42" s="34">
        <f t="shared" si="0"/>
        <v>1</v>
      </c>
      <c r="AX42" s="65">
        <f t="shared" si="1"/>
        <v>30</v>
      </c>
      <c r="AY42" s="66"/>
      <c r="AZ42" s="31">
        <f t="shared" si="2"/>
        <v>0</v>
      </c>
      <c r="BA42" s="67">
        <f t="shared" si="3"/>
        <v>0</v>
      </c>
      <c r="BB42" s="66"/>
      <c r="BC42" s="31">
        <f t="shared" si="4"/>
        <v>0</v>
      </c>
      <c r="BD42" s="65">
        <f t="shared" si="5"/>
        <v>0</v>
      </c>
      <c r="BE42" s="66"/>
      <c r="BF42" s="31">
        <f t="shared" si="6"/>
        <v>0</v>
      </c>
      <c r="BG42" s="67">
        <f t="shared" si="7"/>
        <v>0</v>
      </c>
      <c r="BH42" s="66"/>
      <c r="BI42" s="31">
        <f t="shared" si="8"/>
        <v>0</v>
      </c>
      <c r="BJ42" s="65">
        <f t="shared" si="9"/>
        <v>0</v>
      </c>
      <c r="BK42" s="66"/>
      <c r="BL42" s="31">
        <f t="shared" si="10"/>
        <v>0</v>
      </c>
      <c r="BM42" s="67">
        <f t="shared" si="11"/>
        <v>0</v>
      </c>
      <c r="BN42" s="66"/>
      <c r="BO42" s="31">
        <f t="shared" si="12"/>
        <v>0</v>
      </c>
      <c r="BP42" s="65">
        <f t="shared" si="13"/>
        <v>0</v>
      </c>
      <c r="BQ42" s="66"/>
      <c r="BR42" s="31">
        <f t="shared" si="14"/>
        <v>0</v>
      </c>
      <c r="BS42" s="67">
        <f t="shared" si="15"/>
        <v>0</v>
      </c>
      <c r="BT42" s="66"/>
      <c r="BU42" s="31">
        <f t="shared" si="16"/>
        <v>0</v>
      </c>
      <c r="BV42" s="65">
        <f t="shared" si="17"/>
        <v>0</v>
      </c>
      <c r="BW42" s="66"/>
      <c r="BX42" s="31">
        <f t="shared" si="18"/>
        <v>0</v>
      </c>
      <c r="BY42" s="67">
        <f t="shared" si="19"/>
        <v>0</v>
      </c>
      <c r="BZ42" s="66"/>
      <c r="CA42" s="31">
        <f t="shared" si="20"/>
        <v>0</v>
      </c>
      <c r="CB42" s="65">
        <f t="shared" si="21"/>
        <v>0</v>
      </c>
      <c r="CC42" s="66"/>
      <c r="CD42" s="31">
        <f t="shared" si="22"/>
        <v>0</v>
      </c>
      <c r="CE42" s="67">
        <f t="shared" si="23"/>
        <v>0</v>
      </c>
      <c r="CF42" s="66"/>
      <c r="CG42" s="34">
        <f t="shared" si="24"/>
        <v>0</v>
      </c>
      <c r="CH42" s="67">
        <f t="shared" si="45"/>
        <v>0</v>
      </c>
      <c r="CI42" s="66"/>
      <c r="CJ42" s="34">
        <f t="shared" si="25"/>
        <v>0</v>
      </c>
      <c r="CK42" s="67">
        <f t="shared" si="26"/>
        <v>0</v>
      </c>
      <c r="CL42" s="66"/>
      <c r="CM42" s="34">
        <f t="shared" si="27"/>
        <v>0</v>
      </c>
      <c r="CN42" s="67">
        <f t="shared" si="28"/>
        <v>0</v>
      </c>
      <c r="CO42" s="66"/>
      <c r="CP42" s="34">
        <f t="shared" si="29"/>
        <v>0</v>
      </c>
      <c r="CQ42" s="67">
        <f t="shared" si="30"/>
        <v>0</v>
      </c>
      <c r="CR42" s="66"/>
      <c r="CS42" s="34">
        <f t="shared" si="31"/>
        <v>0</v>
      </c>
      <c r="CT42" s="65">
        <f t="shared" si="32"/>
        <v>0</v>
      </c>
      <c r="CU42" s="66"/>
      <c r="CV42" s="31">
        <f t="shared" si="33"/>
        <v>0</v>
      </c>
      <c r="CW42" s="67">
        <f t="shared" si="34"/>
        <v>0</v>
      </c>
      <c r="CX42" s="66"/>
      <c r="CY42" s="31">
        <f t="shared" si="35"/>
        <v>0</v>
      </c>
      <c r="CZ42" s="65">
        <f t="shared" si="36"/>
        <v>0</v>
      </c>
      <c r="DA42" s="66"/>
      <c r="DB42" s="31">
        <f t="shared" si="37"/>
        <v>0</v>
      </c>
      <c r="DC42" s="67">
        <f t="shared" si="38"/>
        <v>0</v>
      </c>
      <c r="DE42" s="76">
        <v>14</v>
      </c>
      <c r="DF42" s="42"/>
      <c r="DG42" s="69">
        <f t="shared" si="39"/>
        <v>0</v>
      </c>
      <c r="DH42" s="42"/>
      <c r="DI42" s="70">
        <f t="shared" si="40"/>
        <v>1</v>
      </c>
      <c r="DJ42" s="42"/>
      <c r="DK42" s="70">
        <f t="shared" si="41"/>
        <v>13</v>
      </c>
      <c r="DL42" s="42"/>
      <c r="DM42" s="71">
        <f t="shared" si="42"/>
        <v>325</v>
      </c>
      <c r="DN42" s="42"/>
      <c r="DO42" s="72">
        <f t="shared" si="43"/>
        <v>13</v>
      </c>
      <c r="DP42" s="42"/>
      <c r="DQ42" s="71">
        <f t="shared" si="44"/>
        <v>390</v>
      </c>
      <c r="DR42" s="42"/>
      <c r="DS42" s="69"/>
      <c r="DT42" s="42"/>
      <c r="DU42" s="71">
        <v>0</v>
      </c>
      <c r="DV42" s="42"/>
      <c r="DW42" s="73">
        <f t="shared" si="46"/>
        <v>0</v>
      </c>
      <c r="DX42" s="42"/>
      <c r="DY42" s="71">
        <f t="shared" si="47"/>
        <v>0</v>
      </c>
    </row>
    <row r="43" ht="12.45" customHeight="1" spans="1:129" x14ac:dyDescent="0.25">
      <c r="A43" s="74" t="s">
        <v>88</v>
      </c>
      <c r="B43" s="42"/>
      <c r="C43" s="75"/>
      <c r="D43" s="44"/>
      <c r="E43" s="78">
        <v>25</v>
      </c>
      <c r="F43" s="44"/>
      <c r="G43" s="61">
        <v>30</v>
      </c>
      <c r="I43" s="62"/>
      <c r="J43" s="63"/>
      <c r="K43" s="64">
        <v>1</v>
      </c>
      <c r="L43" s="3"/>
      <c r="M43" s="62"/>
      <c r="N43" s="3"/>
      <c r="O43" s="64"/>
      <c r="P43" s="3"/>
      <c r="Q43" s="62"/>
      <c r="R43" s="3"/>
      <c r="S43" s="64">
        <v>1</v>
      </c>
      <c r="T43" s="3"/>
      <c r="U43" s="62"/>
      <c r="V43" s="3"/>
      <c r="W43" s="64"/>
      <c r="X43" s="3"/>
      <c r="Y43" s="62">
        <v>1</v>
      </c>
      <c r="Z43" s="3"/>
      <c r="AA43" s="64">
        <v>1</v>
      </c>
      <c r="AB43" s="3"/>
      <c r="AC43" s="62"/>
      <c r="AD43" s="3"/>
      <c r="AE43" s="64"/>
      <c r="AF43" s="3"/>
      <c r="AG43" s="62"/>
      <c r="AH43" s="3"/>
      <c r="AI43" s="64"/>
      <c r="AJ43" s="3"/>
      <c r="AK43" s="62"/>
      <c r="AL43" s="3"/>
      <c r="AM43" s="64"/>
      <c r="AN43" s="3"/>
      <c r="AO43" s="62"/>
      <c r="AP43" s="3"/>
      <c r="AQ43" s="64"/>
      <c r="AR43" s="3"/>
      <c r="AS43" s="62"/>
      <c r="AT43" s="3"/>
      <c r="AU43" s="64"/>
      <c r="AW43" s="34">
        <f t="shared" si="0"/>
        <v>0</v>
      </c>
      <c r="AX43" s="65">
        <f t="shared" si="1"/>
        <v>0</v>
      </c>
      <c r="AY43" s="66"/>
      <c r="AZ43" s="31">
        <f t="shared" si="2"/>
        <v>1</v>
      </c>
      <c r="BA43" s="67">
        <f t="shared" si="3"/>
        <v>30</v>
      </c>
      <c r="BB43" s="66"/>
      <c r="BC43" s="31">
        <f t="shared" si="4"/>
        <v>0</v>
      </c>
      <c r="BD43" s="65">
        <f t="shared" si="5"/>
        <v>0</v>
      </c>
      <c r="BE43" s="66"/>
      <c r="BF43" s="31">
        <f t="shared" si="6"/>
        <v>0</v>
      </c>
      <c r="BG43" s="67">
        <f t="shared" si="7"/>
        <v>0</v>
      </c>
      <c r="BH43" s="66"/>
      <c r="BI43" s="31">
        <f t="shared" si="8"/>
        <v>0</v>
      </c>
      <c r="BJ43" s="65">
        <f t="shared" si="9"/>
        <v>0</v>
      </c>
      <c r="BK43" s="66"/>
      <c r="BL43" s="31">
        <f t="shared" si="10"/>
        <v>1</v>
      </c>
      <c r="BM43" s="67">
        <f t="shared" si="11"/>
        <v>30</v>
      </c>
      <c r="BN43" s="66"/>
      <c r="BO43" s="31">
        <f t="shared" si="12"/>
        <v>0</v>
      </c>
      <c r="BP43" s="65">
        <f t="shared" si="13"/>
        <v>0</v>
      </c>
      <c r="BQ43" s="66"/>
      <c r="BR43" s="31">
        <f t="shared" si="14"/>
        <v>0</v>
      </c>
      <c r="BS43" s="67">
        <f t="shared" si="15"/>
        <v>0</v>
      </c>
      <c r="BT43" s="66"/>
      <c r="BU43" s="31">
        <f t="shared" si="16"/>
        <v>1</v>
      </c>
      <c r="BV43" s="65">
        <f t="shared" si="17"/>
        <v>30</v>
      </c>
      <c r="BW43" s="66"/>
      <c r="BX43" s="31">
        <f t="shared" si="18"/>
        <v>1</v>
      </c>
      <c r="BY43" s="67">
        <f t="shared" si="19"/>
        <v>30</v>
      </c>
      <c r="BZ43" s="66"/>
      <c r="CA43" s="31">
        <f t="shared" si="20"/>
        <v>0</v>
      </c>
      <c r="CB43" s="65">
        <f t="shared" si="21"/>
        <v>0</v>
      </c>
      <c r="CC43" s="66"/>
      <c r="CD43" s="31">
        <f t="shared" si="22"/>
        <v>0</v>
      </c>
      <c r="CE43" s="67">
        <f t="shared" si="23"/>
        <v>0</v>
      </c>
      <c r="CF43" s="66"/>
      <c r="CG43" s="34">
        <f t="shared" si="24"/>
        <v>0</v>
      </c>
      <c r="CH43" s="67">
        <f t="shared" si="45"/>
        <v>0</v>
      </c>
      <c r="CI43" s="66"/>
      <c r="CJ43" s="34">
        <f t="shared" si="25"/>
        <v>0</v>
      </c>
      <c r="CK43" s="67">
        <f t="shared" si="26"/>
        <v>0</v>
      </c>
      <c r="CL43" s="66"/>
      <c r="CM43" s="34">
        <f t="shared" si="27"/>
        <v>0</v>
      </c>
      <c r="CN43" s="67">
        <f t="shared" si="28"/>
        <v>0</v>
      </c>
      <c r="CO43" s="66"/>
      <c r="CP43" s="34">
        <f t="shared" si="29"/>
        <v>0</v>
      </c>
      <c r="CQ43" s="67">
        <f t="shared" si="30"/>
        <v>0</v>
      </c>
      <c r="CR43" s="66"/>
      <c r="CS43" s="34">
        <f t="shared" si="31"/>
        <v>0</v>
      </c>
      <c r="CT43" s="65">
        <f t="shared" si="32"/>
        <v>0</v>
      </c>
      <c r="CU43" s="66"/>
      <c r="CV43" s="31">
        <f t="shared" si="33"/>
        <v>0</v>
      </c>
      <c r="CW43" s="67">
        <f t="shared" si="34"/>
        <v>0</v>
      </c>
      <c r="CX43" s="66"/>
      <c r="CY43" s="31">
        <f t="shared" si="35"/>
        <v>0</v>
      </c>
      <c r="CZ43" s="65">
        <f t="shared" si="36"/>
        <v>0</v>
      </c>
      <c r="DA43" s="66"/>
      <c r="DB43" s="31">
        <f t="shared" si="37"/>
        <v>0</v>
      </c>
      <c r="DC43" s="67">
        <f t="shared" si="38"/>
        <v>0</v>
      </c>
      <c r="DE43" s="76">
        <v>56</v>
      </c>
      <c r="DF43" s="42"/>
      <c r="DG43" s="69">
        <f t="shared" si="39"/>
        <v>0</v>
      </c>
      <c r="DH43" s="42"/>
      <c r="DI43" s="70">
        <f t="shared" si="40"/>
        <v>4</v>
      </c>
      <c r="DJ43" s="42"/>
      <c r="DK43" s="70">
        <f t="shared" si="41"/>
        <v>52</v>
      </c>
      <c r="DL43" s="42"/>
      <c r="DM43" s="71">
        <f t="shared" si="42"/>
        <v>1300</v>
      </c>
      <c r="DN43" s="42"/>
      <c r="DO43" s="72">
        <f t="shared" si="43"/>
        <v>13</v>
      </c>
      <c r="DP43" s="42"/>
      <c r="DQ43" s="71">
        <f t="shared" si="44"/>
        <v>1560</v>
      </c>
      <c r="DR43" s="42"/>
      <c r="DS43" s="69"/>
      <c r="DT43" s="42"/>
      <c r="DU43" s="71">
        <v>0</v>
      </c>
      <c r="DV43" s="42"/>
      <c r="DW43" s="73">
        <f t="shared" si="46"/>
        <v>0</v>
      </c>
      <c r="DX43" s="42"/>
      <c r="DY43" s="71">
        <f t="shared" si="47"/>
        <v>0</v>
      </c>
    </row>
    <row r="44" ht="12.45" customHeight="1" spans="1:129" x14ac:dyDescent="0.25">
      <c r="A44" s="77" t="s">
        <v>89</v>
      </c>
      <c r="B44" s="42"/>
      <c r="C44" s="75"/>
      <c r="D44" s="44"/>
      <c r="E44" s="78">
        <v>35</v>
      </c>
      <c r="F44" s="44"/>
      <c r="G44" s="61">
        <v>42</v>
      </c>
      <c r="I44" s="62">
        <v>1</v>
      </c>
      <c r="J44" s="63"/>
      <c r="K44" s="64">
        <v>1</v>
      </c>
      <c r="L44" s="3"/>
      <c r="M44" s="62">
        <v>1</v>
      </c>
      <c r="N44" s="3"/>
      <c r="O44" s="64">
        <v>2</v>
      </c>
      <c r="P44" s="3"/>
      <c r="Q44" s="62">
        <v>1</v>
      </c>
      <c r="R44" s="3"/>
      <c r="S44" s="64">
        <v>1</v>
      </c>
      <c r="T44" s="3"/>
      <c r="U44" s="62">
        <v>1</v>
      </c>
      <c r="V44" s="3"/>
      <c r="W44" s="64">
        <v>1</v>
      </c>
      <c r="X44" s="3"/>
      <c r="Y44" s="62">
        <v>1</v>
      </c>
      <c r="Z44" s="3"/>
      <c r="AA44" s="64"/>
      <c r="AB44" s="3"/>
      <c r="AC44" s="62">
        <v>1</v>
      </c>
      <c r="AD44" s="3"/>
      <c r="AE44" s="64"/>
      <c r="AF44" s="3"/>
      <c r="AG44" s="62"/>
      <c r="AH44" s="3"/>
      <c r="AI44" s="64"/>
      <c r="AJ44" s="3"/>
      <c r="AK44" s="62"/>
      <c r="AL44" s="3"/>
      <c r="AM44" s="64"/>
      <c r="AN44" s="3"/>
      <c r="AO44" s="62"/>
      <c r="AP44" s="3"/>
      <c r="AQ44" s="64"/>
      <c r="AR44" s="3"/>
      <c r="AS44" s="62"/>
      <c r="AT44" s="3"/>
      <c r="AU44" s="64"/>
      <c r="AW44" s="34">
        <f t="shared" si="0"/>
        <v>1</v>
      </c>
      <c r="AX44" s="65">
        <f t="shared" si="1"/>
        <v>42</v>
      </c>
      <c r="AY44" s="66"/>
      <c r="AZ44" s="31">
        <f t="shared" si="2"/>
        <v>1</v>
      </c>
      <c r="BA44" s="67">
        <f t="shared" si="3"/>
        <v>42</v>
      </c>
      <c r="BB44" s="66"/>
      <c r="BC44" s="31">
        <f t="shared" si="4"/>
        <v>1</v>
      </c>
      <c r="BD44" s="65">
        <f t="shared" si="5"/>
        <v>42</v>
      </c>
      <c r="BE44" s="66"/>
      <c r="BF44" s="31">
        <f t="shared" si="6"/>
        <v>2</v>
      </c>
      <c r="BG44" s="67">
        <f t="shared" si="7"/>
        <v>84</v>
      </c>
      <c r="BH44" s="66"/>
      <c r="BI44" s="31">
        <f t="shared" si="8"/>
        <v>1</v>
      </c>
      <c r="BJ44" s="65">
        <f t="shared" si="9"/>
        <v>42</v>
      </c>
      <c r="BK44" s="66"/>
      <c r="BL44" s="31">
        <f t="shared" si="10"/>
        <v>1</v>
      </c>
      <c r="BM44" s="67">
        <f t="shared" si="11"/>
        <v>42</v>
      </c>
      <c r="BN44" s="66"/>
      <c r="BO44" s="31">
        <f t="shared" si="12"/>
        <v>1</v>
      </c>
      <c r="BP44" s="65">
        <f t="shared" si="13"/>
        <v>42</v>
      </c>
      <c r="BQ44" s="66"/>
      <c r="BR44" s="31">
        <f t="shared" si="14"/>
        <v>1</v>
      </c>
      <c r="BS44" s="67">
        <f t="shared" si="15"/>
        <v>42</v>
      </c>
      <c r="BT44" s="66"/>
      <c r="BU44" s="31">
        <f t="shared" si="16"/>
        <v>1</v>
      </c>
      <c r="BV44" s="65">
        <f t="shared" si="17"/>
        <v>42</v>
      </c>
      <c r="BW44" s="66"/>
      <c r="BX44" s="31">
        <f t="shared" si="18"/>
        <v>0</v>
      </c>
      <c r="BY44" s="67">
        <f t="shared" si="19"/>
        <v>0</v>
      </c>
      <c r="BZ44" s="66"/>
      <c r="CA44" s="31">
        <f t="shared" si="20"/>
        <v>1</v>
      </c>
      <c r="CB44" s="65">
        <f t="shared" si="21"/>
        <v>42</v>
      </c>
      <c r="CC44" s="66"/>
      <c r="CD44" s="31">
        <f t="shared" si="22"/>
        <v>0</v>
      </c>
      <c r="CE44" s="67">
        <f t="shared" si="23"/>
        <v>0</v>
      </c>
      <c r="CF44" s="66"/>
      <c r="CG44" s="34">
        <f t="shared" si="24"/>
        <v>0</v>
      </c>
      <c r="CH44" s="67">
        <f t="shared" si="45"/>
        <v>0</v>
      </c>
      <c r="CI44" s="66"/>
      <c r="CJ44" s="34">
        <f t="shared" si="25"/>
        <v>0</v>
      </c>
      <c r="CK44" s="67">
        <f t="shared" si="26"/>
        <v>0</v>
      </c>
      <c r="CL44" s="66"/>
      <c r="CM44" s="34">
        <f t="shared" si="27"/>
        <v>0</v>
      </c>
      <c r="CN44" s="67">
        <f t="shared" si="28"/>
        <v>0</v>
      </c>
      <c r="CO44" s="66"/>
      <c r="CP44" s="34">
        <f t="shared" si="29"/>
        <v>0</v>
      </c>
      <c r="CQ44" s="67">
        <f t="shared" si="30"/>
        <v>0</v>
      </c>
      <c r="CR44" s="66"/>
      <c r="CS44" s="34">
        <f t="shared" si="31"/>
        <v>0</v>
      </c>
      <c r="CT44" s="65">
        <f t="shared" si="32"/>
        <v>0</v>
      </c>
      <c r="CU44" s="66"/>
      <c r="CV44" s="31">
        <f t="shared" si="33"/>
        <v>0</v>
      </c>
      <c r="CW44" s="67">
        <f t="shared" si="34"/>
        <v>0</v>
      </c>
      <c r="CX44" s="66"/>
      <c r="CY44" s="31">
        <f t="shared" si="35"/>
        <v>0</v>
      </c>
      <c r="CZ44" s="65">
        <f t="shared" si="36"/>
        <v>0</v>
      </c>
      <c r="DA44" s="66"/>
      <c r="DB44" s="31">
        <f t="shared" si="37"/>
        <v>0</v>
      </c>
      <c r="DC44" s="67">
        <f t="shared" si="38"/>
        <v>0</v>
      </c>
      <c r="DE44" s="76">
        <v>92</v>
      </c>
      <c r="DF44" s="42"/>
      <c r="DG44" s="69">
        <f t="shared" si="39"/>
        <v>0</v>
      </c>
      <c r="DH44" s="42"/>
      <c r="DI44" s="70">
        <f t="shared" si="40"/>
        <v>11</v>
      </c>
      <c r="DJ44" s="42"/>
      <c r="DK44" s="70">
        <f t="shared" si="41"/>
        <v>81</v>
      </c>
      <c r="DL44" s="42"/>
      <c r="DM44" s="71">
        <f t="shared" si="42"/>
        <v>2835</v>
      </c>
      <c r="DN44" s="42"/>
      <c r="DO44" s="72">
        <f t="shared" si="43"/>
        <v>7.363636363636363</v>
      </c>
      <c r="DP44" s="42"/>
      <c r="DQ44" s="71">
        <f t="shared" si="44"/>
        <v>3402</v>
      </c>
      <c r="DR44" s="42"/>
      <c r="DS44" s="69"/>
      <c r="DT44" s="42"/>
      <c r="DU44" s="71">
        <v>0</v>
      </c>
      <c r="DV44" s="42"/>
      <c r="DW44" s="73">
        <f t="shared" si="46"/>
        <v>0</v>
      </c>
      <c r="DX44" s="42"/>
      <c r="DY44" s="71">
        <f t="shared" si="47"/>
        <v>0</v>
      </c>
    </row>
    <row r="45" ht="12.45" customHeight="1" spans="1:129" x14ac:dyDescent="0.25">
      <c r="A45" s="74" t="s">
        <v>90</v>
      </c>
      <c r="B45" s="42"/>
      <c r="C45" s="75"/>
      <c r="D45" s="44"/>
      <c r="E45" s="78">
        <v>21.5</v>
      </c>
      <c r="F45" s="44"/>
      <c r="G45" s="61">
        <v>25.8</v>
      </c>
      <c r="I45" s="62">
        <v>1</v>
      </c>
      <c r="J45" s="63"/>
      <c r="K45" s="64"/>
      <c r="L45" s="3"/>
      <c r="M45" s="62"/>
      <c r="N45" s="3"/>
      <c r="O45" s="64"/>
      <c r="P45" s="3"/>
      <c r="Q45" s="62"/>
      <c r="R45" s="3"/>
      <c r="S45" s="64"/>
      <c r="T45" s="3"/>
      <c r="U45" s="62">
        <v>1</v>
      </c>
      <c r="V45" s="3"/>
      <c r="W45" s="64">
        <v>1</v>
      </c>
      <c r="X45" s="3"/>
      <c r="Y45" s="62"/>
      <c r="Z45" s="3"/>
      <c r="AA45" s="64">
        <v>1</v>
      </c>
      <c r="AB45" s="3"/>
      <c r="AC45" s="62"/>
      <c r="AD45" s="3"/>
      <c r="AE45" s="64"/>
      <c r="AF45" s="3"/>
      <c r="AG45" s="62"/>
      <c r="AH45" s="3"/>
      <c r="AI45" s="64"/>
      <c r="AJ45" s="3"/>
      <c r="AK45" s="62"/>
      <c r="AL45" s="3"/>
      <c r="AM45" s="64"/>
      <c r="AN45" s="3"/>
      <c r="AO45" s="62"/>
      <c r="AP45" s="3"/>
      <c r="AQ45" s="64"/>
      <c r="AR45" s="3"/>
      <c r="AS45" s="62"/>
      <c r="AT45" s="3"/>
      <c r="AU45" s="64"/>
      <c r="AW45" s="34">
        <f t="shared" si="0"/>
        <v>1</v>
      </c>
      <c r="AX45" s="65">
        <f t="shared" si="1"/>
        <v>25.8</v>
      </c>
      <c r="AY45" s="66"/>
      <c r="AZ45" s="31">
        <f t="shared" si="2"/>
        <v>0</v>
      </c>
      <c r="BA45" s="67">
        <f t="shared" si="3"/>
        <v>0</v>
      </c>
      <c r="BB45" s="66"/>
      <c r="BC45" s="31">
        <f t="shared" si="4"/>
        <v>0</v>
      </c>
      <c r="BD45" s="65">
        <f t="shared" si="5"/>
        <v>0</v>
      </c>
      <c r="BE45" s="66"/>
      <c r="BF45" s="31">
        <f t="shared" si="6"/>
        <v>0</v>
      </c>
      <c r="BG45" s="67">
        <f t="shared" si="7"/>
        <v>0</v>
      </c>
      <c r="BH45" s="66"/>
      <c r="BI45" s="31">
        <f t="shared" si="8"/>
        <v>0</v>
      </c>
      <c r="BJ45" s="65">
        <f t="shared" si="9"/>
        <v>0</v>
      </c>
      <c r="BK45" s="66"/>
      <c r="BL45" s="31">
        <f t="shared" si="10"/>
        <v>0</v>
      </c>
      <c r="BM45" s="67">
        <f t="shared" si="11"/>
        <v>0</v>
      </c>
      <c r="BN45" s="66"/>
      <c r="BO45" s="31">
        <f t="shared" si="12"/>
        <v>1</v>
      </c>
      <c r="BP45" s="65">
        <f t="shared" si="13"/>
        <v>25.8</v>
      </c>
      <c r="BQ45" s="66"/>
      <c r="BR45" s="31">
        <f t="shared" si="14"/>
        <v>1</v>
      </c>
      <c r="BS45" s="67">
        <f t="shared" si="15"/>
        <v>25.8</v>
      </c>
      <c r="BT45" s="66"/>
      <c r="BU45" s="31">
        <f t="shared" si="16"/>
        <v>0</v>
      </c>
      <c r="BV45" s="65">
        <f t="shared" si="17"/>
        <v>0</v>
      </c>
      <c r="BW45" s="66"/>
      <c r="BX45" s="31">
        <f t="shared" si="18"/>
        <v>1</v>
      </c>
      <c r="BY45" s="67">
        <f t="shared" si="19"/>
        <v>25.8</v>
      </c>
      <c r="BZ45" s="66"/>
      <c r="CA45" s="31">
        <f t="shared" si="20"/>
        <v>0</v>
      </c>
      <c r="CB45" s="65">
        <f t="shared" si="21"/>
        <v>0</v>
      </c>
      <c r="CC45" s="66"/>
      <c r="CD45" s="31">
        <f t="shared" si="22"/>
        <v>0</v>
      </c>
      <c r="CE45" s="67">
        <f t="shared" si="23"/>
        <v>0</v>
      </c>
      <c r="CF45" s="66"/>
      <c r="CG45" s="34">
        <f t="shared" si="24"/>
        <v>0</v>
      </c>
      <c r="CH45" s="67">
        <f t="shared" si="45"/>
        <v>0</v>
      </c>
      <c r="CI45" s="66"/>
      <c r="CJ45" s="34">
        <f t="shared" si="25"/>
        <v>0</v>
      </c>
      <c r="CK45" s="67">
        <f t="shared" si="26"/>
        <v>0</v>
      </c>
      <c r="CL45" s="66"/>
      <c r="CM45" s="34">
        <f t="shared" si="27"/>
        <v>0</v>
      </c>
      <c r="CN45" s="67">
        <f t="shared" si="28"/>
        <v>0</v>
      </c>
      <c r="CO45" s="66"/>
      <c r="CP45" s="34">
        <f t="shared" si="29"/>
        <v>0</v>
      </c>
      <c r="CQ45" s="67">
        <f t="shared" si="30"/>
        <v>0</v>
      </c>
      <c r="CR45" s="66"/>
      <c r="CS45" s="34">
        <f t="shared" si="31"/>
        <v>0</v>
      </c>
      <c r="CT45" s="65">
        <f t="shared" si="32"/>
        <v>0</v>
      </c>
      <c r="CU45" s="66"/>
      <c r="CV45" s="31">
        <f t="shared" si="33"/>
        <v>0</v>
      </c>
      <c r="CW45" s="67">
        <f t="shared" si="34"/>
        <v>0</v>
      </c>
      <c r="CX45" s="66"/>
      <c r="CY45" s="31">
        <f t="shared" si="35"/>
        <v>0</v>
      </c>
      <c r="CZ45" s="65">
        <f t="shared" si="36"/>
        <v>0</v>
      </c>
      <c r="DA45" s="66"/>
      <c r="DB45" s="31">
        <f t="shared" si="37"/>
        <v>0</v>
      </c>
      <c r="DC45" s="67">
        <f t="shared" si="38"/>
        <v>0</v>
      </c>
      <c r="DE45" s="76">
        <v>25</v>
      </c>
      <c r="DF45" s="42"/>
      <c r="DG45" s="69">
        <f t="shared" si="39"/>
        <v>0</v>
      </c>
      <c r="DH45" s="42"/>
      <c r="DI45" s="70">
        <f t="shared" si="40"/>
        <v>4</v>
      </c>
      <c r="DJ45" s="42"/>
      <c r="DK45" s="70">
        <f t="shared" si="41"/>
        <v>21</v>
      </c>
      <c r="DL45" s="42"/>
      <c r="DM45" s="71">
        <f t="shared" si="42"/>
        <v>451.5</v>
      </c>
      <c r="DN45" s="42"/>
      <c r="DO45" s="72">
        <f t="shared" si="43"/>
        <v>5.25</v>
      </c>
      <c r="DP45" s="42"/>
      <c r="DQ45" s="71">
        <f t="shared" si="44"/>
        <v>541.8000000000001</v>
      </c>
      <c r="DR45" s="42"/>
      <c r="DS45" s="69"/>
      <c r="DT45" s="42"/>
      <c r="DU45" s="71">
        <v>0</v>
      </c>
      <c r="DV45" s="42"/>
      <c r="DW45" s="73">
        <f t="shared" si="46"/>
        <v>0</v>
      </c>
      <c r="DX45" s="42"/>
      <c r="DY45" s="71">
        <f t="shared" si="47"/>
        <v>0</v>
      </c>
    </row>
    <row r="46" ht="12.45" customHeight="1" spans="1:129" x14ac:dyDescent="0.25">
      <c r="A46" s="77" t="s">
        <v>91</v>
      </c>
      <c r="B46" s="42"/>
      <c r="C46" s="75"/>
      <c r="D46" s="44"/>
      <c r="E46" s="78">
        <v>21.5</v>
      </c>
      <c r="F46" s="44"/>
      <c r="G46" s="61">
        <v>25.8</v>
      </c>
      <c r="I46" s="62"/>
      <c r="J46" s="63"/>
      <c r="K46" s="64"/>
      <c r="L46" s="3"/>
      <c r="M46" s="62"/>
      <c r="N46" s="3"/>
      <c r="O46" s="64"/>
      <c r="P46" s="3"/>
      <c r="Q46" s="62"/>
      <c r="R46" s="3"/>
      <c r="S46" s="64"/>
      <c r="T46" s="3"/>
      <c r="U46" s="62">
        <v>1</v>
      </c>
      <c r="V46" s="3"/>
      <c r="W46" s="64">
        <v>1</v>
      </c>
      <c r="X46" s="3"/>
      <c r="Y46" s="62"/>
      <c r="Z46" s="3"/>
      <c r="AA46" s="64"/>
      <c r="AB46" s="3"/>
      <c r="AC46" s="62"/>
      <c r="AD46" s="3"/>
      <c r="AE46" s="64"/>
      <c r="AF46" s="3"/>
      <c r="AG46" s="62"/>
      <c r="AH46" s="3"/>
      <c r="AI46" s="64"/>
      <c r="AJ46" s="3"/>
      <c r="AK46" s="62"/>
      <c r="AL46" s="3"/>
      <c r="AM46" s="64"/>
      <c r="AN46" s="3"/>
      <c r="AO46" s="62"/>
      <c r="AP46" s="3"/>
      <c r="AQ46" s="64"/>
      <c r="AR46" s="3"/>
      <c r="AS46" s="62"/>
      <c r="AT46" s="3"/>
      <c r="AU46" s="64"/>
      <c r="AW46" s="34">
        <f t="shared" si="0"/>
        <v>0</v>
      </c>
      <c r="AX46" s="65">
        <f t="shared" si="1"/>
        <v>0</v>
      </c>
      <c r="AY46" s="66"/>
      <c r="AZ46" s="31">
        <f t="shared" si="2"/>
        <v>0</v>
      </c>
      <c r="BA46" s="67">
        <f t="shared" si="3"/>
        <v>0</v>
      </c>
      <c r="BB46" s="66"/>
      <c r="BC46" s="31">
        <f t="shared" si="4"/>
        <v>0</v>
      </c>
      <c r="BD46" s="65">
        <f t="shared" si="5"/>
        <v>0</v>
      </c>
      <c r="BE46" s="66"/>
      <c r="BF46" s="31">
        <f t="shared" si="6"/>
        <v>0</v>
      </c>
      <c r="BG46" s="67">
        <f t="shared" si="7"/>
        <v>0</v>
      </c>
      <c r="BH46" s="66"/>
      <c r="BI46" s="31">
        <f t="shared" si="8"/>
        <v>0</v>
      </c>
      <c r="BJ46" s="65">
        <f t="shared" si="9"/>
        <v>0</v>
      </c>
      <c r="BK46" s="66"/>
      <c r="BL46" s="31">
        <f t="shared" si="10"/>
        <v>0</v>
      </c>
      <c r="BM46" s="67">
        <f t="shared" si="11"/>
        <v>0</v>
      </c>
      <c r="BN46" s="66"/>
      <c r="BO46" s="31">
        <f t="shared" si="12"/>
        <v>1</v>
      </c>
      <c r="BP46" s="65">
        <f t="shared" si="13"/>
        <v>25.8</v>
      </c>
      <c r="BQ46" s="66"/>
      <c r="BR46" s="31">
        <f t="shared" si="14"/>
        <v>1</v>
      </c>
      <c r="BS46" s="67">
        <f t="shared" si="15"/>
        <v>25.8</v>
      </c>
      <c r="BT46" s="66"/>
      <c r="BU46" s="31">
        <f t="shared" si="16"/>
        <v>0</v>
      </c>
      <c r="BV46" s="65">
        <f t="shared" si="17"/>
        <v>0</v>
      </c>
      <c r="BW46" s="66"/>
      <c r="BX46" s="31">
        <f t="shared" si="18"/>
        <v>0</v>
      </c>
      <c r="BY46" s="67">
        <f t="shared" si="19"/>
        <v>0</v>
      </c>
      <c r="BZ46" s="66"/>
      <c r="CA46" s="31">
        <f t="shared" si="20"/>
        <v>0</v>
      </c>
      <c r="CB46" s="65">
        <f t="shared" si="21"/>
        <v>0</v>
      </c>
      <c r="CC46" s="66"/>
      <c r="CD46" s="31">
        <f t="shared" si="22"/>
        <v>0</v>
      </c>
      <c r="CE46" s="67">
        <f t="shared" si="23"/>
        <v>0</v>
      </c>
      <c r="CF46" s="66"/>
      <c r="CG46" s="34">
        <f t="shared" si="24"/>
        <v>0</v>
      </c>
      <c r="CH46" s="67">
        <f t="shared" si="45"/>
        <v>0</v>
      </c>
      <c r="CI46" s="66"/>
      <c r="CJ46" s="34">
        <f t="shared" si="25"/>
        <v>0</v>
      </c>
      <c r="CK46" s="67">
        <f t="shared" si="26"/>
        <v>0</v>
      </c>
      <c r="CL46" s="66"/>
      <c r="CM46" s="34">
        <f t="shared" si="27"/>
        <v>0</v>
      </c>
      <c r="CN46" s="67">
        <f t="shared" si="28"/>
        <v>0</v>
      </c>
      <c r="CO46" s="66"/>
      <c r="CP46" s="34">
        <f t="shared" si="29"/>
        <v>0</v>
      </c>
      <c r="CQ46" s="67">
        <f t="shared" si="30"/>
        <v>0</v>
      </c>
      <c r="CR46" s="66"/>
      <c r="CS46" s="34">
        <f t="shared" si="31"/>
        <v>0</v>
      </c>
      <c r="CT46" s="65">
        <f t="shared" si="32"/>
        <v>0</v>
      </c>
      <c r="CU46" s="66"/>
      <c r="CV46" s="31">
        <f t="shared" si="33"/>
        <v>0</v>
      </c>
      <c r="CW46" s="67">
        <f t="shared" si="34"/>
        <v>0</v>
      </c>
      <c r="CX46" s="66"/>
      <c r="CY46" s="31">
        <f t="shared" si="35"/>
        <v>0</v>
      </c>
      <c r="CZ46" s="65">
        <f t="shared" si="36"/>
        <v>0</v>
      </c>
      <c r="DA46" s="66"/>
      <c r="DB46" s="31">
        <f t="shared" si="37"/>
        <v>0</v>
      </c>
      <c r="DC46" s="67">
        <f t="shared" si="38"/>
        <v>0</v>
      </c>
      <c r="DE46" s="76">
        <v>81</v>
      </c>
      <c r="DF46" s="42"/>
      <c r="DG46" s="69">
        <f t="shared" si="39"/>
        <v>0</v>
      </c>
      <c r="DH46" s="42"/>
      <c r="DI46" s="70">
        <f t="shared" si="40"/>
        <v>2</v>
      </c>
      <c r="DJ46" s="42"/>
      <c r="DK46" s="70">
        <f t="shared" si="41"/>
        <v>79</v>
      </c>
      <c r="DL46" s="42"/>
      <c r="DM46" s="71">
        <f t="shared" si="42"/>
        <v>1698.5</v>
      </c>
      <c r="DN46" s="42"/>
      <c r="DO46" s="72">
        <f t="shared" si="43"/>
        <v>39.5</v>
      </c>
      <c r="DP46" s="42"/>
      <c r="DQ46" s="71">
        <f t="shared" si="44"/>
        <v>2038.2</v>
      </c>
      <c r="DR46" s="42"/>
      <c r="DS46" s="69"/>
      <c r="DT46" s="42"/>
      <c r="DU46" s="71">
        <v>0</v>
      </c>
      <c r="DV46" s="42"/>
      <c r="DW46" s="73">
        <f t="shared" si="46"/>
        <v>0</v>
      </c>
      <c r="DX46" s="42"/>
      <c r="DY46" s="71">
        <f t="shared" si="47"/>
        <v>0</v>
      </c>
    </row>
    <row r="47" ht="12.45" customHeight="1" spans="1:129" x14ac:dyDescent="0.25">
      <c r="A47" s="74" t="s">
        <v>92</v>
      </c>
      <c r="B47" s="42"/>
      <c r="C47" s="75"/>
      <c r="D47" s="44"/>
      <c r="E47" s="78">
        <v>21.5</v>
      </c>
      <c r="F47" s="44"/>
      <c r="G47" s="61">
        <v>25.8</v>
      </c>
      <c r="I47" s="62">
        <v>1</v>
      </c>
      <c r="J47" s="63"/>
      <c r="K47" s="64"/>
      <c r="L47" s="3"/>
      <c r="M47" s="62">
        <v>1</v>
      </c>
      <c r="N47" s="3"/>
      <c r="O47" s="64"/>
      <c r="P47" s="3"/>
      <c r="Q47" s="62"/>
      <c r="R47" s="3"/>
      <c r="S47" s="64"/>
      <c r="T47" s="3"/>
      <c r="U47" s="62">
        <v>1</v>
      </c>
      <c r="V47" s="3"/>
      <c r="W47" s="64">
        <v>1</v>
      </c>
      <c r="X47" s="3"/>
      <c r="Y47" s="62"/>
      <c r="Z47" s="3"/>
      <c r="AA47" s="64"/>
      <c r="AB47" s="3"/>
      <c r="AC47" s="62"/>
      <c r="AD47" s="3"/>
      <c r="AE47" s="64"/>
      <c r="AF47" s="3"/>
      <c r="AG47" s="62"/>
      <c r="AH47" s="3"/>
      <c r="AI47" s="64"/>
      <c r="AJ47" s="3"/>
      <c r="AK47" s="62"/>
      <c r="AL47" s="3"/>
      <c r="AM47" s="64"/>
      <c r="AN47" s="3"/>
      <c r="AO47" s="62"/>
      <c r="AP47" s="3"/>
      <c r="AQ47" s="64"/>
      <c r="AR47" s="3"/>
      <c r="AS47" s="62"/>
      <c r="AT47" s="3"/>
      <c r="AU47" s="64"/>
      <c r="AW47" s="34">
        <f t="shared" si="0"/>
        <v>1</v>
      </c>
      <c r="AX47" s="65">
        <f t="shared" si="1"/>
        <v>25.8</v>
      </c>
      <c r="AY47" s="66"/>
      <c r="AZ47" s="31">
        <f t="shared" si="2"/>
        <v>0</v>
      </c>
      <c r="BA47" s="67">
        <f t="shared" si="3"/>
        <v>0</v>
      </c>
      <c r="BB47" s="66"/>
      <c r="BC47" s="31">
        <f t="shared" si="4"/>
        <v>1</v>
      </c>
      <c r="BD47" s="65">
        <f t="shared" si="5"/>
        <v>25.8</v>
      </c>
      <c r="BE47" s="66"/>
      <c r="BF47" s="31">
        <f t="shared" si="6"/>
        <v>0</v>
      </c>
      <c r="BG47" s="67">
        <f t="shared" si="7"/>
        <v>0</v>
      </c>
      <c r="BH47" s="66"/>
      <c r="BI47" s="31">
        <f t="shared" si="8"/>
        <v>0</v>
      </c>
      <c r="BJ47" s="65">
        <f t="shared" si="9"/>
        <v>0</v>
      </c>
      <c r="BK47" s="66"/>
      <c r="BL47" s="31">
        <f t="shared" si="10"/>
        <v>0</v>
      </c>
      <c r="BM47" s="67">
        <f t="shared" si="11"/>
        <v>0</v>
      </c>
      <c r="BN47" s="66"/>
      <c r="BO47" s="31">
        <f t="shared" si="12"/>
        <v>1</v>
      </c>
      <c r="BP47" s="65">
        <f t="shared" si="13"/>
        <v>25.8</v>
      </c>
      <c r="BQ47" s="66"/>
      <c r="BR47" s="31">
        <f t="shared" si="14"/>
        <v>1</v>
      </c>
      <c r="BS47" s="67">
        <f t="shared" si="15"/>
        <v>25.8</v>
      </c>
      <c r="BT47" s="66"/>
      <c r="BU47" s="31">
        <f t="shared" si="16"/>
        <v>0</v>
      </c>
      <c r="BV47" s="65">
        <f t="shared" si="17"/>
        <v>0</v>
      </c>
      <c r="BW47" s="66"/>
      <c r="BX47" s="31">
        <f t="shared" si="18"/>
        <v>0</v>
      </c>
      <c r="BY47" s="67">
        <f t="shared" si="19"/>
        <v>0</v>
      </c>
      <c r="BZ47" s="66"/>
      <c r="CA47" s="31">
        <f t="shared" si="20"/>
        <v>0</v>
      </c>
      <c r="CB47" s="65">
        <f t="shared" si="21"/>
        <v>0</v>
      </c>
      <c r="CC47" s="66"/>
      <c r="CD47" s="31">
        <f t="shared" si="22"/>
        <v>0</v>
      </c>
      <c r="CE47" s="67">
        <f t="shared" si="23"/>
        <v>0</v>
      </c>
      <c r="CF47" s="66"/>
      <c r="CG47" s="34">
        <f t="shared" si="24"/>
        <v>0</v>
      </c>
      <c r="CH47" s="67">
        <f t="shared" si="45"/>
        <v>0</v>
      </c>
      <c r="CI47" s="66"/>
      <c r="CJ47" s="34">
        <f t="shared" si="25"/>
        <v>0</v>
      </c>
      <c r="CK47" s="67">
        <f t="shared" si="26"/>
        <v>0</v>
      </c>
      <c r="CL47" s="66"/>
      <c r="CM47" s="34">
        <f t="shared" si="27"/>
        <v>0</v>
      </c>
      <c r="CN47" s="67">
        <f t="shared" si="28"/>
        <v>0</v>
      </c>
      <c r="CO47" s="66"/>
      <c r="CP47" s="34">
        <f t="shared" si="29"/>
        <v>0</v>
      </c>
      <c r="CQ47" s="67">
        <f t="shared" si="30"/>
        <v>0</v>
      </c>
      <c r="CR47" s="66"/>
      <c r="CS47" s="34">
        <f t="shared" si="31"/>
        <v>0</v>
      </c>
      <c r="CT47" s="65">
        <f t="shared" si="32"/>
        <v>0</v>
      </c>
      <c r="CU47" s="66"/>
      <c r="CV47" s="31">
        <f t="shared" si="33"/>
        <v>0</v>
      </c>
      <c r="CW47" s="67">
        <f t="shared" si="34"/>
        <v>0</v>
      </c>
      <c r="CX47" s="66"/>
      <c r="CY47" s="31">
        <f t="shared" si="35"/>
        <v>0</v>
      </c>
      <c r="CZ47" s="65">
        <f t="shared" si="36"/>
        <v>0</v>
      </c>
      <c r="DA47" s="66"/>
      <c r="DB47" s="31">
        <f t="shared" si="37"/>
        <v>0</v>
      </c>
      <c r="DC47" s="67">
        <f t="shared" si="38"/>
        <v>0</v>
      </c>
      <c r="DE47" s="76">
        <v>22</v>
      </c>
      <c r="DF47" s="42"/>
      <c r="DG47" s="69">
        <f t="shared" si="39"/>
        <v>0</v>
      </c>
      <c r="DH47" s="42"/>
      <c r="DI47" s="70">
        <f t="shared" si="40"/>
        <v>4</v>
      </c>
      <c r="DJ47" s="42"/>
      <c r="DK47" s="70">
        <f t="shared" si="41"/>
        <v>18</v>
      </c>
      <c r="DL47" s="42"/>
      <c r="DM47" s="71">
        <f t="shared" si="42"/>
        <v>387</v>
      </c>
      <c r="DN47" s="42"/>
      <c r="DO47" s="72">
        <f t="shared" si="43"/>
        <v>4.5</v>
      </c>
      <c r="DP47" s="42"/>
      <c r="DQ47" s="71">
        <f t="shared" si="44"/>
        <v>464.40000000000003</v>
      </c>
      <c r="DR47" s="42"/>
      <c r="DS47" s="69"/>
      <c r="DT47" s="42"/>
      <c r="DU47" s="71">
        <v>0</v>
      </c>
      <c r="DV47" s="42"/>
      <c r="DW47" s="73">
        <f t="shared" si="46"/>
        <v>0</v>
      </c>
      <c r="DX47" s="42"/>
      <c r="DY47" s="71">
        <f t="shared" si="47"/>
        <v>0</v>
      </c>
    </row>
    <row r="48" ht="12.45" customHeight="1" spans="1:129" x14ac:dyDescent="0.25">
      <c r="A48" s="80" t="s">
        <v>93</v>
      </c>
      <c r="B48" s="42"/>
      <c r="C48" s="81"/>
      <c r="D48" s="44"/>
      <c r="E48" s="82">
        <v>29.07</v>
      </c>
      <c r="F48" s="44"/>
      <c r="G48" s="83">
        <v>34.88</v>
      </c>
      <c r="I48" s="62"/>
      <c r="J48" s="63"/>
      <c r="K48" s="64"/>
      <c r="L48" s="3"/>
      <c r="M48" s="62"/>
      <c r="N48" s="3"/>
      <c r="O48" s="64"/>
      <c r="P48" s="3"/>
      <c r="Q48" s="62"/>
      <c r="R48" s="3"/>
      <c r="S48" s="64"/>
      <c r="T48" s="3"/>
      <c r="U48" s="62"/>
      <c r="V48" s="3"/>
      <c r="W48" s="64"/>
      <c r="X48" s="3"/>
      <c r="Y48" s="62"/>
      <c r="Z48" s="3"/>
      <c r="AA48" s="64"/>
      <c r="AB48" s="3"/>
      <c r="AC48" s="62"/>
      <c r="AD48" s="3"/>
      <c r="AE48" s="64"/>
      <c r="AF48" s="3"/>
      <c r="AG48" s="62"/>
      <c r="AH48" s="3"/>
      <c r="AI48" s="64"/>
      <c r="AJ48" s="3"/>
      <c r="AK48" s="62"/>
      <c r="AL48" s="3"/>
      <c r="AM48" s="64"/>
      <c r="AN48" s="3"/>
      <c r="AO48" s="62"/>
      <c r="AP48" s="3"/>
      <c r="AQ48" s="64"/>
      <c r="AR48" s="3"/>
      <c r="AS48" s="62"/>
      <c r="AT48" s="3"/>
      <c r="AU48" s="64"/>
      <c r="AW48" s="34">
        <f t="shared" si="0"/>
        <v>0</v>
      </c>
      <c r="AX48" s="65">
        <f t="shared" si="1"/>
        <v>0</v>
      </c>
      <c r="AY48" s="66"/>
      <c r="AZ48" s="31">
        <f t="shared" si="2"/>
        <v>0</v>
      </c>
      <c r="BA48" s="67">
        <f t="shared" si="3"/>
        <v>0</v>
      </c>
      <c r="BB48" s="66"/>
      <c r="BC48" s="31">
        <f t="shared" si="4"/>
        <v>0</v>
      </c>
      <c r="BD48" s="65">
        <f t="shared" si="5"/>
        <v>0</v>
      </c>
      <c r="BE48" s="66"/>
      <c r="BF48" s="31">
        <f t="shared" si="6"/>
        <v>0</v>
      </c>
      <c r="BG48" s="67">
        <f t="shared" si="7"/>
        <v>0</v>
      </c>
      <c r="BH48" s="66"/>
      <c r="BI48" s="31">
        <f t="shared" si="8"/>
        <v>0</v>
      </c>
      <c r="BJ48" s="65">
        <f t="shared" si="9"/>
        <v>0</v>
      </c>
      <c r="BK48" s="66"/>
      <c r="BL48" s="31">
        <f t="shared" si="10"/>
        <v>0</v>
      </c>
      <c r="BM48" s="67">
        <f t="shared" si="11"/>
        <v>0</v>
      </c>
      <c r="BN48" s="66"/>
      <c r="BO48" s="31">
        <f t="shared" si="12"/>
        <v>0</v>
      </c>
      <c r="BP48" s="65">
        <f t="shared" si="13"/>
        <v>0</v>
      </c>
      <c r="BQ48" s="66"/>
      <c r="BR48" s="31">
        <f t="shared" si="14"/>
        <v>0</v>
      </c>
      <c r="BS48" s="67">
        <f t="shared" si="15"/>
        <v>0</v>
      </c>
      <c r="BT48" s="66"/>
      <c r="BU48" s="31">
        <f t="shared" si="16"/>
        <v>0</v>
      </c>
      <c r="BV48" s="65">
        <f t="shared" si="17"/>
        <v>0</v>
      </c>
      <c r="BW48" s="66"/>
      <c r="BX48" s="31">
        <f t="shared" si="18"/>
        <v>0</v>
      </c>
      <c r="BY48" s="67">
        <f t="shared" si="19"/>
        <v>0</v>
      </c>
      <c r="BZ48" s="66"/>
      <c r="CA48" s="31">
        <f t="shared" si="20"/>
        <v>0</v>
      </c>
      <c r="CB48" s="65">
        <f t="shared" si="21"/>
        <v>0</v>
      </c>
      <c r="CC48" s="66"/>
      <c r="CD48" s="31">
        <f t="shared" si="22"/>
        <v>0</v>
      </c>
      <c r="CE48" s="67">
        <f t="shared" si="23"/>
        <v>0</v>
      </c>
      <c r="CF48" s="66"/>
      <c r="CG48" s="34">
        <f t="shared" si="24"/>
        <v>0</v>
      </c>
      <c r="CH48" s="67">
        <f t="shared" si="45"/>
        <v>0</v>
      </c>
      <c r="CI48" s="66"/>
      <c r="CJ48" s="34">
        <f t="shared" si="25"/>
        <v>0</v>
      </c>
      <c r="CK48" s="67">
        <f t="shared" si="26"/>
        <v>0</v>
      </c>
      <c r="CL48" s="66"/>
      <c r="CM48" s="34">
        <f t="shared" si="27"/>
        <v>0</v>
      </c>
      <c r="CN48" s="67">
        <f t="shared" si="28"/>
        <v>0</v>
      </c>
      <c r="CO48" s="66"/>
      <c r="CP48" s="34">
        <f t="shared" si="29"/>
        <v>0</v>
      </c>
      <c r="CQ48" s="67">
        <f t="shared" si="30"/>
        <v>0</v>
      </c>
      <c r="CR48" s="66"/>
      <c r="CS48" s="34">
        <f t="shared" si="31"/>
        <v>0</v>
      </c>
      <c r="CT48" s="65">
        <f t="shared" si="32"/>
        <v>0</v>
      </c>
      <c r="CU48" s="66"/>
      <c r="CV48" s="31">
        <f t="shared" si="33"/>
        <v>0</v>
      </c>
      <c r="CW48" s="67">
        <f t="shared" si="34"/>
        <v>0</v>
      </c>
      <c r="CX48" s="66"/>
      <c r="CY48" s="31">
        <f t="shared" si="35"/>
        <v>0</v>
      </c>
      <c r="CZ48" s="65">
        <f t="shared" si="36"/>
        <v>0</v>
      </c>
      <c r="DA48" s="66"/>
      <c r="DB48" s="31">
        <f t="shared" si="37"/>
        <v>0</v>
      </c>
      <c r="DC48" s="67">
        <f t="shared" si="38"/>
        <v>0</v>
      </c>
      <c r="DE48" s="76">
        <v>511</v>
      </c>
      <c r="DF48" s="42"/>
      <c r="DG48" s="69">
        <f t="shared" si="39"/>
        <v>0</v>
      </c>
      <c r="DH48" s="42"/>
      <c r="DI48" s="70">
        <f t="shared" si="40"/>
        <v>0</v>
      </c>
      <c r="DJ48" s="42"/>
      <c r="DK48" s="70">
        <f t="shared" si="41"/>
        <v>511</v>
      </c>
      <c r="DL48" s="42"/>
      <c r="DM48" s="71">
        <f t="shared" si="42"/>
        <v>14854.77</v>
      </c>
      <c r="DN48" s="42"/>
      <c r="DO48" s="72" t="e">
        <f t="shared" si="43"/>
        <v>#DIV/0!</v>
      </c>
      <c r="DP48" s="42"/>
      <c r="DQ48" s="71">
        <f t="shared" si="44"/>
        <v>17823.68</v>
      </c>
      <c r="DR48" s="42"/>
      <c r="DS48" s="69"/>
      <c r="DT48" s="42"/>
      <c r="DU48" s="71">
        <v>0</v>
      </c>
      <c r="DV48" s="42"/>
      <c r="DW48" s="73">
        <f t="shared" si="46"/>
        <v>0</v>
      </c>
      <c r="DX48" s="42"/>
      <c r="DY48" s="71">
        <f t="shared" si="47"/>
        <v>0</v>
      </c>
    </row>
    <row r="49" ht="12.45" customHeight="1" spans="1:129" x14ac:dyDescent="0.25">
      <c r="A49" s="84" t="s">
        <v>94</v>
      </c>
      <c r="B49" s="42"/>
      <c r="C49" s="81"/>
      <c r="D49" s="44"/>
      <c r="E49" s="82">
        <v>29.07</v>
      </c>
      <c r="F49" s="44"/>
      <c r="G49" s="83">
        <v>34.88</v>
      </c>
      <c r="I49" s="62"/>
      <c r="J49" s="63"/>
      <c r="K49" s="64"/>
      <c r="L49" s="3"/>
      <c r="M49" s="62"/>
      <c r="N49" s="3"/>
      <c r="O49" s="64"/>
      <c r="P49" s="3"/>
      <c r="Q49" s="62"/>
      <c r="R49" s="3"/>
      <c r="S49" s="64"/>
      <c r="T49" s="3"/>
      <c r="U49" s="62"/>
      <c r="V49" s="3"/>
      <c r="W49" s="64"/>
      <c r="X49" s="3"/>
      <c r="Y49" s="62"/>
      <c r="Z49" s="3"/>
      <c r="AA49" s="64"/>
      <c r="AB49" s="3"/>
      <c r="AC49" s="62"/>
      <c r="AD49" s="3"/>
      <c r="AE49" s="64"/>
      <c r="AF49" s="3"/>
      <c r="AG49" s="62"/>
      <c r="AH49" s="3"/>
      <c r="AI49" s="64"/>
      <c r="AJ49" s="3"/>
      <c r="AK49" s="62"/>
      <c r="AL49" s="3"/>
      <c r="AM49" s="64"/>
      <c r="AN49" s="3"/>
      <c r="AO49" s="62"/>
      <c r="AP49" s="3"/>
      <c r="AQ49" s="64"/>
      <c r="AR49" s="3"/>
      <c r="AS49" s="62"/>
      <c r="AT49" s="3"/>
      <c r="AU49" s="64"/>
      <c r="AW49" s="34">
        <f t="shared" si="0"/>
        <v>0</v>
      </c>
      <c r="AX49" s="65">
        <f t="shared" si="1"/>
        <v>0</v>
      </c>
      <c r="AY49" s="66"/>
      <c r="AZ49" s="31">
        <f t="shared" si="2"/>
        <v>0</v>
      </c>
      <c r="BA49" s="67">
        <f t="shared" si="3"/>
        <v>0</v>
      </c>
      <c r="BB49" s="66"/>
      <c r="BC49" s="31">
        <f t="shared" si="4"/>
        <v>0</v>
      </c>
      <c r="BD49" s="65">
        <f t="shared" si="5"/>
        <v>0</v>
      </c>
      <c r="BE49" s="66"/>
      <c r="BF49" s="31">
        <f t="shared" si="6"/>
        <v>0</v>
      </c>
      <c r="BG49" s="67">
        <f t="shared" si="7"/>
        <v>0</v>
      </c>
      <c r="BH49" s="66"/>
      <c r="BI49" s="31">
        <f t="shared" si="8"/>
        <v>0</v>
      </c>
      <c r="BJ49" s="65">
        <f t="shared" si="9"/>
        <v>0</v>
      </c>
      <c r="BK49" s="66"/>
      <c r="BL49" s="31">
        <f t="shared" si="10"/>
        <v>0</v>
      </c>
      <c r="BM49" s="67">
        <f t="shared" si="11"/>
        <v>0</v>
      </c>
      <c r="BN49" s="66"/>
      <c r="BO49" s="31">
        <f t="shared" si="12"/>
        <v>0</v>
      </c>
      <c r="BP49" s="65">
        <f t="shared" si="13"/>
        <v>0</v>
      </c>
      <c r="BQ49" s="66"/>
      <c r="BR49" s="31">
        <f t="shared" si="14"/>
        <v>0</v>
      </c>
      <c r="BS49" s="67">
        <f t="shared" si="15"/>
        <v>0</v>
      </c>
      <c r="BT49" s="66"/>
      <c r="BU49" s="31">
        <f t="shared" si="16"/>
        <v>0</v>
      </c>
      <c r="BV49" s="65">
        <f t="shared" si="17"/>
        <v>0</v>
      </c>
      <c r="BW49" s="66"/>
      <c r="BX49" s="31">
        <f t="shared" si="18"/>
        <v>0</v>
      </c>
      <c r="BY49" s="67">
        <f t="shared" si="19"/>
        <v>0</v>
      </c>
      <c r="BZ49" s="66"/>
      <c r="CA49" s="31">
        <f t="shared" si="20"/>
        <v>0</v>
      </c>
      <c r="CB49" s="65">
        <f t="shared" si="21"/>
        <v>0</v>
      </c>
      <c r="CC49" s="66"/>
      <c r="CD49" s="31">
        <f t="shared" si="22"/>
        <v>0</v>
      </c>
      <c r="CE49" s="67">
        <f t="shared" si="23"/>
        <v>0</v>
      </c>
      <c r="CF49" s="66"/>
      <c r="CG49" s="34">
        <f t="shared" si="24"/>
        <v>0</v>
      </c>
      <c r="CH49" s="67">
        <f t="shared" si="45"/>
        <v>0</v>
      </c>
      <c r="CI49" s="66"/>
      <c r="CJ49" s="34">
        <f t="shared" si="25"/>
        <v>0</v>
      </c>
      <c r="CK49" s="67">
        <f t="shared" si="26"/>
        <v>0</v>
      </c>
      <c r="CL49" s="66"/>
      <c r="CM49" s="34">
        <f t="shared" si="27"/>
        <v>0</v>
      </c>
      <c r="CN49" s="67">
        <f t="shared" si="28"/>
        <v>0</v>
      </c>
      <c r="CO49" s="66"/>
      <c r="CP49" s="34">
        <f t="shared" si="29"/>
        <v>0</v>
      </c>
      <c r="CQ49" s="67">
        <f t="shared" si="30"/>
        <v>0</v>
      </c>
      <c r="CR49" s="66"/>
      <c r="CS49" s="34">
        <f t="shared" si="31"/>
        <v>0</v>
      </c>
      <c r="CT49" s="65">
        <f t="shared" si="32"/>
        <v>0</v>
      </c>
      <c r="CU49" s="66"/>
      <c r="CV49" s="31">
        <f t="shared" si="33"/>
        <v>0</v>
      </c>
      <c r="CW49" s="67">
        <f t="shared" si="34"/>
        <v>0</v>
      </c>
      <c r="CX49" s="66"/>
      <c r="CY49" s="31">
        <f t="shared" si="35"/>
        <v>0</v>
      </c>
      <c r="CZ49" s="65">
        <f t="shared" si="36"/>
        <v>0</v>
      </c>
      <c r="DA49" s="66"/>
      <c r="DB49" s="31">
        <f t="shared" si="37"/>
        <v>0</v>
      </c>
      <c r="DC49" s="67">
        <f t="shared" si="38"/>
        <v>0</v>
      </c>
      <c r="DE49" s="76">
        <v>50</v>
      </c>
      <c r="DF49" s="42"/>
      <c r="DG49" s="69">
        <f t="shared" si="39"/>
        <v>0</v>
      </c>
      <c r="DH49" s="42"/>
      <c r="DI49" s="70">
        <f t="shared" si="40"/>
        <v>0</v>
      </c>
      <c r="DJ49" s="42"/>
      <c r="DK49" s="70">
        <f t="shared" si="41"/>
        <v>50</v>
      </c>
      <c r="DL49" s="42"/>
      <c r="DM49" s="71">
        <f t="shared" si="42"/>
        <v>1453.5</v>
      </c>
      <c r="DN49" s="42"/>
      <c r="DO49" s="72" t="e">
        <f t="shared" si="43"/>
        <v>#DIV/0!</v>
      </c>
      <c r="DP49" s="42"/>
      <c r="DQ49" s="71">
        <f t="shared" si="44"/>
        <v>1744.0000000000002</v>
      </c>
      <c r="DR49" s="42"/>
      <c r="DS49" s="69"/>
      <c r="DT49" s="42"/>
      <c r="DU49" s="71">
        <v>0</v>
      </c>
      <c r="DV49" s="42"/>
      <c r="DW49" s="73">
        <f t="shared" si="46"/>
        <v>0</v>
      </c>
      <c r="DX49" s="42"/>
      <c r="DY49" s="71">
        <f t="shared" si="47"/>
        <v>0</v>
      </c>
    </row>
    <row r="50" ht="12.45" customHeight="1" spans="1:129" x14ac:dyDescent="0.25">
      <c r="A50" s="80" t="s">
        <v>95</v>
      </c>
      <c r="B50" s="42"/>
      <c r="C50" s="81"/>
      <c r="D50" s="44"/>
      <c r="E50" s="82">
        <v>23.55</v>
      </c>
      <c r="F50" s="44"/>
      <c r="G50" s="83">
        <v>28.26</v>
      </c>
      <c r="I50" s="62"/>
      <c r="J50" s="63"/>
      <c r="K50" s="64"/>
      <c r="L50" s="3"/>
      <c r="M50" s="62"/>
      <c r="N50" s="3"/>
      <c r="O50" s="64"/>
      <c r="P50" s="3"/>
      <c r="Q50" s="62"/>
      <c r="R50" s="3"/>
      <c r="S50" s="64"/>
      <c r="T50" s="3"/>
      <c r="U50" s="62"/>
      <c r="V50" s="3"/>
      <c r="W50" s="64"/>
      <c r="X50" s="3"/>
      <c r="Y50" s="62"/>
      <c r="Z50" s="3"/>
      <c r="AA50" s="64"/>
      <c r="AB50" s="3"/>
      <c r="AC50" s="62"/>
      <c r="AD50" s="3"/>
      <c r="AE50" s="64"/>
      <c r="AF50" s="3"/>
      <c r="AG50" s="62"/>
      <c r="AH50" s="3"/>
      <c r="AI50" s="64"/>
      <c r="AJ50" s="3"/>
      <c r="AK50" s="62"/>
      <c r="AL50" s="3"/>
      <c r="AM50" s="64"/>
      <c r="AN50" s="3"/>
      <c r="AO50" s="62"/>
      <c r="AP50" s="3"/>
      <c r="AQ50" s="64"/>
      <c r="AR50" s="3"/>
      <c r="AS50" s="62"/>
      <c r="AT50" s="3"/>
      <c r="AU50" s="64"/>
      <c r="AW50" s="34">
        <f t="shared" si="0"/>
        <v>0</v>
      </c>
      <c r="AX50" s="65">
        <f t="shared" si="1"/>
        <v>0</v>
      </c>
      <c r="AY50" s="66"/>
      <c r="AZ50" s="31">
        <f t="shared" si="2"/>
        <v>0</v>
      </c>
      <c r="BA50" s="67">
        <f t="shared" si="3"/>
        <v>0</v>
      </c>
      <c r="BB50" s="66"/>
      <c r="BC50" s="31">
        <f t="shared" si="4"/>
        <v>0</v>
      </c>
      <c r="BD50" s="65">
        <f t="shared" si="5"/>
        <v>0</v>
      </c>
      <c r="BE50" s="66"/>
      <c r="BF50" s="31">
        <f t="shared" si="6"/>
        <v>0</v>
      </c>
      <c r="BG50" s="67">
        <f t="shared" si="7"/>
        <v>0</v>
      </c>
      <c r="BH50" s="66"/>
      <c r="BI50" s="31">
        <f t="shared" si="8"/>
        <v>0</v>
      </c>
      <c r="BJ50" s="65">
        <f t="shared" si="9"/>
        <v>0</v>
      </c>
      <c r="BK50" s="66"/>
      <c r="BL50" s="31">
        <f t="shared" si="10"/>
        <v>0</v>
      </c>
      <c r="BM50" s="67">
        <f t="shared" si="11"/>
        <v>0</v>
      </c>
      <c r="BN50" s="66"/>
      <c r="BO50" s="31">
        <f t="shared" si="12"/>
        <v>0</v>
      </c>
      <c r="BP50" s="65">
        <f t="shared" si="13"/>
        <v>0</v>
      </c>
      <c r="BQ50" s="66"/>
      <c r="BR50" s="31">
        <f t="shared" si="14"/>
        <v>0</v>
      </c>
      <c r="BS50" s="67">
        <f t="shared" si="15"/>
        <v>0</v>
      </c>
      <c r="BT50" s="66"/>
      <c r="BU50" s="31">
        <f t="shared" si="16"/>
        <v>0</v>
      </c>
      <c r="BV50" s="65">
        <f t="shared" si="17"/>
        <v>0</v>
      </c>
      <c r="BW50" s="66"/>
      <c r="BX50" s="31">
        <f t="shared" si="18"/>
        <v>0</v>
      </c>
      <c r="BY50" s="67">
        <f t="shared" si="19"/>
        <v>0</v>
      </c>
      <c r="BZ50" s="66"/>
      <c r="CA50" s="31">
        <f t="shared" si="20"/>
        <v>0</v>
      </c>
      <c r="CB50" s="65">
        <f t="shared" si="21"/>
        <v>0</v>
      </c>
      <c r="CC50" s="66"/>
      <c r="CD50" s="31">
        <f t="shared" si="22"/>
        <v>0</v>
      </c>
      <c r="CE50" s="67">
        <f t="shared" si="23"/>
        <v>0</v>
      </c>
      <c r="CF50" s="66"/>
      <c r="CG50" s="34">
        <f t="shared" si="24"/>
        <v>0</v>
      </c>
      <c r="CH50" s="67">
        <f t="shared" si="45"/>
        <v>0</v>
      </c>
      <c r="CI50" s="66"/>
      <c r="CJ50" s="34">
        <f t="shared" si="25"/>
        <v>0</v>
      </c>
      <c r="CK50" s="67">
        <f t="shared" si="26"/>
        <v>0</v>
      </c>
      <c r="CL50" s="66"/>
      <c r="CM50" s="34">
        <f t="shared" si="27"/>
        <v>0</v>
      </c>
      <c r="CN50" s="67">
        <f t="shared" si="28"/>
        <v>0</v>
      </c>
      <c r="CO50" s="66"/>
      <c r="CP50" s="34">
        <f t="shared" si="29"/>
        <v>0</v>
      </c>
      <c r="CQ50" s="67">
        <f t="shared" si="30"/>
        <v>0</v>
      </c>
      <c r="CR50" s="66"/>
      <c r="CS50" s="34">
        <f t="shared" si="31"/>
        <v>0</v>
      </c>
      <c r="CT50" s="65">
        <f t="shared" si="32"/>
        <v>0</v>
      </c>
      <c r="CU50" s="66"/>
      <c r="CV50" s="31">
        <f t="shared" si="33"/>
        <v>0</v>
      </c>
      <c r="CW50" s="67">
        <f t="shared" si="34"/>
        <v>0</v>
      </c>
      <c r="CX50" s="66"/>
      <c r="CY50" s="31">
        <f t="shared" si="35"/>
        <v>0</v>
      </c>
      <c r="CZ50" s="65">
        <f t="shared" si="36"/>
        <v>0</v>
      </c>
      <c r="DA50" s="66"/>
      <c r="DB50" s="31">
        <f t="shared" si="37"/>
        <v>0</v>
      </c>
      <c r="DC50" s="67">
        <f t="shared" si="38"/>
        <v>0</v>
      </c>
      <c r="DE50" s="76">
        <v>161</v>
      </c>
      <c r="DF50" s="42"/>
      <c r="DG50" s="69">
        <f t="shared" si="39"/>
        <v>0</v>
      </c>
      <c r="DH50" s="42"/>
      <c r="DI50" s="70">
        <f t="shared" si="40"/>
        <v>0</v>
      </c>
      <c r="DJ50" s="42"/>
      <c r="DK50" s="70">
        <f t="shared" si="41"/>
        <v>161</v>
      </c>
      <c r="DL50" s="42"/>
      <c r="DM50" s="71">
        <f t="shared" si="42"/>
        <v>3791.55</v>
      </c>
      <c r="DN50" s="42"/>
      <c r="DO50" s="72" t="e">
        <f t="shared" si="43"/>
        <v>#DIV/0!</v>
      </c>
      <c r="DP50" s="42"/>
      <c r="DQ50" s="71">
        <f t="shared" si="44"/>
        <v>4549.860000000001</v>
      </c>
      <c r="DR50" s="42"/>
      <c r="DS50" s="69"/>
      <c r="DT50" s="42"/>
      <c r="DU50" s="71">
        <v>0</v>
      </c>
      <c r="DV50" s="42"/>
      <c r="DW50" s="73">
        <f t="shared" si="46"/>
        <v>0</v>
      </c>
      <c r="DX50" s="42"/>
      <c r="DY50" s="71">
        <f t="shared" si="47"/>
        <v>0</v>
      </c>
    </row>
    <row r="51" ht="12.45" customHeight="1" spans="1:129" x14ac:dyDescent="0.25">
      <c r="A51" s="74" t="s">
        <v>96</v>
      </c>
      <c r="B51" s="42"/>
      <c r="C51" s="75"/>
      <c r="D51" s="44"/>
      <c r="E51" s="78">
        <v>27.55</v>
      </c>
      <c r="F51" s="44"/>
      <c r="G51" s="61">
        <v>33.06</v>
      </c>
      <c r="I51" s="62"/>
      <c r="J51" s="63"/>
      <c r="K51" s="64"/>
      <c r="L51" s="3"/>
      <c r="M51" s="62"/>
      <c r="N51" s="3"/>
      <c r="O51" s="64"/>
      <c r="P51" s="3"/>
      <c r="Q51" s="62"/>
      <c r="R51" s="3"/>
      <c r="S51" s="64"/>
      <c r="T51" s="3"/>
      <c r="U51" s="62"/>
      <c r="V51" s="3"/>
      <c r="W51" s="64"/>
      <c r="X51" s="3"/>
      <c r="Y51" s="62"/>
      <c r="Z51" s="3"/>
      <c r="AA51" s="64"/>
      <c r="AB51" s="3"/>
      <c r="AC51" s="62"/>
      <c r="AD51" s="3"/>
      <c r="AE51" s="64"/>
      <c r="AF51" s="3"/>
      <c r="AG51" s="62"/>
      <c r="AH51" s="3"/>
      <c r="AI51" s="64"/>
      <c r="AJ51" s="3"/>
      <c r="AK51" s="62"/>
      <c r="AL51" s="3"/>
      <c r="AM51" s="64"/>
      <c r="AN51" s="3"/>
      <c r="AO51" s="62"/>
      <c r="AP51" s="3"/>
      <c r="AQ51" s="64"/>
      <c r="AR51" s="3"/>
      <c r="AS51" s="62"/>
      <c r="AT51" s="3"/>
      <c r="AU51" s="64"/>
      <c r="AW51" s="34">
        <f t="shared" si="0"/>
        <v>0</v>
      </c>
      <c r="AX51" s="65">
        <f t="shared" si="1"/>
        <v>0</v>
      </c>
      <c r="AY51" s="66"/>
      <c r="AZ51" s="31">
        <f t="shared" si="2"/>
        <v>0</v>
      </c>
      <c r="BA51" s="67">
        <f t="shared" si="3"/>
        <v>0</v>
      </c>
      <c r="BB51" s="66"/>
      <c r="BC51" s="31">
        <f t="shared" si="4"/>
        <v>0</v>
      </c>
      <c r="BD51" s="65">
        <f t="shared" si="5"/>
        <v>0</v>
      </c>
      <c r="BE51" s="66"/>
      <c r="BF51" s="31">
        <f t="shared" si="6"/>
        <v>0</v>
      </c>
      <c r="BG51" s="67">
        <f t="shared" si="7"/>
        <v>0</v>
      </c>
      <c r="BH51" s="66"/>
      <c r="BI51" s="31">
        <f t="shared" si="8"/>
        <v>0</v>
      </c>
      <c r="BJ51" s="65">
        <f t="shared" si="9"/>
        <v>0</v>
      </c>
      <c r="BK51" s="66"/>
      <c r="BL51" s="31">
        <f t="shared" si="10"/>
        <v>0</v>
      </c>
      <c r="BM51" s="67">
        <f t="shared" si="11"/>
        <v>0</v>
      </c>
      <c r="BN51" s="66"/>
      <c r="BO51" s="31">
        <f t="shared" si="12"/>
        <v>0</v>
      </c>
      <c r="BP51" s="65">
        <f t="shared" si="13"/>
        <v>0</v>
      </c>
      <c r="BQ51" s="66"/>
      <c r="BR51" s="31">
        <f t="shared" si="14"/>
        <v>0</v>
      </c>
      <c r="BS51" s="67">
        <f t="shared" si="15"/>
        <v>0</v>
      </c>
      <c r="BT51" s="66"/>
      <c r="BU51" s="31">
        <f t="shared" si="16"/>
        <v>0</v>
      </c>
      <c r="BV51" s="65">
        <f t="shared" si="17"/>
        <v>0</v>
      </c>
      <c r="BW51" s="66"/>
      <c r="BX51" s="31">
        <f t="shared" si="18"/>
        <v>0</v>
      </c>
      <c r="BY51" s="67">
        <f t="shared" si="19"/>
        <v>0</v>
      </c>
      <c r="BZ51" s="66"/>
      <c r="CA51" s="31">
        <f t="shared" si="20"/>
        <v>0</v>
      </c>
      <c r="CB51" s="65">
        <f t="shared" si="21"/>
        <v>0</v>
      </c>
      <c r="CC51" s="66"/>
      <c r="CD51" s="31">
        <f t="shared" si="22"/>
        <v>0</v>
      </c>
      <c r="CE51" s="67">
        <f t="shared" si="23"/>
        <v>0</v>
      </c>
      <c r="CF51" s="66"/>
      <c r="CG51" s="34">
        <f t="shared" si="24"/>
        <v>0</v>
      </c>
      <c r="CH51" s="67">
        <f t="shared" si="45"/>
        <v>0</v>
      </c>
      <c r="CI51" s="66"/>
      <c r="CJ51" s="34">
        <f t="shared" si="25"/>
        <v>0</v>
      </c>
      <c r="CK51" s="67">
        <f t="shared" si="26"/>
        <v>0</v>
      </c>
      <c r="CL51" s="66"/>
      <c r="CM51" s="34">
        <f t="shared" si="27"/>
        <v>0</v>
      </c>
      <c r="CN51" s="67">
        <f t="shared" si="28"/>
        <v>0</v>
      </c>
      <c r="CO51" s="66"/>
      <c r="CP51" s="34">
        <f t="shared" si="29"/>
        <v>0</v>
      </c>
      <c r="CQ51" s="67">
        <f t="shared" si="30"/>
        <v>0</v>
      </c>
      <c r="CR51" s="66"/>
      <c r="CS51" s="34">
        <f t="shared" si="31"/>
        <v>0</v>
      </c>
      <c r="CT51" s="65">
        <f t="shared" si="32"/>
        <v>0</v>
      </c>
      <c r="CU51" s="66"/>
      <c r="CV51" s="31">
        <f t="shared" si="33"/>
        <v>0</v>
      </c>
      <c r="CW51" s="67">
        <f t="shared" si="34"/>
        <v>0</v>
      </c>
      <c r="CX51" s="66"/>
      <c r="CY51" s="31">
        <f t="shared" si="35"/>
        <v>0</v>
      </c>
      <c r="CZ51" s="65">
        <f t="shared" si="36"/>
        <v>0</v>
      </c>
      <c r="DA51" s="66"/>
      <c r="DB51" s="31">
        <f t="shared" si="37"/>
        <v>0</v>
      </c>
      <c r="DC51" s="67">
        <f t="shared" si="38"/>
        <v>0</v>
      </c>
      <c r="DE51" s="76">
        <v>184</v>
      </c>
      <c r="DF51" s="42"/>
      <c r="DG51" s="69">
        <f t="shared" si="39"/>
        <v>0</v>
      </c>
      <c r="DH51" s="42"/>
      <c r="DI51" s="70">
        <f t="shared" si="40"/>
        <v>0</v>
      </c>
      <c r="DJ51" s="42"/>
      <c r="DK51" s="70">
        <f t="shared" si="41"/>
        <v>184</v>
      </c>
      <c r="DL51" s="42"/>
      <c r="DM51" s="71">
        <f t="shared" si="42"/>
        <v>5069.2</v>
      </c>
      <c r="DN51" s="42"/>
      <c r="DO51" s="72" t="e">
        <f t="shared" si="43"/>
        <v>#DIV/0!</v>
      </c>
      <c r="DP51" s="42"/>
      <c r="DQ51" s="71">
        <f t="shared" si="44"/>
        <v>6083.040000000001</v>
      </c>
      <c r="DR51" s="42"/>
      <c r="DS51" s="69"/>
      <c r="DT51" s="42"/>
      <c r="DU51" s="71">
        <v>0</v>
      </c>
      <c r="DV51" s="42"/>
      <c r="DW51" s="73">
        <f t="shared" si="46"/>
        <v>0</v>
      </c>
      <c r="DX51" s="42"/>
      <c r="DY51" s="71">
        <f t="shared" si="47"/>
        <v>0</v>
      </c>
    </row>
    <row r="52" ht="12.45" customHeight="1" spans="1:129" x14ac:dyDescent="0.25">
      <c r="A52" s="77" t="s">
        <v>97</v>
      </c>
      <c r="B52" s="42"/>
      <c r="C52" s="75"/>
      <c r="D52" s="44"/>
      <c r="E52" s="78">
        <v>20.46</v>
      </c>
      <c r="F52" s="44"/>
      <c r="G52" s="61">
        <v>24.55</v>
      </c>
      <c r="I52" s="62"/>
      <c r="J52" s="63"/>
      <c r="K52" s="64"/>
      <c r="L52" s="3"/>
      <c r="M52" s="62"/>
      <c r="N52" s="3"/>
      <c r="O52" s="64"/>
      <c r="P52" s="3"/>
      <c r="Q52" s="62"/>
      <c r="R52" s="3"/>
      <c r="S52" s="64"/>
      <c r="T52" s="3"/>
      <c r="U52" s="62"/>
      <c r="V52" s="3"/>
      <c r="W52" s="64"/>
      <c r="X52" s="3"/>
      <c r="Y52" s="62"/>
      <c r="Z52" s="3"/>
      <c r="AA52" s="64"/>
      <c r="AB52" s="3"/>
      <c r="AC52" s="62"/>
      <c r="AD52" s="3"/>
      <c r="AE52" s="64"/>
      <c r="AF52" s="3"/>
      <c r="AG52" s="62"/>
      <c r="AH52" s="3"/>
      <c r="AI52" s="64"/>
      <c r="AJ52" s="3"/>
      <c r="AK52" s="62"/>
      <c r="AL52" s="3"/>
      <c r="AM52" s="64"/>
      <c r="AN52" s="3"/>
      <c r="AO52" s="62"/>
      <c r="AP52" s="3"/>
      <c r="AQ52" s="64"/>
      <c r="AR52" s="3"/>
      <c r="AS52" s="62"/>
      <c r="AT52" s="3"/>
      <c r="AU52" s="64"/>
      <c r="AW52" s="34">
        <f t="shared" si="0"/>
        <v>0</v>
      </c>
      <c r="AX52" s="65">
        <f t="shared" si="1"/>
        <v>0</v>
      </c>
      <c r="AY52" s="66"/>
      <c r="AZ52" s="31">
        <f t="shared" si="2"/>
        <v>0</v>
      </c>
      <c r="BA52" s="67">
        <f t="shared" si="3"/>
        <v>0</v>
      </c>
      <c r="BB52" s="66"/>
      <c r="BC52" s="31">
        <f t="shared" si="4"/>
        <v>0</v>
      </c>
      <c r="BD52" s="65">
        <f t="shared" si="5"/>
        <v>0</v>
      </c>
      <c r="BE52" s="66"/>
      <c r="BF52" s="31">
        <f t="shared" si="6"/>
        <v>0</v>
      </c>
      <c r="BG52" s="67">
        <f t="shared" si="7"/>
        <v>0</v>
      </c>
      <c r="BH52" s="66"/>
      <c r="BI52" s="31">
        <f t="shared" si="8"/>
        <v>0</v>
      </c>
      <c r="BJ52" s="65">
        <f t="shared" si="9"/>
        <v>0</v>
      </c>
      <c r="BK52" s="66"/>
      <c r="BL52" s="31">
        <f t="shared" si="10"/>
        <v>0</v>
      </c>
      <c r="BM52" s="67">
        <f t="shared" si="11"/>
        <v>0</v>
      </c>
      <c r="BN52" s="66"/>
      <c r="BO52" s="31">
        <f t="shared" si="12"/>
        <v>0</v>
      </c>
      <c r="BP52" s="65">
        <f t="shared" si="13"/>
        <v>0</v>
      </c>
      <c r="BQ52" s="66"/>
      <c r="BR52" s="31">
        <f t="shared" si="14"/>
        <v>0</v>
      </c>
      <c r="BS52" s="67">
        <f t="shared" si="15"/>
        <v>0</v>
      </c>
      <c r="BT52" s="66"/>
      <c r="BU52" s="31">
        <f t="shared" si="16"/>
        <v>0</v>
      </c>
      <c r="BV52" s="65">
        <f t="shared" si="17"/>
        <v>0</v>
      </c>
      <c r="BW52" s="66"/>
      <c r="BX52" s="31">
        <f t="shared" si="18"/>
        <v>0</v>
      </c>
      <c r="BY52" s="67">
        <f t="shared" si="19"/>
        <v>0</v>
      </c>
      <c r="BZ52" s="66"/>
      <c r="CA52" s="31">
        <f t="shared" si="20"/>
        <v>0</v>
      </c>
      <c r="CB52" s="65">
        <f t="shared" si="21"/>
        <v>0</v>
      </c>
      <c r="CC52" s="66"/>
      <c r="CD52" s="31">
        <f t="shared" si="22"/>
        <v>0</v>
      </c>
      <c r="CE52" s="67">
        <f t="shared" si="23"/>
        <v>0</v>
      </c>
      <c r="CF52" s="66"/>
      <c r="CG52" s="34">
        <f t="shared" si="24"/>
        <v>0</v>
      </c>
      <c r="CH52" s="67">
        <f t="shared" si="45"/>
        <v>0</v>
      </c>
      <c r="CI52" s="66"/>
      <c r="CJ52" s="34">
        <f t="shared" si="25"/>
        <v>0</v>
      </c>
      <c r="CK52" s="67">
        <f t="shared" si="26"/>
        <v>0</v>
      </c>
      <c r="CL52" s="66"/>
      <c r="CM52" s="34">
        <f t="shared" si="27"/>
        <v>0</v>
      </c>
      <c r="CN52" s="67">
        <f t="shared" si="28"/>
        <v>0</v>
      </c>
      <c r="CO52" s="66"/>
      <c r="CP52" s="34">
        <f t="shared" si="29"/>
        <v>0</v>
      </c>
      <c r="CQ52" s="67">
        <f t="shared" si="30"/>
        <v>0</v>
      </c>
      <c r="CR52" s="66"/>
      <c r="CS52" s="34">
        <f t="shared" si="31"/>
        <v>0</v>
      </c>
      <c r="CT52" s="65">
        <f t="shared" si="32"/>
        <v>0</v>
      </c>
      <c r="CU52" s="66"/>
      <c r="CV52" s="31">
        <f t="shared" si="33"/>
        <v>0</v>
      </c>
      <c r="CW52" s="67">
        <f t="shared" si="34"/>
        <v>0</v>
      </c>
      <c r="CX52" s="66"/>
      <c r="CY52" s="31">
        <f t="shared" si="35"/>
        <v>0</v>
      </c>
      <c r="CZ52" s="65">
        <f t="shared" si="36"/>
        <v>0</v>
      </c>
      <c r="DA52" s="66"/>
      <c r="DB52" s="31">
        <f t="shared" si="37"/>
        <v>0</v>
      </c>
      <c r="DC52" s="67">
        <f t="shared" si="38"/>
        <v>0</v>
      </c>
      <c r="DE52" s="76">
        <v>0</v>
      </c>
      <c r="DF52" s="42"/>
      <c r="DG52" s="69">
        <f t="shared" si="39"/>
        <v>0</v>
      </c>
      <c r="DH52" s="42"/>
      <c r="DI52" s="70">
        <f t="shared" si="40"/>
        <v>0</v>
      </c>
      <c r="DJ52" s="42"/>
      <c r="DK52" s="70">
        <f t="shared" si="41"/>
        <v>0</v>
      </c>
      <c r="DL52" s="42"/>
      <c r="DM52" s="71">
        <f t="shared" si="42"/>
        <v>0</v>
      </c>
      <c r="DN52" s="42"/>
      <c r="DO52" s="72" t="e">
        <f t="shared" si="43"/>
        <v>#DIV/0!</v>
      </c>
      <c r="DP52" s="42"/>
      <c r="DQ52" s="71">
        <f t="shared" si="44"/>
        <v>0</v>
      </c>
      <c r="DR52" s="42"/>
      <c r="DS52" s="69"/>
      <c r="DT52" s="42"/>
      <c r="DU52" s="71">
        <v>0</v>
      </c>
      <c r="DV52" s="42"/>
      <c r="DW52" s="73">
        <f t="shared" si="46"/>
        <v>0</v>
      </c>
      <c r="DX52" s="42"/>
      <c r="DY52" s="71">
        <f t="shared" si="47"/>
        <v>0</v>
      </c>
    </row>
    <row r="53" ht="12.45" customHeight="1" spans="1:129" x14ac:dyDescent="0.25">
      <c r="A53" s="84" t="s">
        <v>98</v>
      </c>
      <c r="B53" s="42"/>
      <c r="C53" s="81"/>
      <c r="D53" s="44"/>
      <c r="E53" s="82">
        <v>20</v>
      </c>
      <c r="F53" s="44"/>
      <c r="G53" s="83">
        <v>24</v>
      </c>
      <c r="I53" s="62"/>
      <c r="J53" s="63"/>
      <c r="K53" s="64"/>
      <c r="L53" s="3"/>
      <c r="M53" s="62"/>
      <c r="N53" s="3"/>
      <c r="O53" s="64"/>
      <c r="P53" s="3"/>
      <c r="Q53" s="62"/>
      <c r="R53" s="3"/>
      <c r="S53" s="64"/>
      <c r="T53" s="3"/>
      <c r="U53" s="62"/>
      <c r="V53" s="3"/>
      <c r="W53" s="64"/>
      <c r="X53" s="3"/>
      <c r="Y53" s="62"/>
      <c r="Z53" s="3"/>
      <c r="AA53" s="64"/>
      <c r="AB53" s="3"/>
      <c r="AC53" s="62"/>
      <c r="AD53" s="3"/>
      <c r="AE53" s="64"/>
      <c r="AF53" s="3"/>
      <c r="AG53" s="62"/>
      <c r="AH53" s="3"/>
      <c r="AI53" s="64"/>
      <c r="AJ53" s="3"/>
      <c r="AK53" s="62"/>
      <c r="AL53" s="3"/>
      <c r="AM53" s="64"/>
      <c r="AN53" s="3"/>
      <c r="AO53" s="62"/>
      <c r="AP53" s="3"/>
      <c r="AQ53" s="64"/>
      <c r="AR53" s="3"/>
      <c r="AS53" s="62"/>
      <c r="AT53" s="3"/>
      <c r="AU53" s="64"/>
      <c r="AW53" s="34">
        <f t="shared" si="0"/>
        <v>0</v>
      </c>
      <c r="AX53" s="65">
        <f t="shared" si="1"/>
        <v>0</v>
      </c>
      <c r="AY53" s="66"/>
      <c r="AZ53" s="31">
        <f t="shared" si="2"/>
        <v>0</v>
      </c>
      <c r="BA53" s="67">
        <f t="shared" si="3"/>
        <v>0</v>
      </c>
      <c r="BB53" s="66"/>
      <c r="BC53" s="31">
        <f t="shared" si="4"/>
        <v>0</v>
      </c>
      <c r="BD53" s="65">
        <f t="shared" si="5"/>
        <v>0</v>
      </c>
      <c r="BE53" s="66"/>
      <c r="BF53" s="31">
        <f t="shared" si="6"/>
        <v>0</v>
      </c>
      <c r="BG53" s="67">
        <f t="shared" si="7"/>
        <v>0</v>
      </c>
      <c r="BH53" s="66"/>
      <c r="BI53" s="31">
        <f t="shared" si="8"/>
        <v>0</v>
      </c>
      <c r="BJ53" s="65">
        <f t="shared" si="9"/>
        <v>0</v>
      </c>
      <c r="BK53" s="66"/>
      <c r="BL53" s="31">
        <f t="shared" si="10"/>
        <v>0</v>
      </c>
      <c r="BM53" s="67">
        <f t="shared" si="11"/>
        <v>0</v>
      </c>
      <c r="BN53" s="66"/>
      <c r="BO53" s="31">
        <f t="shared" si="12"/>
        <v>0</v>
      </c>
      <c r="BP53" s="65">
        <f t="shared" si="13"/>
        <v>0</v>
      </c>
      <c r="BQ53" s="66"/>
      <c r="BR53" s="31">
        <f t="shared" si="14"/>
        <v>0</v>
      </c>
      <c r="BS53" s="67">
        <f t="shared" si="15"/>
        <v>0</v>
      </c>
      <c r="BT53" s="66"/>
      <c r="BU53" s="31">
        <f t="shared" si="16"/>
        <v>0</v>
      </c>
      <c r="BV53" s="65">
        <f t="shared" si="17"/>
        <v>0</v>
      </c>
      <c r="BW53" s="66"/>
      <c r="BX53" s="31">
        <f t="shared" si="18"/>
        <v>0</v>
      </c>
      <c r="BY53" s="67">
        <f t="shared" si="19"/>
        <v>0</v>
      </c>
      <c r="BZ53" s="66"/>
      <c r="CA53" s="31">
        <f t="shared" si="20"/>
        <v>0</v>
      </c>
      <c r="CB53" s="65">
        <f t="shared" si="21"/>
        <v>0</v>
      </c>
      <c r="CC53" s="66"/>
      <c r="CD53" s="31">
        <f t="shared" si="22"/>
        <v>0</v>
      </c>
      <c r="CE53" s="67">
        <f t="shared" si="23"/>
        <v>0</v>
      </c>
      <c r="CF53" s="66"/>
      <c r="CG53" s="34">
        <f t="shared" si="24"/>
        <v>0</v>
      </c>
      <c r="CH53" s="67">
        <f t="shared" si="45"/>
        <v>0</v>
      </c>
      <c r="CI53" s="66"/>
      <c r="CJ53" s="34">
        <f t="shared" si="25"/>
        <v>0</v>
      </c>
      <c r="CK53" s="67">
        <f t="shared" si="26"/>
        <v>0</v>
      </c>
      <c r="CL53" s="66"/>
      <c r="CM53" s="34">
        <f t="shared" si="27"/>
        <v>0</v>
      </c>
      <c r="CN53" s="67">
        <f t="shared" si="28"/>
        <v>0</v>
      </c>
      <c r="CO53" s="66"/>
      <c r="CP53" s="34">
        <f t="shared" si="29"/>
        <v>0</v>
      </c>
      <c r="CQ53" s="67">
        <f t="shared" si="30"/>
        <v>0</v>
      </c>
      <c r="CR53" s="66"/>
      <c r="CS53" s="34">
        <f t="shared" si="31"/>
        <v>0</v>
      </c>
      <c r="CT53" s="65">
        <f t="shared" si="32"/>
        <v>0</v>
      </c>
      <c r="CU53" s="66"/>
      <c r="CV53" s="31">
        <f t="shared" si="33"/>
        <v>0</v>
      </c>
      <c r="CW53" s="67">
        <f t="shared" si="34"/>
        <v>0</v>
      </c>
      <c r="CX53" s="66"/>
      <c r="CY53" s="31">
        <f t="shared" si="35"/>
        <v>0</v>
      </c>
      <c r="CZ53" s="65">
        <f t="shared" si="36"/>
        <v>0</v>
      </c>
      <c r="DA53" s="66"/>
      <c r="DB53" s="31">
        <f t="shared" si="37"/>
        <v>0</v>
      </c>
      <c r="DC53" s="67">
        <f t="shared" si="38"/>
        <v>0</v>
      </c>
      <c r="DE53" s="76">
        <v>18</v>
      </c>
      <c r="DF53" s="42"/>
      <c r="DG53" s="69">
        <f t="shared" si="39"/>
        <v>0</v>
      </c>
      <c r="DH53" s="42"/>
      <c r="DI53" s="70">
        <f t="shared" si="40"/>
        <v>0</v>
      </c>
      <c r="DJ53" s="42"/>
      <c r="DK53" s="70">
        <f t="shared" si="41"/>
        <v>18</v>
      </c>
      <c r="DL53" s="42"/>
      <c r="DM53" s="71">
        <f t="shared" si="42"/>
        <v>360</v>
      </c>
      <c r="DN53" s="42"/>
      <c r="DO53" s="72" t="e">
        <f t="shared" si="43"/>
        <v>#DIV/0!</v>
      </c>
      <c r="DP53" s="42"/>
      <c r="DQ53" s="71">
        <f t="shared" si="44"/>
        <v>432</v>
      </c>
      <c r="DR53" s="42"/>
      <c r="DS53" s="69"/>
      <c r="DT53" s="42"/>
      <c r="DU53" s="71">
        <v>0</v>
      </c>
      <c r="DV53" s="42"/>
      <c r="DW53" s="73">
        <f t="shared" si="46"/>
        <v>0</v>
      </c>
      <c r="DX53" s="42"/>
      <c r="DY53" s="71">
        <f t="shared" si="47"/>
        <v>0</v>
      </c>
    </row>
    <row r="54" ht="12.45" customHeight="1" spans="1:129" x14ac:dyDescent="0.25">
      <c r="A54" s="85" t="s">
        <v>99</v>
      </c>
      <c r="B54" s="27"/>
      <c r="C54" s="86"/>
      <c r="D54" s="29"/>
      <c r="E54" s="87"/>
      <c r="F54" s="29"/>
      <c r="G54" s="86"/>
      <c r="H54" s="8"/>
      <c r="I54" s="88">
        <f>SUM(I2:I53)</f>
        <v>20</v>
      </c>
      <c r="J54" s="8"/>
      <c r="K54" s="89">
        <f>SUM(K2:L53)</f>
        <v>41</v>
      </c>
      <c r="L54" s="8"/>
      <c r="M54" s="88">
        <f>SUM(M2:M53)</f>
        <v>28</v>
      </c>
      <c r="N54" s="8"/>
      <c r="O54" s="89">
        <f>SUM(O2:P53)</f>
        <v>42</v>
      </c>
      <c r="P54" s="8"/>
      <c r="Q54" s="88">
        <f>SUM(Q2:Q53)</f>
        <v>20</v>
      </c>
      <c r="R54" s="8"/>
      <c r="S54" s="89">
        <f>SUM(S2:T53)</f>
        <v>21</v>
      </c>
      <c r="T54" s="8"/>
      <c r="U54" s="88">
        <f>SUM(U2:U53)</f>
        <v>24</v>
      </c>
      <c r="V54" s="8"/>
      <c r="W54" s="89">
        <f>SUM(W2:X53)</f>
        <v>36</v>
      </c>
      <c r="X54" s="8"/>
      <c r="Y54" s="88">
        <f>SUM(Y2:Y53)</f>
        <v>26</v>
      </c>
      <c r="Z54" s="8"/>
      <c r="AA54" s="89">
        <f>SUM(AA2:AB53)</f>
        <v>21</v>
      </c>
      <c r="AB54" s="8"/>
      <c r="AC54" s="88">
        <f>SUM(AC2:AC53)</f>
        <v>19</v>
      </c>
      <c r="AD54" s="8"/>
      <c r="AE54" s="89">
        <f>SUM(AE2:AF53)</f>
        <v>0</v>
      </c>
      <c r="AF54" s="8"/>
      <c r="AG54" s="88">
        <f>SUM(AG2:AG53)</f>
        <v>0</v>
      </c>
      <c r="AH54" s="8"/>
      <c r="AI54" s="89">
        <f>SUM(AI2:AJ53)</f>
        <v>0</v>
      </c>
      <c r="AJ54" s="8"/>
      <c r="AK54" s="88">
        <f>SUM(AK2:AK53)</f>
        <v>0</v>
      </c>
      <c r="AL54" s="8"/>
      <c r="AM54" s="89">
        <f>SUM(AM2:AM53)</f>
        <v>0</v>
      </c>
      <c r="AN54" s="8"/>
      <c r="AO54" s="88">
        <f>SUM(AO2:AO53)</f>
        <v>0</v>
      </c>
      <c r="AP54" s="8"/>
      <c r="AQ54" s="89">
        <f>SUM(AQ2:AQ53)</f>
        <v>0</v>
      </c>
      <c r="AR54" s="8"/>
      <c r="AS54" s="88">
        <f>SUM(AS2:AS53)</f>
        <v>0</v>
      </c>
      <c r="AT54" s="8"/>
      <c r="AU54" s="89">
        <f>SUM(AU2:AU53)</f>
        <v>0</v>
      </c>
      <c r="AV54" s="8"/>
      <c r="AW54" s="90">
        <f>SUM(AW1:AW39)</f>
        <v>16</v>
      </c>
      <c r="AX54" s="91">
        <f>SUM(AX2:AX53)</f>
        <v>576.9599999999998</v>
      </c>
      <c r="AY54" s="33"/>
      <c r="AZ54" s="90">
        <f>SUM(AZ1:AZ53)</f>
        <v>41</v>
      </c>
      <c r="BA54" s="91">
        <f>SUM(BA2:BA53)</f>
        <v>1262.5</v>
      </c>
      <c r="BB54" s="33"/>
      <c r="BC54" s="90">
        <f>SUM(BC1:BC53)</f>
        <v>28</v>
      </c>
      <c r="BD54" s="91">
        <f>SUM(BD2:BD53)</f>
        <v>950.67</v>
      </c>
      <c r="BE54" s="33"/>
      <c r="BF54" s="90">
        <f>SUM(BF1:BF53)</f>
        <v>42</v>
      </c>
      <c r="BG54" s="91">
        <f>SUM(BG2:BG53)</f>
        <v>1299.25</v>
      </c>
      <c r="BH54" s="33"/>
      <c r="BI54" s="90">
        <f>SUM(BI1:BI53)</f>
        <v>20</v>
      </c>
      <c r="BJ54" s="91">
        <f>SUM(BJ2:BJ53)</f>
        <v>665.97</v>
      </c>
      <c r="BK54" s="33"/>
      <c r="BL54" s="90">
        <f>SUM(BL1:BL53)</f>
        <v>21</v>
      </c>
      <c r="BM54" s="91">
        <f>SUM(BM2:BM53)</f>
        <v>644.56</v>
      </c>
      <c r="BN54" s="33"/>
      <c r="BO54" s="90">
        <f>SUM(BO1:BO53)</f>
        <v>24</v>
      </c>
      <c r="BP54" s="92">
        <f>SUM(BP2:BP53)</f>
        <v>692.8699999999999</v>
      </c>
      <c r="BQ54" s="33"/>
      <c r="BR54" s="90">
        <f>SUM(BR1:BR53)</f>
        <v>36</v>
      </c>
      <c r="BS54" s="91">
        <f>SUM(BS2:BS53)</f>
        <v>1101.5599999999997</v>
      </c>
      <c r="BT54" s="33"/>
      <c r="BU54" s="90">
        <f>SUM(BU1:BU53)</f>
        <v>26</v>
      </c>
      <c r="BV54" s="91">
        <f>SUM(BV2:BV53)</f>
        <v>898.5600000000001</v>
      </c>
      <c r="BW54" s="33"/>
      <c r="BX54" s="90">
        <f>SUM(BX1:BX53)</f>
        <v>21</v>
      </c>
      <c r="BY54" s="91">
        <f>SUM(BY2:BY53)</f>
        <v>630.82</v>
      </c>
      <c r="BZ54" s="33"/>
      <c r="CA54" s="90">
        <f>SUM(CA1:CA53)</f>
        <v>19</v>
      </c>
      <c r="CB54" s="91">
        <f>SUM(CB2:CB53)</f>
        <v>610.35</v>
      </c>
      <c r="CC54" s="33"/>
      <c r="CD54" s="90">
        <f>SUM(CD1:CD53)</f>
        <v>0</v>
      </c>
      <c r="CE54" s="91">
        <f>SUM(CE2:CE53)</f>
        <v>0</v>
      </c>
      <c r="CF54" s="33"/>
      <c r="CG54" s="90">
        <f>SUM(CG1:CG53)</f>
        <v>0</v>
      </c>
      <c r="CH54" s="91">
        <f>SUM(CH2:CH53)</f>
        <v>0</v>
      </c>
      <c r="CI54" s="33"/>
      <c r="CJ54" s="90">
        <f>SUM(CJ1:CJ53)</f>
        <v>0</v>
      </c>
      <c r="CK54" s="91">
        <f>SUM(CK2:CK53)</f>
        <v>0</v>
      </c>
      <c r="CL54" s="33"/>
      <c r="CM54" s="90">
        <f>SUM(CM1:CM53)</f>
        <v>0</v>
      </c>
      <c r="CN54" s="91">
        <f>SUM(CN2:CN53)</f>
        <v>0</v>
      </c>
      <c r="CO54" s="33"/>
      <c r="CP54" s="90">
        <f>SUM(CP1:CP53)</f>
        <v>0</v>
      </c>
      <c r="CQ54" s="91">
        <f>SUM(CQ2:CQ53)</f>
        <v>0</v>
      </c>
      <c r="CR54" s="33"/>
      <c r="CS54" s="90">
        <f>SUM(CS1:CS53)</f>
        <v>0</v>
      </c>
      <c r="CT54" s="91">
        <f>SUM(CT2:CT53)</f>
        <v>0</v>
      </c>
      <c r="CU54" s="33"/>
      <c r="CV54" s="90">
        <f>SUM(CV1:CV53)</f>
        <v>0</v>
      </c>
      <c r="CW54" s="91">
        <f>SUM(CW2:CW53)</f>
        <v>0</v>
      </c>
      <c r="CX54" s="33"/>
      <c r="CY54" s="90">
        <f>SUM(CY1:CY53)</f>
        <v>0</v>
      </c>
      <c r="CZ54" s="91">
        <f>SUM(CZ2:CZ53)</f>
        <v>0</v>
      </c>
      <c r="DA54" s="33"/>
      <c r="DB54" s="90">
        <f>SUM(DB1:DB53)</f>
        <v>0</v>
      </c>
      <c r="DC54" s="91">
        <f>SUM(DC2:DC53)</f>
        <v>0</v>
      </c>
      <c r="DD54" s="8"/>
      <c r="DE54" s="93">
        <f>SUM(DE2:DE53)</f>
        <v>8820</v>
      </c>
      <c r="DF54" s="27"/>
      <c r="DG54" s="94">
        <f>SUM(DG2:DG53)</f>
        <v>0</v>
      </c>
      <c r="DH54" s="27"/>
      <c r="DI54" s="94">
        <f>SUM(DI2:DI53)</f>
        <v>298</v>
      </c>
      <c r="DJ54" s="27"/>
      <c r="DK54" s="94">
        <f>SUM(DK2:DK53)</f>
        <v>8522</v>
      </c>
      <c r="DL54" s="27"/>
      <c r="DM54" s="95">
        <f>SUM(DM2:DM53)</f>
        <v>224360.63</v>
      </c>
      <c r="DN54" s="27"/>
      <c r="DO54" s="96">
        <f>DM54+DY54</f>
        <v>256845.83000000002</v>
      </c>
      <c r="DP54" s="27"/>
      <c r="DQ54" s="95">
        <f>SUM(DQ2:DQ53)</f>
        <v>269005.87999999995</v>
      </c>
      <c r="DR54" s="27"/>
      <c r="DS54" s="97"/>
      <c r="DT54" s="27"/>
      <c r="DU54" s="98"/>
      <c r="DV54" s="27"/>
      <c r="DW54" s="99"/>
      <c r="DX54" s="27"/>
      <c r="DY54" s="100">
        <f>SUM(DY4:DY53)</f>
        <v>32485.199999999997</v>
      </c>
    </row>
    <row r="55" ht="12.45" customHeight="1" spans="3:128" x14ac:dyDescent="0.25">
      <c r="C55" s="4"/>
      <c r="E55" s="101"/>
      <c r="DM55" s="6"/>
      <c r="DN55" s="102">
        <f>AX54+BA54+BD54+BG54+BJ54+BM54+BP54+BS54+BV54+BY54+CB54+CT54+CW54+CZ54+DC54</f>
        <v>9334.07</v>
      </c>
      <c r="DO55" s="102"/>
      <c r="DP55" s="6"/>
      <c r="DQ55" s="6"/>
      <c r="DR55" s="6"/>
      <c r="DT55" s="6"/>
      <c r="DV55" s="6"/>
      <c r="DX55" s="6"/>
    </row>
  </sheetData>
  <mergeCells count="22">
    <mergeCell ref="AW1:AX1"/>
    <mergeCell ref="AZ1:BA1"/>
    <mergeCell ref="BC1:BD1"/>
    <mergeCell ref="BF1:BG1"/>
    <mergeCell ref="BI1:BJ1"/>
    <mergeCell ref="BL1:BM1"/>
    <mergeCell ref="BO1:BP1"/>
    <mergeCell ref="BR1:BS1"/>
    <mergeCell ref="BU1:BV1"/>
    <mergeCell ref="BX1:BY1"/>
    <mergeCell ref="CA1:CB1"/>
    <mergeCell ref="CD1:CE1"/>
    <mergeCell ref="CG1:CH1"/>
    <mergeCell ref="CJ1:CK1"/>
    <mergeCell ref="CM1:CN1"/>
    <mergeCell ref="CP1:CQ1"/>
    <mergeCell ref="CS1:CT1"/>
    <mergeCell ref="CV1:CW1"/>
    <mergeCell ref="CY1:CZ1"/>
    <mergeCell ref="DB1:DC1"/>
    <mergeCell ref="DS1:DY3"/>
    <mergeCell ref="DN55:DO5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 (29)</vt:lpstr>
      <vt:lpstr>Shipping</vt:lpstr>
      <vt:lpstr>Week (28)</vt:lpstr>
      <vt:lpstr>Week (27)</vt:lpstr>
      <vt:lpstr>Week (32)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M&amp;G Management and Logistics Inc.</dc:creator>
  <cp:lastModifiedBy>Martin Hernandez</cp:lastModifiedBy>
  <cp:lastPrinted>2026-07-14T23:01:58Z</cp:lastPrinted>
  <dcterms:created xsi:type="dcterms:W3CDTF">2025-12-06T19:47:20Z</dcterms:created>
  <dcterms:modified xsi:type="dcterms:W3CDTF">2026-08-10T21:01:08Z</dcterms:modified>
</cp:coreProperties>
</file>