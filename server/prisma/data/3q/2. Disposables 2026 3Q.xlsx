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5c9275127ec8cf8/Desktop/M^0G 2026/M^0G 2026 3Q/"/>
    </mc:Choice>
  </mc:AlternateContent>
  <xr:revisionPtr revIDLastSave="1162" documentId="8_{7F3029AE-B2CE-460F-B2DC-22DB0FBEE7AD}" xr6:coauthVersionLast="47" xr6:coauthVersionMax="47" xr10:uidLastSave="{E3F77A49-CFB7-4DC2-821C-FB1DFCE1125F}"/>
  <bookViews>
    <workbookView xWindow="-108" yWindow="-108" windowWidth="23256" windowHeight="13896" activeTab="1" xr2:uid="{063D2EB6-16B7-41CC-BF0F-103743CDE523}"/>
  </bookViews>
  <sheets>
    <sheet name="Week (29)" sheetId="6" r:id="rId1"/>
    <sheet name="Shipping" sheetId="5" r:id="rId2"/>
    <sheet name="Week (28)" sheetId="4" r:id="rId3"/>
    <sheet name="Week (27)" sheetId="3" r:id="rId4"/>
  </sheets>
  <definedNames>
    <definedName name="_xlnm.Print_Area" localSheetId="1">Shipping!$A$1:$BL$46</definedName>
    <definedName name="valHighlight">#REF!</definedName>
    <definedName name="Wee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54" i="6" l="1"/>
  <c r="AU54" i="6"/>
  <c r="AS54" i="6"/>
  <c r="AQ54" i="6"/>
  <c r="AO54" i="6"/>
  <c r="AM54" i="6"/>
  <c r="AK54" i="6"/>
  <c r="AI54" i="6"/>
  <c r="AG54" i="6"/>
  <c r="AE54" i="6"/>
  <c r="AC54" i="6"/>
  <c r="AA54" i="6"/>
  <c r="Y54" i="6"/>
  <c r="W54" i="6"/>
  <c r="U54" i="6"/>
  <c r="S54" i="6"/>
  <c r="Q54" i="6"/>
  <c r="O54" i="6"/>
  <c r="M54" i="6"/>
  <c r="K54" i="6"/>
  <c r="I54" i="6"/>
  <c r="DY53" i="6"/>
  <c r="DW53" i="6"/>
  <c r="DI53" i="6"/>
  <c r="DK53" i="6" s="1"/>
  <c r="DG53" i="6"/>
  <c r="DB53" i="6"/>
  <c r="DC53" i="6" s="1"/>
  <c r="CY53" i="6"/>
  <c r="CZ53" i="6" s="1"/>
  <c r="CV53" i="6"/>
  <c r="CW53" i="6" s="1"/>
  <c r="CS53" i="6"/>
  <c r="CT53" i="6" s="1"/>
  <c r="CP53" i="6"/>
  <c r="CQ53" i="6" s="1"/>
  <c r="CN53" i="6"/>
  <c r="CM53" i="6"/>
  <c r="CJ53" i="6"/>
  <c r="CK53" i="6" s="1"/>
  <c r="CH53" i="6"/>
  <c r="CG53" i="6"/>
  <c r="CD53" i="6"/>
  <c r="CE53" i="6" s="1"/>
  <c r="CA53" i="6"/>
  <c r="CB53" i="6" s="1"/>
  <c r="BX53" i="6"/>
  <c r="BY53" i="6" s="1"/>
  <c r="BV53" i="6"/>
  <c r="BU53" i="6"/>
  <c r="BR53" i="6"/>
  <c r="BS53" i="6" s="1"/>
  <c r="BO53" i="6"/>
  <c r="BP53" i="6" s="1"/>
  <c r="BL53" i="6"/>
  <c r="BM53" i="6" s="1"/>
  <c r="BI53" i="6"/>
  <c r="BJ53" i="6" s="1"/>
  <c r="BF53" i="6"/>
  <c r="BG53" i="6" s="1"/>
  <c r="BC53" i="6"/>
  <c r="BD53" i="6" s="1"/>
  <c r="BA53" i="6"/>
  <c r="AZ53" i="6"/>
  <c r="AW53" i="6"/>
  <c r="AX53" i="6" s="1"/>
  <c r="DY52" i="6"/>
  <c r="DW52" i="6"/>
  <c r="DI52" i="6"/>
  <c r="DG52" i="6"/>
  <c r="DK52" i="6" s="1"/>
  <c r="DC52" i="6"/>
  <c r="DB52" i="6"/>
  <c r="CZ52" i="6"/>
  <c r="CY52" i="6"/>
  <c r="CV52" i="6"/>
  <c r="CW52" i="6" s="1"/>
  <c r="CS52" i="6"/>
  <c r="CT52" i="6" s="1"/>
  <c r="CP52" i="6"/>
  <c r="CQ52" i="6" s="1"/>
  <c r="CN52" i="6"/>
  <c r="CM52" i="6"/>
  <c r="CJ52" i="6"/>
  <c r="CK52" i="6" s="1"/>
  <c r="CG52" i="6"/>
  <c r="CH52" i="6" s="1"/>
  <c r="CD52" i="6"/>
  <c r="CE52" i="6" s="1"/>
  <c r="CA52" i="6"/>
  <c r="CB52" i="6" s="1"/>
  <c r="BX52" i="6"/>
  <c r="BY52" i="6" s="1"/>
  <c r="BU52" i="6"/>
  <c r="BV52" i="6" s="1"/>
  <c r="BS52" i="6"/>
  <c r="BR52" i="6"/>
  <c r="BO52" i="6"/>
  <c r="BP52" i="6" s="1"/>
  <c r="BL52" i="6"/>
  <c r="BM52" i="6" s="1"/>
  <c r="BI52" i="6"/>
  <c r="BJ52" i="6" s="1"/>
  <c r="BG52" i="6"/>
  <c r="BF52" i="6"/>
  <c r="BC52" i="6"/>
  <c r="BD52" i="6" s="1"/>
  <c r="AZ52" i="6"/>
  <c r="BA52" i="6" s="1"/>
  <c r="AW52" i="6"/>
  <c r="AX52" i="6" s="1"/>
  <c r="DY51" i="6"/>
  <c r="DW51" i="6"/>
  <c r="DI51" i="6"/>
  <c r="DG51" i="6"/>
  <c r="DB51" i="6"/>
  <c r="DC51" i="6" s="1"/>
  <c r="CY51" i="6"/>
  <c r="CZ51" i="6" s="1"/>
  <c r="CV51" i="6"/>
  <c r="CW51" i="6" s="1"/>
  <c r="CS51" i="6"/>
  <c r="CT51" i="6" s="1"/>
  <c r="CP51" i="6"/>
  <c r="CQ51" i="6" s="1"/>
  <c r="CM51" i="6"/>
  <c r="CN51" i="6" s="1"/>
  <c r="CJ51" i="6"/>
  <c r="CK51" i="6" s="1"/>
  <c r="CG51" i="6"/>
  <c r="CH51" i="6" s="1"/>
  <c r="CD51" i="6"/>
  <c r="CE51" i="6" s="1"/>
  <c r="CA51" i="6"/>
  <c r="CB51" i="6" s="1"/>
  <c r="BX51" i="6"/>
  <c r="BY51" i="6" s="1"/>
  <c r="BU51" i="6"/>
  <c r="BV51" i="6" s="1"/>
  <c r="BR51" i="6"/>
  <c r="BS51" i="6" s="1"/>
  <c r="BO51" i="6"/>
  <c r="BP51" i="6" s="1"/>
  <c r="BM51" i="6"/>
  <c r="BL51" i="6"/>
  <c r="BI51" i="6"/>
  <c r="BJ51" i="6" s="1"/>
  <c r="BF51" i="6"/>
  <c r="BG51" i="6" s="1"/>
  <c r="BC51" i="6"/>
  <c r="BD51" i="6" s="1"/>
  <c r="AZ51" i="6"/>
  <c r="BA51" i="6" s="1"/>
  <c r="AW51" i="6"/>
  <c r="AX51" i="6" s="1"/>
  <c r="DY50" i="6"/>
  <c r="DW50" i="6"/>
  <c r="DI50" i="6"/>
  <c r="DG50" i="6"/>
  <c r="DB50" i="6"/>
  <c r="DC50" i="6" s="1"/>
  <c r="CY50" i="6"/>
  <c r="CZ50" i="6" s="1"/>
  <c r="CV50" i="6"/>
  <c r="CW50" i="6" s="1"/>
  <c r="CS50" i="6"/>
  <c r="CT50" i="6" s="1"/>
  <c r="CP50" i="6"/>
  <c r="CQ50" i="6" s="1"/>
  <c r="CM50" i="6"/>
  <c r="CN50" i="6" s="1"/>
  <c r="CJ50" i="6"/>
  <c r="CK50" i="6" s="1"/>
  <c r="CG50" i="6"/>
  <c r="CH50" i="6" s="1"/>
  <c r="CD50" i="6"/>
  <c r="CE50" i="6" s="1"/>
  <c r="CA50" i="6"/>
  <c r="CB50" i="6" s="1"/>
  <c r="BX50" i="6"/>
  <c r="BY50" i="6" s="1"/>
  <c r="BU50" i="6"/>
  <c r="BV50" i="6" s="1"/>
  <c r="BR50" i="6"/>
  <c r="BS50" i="6" s="1"/>
  <c r="BO50" i="6"/>
  <c r="BP50" i="6" s="1"/>
  <c r="BL50" i="6"/>
  <c r="BM50" i="6" s="1"/>
  <c r="BI50" i="6"/>
  <c r="BJ50" i="6" s="1"/>
  <c r="BF50" i="6"/>
  <c r="BG50" i="6" s="1"/>
  <c r="BC50" i="6"/>
  <c r="BD50" i="6" s="1"/>
  <c r="AZ50" i="6"/>
  <c r="BA50" i="6" s="1"/>
  <c r="AW50" i="6"/>
  <c r="AX50" i="6" s="1"/>
  <c r="DY49" i="6"/>
  <c r="DW49" i="6"/>
  <c r="DI49" i="6"/>
  <c r="DK49" i="6" s="1"/>
  <c r="DG49" i="6"/>
  <c r="DB49" i="6"/>
  <c r="DC49" i="6" s="1"/>
  <c r="CY49" i="6"/>
  <c r="CZ49" i="6" s="1"/>
  <c r="CV49" i="6"/>
  <c r="CW49" i="6" s="1"/>
  <c r="CS49" i="6"/>
  <c r="CT49" i="6" s="1"/>
  <c r="CP49" i="6"/>
  <c r="CQ49" i="6" s="1"/>
  <c r="CM49" i="6"/>
  <c r="CN49" i="6" s="1"/>
  <c r="CJ49" i="6"/>
  <c r="CK49" i="6" s="1"/>
  <c r="CG49" i="6"/>
  <c r="CH49" i="6" s="1"/>
  <c r="CD49" i="6"/>
  <c r="CE49" i="6" s="1"/>
  <c r="CA49" i="6"/>
  <c r="CB49" i="6" s="1"/>
  <c r="BX49" i="6"/>
  <c r="BY49" i="6" s="1"/>
  <c r="BU49" i="6"/>
  <c r="BV49" i="6" s="1"/>
  <c r="BR49" i="6"/>
  <c r="BS49" i="6" s="1"/>
  <c r="BO49" i="6"/>
  <c r="BP49" i="6" s="1"/>
  <c r="BL49" i="6"/>
  <c r="BM49" i="6" s="1"/>
  <c r="BI49" i="6"/>
  <c r="BJ49" i="6" s="1"/>
  <c r="BG49" i="6"/>
  <c r="BF49" i="6"/>
  <c r="BC49" i="6"/>
  <c r="BD49" i="6" s="1"/>
  <c r="AZ49" i="6"/>
  <c r="BA49" i="6" s="1"/>
  <c r="AW49" i="6"/>
  <c r="AX49" i="6" s="1"/>
  <c r="DY48" i="6"/>
  <c r="DW48" i="6"/>
  <c r="DI48" i="6"/>
  <c r="DG48" i="6"/>
  <c r="DB48" i="6"/>
  <c r="DC48" i="6" s="1"/>
  <c r="CY48" i="6"/>
  <c r="CZ48" i="6" s="1"/>
  <c r="CV48" i="6"/>
  <c r="CW48" i="6" s="1"/>
  <c r="CS48" i="6"/>
  <c r="CT48" i="6" s="1"/>
  <c r="CP48" i="6"/>
  <c r="CQ48" i="6" s="1"/>
  <c r="CM48" i="6"/>
  <c r="CN48" i="6" s="1"/>
  <c r="CJ48" i="6"/>
  <c r="CK48" i="6" s="1"/>
  <c r="CG48" i="6"/>
  <c r="CH48" i="6" s="1"/>
  <c r="CD48" i="6"/>
  <c r="CE48" i="6" s="1"/>
  <c r="CA48" i="6"/>
  <c r="CB48" i="6" s="1"/>
  <c r="BX48" i="6"/>
  <c r="BY48" i="6" s="1"/>
  <c r="BU48" i="6"/>
  <c r="BV48" i="6" s="1"/>
  <c r="BR48" i="6"/>
  <c r="BS48" i="6" s="1"/>
  <c r="BO48" i="6"/>
  <c r="BP48" i="6" s="1"/>
  <c r="BL48" i="6"/>
  <c r="BM48" i="6" s="1"/>
  <c r="BI48" i="6"/>
  <c r="BJ48" i="6" s="1"/>
  <c r="BF48" i="6"/>
  <c r="BG48" i="6" s="1"/>
  <c r="BC48" i="6"/>
  <c r="BD48" i="6" s="1"/>
  <c r="AZ48" i="6"/>
  <c r="BA48" i="6" s="1"/>
  <c r="AX48" i="6"/>
  <c r="AW48" i="6"/>
  <c r="DY47" i="6"/>
  <c r="DW47" i="6"/>
  <c r="DI47" i="6"/>
  <c r="DG47" i="6"/>
  <c r="DB47" i="6"/>
  <c r="DC47" i="6" s="1"/>
  <c r="CY47" i="6"/>
  <c r="CZ47" i="6" s="1"/>
  <c r="CV47" i="6"/>
  <c r="CW47" i="6" s="1"/>
  <c r="CS47" i="6"/>
  <c r="CT47" i="6" s="1"/>
  <c r="CP47" i="6"/>
  <c r="CQ47" i="6" s="1"/>
  <c r="CM47" i="6"/>
  <c r="CN47" i="6" s="1"/>
  <c r="CJ47" i="6"/>
  <c r="CK47" i="6" s="1"/>
  <c r="CG47" i="6"/>
  <c r="CH47" i="6" s="1"/>
  <c r="CD47" i="6"/>
  <c r="CE47" i="6" s="1"/>
  <c r="CA47" i="6"/>
  <c r="CB47" i="6" s="1"/>
  <c r="BX47" i="6"/>
  <c r="BY47" i="6" s="1"/>
  <c r="BU47" i="6"/>
  <c r="BV47" i="6" s="1"/>
  <c r="BR47" i="6"/>
  <c r="BS47" i="6" s="1"/>
  <c r="BO47" i="6"/>
  <c r="BP47" i="6" s="1"/>
  <c r="BL47" i="6"/>
  <c r="BM47" i="6" s="1"/>
  <c r="BI47" i="6"/>
  <c r="BJ47" i="6" s="1"/>
  <c r="BF47" i="6"/>
  <c r="BG47" i="6" s="1"/>
  <c r="BC47" i="6"/>
  <c r="BD47" i="6" s="1"/>
  <c r="AZ47" i="6"/>
  <c r="BA47" i="6" s="1"/>
  <c r="AW47" i="6"/>
  <c r="AX47" i="6" s="1"/>
  <c r="DY46" i="6"/>
  <c r="DW46" i="6"/>
  <c r="DI46" i="6"/>
  <c r="DK46" i="6" s="1"/>
  <c r="DG46" i="6"/>
  <c r="DB46" i="6"/>
  <c r="DC46" i="6" s="1"/>
  <c r="CY46" i="6"/>
  <c r="CZ46" i="6" s="1"/>
  <c r="CV46" i="6"/>
  <c r="CW46" i="6" s="1"/>
  <c r="CS46" i="6"/>
  <c r="CT46" i="6" s="1"/>
  <c r="CP46" i="6"/>
  <c r="CQ46" i="6" s="1"/>
  <c r="CM46" i="6"/>
  <c r="CN46" i="6" s="1"/>
  <c r="CJ46" i="6"/>
  <c r="CK46" i="6" s="1"/>
  <c r="CG46" i="6"/>
  <c r="CH46" i="6" s="1"/>
  <c r="CD46" i="6"/>
  <c r="CE46" i="6" s="1"/>
  <c r="CA46" i="6"/>
  <c r="CB46" i="6" s="1"/>
  <c r="BX46" i="6"/>
  <c r="BY46" i="6" s="1"/>
  <c r="BV46" i="6"/>
  <c r="BU46" i="6"/>
  <c r="BR46" i="6"/>
  <c r="BS46" i="6" s="1"/>
  <c r="BO46" i="6"/>
  <c r="BP46" i="6" s="1"/>
  <c r="BL46" i="6"/>
  <c r="BM46" i="6" s="1"/>
  <c r="BI46" i="6"/>
  <c r="BJ46" i="6" s="1"/>
  <c r="BF46" i="6"/>
  <c r="BG46" i="6" s="1"/>
  <c r="BC46" i="6"/>
  <c r="BD46" i="6" s="1"/>
  <c r="AZ46" i="6"/>
  <c r="BA46" i="6" s="1"/>
  <c r="AW46" i="6"/>
  <c r="AX46" i="6" s="1"/>
  <c r="DY45" i="6"/>
  <c r="DW45" i="6"/>
  <c r="DI45" i="6"/>
  <c r="DG45" i="6"/>
  <c r="DB45" i="6"/>
  <c r="DC45" i="6" s="1"/>
  <c r="CY45" i="6"/>
  <c r="CZ45" i="6" s="1"/>
  <c r="CV45" i="6"/>
  <c r="CW45" i="6" s="1"/>
  <c r="CS45" i="6"/>
  <c r="CT45" i="6" s="1"/>
  <c r="CP45" i="6"/>
  <c r="CQ45" i="6" s="1"/>
  <c r="CM45" i="6"/>
  <c r="CN45" i="6" s="1"/>
  <c r="CJ45" i="6"/>
  <c r="CK45" i="6" s="1"/>
  <c r="CG45" i="6"/>
  <c r="CH45" i="6" s="1"/>
  <c r="CD45" i="6"/>
  <c r="CE45" i="6" s="1"/>
  <c r="CA45" i="6"/>
  <c r="CB45" i="6" s="1"/>
  <c r="BX45" i="6"/>
  <c r="BY45" i="6" s="1"/>
  <c r="BV45" i="6"/>
  <c r="BU45" i="6"/>
  <c r="BR45" i="6"/>
  <c r="BS45" i="6" s="1"/>
  <c r="BO45" i="6"/>
  <c r="BP45" i="6" s="1"/>
  <c r="BL45" i="6"/>
  <c r="BM45" i="6" s="1"/>
  <c r="BI45" i="6"/>
  <c r="BJ45" i="6" s="1"/>
  <c r="BF45" i="6"/>
  <c r="BG45" i="6" s="1"/>
  <c r="BC45" i="6"/>
  <c r="BD45" i="6" s="1"/>
  <c r="AZ45" i="6"/>
  <c r="BA45" i="6" s="1"/>
  <c r="AW45" i="6"/>
  <c r="AX45" i="6" s="1"/>
  <c r="DY44" i="6"/>
  <c r="DW44" i="6"/>
  <c r="DI44" i="6"/>
  <c r="DK44" i="6" s="1"/>
  <c r="DQ44" i="6" s="1"/>
  <c r="DG44" i="6"/>
  <c r="DB44" i="6"/>
  <c r="DC44" i="6" s="1"/>
  <c r="CY44" i="6"/>
  <c r="CZ44" i="6" s="1"/>
  <c r="CV44" i="6"/>
  <c r="CW44" i="6" s="1"/>
  <c r="CS44" i="6"/>
  <c r="CT44" i="6" s="1"/>
  <c r="CQ44" i="6"/>
  <c r="CP44" i="6"/>
  <c r="CM44" i="6"/>
  <c r="CN44" i="6" s="1"/>
  <c r="CJ44" i="6"/>
  <c r="CK44" i="6" s="1"/>
  <c r="CG44" i="6"/>
  <c r="CH44" i="6" s="1"/>
  <c r="CD44" i="6"/>
  <c r="CE44" i="6" s="1"/>
  <c r="CA44" i="6"/>
  <c r="CB44" i="6" s="1"/>
  <c r="BX44" i="6"/>
  <c r="BY44" i="6" s="1"/>
  <c r="BU44" i="6"/>
  <c r="BV44" i="6" s="1"/>
  <c r="BR44" i="6"/>
  <c r="BS44" i="6" s="1"/>
  <c r="BO44" i="6"/>
  <c r="BP44" i="6" s="1"/>
  <c r="BL44" i="6"/>
  <c r="BM44" i="6" s="1"/>
  <c r="BI44" i="6"/>
  <c r="BJ44" i="6" s="1"/>
  <c r="BF44" i="6"/>
  <c r="BG44" i="6" s="1"/>
  <c r="BC44" i="6"/>
  <c r="BD44" i="6" s="1"/>
  <c r="AZ44" i="6"/>
  <c r="BA44" i="6" s="1"/>
  <c r="AW44" i="6"/>
  <c r="AX44" i="6" s="1"/>
  <c r="DY43" i="6"/>
  <c r="DW43" i="6"/>
  <c r="DI43" i="6"/>
  <c r="DG43" i="6"/>
  <c r="DB43" i="6"/>
  <c r="DC43" i="6" s="1"/>
  <c r="CY43" i="6"/>
  <c r="CZ43" i="6" s="1"/>
  <c r="CV43" i="6"/>
  <c r="CW43" i="6" s="1"/>
  <c r="CS43" i="6"/>
  <c r="CT43" i="6" s="1"/>
  <c r="CP43" i="6"/>
  <c r="CQ43" i="6" s="1"/>
  <c r="CM43" i="6"/>
  <c r="CN43" i="6" s="1"/>
  <c r="CJ43" i="6"/>
  <c r="CK43" i="6" s="1"/>
  <c r="CG43" i="6"/>
  <c r="CH43" i="6" s="1"/>
  <c r="CD43" i="6"/>
  <c r="CE43" i="6" s="1"/>
  <c r="CB43" i="6"/>
  <c r="CA43" i="6"/>
  <c r="BX43" i="6"/>
  <c r="BY43" i="6" s="1"/>
  <c r="BU43" i="6"/>
  <c r="BV43" i="6" s="1"/>
  <c r="BR43" i="6"/>
  <c r="BS43" i="6" s="1"/>
  <c r="BO43" i="6"/>
  <c r="BP43" i="6" s="1"/>
  <c r="BL43" i="6"/>
  <c r="BM43" i="6" s="1"/>
  <c r="BI43" i="6"/>
  <c r="BJ43" i="6" s="1"/>
  <c r="BF43" i="6"/>
  <c r="BG43" i="6" s="1"/>
  <c r="BC43" i="6"/>
  <c r="BD43" i="6" s="1"/>
  <c r="AZ43" i="6"/>
  <c r="BA43" i="6" s="1"/>
  <c r="AW43" i="6"/>
  <c r="AX43" i="6" s="1"/>
  <c r="DY42" i="6"/>
  <c r="DW42" i="6"/>
  <c r="DI42" i="6"/>
  <c r="DG42" i="6"/>
  <c r="DK42" i="6" s="1"/>
  <c r="DB42" i="6"/>
  <c r="DC42" i="6" s="1"/>
  <c r="CY42" i="6"/>
  <c r="CZ42" i="6" s="1"/>
  <c r="CV42" i="6"/>
  <c r="CW42" i="6" s="1"/>
  <c r="CS42" i="6"/>
  <c r="CT42" i="6" s="1"/>
  <c r="CP42" i="6"/>
  <c r="CQ42" i="6" s="1"/>
  <c r="CN42" i="6"/>
  <c r="CM42" i="6"/>
  <c r="CJ42" i="6"/>
  <c r="CK42" i="6" s="1"/>
  <c r="CH42" i="6"/>
  <c r="CG42" i="6"/>
  <c r="CD42" i="6"/>
  <c r="CE42" i="6" s="1"/>
  <c r="CA42" i="6"/>
  <c r="CB42" i="6" s="1"/>
  <c r="BX42" i="6"/>
  <c r="BY42" i="6" s="1"/>
  <c r="BU42" i="6"/>
  <c r="BV42" i="6" s="1"/>
  <c r="BR42" i="6"/>
  <c r="BS42" i="6" s="1"/>
  <c r="BO42" i="6"/>
  <c r="BP42" i="6" s="1"/>
  <c r="BL42" i="6"/>
  <c r="BM42" i="6" s="1"/>
  <c r="BI42" i="6"/>
  <c r="BJ42" i="6" s="1"/>
  <c r="BF42" i="6"/>
  <c r="BG42" i="6" s="1"/>
  <c r="BC42" i="6"/>
  <c r="BD42" i="6" s="1"/>
  <c r="AZ42" i="6"/>
  <c r="BA42" i="6" s="1"/>
  <c r="AW42" i="6"/>
  <c r="AX42" i="6" s="1"/>
  <c r="DY41" i="6"/>
  <c r="DW41" i="6"/>
  <c r="DI41" i="6"/>
  <c r="DG41" i="6"/>
  <c r="DB41" i="6"/>
  <c r="DC41" i="6" s="1"/>
  <c r="CZ41" i="6"/>
  <c r="CY41" i="6"/>
  <c r="CV41" i="6"/>
  <c r="CW41" i="6" s="1"/>
  <c r="CS41" i="6"/>
  <c r="CT41" i="6" s="1"/>
  <c r="CP41" i="6"/>
  <c r="CQ41" i="6" s="1"/>
  <c r="CN41" i="6"/>
  <c r="CM41" i="6"/>
  <c r="CJ41" i="6"/>
  <c r="CK41" i="6" s="1"/>
  <c r="CG41" i="6"/>
  <c r="CH41" i="6" s="1"/>
  <c r="CD41" i="6"/>
  <c r="CE41" i="6" s="1"/>
  <c r="CA41" i="6"/>
  <c r="CB41" i="6" s="1"/>
  <c r="BX41" i="6"/>
  <c r="BY41" i="6" s="1"/>
  <c r="BU41" i="6"/>
  <c r="BV41" i="6" s="1"/>
  <c r="BR41" i="6"/>
  <c r="BS41" i="6" s="1"/>
  <c r="BO41" i="6"/>
  <c r="BP41" i="6" s="1"/>
  <c r="BL41" i="6"/>
  <c r="BM41" i="6" s="1"/>
  <c r="BI41" i="6"/>
  <c r="BJ41" i="6" s="1"/>
  <c r="BG41" i="6"/>
  <c r="BF41" i="6"/>
  <c r="BC41" i="6"/>
  <c r="BD41" i="6" s="1"/>
  <c r="AZ41" i="6"/>
  <c r="BA41" i="6" s="1"/>
  <c r="AW41" i="6"/>
  <c r="AX41" i="6" s="1"/>
  <c r="DY40" i="6"/>
  <c r="DW40" i="6"/>
  <c r="DI40" i="6"/>
  <c r="DK40" i="6" s="1"/>
  <c r="DG40" i="6"/>
  <c r="DB40" i="6"/>
  <c r="DC40" i="6" s="1"/>
  <c r="CY40" i="6"/>
  <c r="CZ40" i="6" s="1"/>
  <c r="CV40" i="6"/>
  <c r="CW40" i="6" s="1"/>
  <c r="CS40" i="6"/>
  <c r="CT40" i="6" s="1"/>
  <c r="CP40" i="6"/>
  <c r="CQ40" i="6" s="1"/>
  <c r="CM40" i="6"/>
  <c r="CN40" i="6" s="1"/>
  <c r="CJ40" i="6"/>
  <c r="CK40" i="6" s="1"/>
  <c r="CG40" i="6"/>
  <c r="CH40" i="6" s="1"/>
  <c r="CD40" i="6"/>
  <c r="CE40" i="6" s="1"/>
  <c r="CA40" i="6"/>
  <c r="CB40" i="6" s="1"/>
  <c r="BX40" i="6"/>
  <c r="BY40" i="6" s="1"/>
  <c r="BU40" i="6"/>
  <c r="BV40" i="6" s="1"/>
  <c r="BR40" i="6"/>
  <c r="BS40" i="6" s="1"/>
  <c r="BO40" i="6"/>
  <c r="BP40" i="6" s="1"/>
  <c r="BM40" i="6"/>
  <c r="BL40" i="6"/>
  <c r="BI40" i="6"/>
  <c r="BJ40" i="6" s="1"/>
  <c r="BF40" i="6"/>
  <c r="BG40" i="6" s="1"/>
  <c r="BC40" i="6"/>
  <c r="BD40" i="6" s="1"/>
  <c r="BA40" i="6"/>
  <c r="AZ40" i="6"/>
  <c r="AW40" i="6"/>
  <c r="AX40" i="6" s="1"/>
  <c r="DY39" i="6"/>
  <c r="DW39" i="6"/>
  <c r="DI39" i="6"/>
  <c r="DG39" i="6"/>
  <c r="DK39" i="6" s="1"/>
  <c r="DB39" i="6"/>
  <c r="DC39" i="6" s="1"/>
  <c r="CY39" i="6"/>
  <c r="CZ39" i="6" s="1"/>
  <c r="CV39" i="6"/>
  <c r="CW39" i="6" s="1"/>
  <c r="CS39" i="6"/>
  <c r="CT39" i="6" s="1"/>
  <c r="CP39" i="6"/>
  <c r="CQ39" i="6" s="1"/>
  <c r="CM39" i="6"/>
  <c r="CN39" i="6" s="1"/>
  <c r="CJ39" i="6"/>
  <c r="CK39" i="6" s="1"/>
  <c r="CG39" i="6"/>
  <c r="CH39" i="6" s="1"/>
  <c r="CD39" i="6"/>
  <c r="CE39" i="6" s="1"/>
  <c r="CA39" i="6"/>
  <c r="CB39" i="6" s="1"/>
  <c r="BX39" i="6"/>
  <c r="BY39" i="6" s="1"/>
  <c r="BU39" i="6"/>
  <c r="BV39" i="6" s="1"/>
  <c r="BS39" i="6"/>
  <c r="BR39" i="6"/>
  <c r="BO39" i="6"/>
  <c r="BP39" i="6" s="1"/>
  <c r="BL39" i="6"/>
  <c r="BM39" i="6" s="1"/>
  <c r="BI39" i="6"/>
  <c r="BJ39" i="6" s="1"/>
  <c r="BF39" i="6"/>
  <c r="BG39" i="6" s="1"/>
  <c r="BC39" i="6"/>
  <c r="BD39" i="6" s="1"/>
  <c r="AZ39" i="6"/>
  <c r="BA39" i="6" s="1"/>
  <c r="AW39" i="6"/>
  <c r="AX39" i="6" s="1"/>
  <c r="DY38" i="6"/>
  <c r="DW38" i="6"/>
  <c r="DI38" i="6"/>
  <c r="DK38" i="6" s="1"/>
  <c r="DM38" i="6" s="1"/>
  <c r="DG38" i="6"/>
  <c r="DB38" i="6"/>
  <c r="DC38" i="6" s="1"/>
  <c r="CY38" i="6"/>
  <c r="CZ38" i="6" s="1"/>
  <c r="CV38" i="6"/>
  <c r="CW38" i="6" s="1"/>
  <c r="CS38" i="6"/>
  <c r="CT38" i="6" s="1"/>
  <c r="CP38" i="6"/>
  <c r="CQ38" i="6" s="1"/>
  <c r="CM38" i="6"/>
  <c r="CN38" i="6" s="1"/>
  <c r="CJ38" i="6"/>
  <c r="CK38" i="6" s="1"/>
  <c r="CG38" i="6"/>
  <c r="CH38" i="6" s="1"/>
  <c r="CD38" i="6"/>
  <c r="CE38" i="6" s="1"/>
  <c r="CA38" i="6"/>
  <c r="CB38" i="6" s="1"/>
  <c r="BY38" i="6"/>
  <c r="BX38" i="6"/>
  <c r="BU38" i="6"/>
  <c r="BV38" i="6" s="1"/>
  <c r="BR38" i="6"/>
  <c r="BS38" i="6" s="1"/>
  <c r="BO38" i="6"/>
  <c r="BP38" i="6" s="1"/>
  <c r="BL38" i="6"/>
  <c r="BM38" i="6" s="1"/>
  <c r="BI38" i="6"/>
  <c r="BJ38" i="6" s="1"/>
  <c r="BF38" i="6"/>
  <c r="BG38" i="6" s="1"/>
  <c r="BC38" i="6"/>
  <c r="BD38" i="6" s="1"/>
  <c r="AZ38" i="6"/>
  <c r="BA38" i="6" s="1"/>
  <c r="AW38" i="6"/>
  <c r="AX38" i="6" s="1"/>
  <c r="DY37" i="6"/>
  <c r="DW37" i="6"/>
  <c r="DI37" i="6"/>
  <c r="DG37" i="6"/>
  <c r="DC37" i="6"/>
  <c r="DB37" i="6"/>
  <c r="CY37" i="6"/>
  <c r="CZ37" i="6" s="1"/>
  <c r="CV37" i="6"/>
  <c r="CW37" i="6" s="1"/>
  <c r="CS37" i="6"/>
  <c r="CT37" i="6" s="1"/>
  <c r="CP37" i="6"/>
  <c r="CQ37" i="6" s="1"/>
  <c r="CM37" i="6"/>
  <c r="CN37" i="6" s="1"/>
  <c r="CJ37" i="6"/>
  <c r="CK37" i="6" s="1"/>
  <c r="CG37" i="6"/>
  <c r="CH37" i="6" s="1"/>
  <c r="CE37" i="6"/>
  <c r="CD37" i="6"/>
  <c r="CB37" i="6"/>
  <c r="CA37" i="6"/>
  <c r="BX37" i="6"/>
  <c r="BY37" i="6" s="1"/>
  <c r="BU37" i="6"/>
  <c r="BV37" i="6" s="1"/>
  <c r="BS37" i="6"/>
  <c r="BR37" i="6"/>
  <c r="BO37" i="6"/>
  <c r="BP37" i="6" s="1"/>
  <c r="BL37" i="6"/>
  <c r="BM37" i="6" s="1"/>
  <c r="BI37" i="6"/>
  <c r="BJ37" i="6" s="1"/>
  <c r="BF37" i="6"/>
  <c r="BG37" i="6" s="1"/>
  <c r="BC37" i="6"/>
  <c r="BD37" i="6" s="1"/>
  <c r="AZ37" i="6"/>
  <c r="BA37" i="6" s="1"/>
  <c r="AW37" i="6"/>
  <c r="AX37" i="6" s="1"/>
  <c r="DY36" i="6"/>
  <c r="DW36" i="6"/>
  <c r="DI36" i="6"/>
  <c r="DG36" i="6"/>
  <c r="DB36" i="6"/>
  <c r="DC36" i="6" s="1"/>
  <c r="CY36" i="6"/>
  <c r="CZ36" i="6" s="1"/>
  <c r="CV36" i="6"/>
  <c r="CW36" i="6" s="1"/>
  <c r="CT36" i="6"/>
  <c r="CS36" i="6"/>
  <c r="CP36" i="6"/>
  <c r="CQ36" i="6" s="1"/>
  <c r="CM36" i="6"/>
  <c r="CN36" i="6" s="1"/>
  <c r="CJ36" i="6"/>
  <c r="CK36" i="6" s="1"/>
  <c r="CG36" i="6"/>
  <c r="CH36" i="6" s="1"/>
  <c r="CD36" i="6"/>
  <c r="CE36" i="6" s="1"/>
  <c r="CA36" i="6"/>
  <c r="CB36" i="6" s="1"/>
  <c r="BX36" i="6"/>
  <c r="BY36" i="6" s="1"/>
  <c r="BU36" i="6"/>
  <c r="BV36" i="6" s="1"/>
  <c r="BR36" i="6"/>
  <c r="BS36" i="6" s="1"/>
  <c r="BO36" i="6"/>
  <c r="BP36" i="6" s="1"/>
  <c r="BL36" i="6"/>
  <c r="BM36" i="6" s="1"/>
  <c r="BI36" i="6"/>
  <c r="BJ36" i="6" s="1"/>
  <c r="BF36" i="6"/>
  <c r="BG36" i="6" s="1"/>
  <c r="BC36" i="6"/>
  <c r="BD36" i="6" s="1"/>
  <c r="BA36" i="6"/>
  <c r="AZ36" i="6"/>
  <c r="AW36" i="6"/>
  <c r="AX36" i="6" s="1"/>
  <c r="DY35" i="6"/>
  <c r="DW35" i="6"/>
  <c r="DI35" i="6"/>
  <c r="DG35" i="6"/>
  <c r="DB35" i="6"/>
  <c r="DC35" i="6" s="1"/>
  <c r="CY35" i="6"/>
  <c r="CZ35" i="6" s="1"/>
  <c r="CV35" i="6"/>
  <c r="CW35" i="6" s="1"/>
  <c r="CS35" i="6"/>
  <c r="CT35" i="6" s="1"/>
  <c r="CP35" i="6"/>
  <c r="CQ35" i="6" s="1"/>
  <c r="CN35" i="6"/>
  <c r="CM35" i="6"/>
  <c r="CJ35" i="6"/>
  <c r="CK35" i="6" s="1"/>
  <c r="CG35" i="6"/>
  <c r="CH35" i="6" s="1"/>
  <c r="CD35" i="6"/>
  <c r="CE35" i="6" s="1"/>
  <c r="CA35" i="6"/>
  <c r="CB35" i="6" s="1"/>
  <c r="BX35" i="6"/>
  <c r="BY35" i="6" s="1"/>
  <c r="BU35" i="6"/>
  <c r="BV35" i="6" s="1"/>
  <c r="BR35" i="6"/>
  <c r="BS35" i="6" s="1"/>
  <c r="BO35" i="6"/>
  <c r="BP35" i="6" s="1"/>
  <c r="BL35" i="6"/>
  <c r="BM35" i="6" s="1"/>
  <c r="BJ35" i="6"/>
  <c r="BI35" i="6"/>
  <c r="BF35" i="6"/>
  <c r="BG35" i="6" s="1"/>
  <c r="BC35" i="6"/>
  <c r="BD35" i="6" s="1"/>
  <c r="AZ35" i="6"/>
  <c r="BA35" i="6" s="1"/>
  <c r="AW35" i="6"/>
  <c r="AX35" i="6" s="1"/>
  <c r="DY34" i="6"/>
  <c r="DW34" i="6"/>
  <c r="DI34" i="6"/>
  <c r="DG34" i="6"/>
  <c r="DB34" i="6"/>
  <c r="DC34" i="6" s="1"/>
  <c r="CY34" i="6"/>
  <c r="CZ34" i="6" s="1"/>
  <c r="CV34" i="6"/>
  <c r="CW34" i="6" s="1"/>
  <c r="CS34" i="6"/>
  <c r="CT34" i="6" s="1"/>
  <c r="CP34" i="6"/>
  <c r="CQ34" i="6" s="1"/>
  <c r="CM34" i="6"/>
  <c r="CN34" i="6" s="1"/>
  <c r="CJ34" i="6"/>
  <c r="CK34" i="6" s="1"/>
  <c r="CG34" i="6"/>
  <c r="CH34" i="6" s="1"/>
  <c r="CD34" i="6"/>
  <c r="CE34" i="6" s="1"/>
  <c r="CA34" i="6"/>
  <c r="CB34" i="6" s="1"/>
  <c r="BX34" i="6"/>
  <c r="BY34" i="6" s="1"/>
  <c r="BU34" i="6"/>
  <c r="BV34" i="6" s="1"/>
  <c r="BR34" i="6"/>
  <c r="BS34" i="6" s="1"/>
  <c r="BO34" i="6"/>
  <c r="BP34" i="6" s="1"/>
  <c r="BL34" i="6"/>
  <c r="BM34" i="6" s="1"/>
  <c r="BI34" i="6"/>
  <c r="BJ34" i="6" s="1"/>
  <c r="BF34" i="6"/>
  <c r="BG34" i="6" s="1"/>
  <c r="BC34" i="6"/>
  <c r="BD34" i="6" s="1"/>
  <c r="AZ34" i="6"/>
  <c r="BA34" i="6" s="1"/>
  <c r="AW34" i="6"/>
  <c r="AX34" i="6" s="1"/>
  <c r="DY33" i="6"/>
  <c r="DW33" i="6"/>
  <c r="DI33" i="6"/>
  <c r="DG33" i="6"/>
  <c r="DB33" i="6"/>
  <c r="DC33" i="6" s="1"/>
  <c r="CY33" i="6"/>
  <c r="CZ33" i="6" s="1"/>
  <c r="CV33" i="6"/>
  <c r="CW33" i="6" s="1"/>
  <c r="CS33" i="6"/>
  <c r="CT33" i="6" s="1"/>
  <c r="CP33" i="6"/>
  <c r="CQ33" i="6" s="1"/>
  <c r="CM33" i="6"/>
  <c r="CN33" i="6" s="1"/>
  <c r="CJ33" i="6"/>
  <c r="CK33" i="6" s="1"/>
  <c r="CG33" i="6"/>
  <c r="CH33" i="6" s="1"/>
  <c r="CD33" i="6"/>
  <c r="CE33" i="6" s="1"/>
  <c r="CA33" i="6"/>
  <c r="CB33" i="6" s="1"/>
  <c r="BX33" i="6"/>
  <c r="BY33" i="6" s="1"/>
  <c r="BU33" i="6"/>
  <c r="BV33" i="6" s="1"/>
  <c r="BR33" i="6"/>
  <c r="BS33" i="6" s="1"/>
  <c r="BO33" i="6"/>
  <c r="BP33" i="6" s="1"/>
  <c r="BL33" i="6"/>
  <c r="BM33" i="6" s="1"/>
  <c r="BJ33" i="6"/>
  <c r="BI33" i="6"/>
  <c r="BF33" i="6"/>
  <c r="BG33" i="6" s="1"/>
  <c r="BC33" i="6"/>
  <c r="BD33" i="6" s="1"/>
  <c r="AZ33" i="6"/>
  <c r="BA33" i="6" s="1"/>
  <c r="AW33" i="6"/>
  <c r="AX33" i="6" s="1"/>
  <c r="DY32" i="6"/>
  <c r="DW32" i="6"/>
  <c r="DI32" i="6"/>
  <c r="DG32" i="6"/>
  <c r="DB32" i="6"/>
  <c r="DC32" i="6" s="1"/>
  <c r="CY32" i="6"/>
  <c r="CZ32" i="6" s="1"/>
  <c r="CV32" i="6"/>
  <c r="CW32" i="6" s="1"/>
  <c r="CS32" i="6"/>
  <c r="CT32" i="6" s="1"/>
  <c r="CP32" i="6"/>
  <c r="CQ32" i="6" s="1"/>
  <c r="CN32" i="6"/>
  <c r="CM32" i="6"/>
  <c r="CJ32" i="6"/>
  <c r="CK32" i="6" s="1"/>
  <c r="CG32" i="6"/>
  <c r="CH32" i="6" s="1"/>
  <c r="CD32" i="6"/>
  <c r="CE32" i="6" s="1"/>
  <c r="CA32" i="6"/>
  <c r="CB32" i="6" s="1"/>
  <c r="BY32" i="6"/>
  <c r="BX32" i="6"/>
  <c r="BU32" i="6"/>
  <c r="BV32" i="6" s="1"/>
  <c r="BR32" i="6"/>
  <c r="BS32" i="6" s="1"/>
  <c r="BO32" i="6"/>
  <c r="BP32" i="6" s="1"/>
  <c r="BL32" i="6"/>
  <c r="BM32" i="6" s="1"/>
  <c r="BI32" i="6"/>
  <c r="BJ32" i="6" s="1"/>
  <c r="BF32" i="6"/>
  <c r="BG32" i="6" s="1"/>
  <c r="BC32" i="6"/>
  <c r="BD32" i="6" s="1"/>
  <c r="AZ32" i="6"/>
  <c r="BA32" i="6" s="1"/>
  <c r="AW32" i="6"/>
  <c r="AX32" i="6" s="1"/>
  <c r="DY31" i="6"/>
  <c r="DW31" i="6"/>
  <c r="DI31" i="6"/>
  <c r="DG31" i="6"/>
  <c r="DK31" i="6" s="1"/>
  <c r="DB31" i="6"/>
  <c r="DC31" i="6" s="1"/>
  <c r="CY31" i="6"/>
  <c r="CZ31" i="6" s="1"/>
  <c r="CV31" i="6"/>
  <c r="CW31" i="6" s="1"/>
  <c r="CS31" i="6"/>
  <c r="CT31" i="6" s="1"/>
  <c r="CP31" i="6"/>
  <c r="CQ31" i="6" s="1"/>
  <c r="CM31" i="6"/>
  <c r="CN31" i="6" s="1"/>
  <c r="CJ31" i="6"/>
  <c r="CK31" i="6" s="1"/>
  <c r="CG31" i="6"/>
  <c r="CH31" i="6" s="1"/>
  <c r="CD31" i="6"/>
  <c r="CE31" i="6" s="1"/>
  <c r="CA31" i="6"/>
  <c r="CB31" i="6" s="1"/>
  <c r="BX31" i="6"/>
  <c r="BY31" i="6" s="1"/>
  <c r="BV31" i="6"/>
  <c r="BU31" i="6"/>
  <c r="BR31" i="6"/>
  <c r="BS31" i="6" s="1"/>
  <c r="BO31" i="6"/>
  <c r="BP31" i="6" s="1"/>
  <c r="BL31" i="6"/>
  <c r="BM31" i="6" s="1"/>
  <c r="BI31" i="6"/>
  <c r="BJ31" i="6" s="1"/>
  <c r="BF31" i="6"/>
  <c r="BG31" i="6" s="1"/>
  <c r="BC31" i="6"/>
  <c r="BD31" i="6" s="1"/>
  <c r="AZ31" i="6"/>
  <c r="BA31" i="6" s="1"/>
  <c r="AX31" i="6"/>
  <c r="AW31" i="6"/>
  <c r="DY30" i="6"/>
  <c r="DW30" i="6"/>
  <c r="DI30" i="6"/>
  <c r="DG30" i="6"/>
  <c r="DB30" i="6"/>
  <c r="DC30" i="6" s="1"/>
  <c r="CY30" i="6"/>
  <c r="CZ30" i="6" s="1"/>
  <c r="CV30" i="6"/>
  <c r="CW30" i="6" s="1"/>
  <c r="CS30" i="6"/>
  <c r="CT30" i="6" s="1"/>
  <c r="CP30" i="6"/>
  <c r="CQ30" i="6" s="1"/>
  <c r="CM30" i="6"/>
  <c r="CN30" i="6" s="1"/>
  <c r="CJ30" i="6"/>
  <c r="CK30" i="6" s="1"/>
  <c r="CG30" i="6"/>
  <c r="CH30" i="6" s="1"/>
  <c r="CD30" i="6"/>
  <c r="CE30" i="6" s="1"/>
  <c r="CA30" i="6"/>
  <c r="CB30" i="6" s="1"/>
  <c r="BX30" i="6"/>
  <c r="BY30" i="6" s="1"/>
  <c r="BU30" i="6"/>
  <c r="BV30" i="6" s="1"/>
  <c r="BR30" i="6"/>
  <c r="BS30" i="6" s="1"/>
  <c r="BO30" i="6"/>
  <c r="BP30" i="6" s="1"/>
  <c r="BL30" i="6"/>
  <c r="BM30" i="6" s="1"/>
  <c r="BI30" i="6"/>
  <c r="BJ30" i="6" s="1"/>
  <c r="BF30" i="6"/>
  <c r="BG30" i="6" s="1"/>
  <c r="BC30" i="6"/>
  <c r="BD30" i="6" s="1"/>
  <c r="AZ30" i="6"/>
  <c r="BA30" i="6" s="1"/>
  <c r="AW30" i="6"/>
  <c r="AX30" i="6" s="1"/>
  <c r="DY29" i="6"/>
  <c r="DW29" i="6"/>
  <c r="DI29" i="6"/>
  <c r="DG29" i="6"/>
  <c r="DB29" i="6"/>
  <c r="DC29" i="6" s="1"/>
  <c r="CZ29" i="6"/>
  <c r="CY29" i="6"/>
  <c r="CV29" i="6"/>
  <c r="CW29" i="6" s="1"/>
  <c r="CT29" i="6"/>
  <c r="CS29" i="6"/>
  <c r="CP29" i="6"/>
  <c r="CQ29" i="6" s="1"/>
  <c r="CM29" i="6"/>
  <c r="CN29" i="6" s="1"/>
  <c r="CJ29" i="6"/>
  <c r="CK29" i="6" s="1"/>
  <c r="CG29" i="6"/>
  <c r="CH29" i="6" s="1"/>
  <c r="CD29" i="6"/>
  <c r="CE29" i="6" s="1"/>
  <c r="CA29" i="6"/>
  <c r="CB29" i="6" s="1"/>
  <c r="BX29" i="6"/>
  <c r="BY29" i="6" s="1"/>
  <c r="BU29" i="6"/>
  <c r="BV29" i="6" s="1"/>
  <c r="BR29" i="6"/>
  <c r="BS29" i="6" s="1"/>
  <c r="BO29" i="6"/>
  <c r="BP29" i="6" s="1"/>
  <c r="BL29" i="6"/>
  <c r="BM29" i="6" s="1"/>
  <c r="BI29" i="6"/>
  <c r="BJ29" i="6" s="1"/>
  <c r="BF29" i="6"/>
  <c r="BG29" i="6" s="1"/>
  <c r="BC29" i="6"/>
  <c r="BD29" i="6" s="1"/>
  <c r="AZ29" i="6"/>
  <c r="BA29" i="6" s="1"/>
  <c r="AW29" i="6"/>
  <c r="AX29" i="6" s="1"/>
  <c r="DY28" i="6"/>
  <c r="DW28" i="6"/>
  <c r="DI28" i="6"/>
  <c r="DG28" i="6"/>
  <c r="DB28" i="6"/>
  <c r="DC28" i="6" s="1"/>
  <c r="CZ28" i="6"/>
  <c r="CY28" i="6"/>
  <c r="CV28" i="6"/>
  <c r="CW28" i="6" s="1"/>
  <c r="CS28" i="6"/>
  <c r="CT28" i="6" s="1"/>
  <c r="CP28" i="6"/>
  <c r="CQ28" i="6" s="1"/>
  <c r="CM28" i="6"/>
  <c r="CN28" i="6" s="1"/>
  <c r="CJ28" i="6"/>
  <c r="CK28" i="6" s="1"/>
  <c r="CG28" i="6"/>
  <c r="CH28" i="6" s="1"/>
  <c r="CD28" i="6"/>
  <c r="CE28" i="6" s="1"/>
  <c r="CA28" i="6"/>
  <c r="CB28" i="6" s="1"/>
  <c r="BX28" i="6"/>
  <c r="BY28" i="6" s="1"/>
  <c r="BU28" i="6"/>
  <c r="BV28" i="6" s="1"/>
  <c r="BS28" i="6"/>
  <c r="BR28" i="6"/>
  <c r="BO28" i="6"/>
  <c r="BP28" i="6" s="1"/>
  <c r="BL28" i="6"/>
  <c r="BM28" i="6" s="1"/>
  <c r="BI28" i="6"/>
  <c r="BJ28" i="6" s="1"/>
  <c r="BF28" i="6"/>
  <c r="BG28" i="6" s="1"/>
  <c r="BC28" i="6"/>
  <c r="BD28" i="6" s="1"/>
  <c r="BA28" i="6"/>
  <c r="AZ28" i="6"/>
  <c r="AW28" i="6"/>
  <c r="AX28" i="6" s="1"/>
  <c r="DY27" i="6"/>
  <c r="DW27" i="6"/>
  <c r="DI27" i="6"/>
  <c r="DG27" i="6"/>
  <c r="DB27" i="6"/>
  <c r="DC27" i="6" s="1"/>
  <c r="CY27" i="6"/>
  <c r="CZ27" i="6" s="1"/>
  <c r="CV27" i="6"/>
  <c r="CW27" i="6" s="1"/>
  <c r="CS27" i="6"/>
  <c r="CT27" i="6" s="1"/>
  <c r="CP27" i="6"/>
  <c r="CQ27" i="6" s="1"/>
  <c r="CM27" i="6"/>
  <c r="CN27" i="6" s="1"/>
  <c r="CJ27" i="6"/>
  <c r="CK27" i="6" s="1"/>
  <c r="CG27" i="6"/>
  <c r="CH27" i="6" s="1"/>
  <c r="CE27" i="6"/>
  <c r="CD27" i="6"/>
  <c r="CA27" i="6"/>
  <c r="CB27" i="6" s="1"/>
  <c r="BX27" i="6"/>
  <c r="BY27" i="6" s="1"/>
  <c r="BU27" i="6"/>
  <c r="BV27" i="6" s="1"/>
  <c r="BR27" i="6"/>
  <c r="BS27" i="6" s="1"/>
  <c r="BO27" i="6"/>
  <c r="BP27" i="6" s="1"/>
  <c r="BL27" i="6"/>
  <c r="BM27" i="6" s="1"/>
  <c r="BI27" i="6"/>
  <c r="BJ27" i="6" s="1"/>
  <c r="BF27" i="6"/>
  <c r="BG27" i="6" s="1"/>
  <c r="BC27" i="6"/>
  <c r="BD27" i="6" s="1"/>
  <c r="AZ27" i="6"/>
  <c r="BA27" i="6" s="1"/>
  <c r="AW27" i="6"/>
  <c r="AX27" i="6" s="1"/>
  <c r="DY26" i="6"/>
  <c r="DW26" i="6"/>
  <c r="DI26" i="6"/>
  <c r="DG26" i="6"/>
  <c r="DB26" i="6"/>
  <c r="DC26" i="6" s="1"/>
  <c r="CY26" i="6"/>
  <c r="CZ26" i="6" s="1"/>
  <c r="CV26" i="6"/>
  <c r="CW26" i="6" s="1"/>
  <c r="CS26" i="6"/>
  <c r="CT26" i="6" s="1"/>
  <c r="CP26" i="6"/>
  <c r="CQ26" i="6" s="1"/>
  <c r="CM26" i="6"/>
  <c r="CN26" i="6" s="1"/>
  <c r="CJ26" i="6"/>
  <c r="CK26" i="6" s="1"/>
  <c r="CG26" i="6"/>
  <c r="CH26" i="6" s="1"/>
  <c r="CE26" i="6"/>
  <c r="CD26" i="6"/>
  <c r="CA26" i="6"/>
  <c r="CB26" i="6" s="1"/>
  <c r="BX26" i="6"/>
  <c r="BY26" i="6" s="1"/>
  <c r="BU26" i="6"/>
  <c r="BV26" i="6" s="1"/>
  <c r="BR26" i="6"/>
  <c r="BS26" i="6" s="1"/>
  <c r="BO26" i="6"/>
  <c r="BP26" i="6" s="1"/>
  <c r="BL26" i="6"/>
  <c r="BM26" i="6" s="1"/>
  <c r="BI26" i="6"/>
  <c r="BJ26" i="6" s="1"/>
  <c r="BF26" i="6"/>
  <c r="BG26" i="6" s="1"/>
  <c r="BC26" i="6"/>
  <c r="BD26" i="6" s="1"/>
  <c r="AZ26" i="6"/>
  <c r="BA26" i="6" s="1"/>
  <c r="AW26" i="6"/>
  <c r="AX26" i="6" s="1"/>
  <c r="DY25" i="6"/>
  <c r="DW25" i="6"/>
  <c r="DI25" i="6"/>
  <c r="DG25" i="6"/>
  <c r="DB25" i="6"/>
  <c r="DC25" i="6" s="1"/>
  <c r="CY25" i="6"/>
  <c r="CZ25" i="6" s="1"/>
  <c r="CV25" i="6"/>
  <c r="CW25" i="6" s="1"/>
  <c r="CT25" i="6"/>
  <c r="CS25" i="6"/>
  <c r="CP25" i="6"/>
  <c r="CQ25" i="6" s="1"/>
  <c r="CM25" i="6"/>
  <c r="CN25" i="6" s="1"/>
  <c r="CK25" i="6"/>
  <c r="CJ25" i="6"/>
  <c r="CH25" i="6"/>
  <c r="CG25" i="6"/>
  <c r="CD25" i="6"/>
  <c r="CE25" i="6" s="1"/>
  <c r="CA25" i="6"/>
  <c r="CB25" i="6" s="1"/>
  <c r="BX25" i="6"/>
  <c r="BY25" i="6" s="1"/>
  <c r="BU25" i="6"/>
  <c r="BV25" i="6" s="1"/>
  <c r="BR25" i="6"/>
  <c r="BS25" i="6" s="1"/>
  <c r="BO25" i="6"/>
  <c r="BP25" i="6" s="1"/>
  <c r="BL25" i="6"/>
  <c r="BM25" i="6" s="1"/>
  <c r="BI25" i="6"/>
  <c r="BJ25" i="6" s="1"/>
  <c r="BF25" i="6"/>
  <c r="BG25" i="6" s="1"/>
  <c r="BC25" i="6"/>
  <c r="BD25" i="6" s="1"/>
  <c r="AZ25" i="6"/>
  <c r="BA25" i="6" s="1"/>
  <c r="AW25" i="6"/>
  <c r="AX25" i="6" s="1"/>
  <c r="DY24" i="6"/>
  <c r="DW24" i="6"/>
  <c r="DI24" i="6"/>
  <c r="DG24" i="6"/>
  <c r="DB24" i="6"/>
  <c r="DC24" i="6" s="1"/>
  <c r="CZ24" i="6"/>
  <c r="CY24" i="6"/>
  <c r="CV24" i="6"/>
  <c r="CW24" i="6" s="1"/>
  <c r="CS24" i="6"/>
  <c r="CT24" i="6" s="1"/>
  <c r="CP24" i="6"/>
  <c r="CQ24" i="6" s="1"/>
  <c r="CN24" i="6"/>
  <c r="CM24" i="6"/>
  <c r="CJ24" i="6"/>
  <c r="CK24" i="6" s="1"/>
  <c r="CG24" i="6"/>
  <c r="CH24" i="6" s="1"/>
  <c r="CD24" i="6"/>
  <c r="CE24" i="6" s="1"/>
  <c r="CA24" i="6"/>
  <c r="CB24" i="6" s="1"/>
  <c r="BX24" i="6"/>
  <c r="BY24" i="6" s="1"/>
  <c r="BU24" i="6"/>
  <c r="BV24" i="6" s="1"/>
  <c r="BR24" i="6"/>
  <c r="BS24" i="6" s="1"/>
  <c r="BO24" i="6"/>
  <c r="BP24" i="6" s="1"/>
  <c r="BL24" i="6"/>
  <c r="BM24" i="6" s="1"/>
  <c r="BI24" i="6"/>
  <c r="BJ24" i="6" s="1"/>
  <c r="BF24" i="6"/>
  <c r="BG24" i="6" s="1"/>
  <c r="BC24" i="6"/>
  <c r="BD24" i="6" s="1"/>
  <c r="AZ24" i="6"/>
  <c r="BA24" i="6" s="1"/>
  <c r="AX24" i="6"/>
  <c r="AW24" i="6"/>
  <c r="DY23" i="6"/>
  <c r="DW23" i="6"/>
  <c r="DI23" i="6"/>
  <c r="DG23" i="6"/>
  <c r="DB23" i="6"/>
  <c r="DC23" i="6" s="1"/>
  <c r="CY23" i="6"/>
  <c r="CZ23" i="6" s="1"/>
  <c r="CW23" i="6"/>
  <c r="CV23" i="6"/>
  <c r="CT23" i="6"/>
  <c r="CS23" i="6"/>
  <c r="CP23" i="6"/>
  <c r="CQ23" i="6" s="1"/>
  <c r="CM23" i="6"/>
  <c r="CN23" i="6" s="1"/>
  <c r="CJ23" i="6"/>
  <c r="CK23" i="6" s="1"/>
  <c r="CG23" i="6"/>
  <c r="CH23" i="6" s="1"/>
  <c r="CD23" i="6"/>
  <c r="CE23" i="6" s="1"/>
  <c r="CA23" i="6"/>
  <c r="CB23" i="6" s="1"/>
  <c r="BX23" i="6"/>
  <c r="BY23" i="6" s="1"/>
  <c r="BU23" i="6"/>
  <c r="BV23" i="6" s="1"/>
  <c r="BR23" i="6"/>
  <c r="BS23" i="6" s="1"/>
  <c r="BO23" i="6"/>
  <c r="BP23" i="6" s="1"/>
  <c r="BM23" i="6"/>
  <c r="BL23" i="6"/>
  <c r="BI23" i="6"/>
  <c r="BJ23" i="6" s="1"/>
  <c r="BF23" i="6"/>
  <c r="BG23" i="6" s="1"/>
  <c r="BC23" i="6"/>
  <c r="BD23" i="6" s="1"/>
  <c r="AZ23" i="6"/>
  <c r="BA23" i="6" s="1"/>
  <c r="AX23" i="6"/>
  <c r="AW23" i="6"/>
  <c r="DY22" i="6"/>
  <c r="DW22" i="6"/>
  <c r="DI22" i="6"/>
  <c r="DG22" i="6"/>
  <c r="DB22" i="6"/>
  <c r="DC22" i="6" s="1"/>
  <c r="CY22" i="6"/>
  <c r="CZ22" i="6" s="1"/>
  <c r="CV22" i="6"/>
  <c r="CW22" i="6" s="1"/>
  <c r="CS22" i="6"/>
  <c r="CT22" i="6" s="1"/>
  <c r="CQ22" i="6"/>
  <c r="CP22" i="6"/>
  <c r="CM22" i="6"/>
  <c r="CN22" i="6" s="1"/>
  <c r="CJ22" i="6"/>
  <c r="CK22" i="6" s="1"/>
  <c r="CG22" i="6"/>
  <c r="CH22" i="6" s="1"/>
  <c r="CD22" i="6"/>
  <c r="CE22" i="6" s="1"/>
  <c r="CA22" i="6"/>
  <c r="CB22" i="6" s="1"/>
  <c r="BX22" i="6"/>
  <c r="BY22" i="6" s="1"/>
  <c r="BU22" i="6"/>
  <c r="BV22" i="6" s="1"/>
  <c r="BR22" i="6"/>
  <c r="BS22" i="6" s="1"/>
  <c r="BO22" i="6"/>
  <c r="BP22" i="6" s="1"/>
  <c r="BL22" i="6"/>
  <c r="BM22" i="6" s="1"/>
  <c r="BI22" i="6"/>
  <c r="BJ22" i="6" s="1"/>
  <c r="BG22" i="6"/>
  <c r="BF22" i="6"/>
  <c r="BD22" i="6"/>
  <c r="BC22" i="6"/>
  <c r="AZ22" i="6"/>
  <c r="BA22" i="6" s="1"/>
  <c r="AW22" i="6"/>
  <c r="AX22" i="6" s="1"/>
  <c r="DY21" i="6"/>
  <c r="DW21" i="6"/>
  <c r="DI21" i="6"/>
  <c r="DG21" i="6"/>
  <c r="DK21" i="6" s="1"/>
  <c r="DB21" i="6"/>
  <c r="DC21" i="6" s="1"/>
  <c r="CY21" i="6"/>
  <c r="CZ21" i="6" s="1"/>
  <c r="CW21" i="6"/>
  <c r="CV21" i="6"/>
  <c r="CS21" i="6"/>
  <c r="CT21" i="6" s="1"/>
  <c r="CP21" i="6"/>
  <c r="CQ21" i="6" s="1"/>
  <c r="CM21" i="6"/>
  <c r="CN21" i="6" s="1"/>
  <c r="CJ21" i="6"/>
  <c r="CK21" i="6" s="1"/>
  <c r="CG21" i="6"/>
  <c r="CH21" i="6" s="1"/>
  <c r="CD21" i="6"/>
  <c r="CE21" i="6" s="1"/>
  <c r="CA21" i="6"/>
  <c r="CB21" i="6" s="1"/>
  <c r="BX21" i="6"/>
  <c r="BY21" i="6" s="1"/>
  <c r="BU21" i="6"/>
  <c r="BV21" i="6" s="1"/>
  <c r="BR21" i="6"/>
  <c r="BS21" i="6" s="1"/>
  <c r="BO21" i="6"/>
  <c r="BP21" i="6" s="1"/>
  <c r="BL21" i="6"/>
  <c r="BM21" i="6" s="1"/>
  <c r="BI21" i="6"/>
  <c r="BJ21" i="6" s="1"/>
  <c r="BF21" i="6"/>
  <c r="BG21" i="6" s="1"/>
  <c r="BC21" i="6"/>
  <c r="BD21" i="6" s="1"/>
  <c r="AZ21" i="6"/>
  <c r="BA21" i="6" s="1"/>
  <c r="AW21" i="6"/>
  <c r="AX21" i="6" s="1"/>
  <c r="DY20" i="6"/>
  <c r="DW20" i="6"/>
  <c r="DI20" i="6"/>
  <c r="DG20" i="6"/>
  <c r="DB20" i="6"/>
  <c r="DC20" i="6" s="1"/>
  <c r="CY20" i="6"/>
  <c r="CZ20" i="6" s="1"/>
  <c r="CV20" i="6"/>
  <c r="CW20" i="6" s="1"/>
  <c r="CS20" i="6"/>
  <c r="CT20" i="6" s="1"/>
  <c r="CP20" i="6"/>
  <c r="CQ20" i="6" s="1"/>
  <c r="CN20" i="6"/>
  <c r="CM20" i="6"/>
  <c r="CJ20" i="6"/>
  <c r="CK20" i="6" s="1"/>
  <c r="CH20" i="6"/>
  <c r="CG20" i="6"/>
  <c r="CD20" i="6"/>
  <c r="CE20" i="6" s="1"/>
  <c r="CA20" i="6"/>
  <c r="CB20" i="6" s="1"/>
  <c r="BX20" i="6"/>
  <c r="BY20" i="6" s="1"/>
  <c r="BU20" i="6"/>
  <c r="BV20" i="6" s="1"/>
  <c r="BR20" i="6"/>
  <c r="BS20" i="6" s="1"/>
  <c r="BP20" i="6"/>
  <c r="BO20" i="6"/>
  <c r="BL20" i="6"/>
  <c r="BM20" i="6" s="1"/>
  <c r="BI20" i="6"/>
  <c r="BJ20" i="6" s="1"/>
  <c r="BF20" i="6"/>
  <c r="BG20" i="6" s="1"/>
  <c r="BC20" i="6"/>
  <c r="BD20" i="6" s="1"/>
  <c r="AZ20" i="6"/>
  <c r="BA20" i="6" s="1"/>
  <c r="AX20" i="6"/>
  <c r="AW20" i="6"/>
  <c r="DY19" i="6"/>
  <c r="DW19" i="6"/>
  <c r="DI19" i="6"/>
  <c r="DG19" i="6"/>
  <c r="DB19" i="6"/>
  <c r="DC19" i="6" s="1"/>
  <c r="CY19" i="6"/>
  <c r="CZ19" i="6" s="1"/>
  <c r="CV19" i="6"/>
  <c r="CW19" i="6" s="1"/>
  <c r="CS19" i="6"/>
  <c r="CT19" i="6" s="1"/>
  <c r="CQ19" i="6"/>
  <c r="CP19" i="6"/>
  <c r="CN19" i="6"/>
  <c r="CM19" i="6"/>
  <c r="CJ19" i="6"/>
  <c r="CK19" i="6" s="1"/>
  <c r="CG19" i="6"/>
  <c r="CH19" i="6" s="1"/>
  <c r="CD19" i="6"/>
  <c r="CE19" i="6" s="1"/>
  <c r="CA19" i="6"/>
  <c r="CB19" i="6" s="1"/>
  <c r="BX19" i="6"/>
  <c r="BY19" i="6" s="1"/>
  <c r="BU19" i="6"/>
  <c r="BV19" i="6" s="1"/>
  <c r="BR19" i="6"/>
  <c r="BS19" i="6" s="1"/>
  <c r="BO19" i="6"/>
  <c r="BP19" i="6" s="1"/>
  <c r="BL19" i="6"/>
  <c r="BM19" i="6" s="1"/>
  <c r="BI19" i="6"/>
  <c r="BJ19" i="6" s="1"/>
  <c r="BF19" i="6"/>
  <c r="BG19" i="6" s="1"/>
  <c r="BC19" i="6"/>
  <c r="BD19" i="6" s="1"/>
  <c r="AZ19" i="6"/>
  <c r="BA19" i="6" s="1"/>
  <c r="AW19" i="6"/>
  <c r="AX19" i="6" s="1"/>
  <c r="DY18" i="6"/>
  <c r="DW18" i="6"/>
  <c r="DI18" i="6"/>
  <c r="DG18" i="6"/>
  <c r="DB18" i="6"/>
  <c r="DC18" i="6" s="1"/>
  <c r="CY18" i="6"/>
  <c r="CZ18" i="6" s="1"/>
  <c r="CW18" i="6"/>
  <c r="CV18" i="6"/>
  <c r="CT18" i="6"/>
  <c r="CS18" i="6"/>
  <c r="CP18" i="6"/>
  <c r="CQ18" i="6" s="1"/>
  <c r="CM18" i="6"/>
  <c r="CN18" i="6" s="1"/>
  <c r="CJ18" i="6"/>
  <c r="CK18" i="6" s="1"/>
  <c r="CG18" i="6"/>
  <c r="CH18" i="6" s="1"/>
  <c r="CD18" i="6"/>
  <c r="CE18" i="6" s="1"/>
  <c r="CA18" i="6"/>
  <c r="CB18" i="6" s="1"/>
  <c r="BX18" i="6"/>
  <c r="BY18" i="6" s="1"/>
  <c r="BU18" i="6"/>
  <c r="BV18" i="6" s="1"/>
  <c r="BR18" i="6"/>
  <c r="BS18" i="6" s="1"/>
  <c r="BO18" i="6"/>
  <c r="BP18" i="6" s="1"/>
  <c r="BL18" i="6"/>
  <c r="BM18" i="6" s="1"/>
  <c r="BI18" i="6"/>
  <c r="BJ18" i="6" s="1"/>
  <c r="BF18" i="6"/>
  <c r="BG18" i="6" s="1"/>
  <c r="BC18" i="6"/>
  <c r="BD18" i="6" s="1"/>
  <c r="AZ18" i="6"/>
  <c r="BA18" i="6" s="1"/>
  <c r="AW18" i="6"/>
  <c r="AX18" i="6" s="1"/>
  <c r="DY17" i="6"/>
  <c r="DW17" i="6"/>
  <c r="DI17" i="6"/>
  <c r="DG17" i="6"/>
  <c r="DB17" i="6"/>
  <c r="DC17" i="6" s="1"/>
  <c r="CY17" i="6"/>
  <c r="CZ17" i="6" s="1"/>
  <c r="CW17" i="6"/>
  <c r="CV17" i="6"/>
  <c r="CT17" i="6"/>
  <c r="CS17" i="6"/>
  <c r="CP17" i="6"/>
  <c r="CQ17" i="6" s="1"/>
  <c r="CM17" i="6"/>
  <c r="CN17" i="6" s="1"/>
  <c r="CJ17" i="6"/>
  <c r="CK17" i="6" s="1"/>
  <c r="CG17" i="6"/>
  <c r="CH17" i="6" s="1"/>
  <c r="CD17" i="6"/>
  <c r="CE17" i="6" s="1"/>
  <c r="CA17" i="6"/>
  <c r="CB17" i="6" s="1"/>
  <c r="BX17" i="6"/>
  <c r="BY17" i="6" s="1"/>
  <c r="BU17" i="6"/>
  <c r="BV17" i="6" s="1"/>
  <c r="BS17" i="6"/>
  <c r="BR17" i="6"/>
  <c r="BO17" i="6"/>
  <c r="BP17" i="6" s="1"/>
  <c r="BL17" i="6"/>
  <c r="BM17" i="6" s="1"/>
  <c r="BI17" i="6"/>
  <c r="BJ17" i="6" s="1"/>
  <c r="BF17" i="6"/>
  <c r="BG17" i="6" s="1"/>
  <c r="BC17" i="6"/>
  <c r="BD17" i="6" s="1"/>
  <c r="AZ17" i="6"/>
  <c r="BA17" i="6" s="1"/>
  <c r="AW17" i="6"/>
  <c r="AX17" i="6" s="1"/>
  <c r="DY16" i="6"/>
  <c r="DW16" i="6"/>
  <c r="DI16" i="6"/>
  <c r="DG16" i="6"/>
  <c r="DB16" i="6"/>
  <c r="DC16" i="6" s="1"/>
  <c r="CZ16" i="6"/>
  <c r="CY16" i="6"/>
  <c r="CV16" i="6"/>
  <c r="CW16" i="6" s="1"/>
  <c r="CS16" i="6"/>
  <c r="CT16" i="6" s="1"/>
  <c r="CQ16" i="6"/>
  <c r="CP16" i="6"/>
  <c r="CM16" i="6"/>
  <c r="CN16" i="6" s="1"/>
  <c r="CJ16" i="6"/>
  <c r="CK16" i="6" s="1"/>
  <c r="CG16" i="6"/>
  <c r="CH16" i="6" s="1"/>
  <c r="CD16" i="6"/>
  <c r="CE16" i="6" s="1"/>
  <c r="CA16" i="6"/>
  <c r="CB16" i="6" s="1"/>
  <c r="BX16" i="6"/>
  <c r="BY16" i="6" s="1"/>
  <c r="BV16" i="6"/>
  <c r="BU16" i="6"/>
  <c r="BR16" i="6"/>
  <c r="BS16" i="6" s="1"/>
  <c r="BO16" i="6"/>
  <c r="BP16" i="6" s="1"/>
  <c r="BL16" i="6"/>
  <c r="BM16" i="6" s="1"/>
  <c r="BI16" i="6"/>
  <c r="BJ16" i="6" s="1"/>
  <c r="BF16" i="6"/>
  <c r="BG16" i="6" s="1"/>
  <c r="BC16" i="6"/>
  <c r="BD16" i="6" s="1"/>
  <c r="AZ16" i="6"/>
  <c r="BA16" i="6" s="1"/>
  <c r="AW16" i="6"/>
  <c r="AX16" i="6" s="1"/>
  <c r="DY15" i="6"/>
  <c r="DW15" i="6"/>
  <c r="DI15" i="6"/>
  <c r="DG15" i="6"/>
  <c r="DB15" i="6"/>
  <c r="DC15" i="6" s="1"/>
  <c r="CY15" i="6"/>
  <c r="CZ15" i="6" s="1"/>
  <c r="CV15" i="6"/>
  <c r="CW15" i="6" s="1"/>
  <c r="CS15" i="6"/>
  <c r="CT15" i="6" s="1"/>
  <c r="CP15" i="6"/>
  <c r="CQ15" i="6" s="1"/>
  <c r="CM15" i="6"/>
  <c r="CN15" i="6" s="1"/>
  <c r="CJ15" i="6"/>
  <c r="CK15" i="6" s="1"/>
  <c r="CG15" i="6"/>
  <c r="CH15" i="6" s="1"/>
  <c r="CE15" i="6"/>
  <c r="CD15" i="6"/>
  <c r="CB15" i="6"/>
  <c r="CA15" i="6"/>
  <c r="BX15" i="6"/>
  <c r="BY15" i="6" s="1"/>
  <c r="BV15" i="6"/>
  <c r="BU15" i="6"/>
  <c r="BR15" i="6"/>
  <c r="BS15" i="6" s="1"/>
  <c r="BO15" i="6"/>
  <c r="BP15" i="6" s="1"/>
  <c r="BL15" i="6"/>
  <c r="BM15" i="6" s="1"/>
  <c r="BI15" i="6"/>
  <c r="BJ15" i="6" s="1"/>
  <c r="BF15" i="6"/>
  <c r="BG15" i="6" s="1"/>
  <c r="BC15" i="6"/>
  <c r="BD15" i="6" s="1"/>
  <c r="AZ15" i="6"/>
  <c r="BA15" i="6" s="1"/>
  <c r="AX15" i="6"/>
  <c r="AW15" i="6"/>
  <c r="DY14" i="6"/>
  <c r="DW14" i="6"/>
  <c r="DI14" i="6"/>
  <c r="DG14" i="6"/>
  <c r="DB14" i="6"/>
  <c r="DC14" i="6" s="1"/>
  <c r="CY14" i="6"/>
  <c r="CZ14" i="6" s="1"/>
  <c r="CV14" i="6"/>
  <c r="CW14" i="6" s="1"/>
  <c r="CS14" i="6"/>
  <c r="CT14" i="6" s="1"/>
  <c r="CP14" i="6"/>
  <c r="CQ14" i="6" s="1"/>
  <c r="CN14" i="6"/>
  <c r="CM14" i="6"/>
  <c r="CJ14" i="6"/>
  <c r="CK14" i="6" s="1"/>
  <c r="CG14" i="6"/>
  <c r="CH14" i="6" s="1"/>
  <c r="CD14" i="6"/>
  <c r="CE14" i="6" s="1"/>
  <c r="CA14" i="6"/>
  <c r="CB14" i="6" s="1"/>
  <c r="BX14" i="6"/>
  <c r="BU14" i="6"/>
  <c r="BV14" i="6" s="1"/>
  <c r="BR14" i="6"/>
  <c r="BS14" i="6" s="1"/>
  <c r="BO14" i="6"/>
  <c r="BP14" i="6" s="1"/>
  <c r="BL14" i="6"/>
  <c r="BM14" i="6" s="1"/>
  <c r="BI14" i="6"/>
  <c r="BJ14" i="6" s="1"/>
  <c r="BF14" i="6"/>
  <c r="BG14" i="6" s="1"/>
  <c r="BC14" i="6"/>
  <c r="BD14" i="6" s="1"/>
  <c r="BA14" i="6"/>
  <c r="AZ14" i="6"/>
  <c r="AW14" i="6"/>
  <c r="AX14" i="6" s="1"/>
  <c r="DY13" i="6"/>
  <c r="DW13" i="6"/>
  <c r="DI13" i="6"/>
  <c r="DG13" i="6"/>
  <c r="DB13" i="6"/>
  <c r="DC13" i="6" s="1"/>
  <c r="CY13" i="6"/>
  <c r="CZ13" i="6" s="1"/>
  <c r="CV13" i="6"/>
  <c r="CW13" i="6" s="1"/>
  <c r="CT13" i="6"/>
  <c r="CS13" i="6"/>
  <c r="CQ13" i="6"/>
  <c r="CP13" i="6"/>
  <c r="CM13" i="6"/>
  <c r="CN13" i="6" s="1"/>
  <c r="CJ13" i="6"/>
  <c r="CK13" i="6" s="1"/>
  <c r="CG13" i="6"/>
  <c r="CH13" i="6" s="1"/>
  <c r="CD13" i="6"/>
  <c r="CE13" i="6" s="1"/>
  <c r="CA13" i="6"/>
  <c r="CB13" i="6" s="1"/>
  <c r="BX13" i="6"/>
  <c r="BY13" i="6" s="1"/>
  <c r="BU13" i="6"/>
  <c r="BV13" i="6" s="1"/>
  <c r="BR13" i="6"/>
  <c r="BS13" i="6" s="1"/>
  <c r="BP13" i="6"/>
  <c r="BO13" i="6"/>
  <c r="BL13" i="6"/>
  <c r="BM13" i="6" s="1"/>
  <c r="BI13" i="6"/>
  <c r="BJ13" i="6" s="1"/>
  <c r="BF13" i="6"/>
  <c r="BG13" i="6" s="1"/>
  <c r="BC13" i="6"/>
  <c r="BD13" i="6" s="1"/>
  <c r="AZ13" i="6"/>
  <c r="BA13" i="6" s="1"/>
  <c r="AW13" i="6"/>
  <c r="AX13" i="6" s="1"/>
  <c r="DY12" i="6"/>
  <c r="DW12" i="6"/>
  <c r="DI12" i="6"/>
  <c r="DG12" i="6"/>
  <c r="DB12" i="6"/>
  <c r="DC12" i="6" s="1"/>
  <c r="CY12" i="6"/>
  <c r="CZ12" i="6" s="1"/>
  <c r="CV12" i="6"/>
  <c r="CW12" i="6" s="1"/>
  <c r="CT12" i="6"/>
  <c r="CS12" i="6"/>
  <c r="CP12" i="6"/>
  <c r="CQ12" i="6" s="1"/>
  <c r="CM12" i="6"/>
  <c r="CN12" i="6" s="1"/>
  <c r="CJ12" i="6"/>
  <c r="CK12" i="6" s="1"/>
  <c r="CG12" i="6"/>
  <c r="CH12" i="6" s="1"/>
  <c r="CD12" i="6"/>
  <c r="CE12" i="6" s="1"/>
  <c r="CA12" i="6"/>
  <c r="CB12" i="6" s="1"/>
  <c r="BX12" i="6"/>
  <c r="BY12" i="6" s="1"/>
  <c r="BU12" i="6"/>
  <c r="BV12" i="6" s="1"/>
  <c r="BR12" i="6"/>
  <c r="BS12" i="6" s="1"/>
  <c r="BO12" i="6"/>
  <c r="BP12" i="6" s="1"/>
  <c r="BL12" i="6"/>
  <c r="BM12" i="6" s="1"/>
  <c r="BI12" i="6"/>
  <c r="BJ12" i="6" s="1"/>
  <c r="BF12" i="6"/>
  <c r="BG12" i="6" s="1"/>
  <c r="BC12" i="6"/>
  <c r="BD12" i="6" s="1"/>
  <c r="AZ12" i="6"/>
  <c r="BA12" i="6" s="1"/>
  <c r="AW12" i="6"/>
  <c r="AX12" i="6" s="1"/>
  <c r="DY11" i="6"/>
  <c r="DW11" i="6"/>
  <c r="DI11" i="6"/>
  <c r="DG11" i="6"/>
  <c r="DB11" i="6"/>
  <c r="DC11" i="6" s="1"/>
  <c r="CY11" i="6"/>
  <c r="CZ11" i="6" s="1"/>
  <c r="CV11" i="6"/>
  <c r="CW11" i="6" s="1"/>
  <c r="CS11" i="6"/>
  <c r="CT11" i="6" s="1"/>
  <c r="CP11" i="6"/>
  <c r="CQ11" i="6" s="1"/>
  <c r="CM11" i="6"/>
  <c r="CN11" i="6" s="1"/>
  <c r="CJ11" i="6"/>
  <c r="CK11" i="6" s="1"/>
  <c r="CG11" i="6"/>
  <c r="CH11" i="6" s="1"/>
  <c r="CD11" i="6"/>
  <c r="CE11" i="6" s="1"/>
  <c r="CA11" i="6"/>
  <c r="CB11" i="6" s="1"/>
  <c r="BY11" i="6"/>
  <c r="BX11" i="6"/>
  <c r="BU11" i="6"/>
  <c r="BV11" i="6" s="1"/>
  <c r="BR11" i="6"/>
  <c r="BS11" i="6" s="1"/>
  <c r="BO11" i="6"/>
  <c r="BP11" i="6" s="1"/>
  <c r="BL11" i="6"/>
  <c r="BM11" i="6" s="1"/>
  <c r="BI11" i="6"/>
  <c r="BJ11" i="6" s="1"/>
  <c r="BF11" i="6"/>
  <c r="BG11" i="6" s="1"/>
  <c r="BC11" i="6"/>
  <c r="BD11" i="6" s="1"/>
  <c r="AZ11" i="6"/>
  <c r="BA11" i="6" s="1"/>
  <c r="AW11" i="6"/>
  <c r="AX11" i="6" s="1"/>
  <c r="DY10" i="6"/>
  <c r="DW10" i="6"/>
  <c r="DI10" i="6"/>
  <c r="DG10" i="6"/>
  <c r="DC10" i="6"/>
  <c r="DB10" i="6"/>
  <c r="CY10" i="6"/>
  <c r="CZ10" i="6" s="1"/>
  <c r="CW10" i="6"/>
  <c r="CV10" i="6"/>
  <c r="CS10" i="6"/>
  <c r="CT10" i="6" s="1"/>
  <c r="CP10" i="6"/>
  <c r="CQ10" i="6" s="1"/>
  <c r="CM10" i="6"/>
  <c r="CN10" i="6" s="1"/>
  <c r="CJ10" i="6"/>
  <c r="CK10" i="6" s="1"/>
  <c r="CG10" i="6"/>
  <c r="CH10" i="6" s="1"/>
  <c r="CD10" i="6"/>
  <c r="CE10" i="6" s="1"/>
  <c r="CB10" i="6"/>
  <c r="CA10" i="6"/>
  <c r="BY10" i="6"/>
  <c r="BX10" i="6"/>
  <c r="BU10" i="6"/>
  <c r="BV10" i="6" s="1"/>
  <c r="BR10" i="6"/>
  <c r="BS10" i="6" s="1"/>
  <c r="BO10" i="6"/>
  <c r="BP10" i="6" s="1"/>
  <c r="BM10" i="6"/>
  <c r="BL10" i="6"/>
  <c r="BI10" i="6"/>
  <c r="BJ10" i="6" s="1"/>
  <c r="BF10" i="6"/>
  <c r="BG10" i="6" s="1"/>
  <c r="BC10" i="6"/>
  <c r="BD10" i="6" s="1"/>
  <c r="AZ10" i="6"/>
  <c r="BA10" i="6" s="1"/>
  <c r="AX10" i="6"/>
  <c r="AW10" i="6"/>
  <c r="DY9" i="6"/>
  <c r="DW9" i="6"/>
  <c r="DI9" i="6"/>
  <c r="DG9" i="6"/>
  <c r="DB9" i="6"/>
  <c r="DC9" i="6" s="1"/>
  <c r="CY9" i="6"/>
  <c r="CZ9" i="6" s="1"/>
  <c r="CV9" i="6"/>
  <c r="CW9" i="6" s="1"/>
  <c r="CS9" i="6"/>
  <c r="CT9" i="6" s="1"/>
  <c r="CP9" i="6"/>
  <c r="CQ9" i="6" s="1"/>
  <c r="CM9" i="6"/>
  <c r="CN9" i="6" s="1"/>
  <c r="CJ9" i="6"/>
  <c r="CK9" i="6" s="1"/>
  <c r="CG9" i="6"/>
  <c r="CH9" i="6" s="1"/>
  <c r="CD9" i="6"/>
  <c r="CE9" i="6" s="1"/>
  <c r="CA9" i="6"/>
  <c r="CB9" i="6" s="1"/>
  <c r="BX9" i="6"/>
  <c r="BY9" i="6" s="1"/>
  <c r="BV9" i="6"/>
  <c r="BU9" i="6"/>
  <c r="BR9" i="6"/>
  <c r="BS9" i="6" s="1"/>
  <c r="BO9" i="6"/>
  <c r="BP9" i="6" s="1"/>
  <c r="BL9" i="6"/>
  <c r="BM9" i="6" s="1"/>
  <c r="BI9" i="6"/>
  <c r="BJ9" i="6" s="1"/>
  <c r="BF9" i="6"/>
  <c r="BG9" i="6" s="1"/>
  <c r="BD9" i="6"/>
  <c r="BC9" i="6"/>
  <c r="BA9" i="6"/>
  <c r="AZ9" i="6"/>
  <c r="AW9" i="6"/>
  <c r="AX9" i="6" s="1"/>
  <c r="DY8" i="6"/>
  <c r="DW8" i="6"/>
  <c r="DI8" i="6"/>
  <c r="DG8" i="6"/>
  <c r="DB8" i="6"/>
  <c r="DC8" i="6" s="1"/>
  <c r="CY8" i="6"/>
  <c r="CZ8" i="6" s="1"/>
  <c r="CV8" i="6"/>
  <c r="CW8" i="6" s="1"/>
  <c r="CS8" i="6"/>
  <c r="CT8" i="6" s="1"/>
  <c r="CQ8" i="6"/>
  <c r="CP8" i="6"/>
  <c r="CM8" i="6"/>
  <c r="CN8" i="6" s="1"/>
  <c r="CJ8" i="6"/>
  <c r="CK8" i="6" s="1"/>
  <c r="CG8" i="6"/>
  <c r="CH8" i="6" s="1"/>
  <c r="CE8" i="6"/>
  <c r="CD8" i="6"/>
  <c r="CA8" i="6"/>
  <c r="CB8" i="6" s="1"/>
  <c r="BX8" i="6"/>
  <c r="BY8" i="6" s="1"/>
  <c r="BU8" i="6"/>
  <c r="BV8" i="6" s="1"/>
  <c r="BR8" i="6"/>
  <c r="BS8" i="6" s="1"/>
  <c r="BO8" i="6"/>
  <c r="BP8" i="6" s="1"/>
  <c r="BL8" i="6"/>
  <c r="BM8" i="6" s="1"/>
  <c r="BI8" i="6"/>
  <c r="BJ8" i="6" s="1"/>
  <c r="BF8" i="6"/>
  <c r="BG8" i="6" s="1"/>
  <c r="BD8" i="6"/>
  <c r="BC8" i="6"/>
  <c r="AZ8" i="6"/>
  <c r="BA8" i="6" s="1"/>
  <c r="AW8" i="6"/>
  <c r="AX8" i="6" s="1"/>
  <c r="DY7" i="6"/>
  <c r="DW7" i="6"/>
  <c r="DI7" i="6"/>
  <c r="DG7" i="6"/>
  <c r="DB7" i="6"/>
  <c r="DC7" i="6" s="1"/>
  <c r="CY7" i="6"/>
  <c r="CZ7" i="6" s="1"/>
  <c r="CV7" i="6"/>
  <c r="CW7" i="6" s="1"/>
  <c r="CS7" i="6"/>
  <c r="CT7" i="6" s="1"/>
  <c r="CP7" i="6"/>
  <c r="CQ7" i="6" s="1"/>
  <c r="CM7" i="6"/>
  <c r="CN7" i="6" s="1"/>
  <c r="CJ7" i="6"/>
  <c r="CK7" i="6" s="1"/>
  <c r="CG7" i="6"/>
  <c r="CH7" i="6" s="1"/>
  <c r="CD7" i="6"/>
  <c r="CE7" i="6" s="1"/>
  <c r="CA7" i="6"/>
  <c r="CB7" i="6" s="1"/>
  <c r="BX7" i="6"/>
  <c r="BY7" i="6" s="1"/>
  <c r="BU7" i="6"/>
  <c r="BV7" i="6" s="1"/>
  <c r="BR7" i="6"/>
  <c r="BS7" i="6" s="1"/>
  <c r="BO7" i="6"/>
  <c r="BP7" i="6" s="1"/>
  <c r="BM7" i="6"/>
  <c r="BL7" i="6"/>
  <c r="BJ7" i="6"/>
  <c r="BI7" i="6"/>
  <c r="BF7" i="6"/>
  <c r="BG7" i="6" s="1"/>
  <c r="BC7" i="6"/>
  <c r="BD7" i="6" s="1"/>
  <c r="AZ7" i="6"/>
  <c r="BA7" i="6" s="1"/>
  <c r="AX7" i="6"/>
  <c r="AW7" i="6"/>
  <c r="DY6" i="6"/>
  <c r="DW6" i="6"/>
  <c r="DI6" i="6"/>
  <c r="DG6" i="6"/>
  <c r="DB6" i="6"/>
  <c r="DC6" i="6" s="1"/>
  <c r="CY6" i="6"/>
  <c r="CZ6" i="6" s="1"/>
  <c r="CV6" i="6"/>
  <c r="CW6" i="6" s="1"/>
  <c r="CS6" i="6"/>
  <c r="CT6" i="6" s="1"/>
  <c r="CP6" i="6"/>
  <c r="CQ6" i="6" s="1"/>
  <c r="CM6" i="6"/>
  <c r="CN6" i="6" s="1"/>
  <c r="CJ6" i="6"/>
  <c r="CK6" i="6" s="1"/>
  <c r="CG6" i="6"/>
  <c r="CH6" i="6" s="1"/>
  <c r="CD6" i="6"/>
  <c r="CE6" i="6" s="1"/>
  <c r="CA6" i="6"/>
  <c r="CB6" i="6" s="1"/>
  <c r="BX6" i="6"/>
  <c r="BY6" i="6" s="1"/>
  <c r="BU6" i="6"/>
  <c r="BV6" i="6" s="1"/>
  <c r="BS6" i="6"/>
  <c r="BR6" i="6"/>
  <c r="BO6" i="6"/>
  <c r="BP6" i="6" s="1"/>
  <c r="BL6" i="6"/>
  <c r="BM6" i="6" s="1"/>
  <c r="BI6" i="6"/>
  <c r="BJ6" i="6" s="1"/>
  <c r="BF6" i="6"/>
  <c r="BG6" i="6" s="1"/>
  <c r="BC6" i="6"/>
  <c r="BD6" i="6" s="1"/>
  <c r="AZ6" i="6"/>
  <c r="BA6" i="6" s="1"/>
  <c r="AW6" i="6"/>
  <c r="AX6" i="6" s="1"/>
  <c r="DY5" i="6"/>
  <c r="DW5" i="6"/>
  <c r="DI5" i="6"/>
  <c r="DK5" i="6" s="1"/>
  <c r="DM5" i="6" s="1"/>
  <c r="DG5" i="6"/>
  <c r="DB5" i="6"/>
  <c r="DC5" i="6" s="1"/>
  <c r="CY5" i="6"/>
  <c r="CZ5" i="6" s="1"/>
  <c r="CW5" i="6"/>
  <c r="CV5" i="6"/>
  <c r="CS5" i="6"/>
  <c r="CT5" i="6" s="1"/>
  <c r="CP5" i="6"/>
  <c r="CQ5" i="6" s="1"/>
  <c r="CM5" i="6"/>
  <c r="CN5" i="6" s="1"/>
  <c r="CJ5" i="6"/>
  <c r="CK5" i="6" s="1"/>
  <c r="CH5" i="6"/>
  <c r="CG5" i="6"/>
  <c r="CD5" i="6"/>
  <c r="CE5" i="6" s="1"/>
  <c r="CA5" i="6"/>
  <c r="CB5" i="6" s="1"/>
  <c r="BX5" i="6"/>
  <c r="BY5" i="6" s="1"/>
  <c r="BU5" i="6"/>
  <c r="BV5" i="6" s="1"/>
  <c r="BR5" i="6"/>
  <c r="BS5" i="6" s="1"/>
  <c r="BO5" i="6"/>
  <c r="BP5" i="6" s="1"/>
  <c r="BL5" i="6"/>
  <c r="BM5" i="6" s="1"/>
  <c r="BI5" i="6"/>
  <c r="BJ5" i="6" s="1"/>
  <c r="BF5" i="6"/>
  <c r="BG5" i="6" s="1"/>
  <c r="BC5" i="6"/>
  <c r="BD5" i="6" s="1"/>
  <c r="AZ5" i="6"/>
  <c r="BA5" i="6" s="1"/>
  <c r="AW5" i="6"/>
  <c r="AX5" i="6" s="1"/>
  <c r="DY4" i="6"/>
  <c r="DW4" i="6"/>
  <c r="DI4" i="6"/>
  <c r="DG4" i="6"/>
  <c r="DB4" i="6"/>
  <c r="DC4" i="6" s="1"/>
  <c r="CY4" i="6"/>
  <c r="CZ4" i="6" s="1"/>
  <c r="CV4" i="6"/>
  <c r="CW4" i="6" s="1"/>
  <c r="CS4" i="6"/>
  <c r="CT4" i="6" s="1"/>
  <c r="CP4" i="6"/>
  <c r="CQ4" i="6" s="1"/>
  <c r="CM4" i="6"/>
  <c r="CN4" i="6" s="1"/>
  <c r="CJ4" i="6"/>
  <c r="CK4" i="6" s="1"/>
  <c r="CG4" i="6"/>
  <c r="CH4" i="6" s="1"/>
  <c r="CE4" i="6"/>
  <c r="CD4" i="6"/>
  <c r="CA4" i="6"/>
  <c r="CB4" i="6" s="1"/>
  <c r="BX4" i="6"/>
  <c r="BY4" i="6" s="1"/>
  <c r="BU4" i="6"/>
  <c r="BV4" i="6" s="1"/>
  <c r="BR4" i="6"/>
  <c r="BS4" i="6" s="1"/>
  <c r="BO4" i="6"/>
  <c r="BP4" i="6" s="1"/>
  <c r="BL4" i="6"/>
  <c r="BM4" i="6" s="1"/>
  <c r="BI4" i="6"/>
  <c r="BJ4" i="6" s="1"/>
  <c r="BF4" i="6"/>
  <c r="BG4" i="6" s="1"/>
  <c r="BC4" i="6"/>
  <c r="BD4" i="6" s="1"/>
  <c r="AZ4" i="6"/>
  <c r="BA4" i="6" s="1"/>
  <c r="AW4" i="6"/>
  <c r="AX4" i="6" s="1"/>
  <c r="DK3" i="6"/>
  <c r="DM3" i="6" s="1"/>
  <c r="DI3" i="6"/>
  <c r="DG3" i="6"/>
  <c r="DC3" i="6"/>
  <c r="DB3" i="6"/>
  <c r="CY3" i="6"/>
  <c r="CZ3" i="6" s="1"/>
  <c r="CW3" i="6"/>
  <c r="CV3" i="6"/>
  <c r="CT3" i="6"/>
  <c r="CS3" i="6"/>
  <c r="CQ3" i="6"/>
  <c r="CP3" i="6"/>
  <c r="CM3" i="6"/>
  <c r="CK3" i="6"/>
  <c r="CJ3" i="6"/>
  <c r="CH3" i="6"/>
  <c r="CG3" i="6"/>
  <c r="CE3" i="6"/>
  <c r="CD3" i="6"/>
  <c r="CB3" i="6"/>
  <c r="CA3" i="6"/>
  <c r="BX3" i="6"/>
  <c r="BY3" i="6" s="1"/>
  <c r="BV3" i="6"/>
  <c r="BU3" i="6"/>
  <c r="BR3" i="6"/>
  <c r="BS3" i="6" s="1"/>
  <c r="BO3" i="6"/>
  <c r="BP3" i="6" s="1"/>
  <c r="BM3" i="6"/>
  <c r="BL3" i="6"/>
  <c r="BJ3" i="6"/>
  <c r="BI3" i="6"/>
  <c r="BG3" i="6"/>
  <c r="BF3" i="6"/>
  <c r="BD3" i="6"/>
  <c r="BC3" i="6"/>
  <c r="BA3" i="6"/>
  <c r="AZ3" i="6"/>
  <c r="AX3" i="6"/>
  <c r="AW3" i="6"/>
  <c r="DI2" i="6"/>
  <c r="DG2" i="6"/>
  <c r="DB2" i="6"/>
  <c r="CZ2" i="6"/>
  <c r="CY2" i="6"/>
  <c r="CV2" i="6"/>
  <c r="CW2" i="6" s="1"/>
  <c r="CS2" i="6"/>
  <c r="CQ2" i="6"/>
  <c r="CP2" i="6"/>
  <c r="CN2" i="6"/>
  <c r="CM2" i="6"/>
  <c r="CK2" i="6"/>
  <c r="CJ2" i="6"/>
  <c r="CH2" i="6"/>
  <c r="CG2" i="6"/>
  <c r="CE2" i="6"/>
  <c r="CD2" i="6"/>
  <c r="CA2" i="6"/>
  <c r="BY2" i="6"/>
  <c r="BX2" i="6"/>
  <c r="BU2" i="6"/>
  <c r="BR2" i="6"/>
  <c r="BS2" i="6" s="1"/>
  <c r="BP2" i="6"/>
  <c r="BO2" i="6"/>
  <c r="BL2" i="6"/>
  <c r="BM2" i="6" s="1"/>
  <c r="BI2" i="6"/>
  <c r="BG2" i="6"/>
  <c r="BF2" i="6"/>
  <c r="BD2" i="6"/>
  <c r="BC2" i="6"/>
  <c r="BA2" i="6"/>
  <c r="AZ2" i="6"/>
  <c r="AX2" i="6"/>
  <c r="AW2" i="6"/>
  <c r="DN55" i="3"/>
  <c r="AA1" i="5"/>
  <c r="C3" i="5"/>
  <c r="AA3" i="5"/>
  <c r="AB3" i="5"/>
  <c r="AD3" i="5"/>
  <c r="AE3" i="5"/>
  <c r="AG3" i="5"/>
  <c r="AH3" i="5"/>
  <c r="AJ3" i="5"/>
  <c r="AK3" i="5"/>
  <c r="AM3" i="5"/>
  <c r="AN3" i="5"/>
  <c r="AP3" i="5"/>
  <c r="AQ3" i="5"/>
  <c r="AS3" i="5"/>
  <c r="AT3" i="5"/>
  <c r="AV3" i="5"/>
  <c r="AW3" i="5"/>
  <c r="AY3" i="5"/>
  <c r="AZ3" i="5"/>
  <c r="BE3" i="5"/>
  <c r="BF3" i="5"/>
  <c r="BJ3" i="5"/>
  <c r="BK3" i="5"/>
  <c r="C4" i="5"/>
  <c r="AA4" i="5"/>
  <c r="AB4" i="5"/>
  <c r="AD4" i="5"/>
  <c r="AE4" i="5"/>
  <c r="AG4" i="5"/>
  <c r="AH4" i="5"/>
  <c r="AJ4" i="5"/>
  <c r="AK4" i="5"/>
  <c r="AM4" i="5"/>
  <c r="AN4" i="5"/>
  <c r="AP4" i="5"/>
  <c r="AQ4" i="5"/>
  <c r="AS4" i="5"/>
  <c r="AT4" i="5"/>
  <c r="AV4" i="5"/>
  <c r="AW4" i="5"/>
  <c r="AY4" i="5"/>
  <c r="AZ4" i="5"/>
  <c r="BE4" i="5"/>
  <c r="BF4" i="5"/>
  <c r="BJ4" i="5"/>
  <c r="BK4" i="5"/>
  <c r="C5" i="5"/>
  <c r="AA5" i="5"/>
  <c r="AB5" i="5"/>
  <c r="AD5" i="5"/>
  <c r="AE5" i="5"/>
  <c r="AG5" i="5"/>
  <c r="AH5" i="5"/>
  <c r="AJ5" i="5"/>
  <c r="AK5" i="5"/>
  <c r="AM5" i="5"/>
  <c r="AN5" i="5"/>
  <c r="AP5" i="5"/>
  <c r="AQ5" i="5"/>
  <c r="AS5" i="5"/>
  <c r="AT5" i="5"/>
  <c r="AV5" i="5"/>
  <c r="AW5" i="5"/>
  <c r="AY5" i="5"/>
  <c r="AZ5" i="5"/>
  <c r="BE5" i="5"/>
  <c r="BF5" i="5"/>
  <c r="BJ5" i="5"/>
  <c r="BK5" i="5"/>
  <c r="C6" i="5"/>
  <c r="AA6" i="5"/>
  <c r="AB6" i="5"/>
  <c r="AD6" i="5"/>
  <c r="AE6" i="5"/>
  <c r="AG6" i="5"/>
  <c r="AH6" i="5"/>
  <c r="AJ6" i="5"/>
  <c r="AK6" i="5"/>
  <c r="AM6" i="5"/>
  <c r="AN6" i="5"/>
  <c r="AP6" i="5"/>
  <c r="AQ6" i="5"/>
  <c r="AS6" i="5"/>
  <c r="AT6" i="5"/>
  <c r="AV6" i="5"/>
  <c r="AW6" i="5"/>
  <c r="AY6" i="5"/>
  <c r="AZ6" i="5"/>
  <c r="BE6" i="5"/>
  <c r="BF6" i="5"/>
  <c r="BJ6" i="5"/>
  <c r="BK6" i="5"/>
  <c r="C7" i="5"/>
  <c r="AA7" i="5"/>
  <c r="AB7" i="5"/>
  <c r="AD7" i="5"/>
  <c r="AE7" i="5"/>
  <c r="AG7" i="5"/>
  <c r="AH7" i="5"/>
  <c r="AJ7" i="5"/>
  <c r="AK7" i="5"/>
  <c r="AM7" i="5"/>
  <c r="AN7" i="5"/>
  <c r="AP7" i="5"/>
  <c r="AQ7" i="5"/>
  <c r="AS7" i="5"/>
  <c r="AT7" i="5"/>
  <c r="AV7" i="5"/>
  <c r="AW7" i="5"/>
  <c r="AY7" i="5"/>
  <c r="AZ7" i="5"/>
  <c r="BE7" i="5"/>
  <c r="BF7" i="5"/>
  <c r="BJ7" i="5"/>
  <c r="BK7" i="5"/>
  <c r="C8" i="5"/>
  <c r="AA8" i="5"/>
  <c r="AB8" i="5"/>
  <c r="AD8" i="5"/>
  <c r="AE8" i="5"/>
  <c r="AG8" i="5"/>
  <c r="AH8" i="5"/>
  <c r="AJ8" i="5"/>
  <c r="AK8" i="5"/>
  <c r="AM8" i="5"/>
  <c r="AN8" i="5"/>
  <c r="AP8" i="5"/>
  <c r="AQ8" i="5"/>
  <c r="AS8" i="5"/>
  <c r="AT8" i="5"/>
  <c r="AV8" i="5"/>
  <c r="AW8" i="5"/>
  <c r="AY8" i="5"/>
  <c r="AZ8" i="5"/>
  <c r="BE8" i="5"/>
  <c r="BF8" i="5"/>
  <c r="BJ8" i="5"/>
  <c r="BK8" i="5"/>
  <c r="C9" i="5"/>
  <c r="AA9" i="5"/>
  <c r="AB9" i="5"/>
  <c r="AD9" i="5"/>
  <c r="AE9" i="5"/>
  <c r="AG9" i="5"/>
  <c r="AH9" i="5"/>
  <c r="AJ9" i="5"/>
  <c r="AK9" i="5"/>
  <c r="AM9" i="5"/>
  <c r="AN9" i="5"/>
  <c r="AP9" i="5"/>
  <c r="AQ9" i="5"/>
  <c r="AS9" i="5"/>
  <c r="AT9" i="5"/>
  <c r="AV9" i="5"/>
  <c r="AW9" i="5"/>
  <c r="AY9" i="5"/>
  <c r="AZ9" i="5"/>
  <c r="BE9" i="5"/>
  <c r="BF9" i="5"/>
  <c r="BJ9" i="5"/>
  <c r="BK9" i="5"/>
  <c r="C10" i="5"/>
  <c r="AA10" i="5"/>
  <c r="AB10" i="5"/>
  <c r="AD10" i="5"/>
  <c r="AE10" i="5"/>
  <c r="AG10" i="5"/>
  <c r="AH10" i="5"/>
  <c r="AJ10" i="5"/>
  <c r="AK10" i="5"/>
  <c r="AM10" i="5"/>
  <c r="AN10" i="5"/>
  <c r="AP10" i="5"/>
  <c r="AQ10" i="5"/>
  <c r="AS10" i="5"/>
  <c r="AT10" i="5"/>
  <c r="AV10" i="5"/>
  <c r="AW10" i="5"/>
  <c r="AY10" i="5"/>
  <c r="AZ10" i="5"/>
  <c r="BE10" i="5"/>
  <c r="BF10" i="5"/>
  <c r="BJ10" i="5"/>
  <c r="BK10" i="5"/>
  <c r="C11" i="5"/>
  <c r="AA11" i="5"/>
  <c r="AB11" i="5"/>
  <c r="AD11" i="5"/>
  <c r="AE11" i="5"/>
  <c r="AG11" i="5"/>
  <c r="AH11" i="5"/>
  <c r="AJ11" i="5"/>
  <c r="AK11" i="5"/>
  <c r="AM11" i="5"/>
  <c r="AN11" i="5"/>
  <c r="AP11" i="5"/>
  <c r="AQ11" i="5"/>
  <c r="AS11" i="5"/>
  <c r="AT11" i="5"/>
  <c r="AV11" i="5"/>
  <c r="AW11" i="5"/>
  <c r="AY11" i="5"/>
  <c r="AZ11" i="5"/>
  <c r="BE11" i="5"/>
  <c r="BF11" i="5"/>
  <c r="BJ11" i="5"/>
  <c r="BK11" i="5"/>
  <c r="C12" i="5"/>
  <c r="AA12" i="5"/>
  <c r="AB12" i="5"/>
  <c r="AD12" i="5"/>
  <c r="AE12" i="5"/>
  <c r="AG12" i="5"/>
  <c r="AH12" i="5"/>
  <c r="AJ12" i="5"/>
  <c r="AK12" i="5"/>
  <c r="AM12" i="5"/>
  <c r="AN12" i="5"/>
  <c r="AP12" i="5"/>
  <c r="AQ12" i="5"/>
  <c r="AS12" i="5"/>
  <c r="AT12" i="5"/>
  <c r="AV12" i="5"/>
  <c r="AW12" i="5"/>
  <c r="AY12" i="5"/>
  <c r="AZ12" i="5"/>
  <c r="BE12" i="5"/>
  <c r="BF12" i="5"/>
  <c r="BJ12" i="5"/>
  <c r="BK12" i="5"/>
  <c r="C13" i="5"/>
  <c r="AA13" i="5"/>
  <c r="AB13" i="5"/>
  <c r="AD13" i="5"/>
  <c r="AE13" i="5"/>
  <c r="AG13" i="5"/>
  <c r="AH13" i="5"/>
  <c r="AJ13" i="5"/>
  <c r="AK13" i="5"/>
  <c r="AM13" i="5"/>
  <c r="AN13" i="5"/>
  <c r="AP13" i="5"/>
  <c r="AQ13" i="5"/>
  <c r="AS13" i="5"/>
  <c r="AT13" i="5"/>
  <c r="AV13" i="5"/>
  <c r="AW13" i="5"/>
  <c r="AY13" i="5"/>
  <c r="AZ13" i="5"/>
  <c r="BE13" i="5"/>
  <c r="BF13" i="5"/>
  <c r="BJ13" i="5"/>
  <c r="BK13" i="5"/>
  <c r="C14" i="5"/>
  <c r="AA14" i="5"/>
  <c r="AB14" i="5"/>
  <c r="AD14" i="5"/>
  <c r="AE14" i="5"/>
  <c r="AG14" i="5"/>
  <c r="AH14" i="5"/>
  <c r="AJ14" i="5"/>
  <c r="AK14" i="5"/>
  <c r="AM14" i="5"/>
  <c r="AN14" i="5"/>
  <c r="AP14" i="5"/>
  <c r="AQ14" i="5"/>
  <c r="AS14" i="5"/>
  <c r="AT14" i="5"/>
  <c r="AV14" i="5"/>
  <c r="AW14" i="5"/>
  <c r="AY14" i="5"/>
  <c r="AZ14" i="5"/>
  <c r="BE14" i="5"/>
  <c r="BF14" i="5"/>
  <c r="BJ14" i="5"/>
  <c r="BK14" i="5"/>
  <c r="C15" i="5"/>
  <c r="AA15" i="5"/>
  <c r="AB15" i="5"/>
  <c r="AD15" i="5"/>
  <c r="AE15" i="5"/>
  <c r="AG15" i="5"/>
  <c r="AH15" i="5"/>
  <c r="AJ15" i="5"/>
  <c r="AK15" i="5"/>
  <c r="AM15" i="5"/>
  <c r="AN15" i="5"/>
  <c r="AP15" i="5"/>
  <c r="AQ15" i="5"/>
  <c r="AS15" i="5"/>
  <c r="AT15" i="5"/>
  <c r="AV15" i="5"/>
  <c r="AW15" i="5"/>
  <c r="AY15" i="5"/>
  <c r="AZ15" i="5"/>
  <c r="BE15" i="5"/>
  <c r="BF15" i="5"/>
  <c r="BJ15" i="5"/>
  <c r="BK15" i="5"/>
  <c r="C16" i="5"/>
  <c r="AA16" i="5"/>
  <c r="AB16" i="5"/>
  <c r="AD16" i="5"/>
  <c r="AE16" i="5"/>
  <c r="AG16" i="5"/>
  <c r="AH16" i="5"/>
  <c r="AJ16" i="5"/>
  <c r="AK16" i="5"/>
  <c r="AM16" i="5"/>
  <c r="AN16" i="5"/>
  <c r="AP16" i="5"/>
  <c r="AQ16" i="5"/>
  <c r="AS16" i="5"/>
  <c r="AT16" i="5"/>
  <c r="AV16" i="5"/>
  <c r="AW16" i="5"/>
  <c r="AY16" i="5"/>
  <c r="AZ16" i="5"/>
  <c r="BE16" i="5"/>
  <c r="BF16" i="5"/>
  <c r="BJ16" i="5"/>
  <c r="BK16" i="5"/>
  <c r="C17" i="5"/>
  <c r="AA17" i="5"/>
  <c r="AB17" i="5"/>
  <c r="AD17" i="5"/>
  <c r="AE17" i="5"/>
  <c r="AG17" i="5"/>
  <c r="AH17" i="5"/>
  <c r="AJ17" i="5"/>
  <c r="AK17" i="5"/>
  <c r="AM17" i="5"/>
  <c r="AN17" i="5"/>
  <c r="AP17" i="5"/>
  <c r="AQ17" i="5"/>
  <c r="AS17" i="5"/>
  <c r="AT17" i="5"/>
  <c r="AV17" i="5"/>
  <c r="AW17" i="5"/>
  <c r="AY17" i="5"/>
  <c r="AZ17" i="5"/>
  <c r="BE17" i="5"/>
  <c r="BF17" i="5"/>
  <c r="BJ17" i="5"/>
  <c r="BK17" i="5"/>
  <c r="C18" i="5"/>
  <c r="AA18" i="5"/>
  <c r="AB18" i="5"/>
  <c r="AD18" i="5"/>
  <c r="AE18" i="5"/>
  <c r="AG18" i="5"/>
  <c r="AH18" i="5"/>
  <c r="AJ18" i="5"/>
  <c r="AK18" i="5"/>
  <c r="AM18" i="5"/>
  <c r="AN18" i="5"/>
  <c r="AP18" i="5"/>
  <c r="AQ18" i="5"/>
  <c r="AS18" i="5"/>
  <c r="AT18" i="5"/>
  <c r="AV18" i="5"/>
  <c r="AW18" i="5"/>
  <c r="AY18" i="5"/>
  <c r="AZ18" i="5"/>
  <c r="BE18" i="5"/>
  <c r="BF18" i="5"/>
  <c r="BJ18" i="5"/>
  <c r="BK18" i="5"/>
  <c r="C19" i="5"/>
  <c r="AA19" i="5"/>
  <c r="AB19" i="5"/>
  <c r="AD19" i="5"/>
  <c r="AE19" i="5"/>
  <c r="AG19" i="5"/>
  <c r="AH19" i="5"/>
  <c r="AJ19" i="5"/>
  <c r="AK19" i="5"/>
  <c r="AM19" i="5"/>
  <c r="AN19" i="5"/>
  <c r="AP19" i="5"/>
  <c r="AQ19" i="5"/>
  <c r="AS19" i="5"/>
  <c r="AT19" i="5"/>
  <c r="AV19" i="5"/>
  <c r="AW19" i="5"/>
  <c r="AY19" i="5"/>
  <c r="AZ19" i="5"/>
  <c r="BE19" i="5"/>
  <c r="BF19" i="5"/>
  <c r="BJ19" i="5"/>
  <c r="BK19" i="5"/>
  <c r="C20" i="5"/>
  <c r="AA20" i="5"/>
  <c r="AB20" i="5"/>
  <c r="AD20" i="5"/>
  <c r="AE20" i="5"/>
  <c r="AG20" i="5"/>
  <c r="AH20" i="5"/>
  <c r="AJ20" i="5"/>
  <c r="AK20" i="5"/>
  <c r="AM20" i="5"/>
  <c r="AN20" i="5"/>
  <c r="AP20" i="5"/>
  <c r="AQ20" i="5"/>
  <c r="AS20" i="5"/>
  <c r="AT20" i="5"/>
  <c r="AV20" i="5"/>
  <c r="AW20" i="5"/>
  <c r="AY20" i="5"/>
  <c r="AZ20" i="5"/>
  <c r="BE20" i="5"/>
  <c r="BF20" i="5"/>
  <c r="BJ20" i="5"/>
  <c r="BK20" i="5"/>
  <c r="C21" i="5"/>
  <c r="AA21" i="5"/>
  <c r="AB21" i="5"/>
  <c r="AD21" i="5"/>
  <c r="AE21" i="5"/>
  <c r="AG21" i="5"/>
  <c r="AH21" i="5"/>
  <c r="AJ21" i="5"/>
  <c r="AK21" i="5"/>
  <c r="AM21" i="5"/>
  <c r="AN21" i="5"/>
  <c r="AP21" i="5"/>
  <c r="AQ21" i="5"/>
  <c r="AS21" i="5"/>
  <c r="AT21" i="5"/>
  <c r="AV21" i="5"/>
  <c r="AW21" i="5"/>
  <c r="AY21" i="5"/>
  <c r="AZ21" i="5"/>
  <c r="BE21" i="5"/>
  <c r="BF21" i="5"/>
  <c r="BJ21" i="5"/>
  <c r="BK21" i="5"/>
  <c r="C22" i="5"/>
  <c r="AA22" i="5"/>
  <c r="AB22" i="5"/>
  <c r="AD22" i="5"/>
  <c r="AE22" i="5"/>
  <c r="AG22" i="5"/>
  <c r="AH22" i="5"/>
  <c r="AJ22" i="5"/>
  <c r="AK22" i="5"/>
  <c r="AM22" i="5"/>
  <c r="AN22" i="5"/>
  <c r="AP22" i="5"/>
  <c r="AQ22" i="5"/>
  <c r="AS22" i="5"/>
  <c r="AT22" i="5"/>
  <c r="AV22" i="5"/>
  <c r="AW22" i="5"/>
  <c r="AY22" i="5"/>
  <c r="AZ22" i="5"/>
  <c r="BE22" i="5"/>
  <c r="BF22" i="5"/>
  <c r="BJ22" i="5"/>
  <c r="BK22" i="5"/>
  <c r="C23" i="5"/>
  <c r="AA23" i="5"/>
  <c r="AB23" i="5"/>
  <c r="AD23" i="5"/>
  <c r="AE23" i="5"/>
  <c r="AG23" i="5"/>
  <c r="AH23" i="5"/>
  <c r="AJ23" i="5"/>
  <c r="AK23" i="5"/>
  <c r="AM23" i="5"/>
  <c r="AN23" i="5"/>
  <c r="AP23" i="5"/>
  <c r="AQ23" i="5"/>
  <c r="AS23" i="5"/>
  <c r="AT23" i="5"/>
  <c r="AV23" i="5"/>
  <c r="AW23" i="5"/>
  <c r="AY23" i="5"/>
  <c r="AZ23" i="5"/>
  <c r="BE23" i="5"/>
  <c r="BF23" i="5"/>
  <c r="BJ23" i="5"/>
  <c r="BK23" i="5"/>
  <c r="C24" i="5"/>
  <c r="AA24" i="5"/>
  <c r="AB24" i="5"/>
  <c r="AD24" i="5"/>
  <c r="AE24" i="5"/>
  <c r="AG24" i="5"/>
  <c r="AH24" i="5"/>
  <c r="AJ24" i="5"/>
  <c r="AK24" i="5"/>
  <c r="AM24" i="5"/>
  <c r="AN24" i="5"/>
  <c r="AP24" i="5"/>
  <c r="AQ24" i="5"/>
  <c r="AS24" i="5"/>
  <c r="AT24" i="5"/>
  <c r="AV24" i="5"/>
  <c r="AW24" i="5"/>
  <c r="AY24" i="5"/>
  <c r="AZ24" i="5"/>
  <c r="BE24" i="5"/>
  <c r="BF24" i="5"/>
  <c r="BJ24" i="5"/>
  <c r="BK24" i="5"/>
  <c r="C25" i="5"/>
  <c r="AA25" i="5"/>
  <c r="AB25" i="5"/>
  <c r="AD25" i="5"/>
  <c r="AE25" i="5"/>
  <c r="AG25" i="5"/>
  <c r="AH25" i="5"/>
  <c r="AJ25" i="5"/>
  <c r="AK25" i="5"/>
  <c r="AM25" i="5"/>
  <c r="AN25" i="5"/>
  <c r="AP25" i="5"/>
  <c r="AQ25" i="5"/>
  <c r="AS25" i="5"/>
  <c r="AT25" i="5"/>
  <c r="AV25" i="5"/>
  <c r="AW25" i="5"/>
  <c r="AY25" i="5"/>
  <c r="AZ25" i="5"/>
  <c r="BE25" i="5"/>
  <c r="BF25" i="5"/>
  <c r="BJ25" i="5"/>
  <c r="BK25" i="5"/>
  <c r="C26" i="5"/>
  <c r="AA26" i="5"/>
  <c r="AB26" i="5"/>
  <c r="AD26" i="5"/>
  <c r="AE26" i="5"/>
  <c r="AG26" i="5"/>
  <c r="AH26" i="5"/>
  <c r="AJ26" i="5"/>
  <c r="AK26" i="5"/>
  <c r="AM26" i="5"/>
  <c r="AN26" i="5"/>
  <c r="AP26" i="5"/>
  <c r="AQ26" i="5"/>
  <c r="AS26" i="5"/>
  <c r="AT26" i="5"/>
  <c r="AV26" i="5"/>
  <c r="AW26" i="5"/>
  <c r="AY26" i="5"/>
  <c r="AZ26" i="5"/>
  <c r="BE26" i="5"/>
  <c r="BF26" i="5"/>
  <c r="BJ26" i="5"/>
  <c r="BK26" i="5"/>
  <c r="C27" i="5"/>
  <c r="AA27" i="5"/>
  <c r="AB27" i="5"/>
  <c r="AD27" i="5"/>
  <c r="AE27" i="5"/>
  <c r="AG27" i="5"/>
  <c r="AH27" i="5"/>
  <c r="AJ27" i="5"/>
  <c r="AK27" i="5"/>
  <c r="AM27" i="5"/>
  <c r="AN27" i="5"/>
  <c r="AP27" i="5"/>
  <c r="AQ27" i="5"/>
  <c r="AS27" i="5"/>
  <c r="AT27" i="5"/>
  <c r="AV27" i="5"/>
  <c r="AW27" i="5"/>
  <c r="AY27" i="5"/>
  <c r="AZ27" i="5"/>
  <c r="BE27" i="5"/>
  <c r="BF27" i="5"/>
  <c r="BJ27" i="5"/>
  <c r="BK27" i="5"/>
  <c r="C28" i="5"/>
  <c r="AA28" i="5"/>
  <c r="AB28" i="5"/>
  <c r="AD28" i="5"/>
  <c r="AE28" i="5"/>
  <c r="AG28" i="5"/>
  <c r="AH28" i="5"/>
  <c r="AJ28" i="5"/>
  <c r="AK28" i="5"/>
  <c r="AM28" i="5"/>
  <c r="AN28" i="5"/>
  <c r="AP28" i="5"/>
  <c r="AQ28" i="5"/>
  <c r="AS28" i="5"/>
  <c r="AT28" i="5"/>
  <c r="AV28" i="5"/>
  <c r="AW28" i="5"/>
  <c r="AY28" i="5"/>
  <c r="AZ28" i="5"/>
  <c r="BE28" i="5"/>
  <c r="BF28" i="5"/>
  <c r="BJ28" i="5"/>
  <c r="BK28" i="5"/>
  <c r="C29" i="5"/>
  <c r="AA29" i="5"/>
  <c r="AB29" i="5"/>
  <c r="AD29" i="5"/>
  <c r="AE29" i="5"/>
  <c r="AG29" i="5"/>
  <c r="AH29" i="5"/>
  <c r="AJ29" i="5"/>
  <c r="AK29" i="5"/>
  <c r="AM29" i="5"/>
  <c r="AN29" i="5"/>
  <c r="AP29" i="5"/>
  <c r="AQ29" i="5"/>
  <c r="AS29" i="5"/>
  <c r="AT29" i="5"/>
  <c r="AV29" i="5"/>
  <c r="AW29" i="5"/>
  <c r="AY29" i="5"/>
  <c r="AZ29" i="5"/>
  <c r="BE29" i="5"/>
  <c r="BF29" i="5"/>
  <c r="BJ29" i="5"/>
  <c r="BK29" i="5"/>
  <c r="C30" i="5"/>
  <c r="AA30" i="5"/>
  <c r="AB30" i="5"/>
  <c r="AD30" i="5"/>
  <c r="AE30" i="5"/>
  <c r="AG30" i="5"/>
  <c r="AH30" i="5"/>
  <c r="AJ30" i="5"/>
  <c r="AK30" i="5"/>
  <c r="AM30" i="5"/>
  <c r="AN30" i="5"/>
  <c r="AP30" i="5"/>
  <c r="AQ30" i="5"/>
  <c r="AS30" i="5"/>
  <c r="AT30" i="5"/>
  <c r="AV30" i="5"/>
  <c r="AW30" i="5"/>
  <c r="AY30" i="5"/>
  <c r="AZ30" i="5"/>
  <c r="BE30" i="5"/>
  <c r="BF30" i="5"/>
  <c r="BJ30" i="5"/>
  <c r="BK30" i="5"/>
  <c r="C31" i="5"/>
  <c r="AA31" i="5"/>
  <c r="AB31" i="5"/>
  <c r="AD31" i="5"/>
  <c r="AE31" i="5"/>
  <c r="AG31" i="5"/>
  <c r="AH31" i="5"/>
  <c r="AJ31" i="5"/>
  <c r="AK31" i="5"/>
  <c r="AM31" i="5"/>
  <c r="AN31" i="5"/>
  <c r="AP31" i="5"/>
  <c r="AQ31" i="5"/>
  <c r="AS31" i="5"/>
  <c r="AT31" i="5"/>
  <c r="AV31" i="5"/>
  <c r="AW31" i="5"/>
  <c r="AY31" i="5"/>
  <c r="AZ31" i="5"/>
  <c r="BE31" i="5"/>
  <c r="BF31" i="5"/>
  <c r="BJ31" i="5"/>
  <c r="BK31" i="5"/>
  <c r="C32" i="5"/>
  <c r="AA32" i="5"/>
  <c r="AB32" i="5"/>
  <c r="AD32" i="5"/>
  <c r="AE32" i="5"/>
  <c r="AG32" i="5"/>
  <c r="AH32" i="5"/>
  <c r="AJ32" i="5"/>
  <c r="AK32" i="5"/>
  <c r="AM32" i="5"/>
  <c r="AN32" i="5"/>
  <c r="AP32" i="5"/>
  <c r="AQ32" i="5"/>
  <c r="AS32" i="5"/>
  <c r="AT32" i="5"/>
  <c r="AV32" i="5"/>
  <c r="AW32" i="5"/>
  <c r="AY32" i="5"/>
  <c r="AZ32" i="5"/>
  <c r="BE32" i="5"/>
  <c r="BF32" i="5"/>
  <c r="BJ32" i="5"/>
  <c r="BK32" i="5"/>
  <c r="C33" i="5"/>
  <c r="AA33" i="5"/>
  <c r="AB33" i="5"/>
  <c r="AD33" i="5"/>
  <c r="AE33" i="5"/>
  <c r="AG33" i="5"/>
  <c r="AH33" i="5"/>
  <c r="AJ33" i="5"/>
  <c r="AK33" i="5"/>
  <c r="AM33" i="5"/>
  <c r="AN33" i="5"/>
  <c r="AP33" i="5"/>
  <c r="AQ33" i="5"/>
  <c r="AS33" i="5"/>
  <c r="AT33" i="5"/>
  <c r="AV33" i="5"/>
  <c r="AW33" i="5"/>
  <c r="AY33" i="5"/>
  <c r="AZ33" i="5"/>
  <c r="BE33" i="5"/>
  <c r="BF33" i="5"/>
  <c r="BJ33" i="5"/>
  <c r="BK33" i="5"/>
  <c r="C34" i="5"/>
  <c r="AA34" i="5"/>
  <c r="AB34" i="5"/>
  <c r="AD34" i="5"/>
  <c r="AE34" i="5"/>
  <c r="AG34" i="5"/>
  <c r="AH34" i="5"/>
  <c r="AJ34" i="5"/>
  <c r="AK34" i="5"/>
  <c r="AM34" i="5"/>
  <c r="AN34" i="5"/>
  <c r="AP34" i="5"/>
  <c r="AQ34" i="5"/>
  <c r="AS34" i="5"/>
  <c r="AT34" i="5"/>
  <c r="AV34" i="5"/>
  <c r="AW34" i="5"/>
  <c r="AY34" i="5"/>
  <c r="AZ34" i="5"/>
  <c r="BE34" i="5"/>
  <c r="BF34" i="5"/>
  <c r="BJ34" i="5"/>
  <c r="BK34" i="5"/>
  <c r="C35" i="5"/>
  <c r="AA35" i="5"/>
  <c r="AB35" i="5"/>
  <c r="AD35" i="5"/>
  <c r="AE35" i="5"/>
  <c r="AG35" i="5"/>
  <c r="AH35" i="5"/>
  <c r="AJ35" i="5"/>
  <c r="AK35" i="5"/>
  <c r="AM35" i="5"/>
  <c r="AN35" i="5"/>
  <c r="AP35" i="5"/>
  <c r="AQ35" i="5"/>
  <c r="AS35" i="5"/>
  <c r="AT35" i="5"/>
  <c r="AV35" i="5"/>
  <c r="AW35" i="5"/>
  <c r="AY35" i="5"/>
  <c r="AZ35" i="5"/>
  <c r="BE35" i="5"/>
  <c r="BF35" i="5"/>
  <c r="BJ35" i="5"/>
  <c r="BK35" i="5"/>
  <c r="C36" i="5"/>
  <c r="AA36" i="5"/>
  <c r="AB36" i="5"/>
  <c r="AD36" i="5"/>
  <c r="AE36" i="5"/>
  <c r="AG36" i="5"/>
  <c r="AH36" i="5"/>
  <c r="AJ36" i="5"/>
  <c r="AK36" i="5"/>
  <c r="AM36" i="5"/>
  <c r="AN36" i="5"/>
  <c r="AP36" i="5"/>
  <c r="AQ36" i="5"/>
  <c r="AS36" i="5"/>
  <c r="AT36" i="5"/>
  <c r="AV36" i="5"/>
  <c r="AW36" i="5"/>
  <c r="AY36" i="5"/>
  <c r="AZ36" i="5"/>
  <c r="BE36" i="5"/>
  <c r="BF36" i="5"/>
  <c r="BJ36" i="5"/>
  <c r="BK36" i="5"/>
  <c r="C37" i="5"/>
  <c r="AA37" i="5"/>
  <c r="AB37" i="5"/>
  <c r="AD37" i="5"/>
  <c r="AE37" i="5"/>
  <c r="AG37" i="5"/>
  <c r="AH37" i="5"/>
  <c r="AJ37" i="5"/>
  <c r="AK37" i="5"/>
  <c r="AM37" i="5"/>
  <c r="AN37" i="5"/>
  <c r="AP37" i="5"/>
  <c r="AQ37" i="5"/>
  <c r="AS37" i="5"/>
  <c r="AT37" i="5"/>
  <c r="AV37" i="5"/>
  <c r="AW37" i="5"/>
  <c r="AY37" i="5"/>
  <c r="AZ37" i="5"/>
  <c r="BE37" i="5"/>
  <c r="BF37" i="5"/>
  <c r="BJ37" i="5"/>
  <c r="BK37" i="5"/>
  <c r="C38" i="5"/>
  <c r="AA38" i="5"/>
  <c r="AB38" i="5"/>
  <c r="AD38" i="5"/>
  <c r="AE38" i="5"/>
  <c r="AG38" i="5"/>
  <c r="AH38" i="5"/>
  <c r="AJ38" i="5"/>
  <c r="AK38" i="5"/>
  <c r="AM38" i="5"/>
  <c r="AN38" i="5"/>
  <c r="AP38" i="5"/>
  <c r="AQ38" i="5"/>
  <c r="AS38" i="5"/>
  <c r="AT38" i="5"/>
  <c r="AV38" i="5"/>
  <c r="AW38" i="5"/>
  <c r="AY38" i="5"/>
  <c r="AZ38" i="5"/>
  <c r="BE38" i="5"/>
  <c r="BF38" i="5"/>
  <c r="BJ38" i="5"/>
  <c r="BK38" i="5"/>
  <c r="C39" i="5"/>
  <c r="AA39" i="5"/>
  <c r="AB39" i="5"/>
  <c r="AD39" i="5"/>
  <c r="AE39" i="5"/>
  <c r="AG39" i="5"/>
  <c r="AH39" i="5"/>
  <c r="AJ39" i="5"/>
  <c r="AK39" i="5"/>
  <c r="AM39" i="5"/>
  <c r="AN39" i="5"/>
  <c r="AP39" i="5"/>
  <c r="AQ39" i="5"/>
  <c r="AS39" i="5"/>
  <c r="AT39" i="5"/>
  <c r="AV39" i="5"/>
  <c r="AW39" i="5"/>
  <c r="AY39" i="5"/>
  <c r="AZ39" i="5"/>
  <c r="BE39" i="5"/>
  <c r="BF39" i="5"/>
  <c r="BJ39" i="5"/>
  <c r="BK39" i="5"/>
  <c r="C40" i="5"/>
  <c r="AA40" i="5"/>
  <c r="AB40" i="5"/>
  <c r="AD40" i="5"/>
  <c r="AE40" i="5"/>
  <c r="AG40" i="5"/>
  <c r="AH40" i="5"/>
  <c r="AJ40" i="5"/>
  <c r="AK40" i="5"/>
  <c r="AM40" i="5"/>
  <c r="AN40" i="5"/>
  <c r="AP40" i="5"/>
  <c r="AQ40" i="5"/>
  <c r="AS40" i="5"/>
  <c r="AT40" i="5"/>
  <c r="AV40" i="5"/>
  <c r="AW40" i="5"/>
  <c r="AY40" i="5"/>
  <c r="AZ40" i="5"/>
  <c r="BE40" i="5"/>
  <c r="BF40" i="5"/>
  <c r="BJ40" i="5"/>
  <c r="BK40" i="5"/>
  <c r="C41" i="5"/>
  <c r="AA41" i="5"/>
  <c r="AB41" i="5"/>
  <c r="AD41" i="5"/>
  <c r="AE41" i="5"/>
  <c r="AG41" i="5"/>
  <c r="AH41" i="5"/>
  <c r="AJ41" i="5"/>
  <c r="AK41" i="5"/>
  <c r="AM41" i="5"/>
  <c r="AN41" i="5"/>
  <c r="AP41" i="5"/>
  <c r="AQ41" i="5"/>
  <c r="AS41" i="5"/>
  <c r="AT41" i="5"/>
  <c r="AV41" i="5"/>
  <c r="AW41" i="5"/>
  <c r="AY41" i="5"/>
  <c r="AZ41" i="5"/>
  <c r="BE41" i="5"/>
  <c r="BF41" i="5"/>
  <c r="BJ41" i="5"/>
  <c r="BK41" i="5"/>
  <c r="C42" i="5"/>
  <c r="AA42" i="5"/>
  <c r="AB42" i="5"/>
  <c r="AD42" i="5"/>
  <c r="AE42" i="5"/>
  <c r="AG42" i="5"/>
  <c r="AH42" i="5"/>
  <c r="AJ42" i="5"/>
  <c r="AK42" i="5"/>
  <c r="AM42" i="5"/>
  <c r="AN42" i="5"/>
  <c r="AP42" i="5"/>
  <c r="AQ42" i="5"/>
  <c r="AS42" i="5"/>
  <c r="AT42" i="5"/>
  <c r="AV42" i="5"/>
  <c r="AW42" i="5"/>
  <c r="AY42" i="5"/>
  <c r="AZ42" i="5"/>
  <c r="BE42" i="5"/>
  <c r="BF42" i="5"/>
  <c r="BJ42" i="5"/>
  <c r="BK42" i="5"/>
  <c r="C43" i="5"/>
  <c r="AA43" i="5"/>
  <c r="AB43" i="5"/>
  <c r="AD43" i="5"/>
  <c r="AE43" i="5"/>
  <c r="AG43" i="5"/>
  <c r="AH43" i="5"/>
  <c r="AJ43" i="5"/>
  <c r="AK43" i="5"/>
  <c r="AM43" i="5"/>
  <c r="AN43" i="5"/>
  <c r="AP43" i="5"/>
  <c r="AQ43" i="5"/>
  <c r="AS43" i="5"/>
  <c r="AT43" i="5"/>
  <c r="AV43" i="5"/>
  <c r="AW43" i="5"/>
  <c r="AY43" i="5"/>
  <c r="AZ43" i="5"/>
  <c r="BE43" i="5"/>
  <c r="BF43" i="5"/>
  <c r="BJ43" i="5"/>
  <c r="BK43" i="5"/>
  <c r="C44" i="5"/>
  <c r="AA44" i="5"/>
  <c r="AB44" i="5"/>
  <c r="AD44" i="5"/>
  <c r="AE44" i="5"/>
  <c r="AG44" i="5"/>
  <c r="AH44" i="5"/>
  <c r="AJ44" i="5"/>
  <c r="AK44" i="5"/>
  <c r="AM44" i="5"/>
  <c r="AN44" i="5"/>
  <c r="AP44" i="5"/>
  <c r="AQ44" i="5"/>
  <c r="AS44" i="5"/>
  <c r="AT44" i="5"/>
  <c r="AV44" i="5"/>
  <c r="AW44" i="5"/>
  <c r="AY44" i="5"/>
  <c r="AZ44" i="5"/>
  <c r="BE44" i="5"/>
  <c r="BF44" i="5"/>
  <c r="BJ44" i="5"/>
  <c r="BK44" i="5"/>
  <c r="C45" i="5"/>
  <c r="AA45" i="5"/>
  <c r="AB45" i="5"/>
  <c r="AD45" i="5"/>
  <c r="AE45" i="5"/>
  <c r="AG45" i="5"/>
  <c r="AH45" i="5"/>
  <c r="AJ45" i="5"/>
  <c r="AK45" i="5"/>
  <c r="AM45" i="5"/>
  <c r="AN45" i="5"/>
  <c r="AP45" i="5"/>
  <c r="AQ45" i="5"/>
  <c r="AS45" i="5"/>
  <c r="AT45" i="5"/>
  <c r="AV45" i="5"/>
  <c r="AW45" i="5"/>
  <c r="AY45" i="5"/>
  <c r="AZ45" i="5"/>
  <c r="BE45" i="5"/>
  <c r="BF45" i="5"/>
  <c r="BJ45" i="5"/>
  <c r="BK45" i="5"/>
  <c r="C46" i="5"/>
  <c r="AA46" i="5"/>
  <c r="AB46" i="5"/>
  <c r="AD46" i="5"/>
  <c r="AE46" i="5"/>
  <c r="AG46" i="5"/>
  <c r="AH46" i="5"/>
  <c r="AJ46" i="5"/>
  <c r="AK46" i="5"/>
  <c r="AM46" i="5"/>
  <c r="AN46" i="5"/>
  <c r="AP46" i="5"/>
  <c r="AQ46" i="5"/>
  <c r="AS46" i="5"/>
  <c r="AT46" i="5"/>
  <c r="AV46" i="5"/>
  <c r="AW46" i="5"/>
  <c r="AY46" i="5"/>
  <c r="AZ46" i="5"/>
  <c r="BE46" i="5"/>
  <c r="BF46" i="5"/>
  <c r="BJ46" i="5"/>
  <c r="BK46" i="5"/>
  <c r="DE54" i="4"/>
  <c r="AU54" i="4"/>
  <c r="AS54" i="4"/>
  <c r="AQ54" i="4"/>
  <c r="AO54" i="4"/>
  <c r="AM54" i="4"/>
  <c r="AK54" i="4"/>
  <c r="AI54" i="4"/>
  <c r="AG54" i="4"/>
  <c r="AE54" i="4"/>
  <c r="AC54" i="4"/>
  <c r="AA54" i="4"/>
  <c r="Y54" i="4"/>
  <c r="W54" i="4"/>
  <c r="U54" i="4"/>
  <c r="S54" i="4"/>
  <c r="Q54" i="4"/>
  <c r="O54" i="4"/>
  <c r="M54" i="4"/>
  <c r="K54" i="4"/>
  <c r="I54" i="4"/>
  <c r="DY53" i="4"/>
  <c r="DW53" i="4"/>
  <c r="DI53" i="4"/>
  <c r="DK53" i="4" s="1"/>
  <c r="DO53" i="4" s="1"/>
  <c r="DG53" i="4"/>
  <c r="DC53" i="4"/>
  <c r="DB53" i="4"/>
  <c r="CZ53" i="4"/>
  <c r="CY53" i="4"/>
  <c r="CV53" i="4"/>
  <c r="CW53" i="4" s="1"/>
  <c r="CT53" i="4"/>
  <c r="CS53" i="4"/>
  <c r="CP53" i="4"/>
  <c r="CQ53" i="4" s="1"/>
  <c r="CN53" i="4"/>
  <c r="CM53" i="4"/>
  <c r="CK53" i="4"/>
  <c r="CJ53" i="4"/>
  <c r="CG53" i="4"/>
  <c r="CH53" i="4" s="1"/>
  <c r="CE53" i="4"/>
  <c r="CD53" i="4"/>
  <c r="CA53" i="4"/>
  <c r="CB53" i="4" s="1"/>
  <c r="BX53" i="4"/>
  <c r="BY53" i="4" s="1"/>
  <c r="BU53" i="4"/>
  <c r="BV53" i="4" s="1"/>
  <c r="BR53" i="4"/>
  <c r="BS53" i="4" s="1"/>
  <c r="BO53" i="4"/>
  <c r="BP53" i="4" s="1"/>
  <c r="BL53" i="4"/>
  <c r="BM53" i="4" s="1"/>
  <c r="BI53" i="4"/>
  <c r="BJ53" i="4" s="1"/>
  <c r="BG53" i="4"/>
  <c r="BF53" i="4"/>
  <c r="BD53" i="4"/>
  <c r="BC53" i="4"/>
  <c r="AZ53" i="4"/>
  <c r="BA53" i="4" s="1"/>
  <c r="AW53" i="4"/>
  <c r="AX53" i="4" s="1"/>
  <c r="DY52" i="4"/>
  <c r="DW52" i="4"/>
  <c r="DI52" i="4"/>
  <c r="DK52" i="4" s="1"/>
  <c r="DO52" i="4" s="1"/>
  <c r="DG52" i="4"/>
  <c r="DC52" i="4"/>
  <c r="DB52" i="4"/>
  <c r="CY52" i="4"/>
  <c r="CZ52" i="4" s="1"/>
  <c r="CW52" i="4"/>
  <c r="CV52" i="4"/>
  <c r="CT52" i="4"/>
  <c r="CS52" i="4"/>
  <c r="CQ52" i="4"/>
  <c r="CP52" i="4"/>
  <c r="CM52" i="4"/>
  <c r="CN52" i="4" s="1"/>
  <c r="CJ52" i="4"/>
  <c r="CK52" i="4" s="1"/>
  <c r="CG52" i="4"/>
  <c r="CH52" i="4" s="1"/>
  <c r="CD52" i="4"/>
  <c r="CE52" i="4" s="1"/>
  <c r="CA52" i="4"/>
  <c r="CB52" i="4" s="1"/>
  <c r="BY52" i="4"/>
  <c r="BX52" i="4"/>
  <c r="BV52" i="4"/>
  <c r="BU52" i="4"/>
  <c r="BS52" i="4"/>
  <c r="BR52" i="4"/>
  <c r="BO52" i="4"/>
  <c r="BP52" i="4" s="1"/>
  <c r="BM52" i="4"/>
  <c r="BL52" i="4"/>
  <c r="BJ52" i="4"/>
  <c r="BI52" i="4"/>
  <c r="BF52" i="4"/>
  <c r="BG52" i="4" s="1"/>
  <c r="BC52" i="4"/>
  <c r="BD52" i="4" s="1"/>
  <c r="AZ52" i="4"/>
  <c r="BA52" i="4" s="1"/>
  <c r="AW52" i="4"/>
  <c r="AX52" i="4" s="1"/>
  <c r="DY51" i="4"/>
  <c r="DW51" i="4"/>
  <c r="DI51" i="4"/>
  <c r="DG51" i="4"/>
  <c r="DK51" i="4" s="1"/>
  <c r="DO51" i="4" s="1"/>
  <c r="DB51" i="4"/>
  <c r="DC51" i="4" s="1"/>
  <c r="CZ51" i="4"/>
  <c r="CY51" i="4"/>
  <c r="CW51" i="4"/>
  <c r="CV51" i="4"/>
  <c r="CS51" i="4"/>
  <c r="CT51" i="4" s="1"/>
  <c r="CP51" i="4"/>
  <c r="CQ51" i="4" s="1"/>
  <c r="CN51" i="4"/>
  <c r="CM51" i="4"/>
  <c r="CJ51" i="4"/>
  <c r="CK51" i="4" s="1"/>
  <c r="CG51" i="4"/>
  <c r="CH51" i="4" s="1"/>
  <c r="CE51" i="4"/>
  <c r="CD51" i="4"/>
  <c r="CA51" i="4"/>
  <c r="CB51" i="4" s="1"/>
  <c r="BY51" i="4"/>
  <c r="BX51" i="4"/>
  <c r="BU51" i="4"/>
  <c r="BV51" i="4" s="1"/>
  <c r="BS51" i="4"/>
  <c r="BR51" i="4"/>
  <c r="BP51" i="4"/>
  <c r="BO51" i="4"/>
  <c r="BL51" i="4"/>
  <c r="BM51" i="4" s="1"/>
  <c r="BJ51" i="4"/>
  <c r="BI51" i="4"/>
  <c r="BF51" i="4"/>
  <c r="BG51" i="4" s="1"/>
  <c r="BC51" i="4"/>
  <c r="BD51" i="4" s="1"/>
  <c r="AZ51" i="4"/>
  <c r="BA51" i="4" s="1"/>
  <c r="AX51" i="4"/>
  <c r="AW51" i="4"/>
  <c r="DY50" i="4"/>
  <c r="DW50" i="4"/>
  <c r="DI50" i="4"/>
  <c r="DK50" i="4" s="1"/>
  <c r="DM50" i="4" s="1"/>
  <c r="DG50" i="4"/>
  <c r="DB50" i="4"/>
  <c r="DC50" i="4" s="1"/>
  <c r="CY50" i="4"/>
  <c r="CZ50" i="4" s="1"/>
  <c r="CV50" i="4"/>
  <c r="CW50" i="4" s="1"/>
  <c r="CS50" i="4"/>
  <c r="CT50" i="4" s="1"/>
  <c r="CP50" i="4"/>
  <c r="CQ50" i="4" s="1"/>
  <c r="CN50" i="4"/>
  <c r="CM50" i="4"/>
  <c r="CK50" i="4"/>
  <c r="CJ50" i="4"/>
  <c r="CG50" i="4"/>
  <c r="CH50" i="4" s="1"/>
  <c r="CD50" i="4"/>
  <c r="CE50" i="4" s="1"/>
  <c r="CA50" i="4"/>
  <c r="CB50" i="4" s="1"/>
  <c r="BY50" i="4"/>
  <c r="BX50" i="4"/>
  <c r="BV50" i="4"/>
  <c r="BU50" i="4"/>
  <c r="BR50" i="4"/>
  <c r="BS50" i="4" s="1"/>
  <c r="BO50" i="4"/>
  <c r="BP50" i="4" s="1"/>
  <c r="BM50" i="4"/>
  <c r="BL50" i="4"/>
  <c r="BI50" i="4"/>
  <c r="BJ50" i="4" s="1"/>
  <c r="BF50" i="4"/>
  <c r="BG50" i="4" s="1"/>
  <c r="BD50" i="4"/>
  <c r="BC50" i="4"/>
  <c r="AZ50" i="4"/>
  <c r="BA50" i="4" s="1"/>
  <c r="AW50" i="4"/>
  <c r="AX50" i="4" s="1"/>
  <c r="DY49" i="4"/>
  <c r="DW49" i="4"/>
  <c r="DI49" i="4"/>
  <c r="DG49" i="4"/>
  <c r="DB49" i="4"/>
  <c r="DC49" i="4" s="1"/>
  <c r="CZ49" i="4"/>
  <c r="CY49" i="4"/>
  <c r="CV49" i="4"/>
  <c r="CW49" i="4" s="1"/>
  <c r="CS49" i="4"/>
  <c r="CT49" i="4" s="1"/>
  <c r="CQ49" i="4"/>
  <c r="CP49" i="4"/>
  <c r="CM49" i="4"/>
  <c r="CN49" i="4" s="1"/>
  <c r="CK49" i="4"/>
  <c r="CJ49" i="4"/>
  <c r="CG49" i="4"/>
  <c r="CH49" i="4" s="1"/>
  <c r="CE49" i="4"/>
  <c r="CD49" i="4"/>
  <c r="CB49" i="4"/>
  <c r="CA49" i="4"/>
  <c r="BY49" i="4"/>
  <c r="BX49" i="4"/>
  <c r="BU49" i="4"/>
  <c r="BV49" i="4" s="1"/>
  <c r="BR49" i="4"/>
  <c r="BS49" i="4" s="1"/>
  <c r="BO49" i="4"/>
  <c r="BP49" i="4" s="1"/>
  <c r="BL49" i="4"/>
  <c r="BM49" i="4" s="1"/>
  <c r="BJ49" i="4"/>
  <c r="BI49" i="4"/>
  <c r="BF49" i="4"/>
  <c r="BG49" i="4" s="1"/>
  <c r="BD49" i="4"/>
  <c r="BC49" i="4"/>
  <c r="AZ49" i="4"/>
  <c r="BA49" i="4" s="1"/>
  <c r="AX49" i="4"/>
  <c r="AW49" i="4"/>
  <c r="DY48" i="4"/>
  <c r="DW48" i="4"/>
  <c r="DI48" i="4"/>
  <c r="DG48" i="4"/>
  <c r="DK48" i="4" s="1"/>
  <c r="DO48" i="4" s="1"/>
  <c r="DB48" i="4"/>
  <c r="DC48" i="4" s="1"/>
  <c r="CY48" i="4"/>
  <c r="CZ48" i="4" s="1"/>
  <c r="CV48" i="4"/>
  <c r="CW48" i="4" s="1"/>
  <c r="CS48" i="4"/>
  <c r="CT48" i="4" s="1"/>
  <c r="CP48" i="4"/>
  <c r="CQ48" i="4" s="1"/>
  <c r="CN48" i="4"/>
  <c r="CM48" i="4"/>
  <c r="CK48" i="4"/>
  <c r="CJ48" i="4"/>
  <c r="CH48" i="4"/>
  <c r="CG48" i="4"/>
  <c r="CD48" i="4"/>
  <c r="CE48" i="4" s="1"/>
  <c r="CB48" i="4"/>
  <c r="CA48" i="4"/>
  <c r="BY48" i="4"/>
  <c r="BX48" i="4"/>
  <c r="BU48" i="4"/>
  <c r="BV48" i="4" s="1"/>
  <c r="BS48" i="4"/>
  <c r="BR48" i="4"/>
  <c r="BP48" i="4"/>
  <c r="BO48" i="4"/>
  <c r="BL48" i="4"/>
  <c r="BM48" i="4" s="1"/>
  <c r="BI48" i="4"/>
  <c r="BJ48" i="4" s="1"/>
  <c r="BG48" i="4"/>
  <c r="BF48" i="4"/>
  <c r="BD48" i="4"/>
  <c r="BC48" i="4"/>
  <c r="BA48" i="4"/>
  <c r="AZ48" i="4"/>
  <c r="AW48" i="4"/>
  <c r="AX48" i="4" s="1"/>
  <c r="DY47" i="4"/>
  <c r="DW47" i="4"/>
  <c r="DI47" i="4"/>
  <c r="DK47" i="4" s="1"/>
  <c r="DM47" i="4" s="1"/>
  <c r="DG47" i="4"/>
  <c r="DC47" i="4"/>
  <c r="DB47" i="4"/>
  <c r="CY47" i="4"/>
  <c r="CZ47" i="4" s="1"/>
  <c r="CW47" i="4"/>
  <c r="CV47" i="4"/>
  <c r="CS47" i="4"/>
  <c r="CT47" i="4" s="1"/>
  <c r="CQ47" i="4"/>
  <c r="CP47" i="4"/>
  <c r="CN47" i="4"/>
  <c r="CM47" i="4"/>
  <c r="CJ47" i="4"/>
  <c r="CK47" i="4" s="1"/>
  <c r="CG47" i="4"/>
  <c r="CH47" i="4" s="1"/>
  <c r="CD47" i="4"/>
  <c r="CE47" i="4" s="1"/>
  <c r="CA47" i="4"/>
  <c r="CB47" i="4" s="1"/>
  <c r="BX47" i="4"/>
  <c r="BY47" i="4" s="1"/>
  <c r="BV47" i="4"/>
  <c r="BU47" i="4"/>
  <c r="BS47" i="4"/>
  <c r="BR47" i="4"/>
  <c r="BO47" i="4"/>
  <c r="BP47" i="4" s="1"/>
  <c r="BL47" i="4"/>
  <c r="BM47" i="4" s="1"/>
  <c r="BJ47" i="4"/>
  <c r="BI47" i="4"/>
  <c r="BG47" i="4"/>
  <c r="BF47" i="4"/>
  <c r="BD47" i="4"/>
  <c r="BC47" i="4"/>
  <c r="AZ47" i="4"/>
  <c r="BA47" i="4" s="1"/>
  <c r="AW47" i="4"/>
  <c r="AX47" i="4" s="1"/>
  <c r="DY46" i="4"/>
  <c r="DW46" i="4"/>
  <c r="DI46" i="4"/>
  <c r="DG46" i="4"/>
  <c r="DK46" i="4" s="1"/>
  <c r="DM46" i="4" s="1"/>
  <c r="DC46" i="4"/>
  <c r="DB46" i="4"/>
  <c r="CZ46" i="4"/>
  <c r="CY46" i="4"/>
  <c r="CW46" i="4"/>
  <c r="CV46" i="4"/>
  <c r="CT46" i="4"/>
  <c r="CS46" i="4"/>
  <c r="CP46" i="4"/>
  <c r="CQ46" i="4" s="1"/>
  <c r="CM46" i="4"/>
  <c r="CN46" i="4" s="1"/>
  <c r="CK46" i="4"/>
  <c r="CJ46" i="4"/>
  <c r="CG46" i="4"/>
  <c r="CH46" i="4" s="1"/>
  <c r="CD46" i="4"/>
  <c r="CE46" i="4" s="1"/>
  <c r="CB46" i="4"/>
  <c r="CA46" i="4"/>
  <c r="BX46" i="4"/>
  <c r="BY46" i="4" s="1"/>
  <c r="BU46" i="4"/>
  <c r="BV46" i="4" s="1"/>
  <c r="BR46" i="4"/>
  <c r="BS46" i="4" s="1"/>
  <c r="BP46" i="4"/>
  <c r="BO46" i="4"/>
  <c r="BM46" i="4"/>
  <c r="BL46" i="4"/>
  <c r="BI46" i="4"/>
  <c r="BJ46" i="4" s="1"/>
  <c r="BF46" i="4"/>
  <c r="BG46" i="4" s="1"/>
  <c r="BC46" i="4"/>
  <c r="BD46" i="4" s="1"/>
  <c r="AZ46" i="4"/>
  <c r="BA46" i="4" s="1"/>
  <c r="AW46" i="4"/>
  <c r="AX46" i="4" s="1"/>
  <c r="DY45" i="4"/>
  <c r="DW45" i="4"/>
  <c r="DI45" i="4"/>
  <c r="DK45" i="4" s="1"/>
  <c r="DG45" i="4"/>
  <c r="DC45" i="4"/>
  <c r="DB45" i="4"/>
  <c r="CZ45" i="4"/>
  <c r="CY45" i="4"/>
  <c r="CV45" i="4"/>
  <c r="CW45" i="4" s="1"/>
  <c r="CT45" i="4"/>
  <c r="CS45" i="4"/>
  <c r="CP45" i="4"/>
  <c r="CQ45" i="4" s="1"/>
  <c r="CM45" i="4"/>
  <c r="CN45" i="4" s="1"/>
  <c r="CJ45" i="4"/>
  <c r="CK45" i="4" s="1"/>
  <c r="CH45" i="4"/>
  <c r="CG45" i="4"/>
  <c r="CE45" i="4"/>
  <c r="CD45" i="4"/>
  <c r="CA45" i="4"/>
  <c r="CB45" i="4" s="1"/>
  <c r="BX45" i="4"/>
  <c r="BY45" i="4" s="1"/>
  <c r="BV45" i="4"/>
  <c r="BU45" i="4"/>
  <c r="BS45" i="4"/>
  <c r="BR45" i="4"/>
  <c r="BP45" i="4"/>
  <c r="BO45" i="4"/>
  <c r="BL45" i="4"/>
  <c r="BM45" i="4" s="1"/>
  <c r="BJ45" i="4"/>
  <c r="BI45" i="4"/>
  <c r="BF45" i="4"/>
  <c r="BG45" i="4" s="1"/>
  <c r="BD45" i="4"/>
  <c r="BC45" i="4"/>
  <c r="BA45" i="4"/>
  <c r="AZ45" i="4"/>
  <c r="AW45" i="4"/>
  <c r="AX45" i="4" s="1"/>
  <c r="DY44" i="4"/>
  <c r="DW44" i="4"/>
  <c r="DI44" i="4"/>
  <c r="DG44" i="4"/>
  <c r="DC44" i="4"/>
  <c r="DB44" i="4"/>
  <c r="CY44" i="4"/>
  <c r="CZ44" i="4" s="1"/>
  <c r="CW44" i="4"/>
  <c r="CV44" i="4"/>
  <c r="CS44" i="4"/>
  <c r="CT44" i="4" s="1"/>
  <c r="CP44" i="4"/>
  <c r="CQ44" i="4" s="1"/>
  <c r="CN44" i="4"/>
  <c r="CM44" i="4"/>
  <c r="CK44" i="4"/>
  <c r="CJ44" i="4"/>
  <c r="CG44" i="4"/>
  <c r="CH44" i="4" s="1"/>
  <c r="CD44" i="4"/>
  <c r="CE44" i="4" s="1"/>
  <c r="CA44" i="4"/>
  <c r="CB44" i="4" s="1"/>
  <c r="BX44" i="4"/>
  <c r="BY44" i="4" s="1"/>
  <c r="BU44" i="4"/>
  <c r="BV44" i="4" s="1"/>
  <c r="BR44" i="4"/>
  <c r="BS44" i="4" s="1"/>
  <c r="BP44" i="4"/>
  <c r="BO44" i="4"/>
  <c r="BL44" i="4"/>
  <c r="BM44" i="4" s="1"/>
  <c r="BI44" i="4"/>
  <c r="BJ44" i="4" s="1"/>
  <c r="BG44" i="4"/>
  <c r="BF44" i="4"/>
  <c r="BC44" i="4"/>
  <c r="BD44" i="4" s="1"/>
  <c r="BA44" i="4"/>
  <c r="AZ44" i="4"/>
  <c r="AW44" i="4"/>
  <c r="AX44" i="4" s="1"/>
  <c r="DY43" i="4"/>
  <c r="DW43" i="4"/>
  <c r="DI43" i="4"/>
  <c r="DG43" i="4"/>
  <c r="DK43" i="4" s="1"/>
  <c r="DC43" i="4"/>
  <c r="DB43" i="4"/>
  <c r="CY43" i="4"/>
  <c r="CZ43" i="4" s="1"/>
  <c r="CW43" i="4"/>
  <c r="CV43" i="4"/>
  <c r="CT43" i="4"/>
  <c r="CS43" i="4"/>
  <c r="CP43" i="4"/>
  <c r="CQ43" i="4" s="1"/>
  <c r="CN43" i="4"/>
  <c r="CM43" i="4"/>
  <c r="CJ43" i="4"/>
  <c r="CK43" i="4" s="1"/>
  <c r="CH43" i="4"/>
  <c r="CG43" i="4"/>
  <c r="CE43" i="4"/>
  <c r="CD43" i="4"/>
  <c r="CA43" i="4"/>
  <c r="CB43" i="4" s="1"/>
  <c r="BX43" i="4"/>
  <c r="BY43" i="4" s="1"/>
  <c r="BU43" i="4"/>
  <c r="BV43" i="4" s="1"/>
  <c r="BR43" i="4"/>
  <c r="BS43" i="4" s="1"/>
  <c r="BO43" i="4"/>
  <c r="BP43" i="4" s="1"/>
  <c r="BM43" i="4"/>
  <c r="BL43" i="4"/>
  <c r="BJ43" i="4"/>
  <c r="BI43" i="4"/>
  <c r="BF43" i="4"/>
  <c r="BG43" i="4" s="1"/>
  <c r="BD43" i="4"/>
  <c r="BC43" i="4"/>
  <c r="BA43" i="4"/>
  <c r="AZ43" i="4"/>
  <c r="AX43" i="4"/>
  <c r="AW43" i="4"/>
  <c r="DY42" i="4"/>
  <c r="DW42" i="4"/>
  <c r="DI42" i="4"/>
  <c r="DK42" i="4" s="1"/>
  <c r="DM42" i="4" s="1"/>
  <c r="DG42" i="4"/>
  <c r="DB42" i="4"/>
  <c r="DC42" i="4" s="1"/>
  <c r="CZ42" i="4"/>
  <c r="CY42" i="4"/>
  <c r="CV42" i="4"/>
  <c r="CW42" i="4" s="1"/>
  <c r="CS42" i="4"/>
  <c r="CT42" i="4" s="1"/>
  <c r="CP42" i="4"/>
  <c r="CQ42" i="4" s="1"/>
  <c r="CN42" i="4"/>
  <c r="CM42" i="4"/>
  <c r="CK42" i="4"/>
  <c r="CJ42" i="4"/>
  <c r="CG42" i="4"/>
  <c r="CH42" i="4" s="1"/>
  <c r="CD42" i="4"/>
  <c r="CE42" i="4" s="1"/>
  <c r="CA42" i="4"/>
  <c r="CB42" i="4" s="1"/>
  <c r="BX42" i="4"/>
  <c r="BY42" i="4" s="1"/>
  <c r="BU42" i="4"/>
  <c r="BV42" i="4" s="1"/>
  <c r="BR42" i="4"/>
  <c r="BS42" i="4" s="1"/>
  <c r="BO42" i="4"/>
  <c r="BP42" i="4" s="1"/>
  <c r="BL42" i="4"/>
  <c r="BM42" i="4" s="1"/>
  <c r="BI42" i="4"/>
  <c r="BJ42" i="4" s="1"/>
  <c r="BG42" i="4"/>
  <c r="BF42" i="4"/>
  <c r="BD42" i="4"/>
  <c r="BC42" i="4"/>
  <c r="BA42" i="4"/>
  <c r="AZ42" i="4"/>
  <c r="AW42" i="4"/>
  <c r="AX42" i="4" s="1"/>
  <c r="DY41" i="4"/>
  <c r="DW41" i="4"/>
  <c r="DI41" i="4"/>
  <c r="DK41" i="4" s="1"/>
  <c r="DQ41" i="4" s="1"/>
  <c r="DG41" i="4"/>
  <c r="DC41" i="4"/>
  <c r="DB41" i="4"/>
  <c r="CY41" i="4"/>
  <c r="CZ41" i="4" s="1"/>
  <c r="CV41" i="4"/>
  <c r="CW41" i="4" s="1"/>
  <c r="CT41" i="4"/>
  <c r="CS41" i="4"/>
  <c r="CQ41" i="4"/>
  <c r="CP41" i="4"/>
  <c r="CM41" i="4"/>
  <c r="CN41" i="4" s="1"/>
  <c r="CK41" i="4"/>
  <c r="CJ41" i="4"/>
  <c r="CG41" i="4"/>
  <c r="CH41" i="4" s="1"/>
  <c r="CD41" i="4"/>
  <c r="CE41" i="4" s="1"/>
  <c r="CB41" i="4"/>
  <c r="CA41" i="4"/>
  <c r="BX41" i="4"/>
  <c r="BY41" i="4" s="1"/>
  <c r="BU41" i="4"/>
  <c r="BV41" i="4" s="1"/>
  <c r="BR41" i="4"/>
  <c r="BS41" i="4" s="1"/>
  <c r="BP41" i="4"/>
  <c r="BO41" i="4"/>
  <c r="BM41" i="4"/>
  <c r="BL41" i="4"/>
  <c r="BJ41" i="4"/>
  <c r="BI41" i="4"/>
  <c r="BG41" i="4"/>
  <c r="BF41" i="4"/>
  <c r="BC41" i="4"/>
  <c r="BD41" i="4" s="1"/>
  <c r="AZ41" i="4"/>
  <c r="BA41" i="4" s="1"/>
  <c r="AW41" i="4"/>
  <c r="AX41" i="4" s="1"/>
  <c r="DY40" i="4"/>
  <c r="DW40" i="4"/>
  <c r="DI40" i="4"/>
  <c r="DG40" i="4"/>
  <c r="DB40" i="4"/>
  <c r="DC40" i="4" s="1"/>
  <c r="CZ40" i="4"/>
  <c r="CY40" i="4"/>
  <c r="CW40" i="4"/>
  <c r="CV40" i="4"/>
  <c r="CT40" i="4"/>
  <c r="CS40" i="4"/>
  <c r="CQ40" i="4"/>
  <c r="CP40" i="4"/>
  <c r="CN40" i="4"/>
  <c r="CM40" i="4"/>
  <c r="CJ40" i="4"/>
  <c r="CK40" i="4" s="1"/>
  <c r="CH40" i="4"/>
  <c r="CG40" i="4"/>
  <c r="CE40" i="4"/>
  <c r="CD40" i="4"/>
  <c r="CB40" i="4"/>
  <c r="CA40" i="4"/>
  <c r="BX40" i="4"/>
  <c r="BY40" i="4" s="1"/>
  <c r="BV40" i="4"/>
  <c r="BU40" i="4"/>
  <c r="BS40" i="4"/>
  <c r="BR40" i="4"/>
  <c r="BP40" i="4"/>
  <c r="BO40" i="4"/>
  <c r="BM40" i="4"/>
  <c r="BL40" i="4"/>
  <c r="BJ40" i="4"/>
  <c r="BI40" i="4"/>
  <c r="BG40" i="4"/>
  <c r="BF40" i="4"/>
  <c r="BC40" i="4"/>
  <c r="BD40" i="4" s="1"/>
  <c r="AZ40" i="4"/>
  <c r="BA40" i="4" s="1"/>
  <c r="AX40" i="4"/>
  <c r="AW40" i="4"/>
  <c r="DY39" i="4"/>
  <c r="DW39" i="4"/>
  <c r="DI39" i="4"/>
  <c r="DK39" i="4" s="1"/>
  <c r="DG39" i="4"/>
  <c r="DC39" i="4"/>
  <c r="DB39" i="4"/>
  <c r="CZ39" i="4"/>
  <c r="CY39" i="4"/>
  <c r="CV39" i="4"/>
  <c r="CW39" i="4" s="1"/>
  <c r="CS39" i="4"/>
  <c r="CT39" i="4" s="1"/>
  <c r="CP39" i="4"/>
  <c r="CQ39" i="4" s="1"/>
  <c r="CM39" i="4"/>
  <c r="CN39" i="4" s="1"/>
  <c r="CK39" i="4"/>
  <c r="CJ39" i="4"/>
  <c r="CH39" i="4"/>
  <c r="CG39" i="4"/>
  <c r="CE39" i="4"/>
  <c r="CD39" i="4"/>
  <c r="CA39" i="4"/>
  <c r="CB39" i="4" s="1"/>
  <c r="BX39" i="4"/>
  <c r="BY39" i="4" s="1"/>
  <c r="BU39" i="4"/>
  <c r="BV39" i="4" s="1"/>
  <c r="BR39" i="4"/>
  <c r="BS39" i="4" s="1"/>
  <c r="BP39" i="4"/>
  <c r="BO39" i="4"/>
  <c r="BL39" i="4"/>
  <c r="BM39" i="4" s="1"/>
  <c r="BI39" i="4"/>
  <c r="BJ39" i="4" s="1"/>
  <c r="BG39" i="4"/>
  <c r="BF39" i="4"/>
  <c r="BD39" i="4"/>
  <c r="BC39" i="4"/>
  <c r="BA39" i="4"/>
  <c r="AZ39" i="4"/>
  <c r="AW39" i="4"/>
  <c r="AX39" i="4" s="1"/>
  <c r="DY38" i="4"/>
  <c r="DW38" i="4"/>
  <c r="DI38" i="4"/>
  <c r="DG38" i="4"/>
  <c r="DB38" i="4"/>
  <c r="DC38" i="4" s="1"/>
  <c r="CZ38" i="4"/>
  <c r="CY38" i="4"/>
  <c r="CV38" i="4"/>
  <c r="CW38" i="4" s="1"/>
  <c r="CT38" i="4"/>
  <c r="CS38" i="4"/>
  <c r="CQ38" i="4"/>
  <c r="CP38" i="4"/>
  <c r="CM38" i="4"/>
  <c r="CN38" i="4" s="1"/>
  <c r="CJ38" i="4"/>
  <c r="CK38" i="4" s="1"/>
  <c r="CG38" i="4"/>
  <c r="CH38" i="4" s="1"/>
  <c r="CE38" i="4"/>
  <c r="CD38" i="4"/>
  <c r="CA38" i="4"/>
  <c r="CB38" i="4" s="1"/>
  <c r="BX38" i="4"/>
  <c r="BY38" i="4" s="1"/>
  <c r="BU38" i="4"/>
  <c r="BV38" i="4" s="1"/>
  <c r="BR38" i="4"/>
  <c r="BS38" i="4" s="1"/>
  <c r="BO38" i="4"/>
  <c r="BP38" i="4" s="1"/>
  <c r="BL38" i="4"/>
  <c r="BM38" i="4" s="1"/>
  <c r="BJ38" i="4"/>
  <c r="BI38" i="4"/>
  <c r="BF38" i="4"/>
  <c r="BG38" i="4" s="1"/>
  <c r="BC38" i="4"/>
  <c r="BD38" i="4" s="1"/>
  <c r="AZ38" i="4"/>
  <c r="BA38" i="4" s="1"/>
  <c r="AX38" i="4"/>
  <c r="AW38" i="4"/>
  <c r="DY37" i="4"/>
  <c r="DW37" i="4"/>
  <c r="DI37" i="4"/>
  <c r="DG37" i="4"/>
  <c r="DB37" i="4"/>
  <c r="DC37" i="4" s="1"/>
  <c r="CY37" i="4"/>
  <c r="CZ37" i="4" s="1"/>
  <c r="CW37" i="4"/>
  <c r="CV37" i="4"/>
  <c r="CT37" i="4"/>
  <c r="CS37" i="4"/>
  <c r="CP37" i="4"/>
  <c r="CQ37" i="4" s="1"/>
  <c r="CN37" i="4"/>
  <c r="CM37" i="4"/>
  <c r="CK37" i="4"/>
  <c r="CJ37" i="4"/>
  <c r="CH37" i="4"/>
  <c r="CG37" i="4"/>
  <c r="CE37" i="4"/>
  <c r="CD37" i="4"/>
  <c r="CA37" i="4"/>
  <c r="CB37" i="4" s="1"/>
  <c r="BX37" i="4"/>
  <c r="BY37" i="4" s="1"/>
  <c r="BU37" i="4"/>
  <c r="BV37" i="4" s="1"/>
  <c r="BR37" i="4"/>
  <c r="BS37" i="4" s="1"/>
  <c r="BP37" i="4"/>
  <c r="BO37" i="4"/>
  <c r="BM37" i="4"/>
  <c r="BL37" i="4"/>
  <c r="BI37" i="4"/>
  <c r="BJ37" i="4" s="1"/>
  <c r="BF37" i="4"/>
  <c r="BG37" i="4" s="1"/>
  <c r="BC37" i="4"/>
  <c r="BD37" i="4" s="1"/>
  <c r="BA37" i="4"/>
  <c r="AZ37" i="4"/>
  <c r="AW37" i="4"/>
  <c r="AX37" i="4" s="1"/>
  <c r="DY36" i="4"/>
  <c r="DW36" i="4"/>
  <c r="DI36" i="4"/>
  <c r="DG36" i="4"/>
  <c r="DC36" i="4"/>
  <c r="DB36" i="4"/>
  <c r="CY36" i="4"/>
  <c r="CZ36" i="4" s="1"/>
  <c r="CV36" i="4"/>
  <c r="CW36" i="4" s="1"/>
  <c r="CT36" i="4"/>
  <c r="CS36" i="4"/>
  <c r="CQ36" i="4"/>
  <c r="CP36" i="4"/>
  <c r="CN36" i="4"/>
  <c r="CM36" i="4"/>
  <c r="CJ36" i="4"/>
  <c r="CK36" i="4" s="1"/>
  <c r="CH36" i="4"/>
  <c r="CG36" i="4"/>
  <c r="CD36" i="4"/>
  <c r="CE36" i="4" s="1"/>
  <c r="CA36" i="4"/>
  <c r="CB36" i="4" s="1"/>
  <c r="BX36" i="4"/>
  <c r="BY36" i="4" s="1"/>
  <c r="BV36" i="4"/>
  <c r="BU36" i="4"/>
  <c r="BR36" i="4"/>
  <c r="BS36" i="4" s="1"/>
  <c r="BP36" i="4"/>
  <c r="BO36" i="4"/>
  <c r="BL36" i="4"/>
  <c r="BM36" i="4" s="1"/>
  <c r="BJ36" i="4"/>
  <c r="BI36" i="4"/>
  <c r="BG36" i="4"/>
  <c r="BF36" i="4"/>
  <c r="BC36" i="4"/>
  <c r="BD36" i="4" s="1"/>
  <c r="AZ36" i="4"/>
  <c r="BA36" i="4" s="1"/>
  <c r="AW36" i="4"/>
  <c r="AX36" i="4" s="1"/>
  <c r="DY35" i="4"/>
  <c r="DW35" i="4"/>
  <c r="DI35" i="4"/>
  <c r="DG35" i="4"/>
  <c r="DB35" i="4"/>
  <c r="DC35" i="4" s="1"/>
  <c r="CY35" i="4"/>
  <c r="CZ35" i="4" s="1"/>
  <c r="CW35" i="4"/>
  <c r="CV35" i="4"/>
  <c r="CT35" i="4"/>
  <c r="CS35" i="4"/>
  <c r="CP35" i="4"/>
  <c r="CQ35" i="4" s="1"/>
  <c r="CM35" i="4"/>
  <c r="CN35" i="4" s="1"/>
  <c r="CK35" i="4"/>
  <c r="CJ35" i="4"/>
  <c r="CG35" i="4"/>
  <c r="CH35" i="4" s="1"/>
  <c r="CE35" i="4"/>
  <c r="CD35" i="4"/>
  <c r="CA35" i="4"/>
  <c r="CB35" i="4" s="1"/>
  <c r="BX35" i="4"/>
  <c r="BY35" i="4" s="1"/>
  <c r="BU35" i="4"/>
  <c r="BV35" i="4" s="1"/>
  <c r="BR35" i="4"/>
  <c r="BS35" i="4" s="1"/>
  <c r="BO35" i="4"/>
  <c r="BP35" i="4" s="1"/>
  <c r="BM35" i="4"/>
  <c r="BL35" i="4"/>
  <c r="BI35" i="4"/>
  <c r="BJ35" i="4" s="1"/>
  <c r="BF35" i="4"/>
  <c r="BG35" i="4" s="1"/>
  <c r="BC35" i="4"/>
  <c r="BD35" i="4" s="1"/>
  <c r="AZ35" i="4"/>
  <c r="BA35" i="4" s="1"/>
  <c r="AW35" i="4"/>
  <c r="AX35" i="4" s="1"/>
  <c r="DY34" i="4"/>
  <c r="DW34" i="4"/>
  <c r="DI34" i="4"/>
  <c r="DG34" i="4"/>
  <c r="DK34" i="4" s="1"/>
  <c r="DM34" i="4" s="1"/>
  <c r="DC34" i="4"/>
  <c r="DB34" i="4"/>
  <c r="CZ34" i="4"/>
  <c r="CY34" i="4"/>
  <c r="CV34" i="4"/>
  <c r="CW34" i="4" s="1"/>
  <c r="CS34" i="4"/>
  <c r="CT34" i="4" s="1"/>
  <c r="CQ34" i="4"/>
  <c r="CP34" i="4"/>
  <c r="CM34" i="4"/>
  <c r="CN34" i="4" s="1"/>
  <c r="CJ34" i="4"/>
  <c r="CK34" i="4" s="1"/>
  <c r="CH34" i="4"/>
  <c r="CG34" i="4"/>
  <c r="CE34" i="4"/>
  <c r="CD34" i="4"/>
  <c r="CA34" i="4"/>
  <c r="CB34" i="4" s="1"/>
  <c r="BX34" i="4"/>
  <c r="BY34" i="4" s="1"/>
  <c r="BV34" i="4"/>
  <c r="BU34" i="4"/>
  <c r="BS34" i="4"/>
  <c r="BR34" i="4"/>
  <c r="BP34" i="4"/>
  <c r="BO34" i="4"/>
  <c r="BM34" i="4"/>
  <c r="BL34" i="4"/>
  <c r="BI34" i="4"/>
  <c r="BJ34" i="4" s="1"/>
  <c r="BF34" i="4"/>
  <c r="BG34" i="4" s="1"/>
  <c r="BD34" i="4"/>
  <c r="BC34" i="4"/>
  <c r="BA34" i="4"/>
  <c r="AZ34" i="4"/>
  <c r="AW34" i="4"/>
  <c r="AX34" i="4" s="1"/>
  <c r="DY33" i="4"/>
  <c r="DW33" i="4"/>
  <c r="DI33" i="4"/>
  <c r="DG33" i="4"/>
  <c r="DK33" i="4" s="1"/>
  <c r="DM33" i="4" s="1"/>
  <c r="DB33" i="4"/>
  <c r="DC33" i="4" s="1"/>
  <c r="CZ33" i="4"/>
  <c r="CY33" i="4"/>
  <c r="CV33" i="4"/>
  <c r="CW33" i="4" s="1"/>
  <c r="CS33" i="4"/>
  <c r="CT33" i="4" s="1"/>
  <c r="CP33" i="4"/>
  <c r="CQ33" i="4" s="1"/>
  <c r="CN33" i="4"/>
  <c r="CM33" i="4"/>
  <c r="CJ33" i="4"/>
  <c r="CK33" i="4" s="1"/>
  <c r="CG33" i="4"/>
  <c r="CH33" i="4" s="1"/>
  <c r="CD33" i="4"/>
  <c r="CE33" i="4" s="1"/>
  <c r="CA33" i="4"/>
  <c r="CB33" i="4" s="1"/>
  <c r="BX33" i="4"/>
  <c r="BY33" i="4" s="1"/>
  <c r="BU33" i="4"/>
  <c r="BV33" i="4" s="1"/>
  <c r="BR33" i="4"/>
  <c r="BS33" i="4" s="1"/>
  <c r="BP33" i="4"/>
  <c r="BO33" i="4"/>
  <c r="BL33" i="4"/>
  <c r="BM33" i="4" s="1"/>
  <c r="BI33" i="4"/>
  <c r="BJ33" i="4" s="1"/>
  <c r="BG33" i="4"/>
  <c r="BF33" i="4"/>
  <c r="BD33" i="4"/>
  <c r="BC33" i="4"/>
  <c r="AZ33" i="4"/>
  <c r="BA33" i="4" s="1"/>
  <c r="AW33" i="4"/>
  <c r="AX33" i="4" s="1"/>
  <c r="DY32" i="4"/>
  <c r="DW32" i="4"/>
  <c r="DI32" i="4"/>
  <c r="DK32" i="4" s="1"/>
  <c r="DG32" i="4"/>
  <c r="DB32" i="4"/>
  <c r="DC32" i="4" s="1"/>
  <c r="CY32" i="4"/>
  <c r="CZ32" i="4" s="1"/>
  <c r="CV32" i="4"/>
  <c r="CW32" i="4" s="1"/>
  <c r="CT32" i="4"/>
  <c r="CS32" i="4"/>
  <c r="CQ32" i="4"/>
  <c r="CP32" i="4"/>
  <c r="CN32" i="4"/>
  <c r="CM32" i="4"/>
  <c r="CJ32" i="4"/>
  <c r="CK32" i="4" s="1"/>
  <c r="CH32" i="4"/>
  <c r="CG32" i="4"/>
  <c r="CE32" i="4"/>
  <c r="CD32" i="4"/>
  <c r="CA32" i="4"/>
  <c r="CB32" i="4" s="1"/>
  <c r="BX32" i="4"/>
  <c r="BY32" i="4" s="1"/>
  <c r="BU32" i="4"/>
  <c r="BV32" i="4" s="1"/>
  <c r="BR32" i="4"/>
  <c r="BS32" i="4" s="1"/>
  <c r="BO32" i="4"/>
  <c r="BP32" i="4" s="1"/>
  <c r="BL32" i="4"/>
  <c r="BM32" i="4" s="1"/>
  <c r="BI32" i="4"/>
  <c r="BJ32" i="4" s="1"/>
  <c r="BG32" i="4"/>
  <c r="BF32" i="4"/>
  <c r="BC32" i="4"/>
  <c r="BD32" i="4" s="1"/>
  <c r="BA32" i="4"/>
  <c r="AZ32" i="4"/>
  <c r="AX32" i="4"/>
  <c r="AW32" i="4"/>
  <c r="DY31" i="4"/>
  <c r="DW31" i="4"/>
  <c r="DI31" i="4"/>
  <c r="DK31" i="4" s="1"/>
  <c r="DO31" i="4" s="1"/>
  <c r="DG31" i="4"/>
  <c r="DB31" i="4"/>
  <c r="DC31" i="4" s="1"/>
  <c r="CY31" i="4"/>
  <c r="CZ31" i="4" s="1"/>
  <c r="CW31" i="4"/>
  <c r="CV31" i="4"/>
  <c r="CS31" i="4"/>
  <c r="CT31" i="4" s="1"/>
  <c r="CP31" i="4"/>
  <c r="CQ31" i="4" s="1"/>
  <c r="CN31" i="4"/>
  <c r="CM31" i="4"/>
  <c r="CK31" i="4"/>
  <c r="CJ31" i="4"/>
  <c r="CG31" i="4"/>
  <c r="CH31" i="4" s="1"/>
  <c r="CD31" i="4"/>
  <c r="CE31" i="4" s="1"/>
  <c r="CA31" i="4"/>
  <c r="CB31" i="4" s="1"/>
  <c r="BX31" i="4"/>
  <c r="BY31" i="4" s="1"/>
  <c r="BU31" i="4"/>
  <c r="BV31" i="4" s="1"/>
  <c r="BR31" i="4"/>
  <c r="BS31" i="4" s="1"/>
  <c r="BO31" i="4"/>
  <c r="BP31" i="4" s="1"/>
  <c r="BM31" i="4"/>
  <c r="BL31" i="4"/>
  <c r="BJ31" i="4"/>
  <c r="BI31" i="4"/>
  <c r="BG31" i="4"/>
  <c r="BF31" i="4"/>
  <c r="BD31" i="4"/>
  <c r="BC31" i="4"/>
  <c r="BA31" i="4"/>
  <c r="AZ31" i="4"/>
  <c r="AW31" i="4"/>
  <c r="AX31" i="4" s="1"/>
  <c r="DY30" i="4"/>
  <c r="DW30" i="4"/>
  <c r="DI30" i="4"/>
  <c r="DG30" i="4"/>
  <c r="DK30" i="4" s="1"/>
  <c r="DQ30" i="4" s="1"/>
  <c r="DB30" i="4"/>
  <c r="DC30" i="4" s="1"/>
  <c r="CY30" i="4"/>
  <c r="CZ30" i="4" s="1"/>
  <c r="CV30" i="4"/>
  <c r="CW30" i="4" s="1"/>
  <c r="CT30" i="4"/>
  <c r="CS30" i="4"/>
  <c r="CQ30" i="4"/>
  <c r="CP30" i="4"/>
  <c r="CM30" i="4"/>
  <c r="CN30" i="4" s="1"/>
  <c r="CJ30" i="4"/>
  <c r="CK30" i="4" s="1"/>
  <c r="CG30" i="4"/>
  <c r="CH30" i="4" s="1"/>
  <c r="CD30" i="4"/>
  <c r="CE30" i="4" s="1"/>
  <c r="CA30" i="4"/>
  <c r="CB30" i="4" s="1"/>
  <c r="BX30" i="4"/>
  <c r="BY30" i="4" s="1"/>
  <c r="BU30" i="4"/>
  <c r="BV30" i="4" s="1"/>
  <c r="BR30" i="4"/>
  <c r="BS30" i="4" s="1"/>
  <c r="BP30" i="4"/>
  <c r="BO30" i="4"/>
  <c r="BM30" i="4"/>
  <c r="BL30" i="4"/>
  <c r="BJ30" i="4"/>
  <c r="BI30" i="4"/>
  <c r="BF30" i="4"/>
  <c r="BG30" i="4" s="1"/>
  <c r="BD30" i="4"/>
  <c r="BC30" i="4"/>
  <c r="AZ30" i="4"/>
  <c r="BA30" i="4" s="1"/>
  <c r="AW30" i="4"/>
  <c r="AX30" i="4" s="1"/>
  <c r="DY29" i="4"/>
  <c r="DW29" i="4"/>
  <c r="DI29" i="4"/>
  <c r="DG29" i="4"/>
  <c r="DC29" i="4"/>
  <c r="DB29" i="4"/>
  <c r="CZ29" i="4"/>
  <c r="CY29" i="4"/>
  <c r="CW29" i="4"/>
  <c r="CV29" i="4"/>
  <c r="CS29" i="4"/>
  <c r="CT29" i="4" s="1"/>
  <c r="CP29" i="4"/>
  <c r="CQ29" i="4" s="1"/>
  <c r="CM29" i="4"/>
  <c r="CN29" i="4" s="1"/>
  <c r="CJ29" i="4"/>
  <c r="CK29" i="4" s="1"/>
  <c r="CH29" i="4"/>
  <c r="CG29" i="4"/>
  <c r="CD29" i="4"/>
  <c r="CE29" i="4" s="1"/>
  <c r="CA29" i="4"/>
  <c r="CB29" i="4" s="1"/>
  <c r="BX29" i="4"/>
  <c r="BY29" i="4" s="1"/>
  <c r="BU29" i="4"/>
  <c r="BV29" i="4" s="1"/>
  <c r="BS29" i="4"/>
  <c r="BR29" i="4"/>
  <c r="BP29" i="4"/>
  <c r="BO29" i="4"/>
  <c r="BL29" i="4"/>
  <c r="BM29" i="4" s="1"/>
  <c r="BI29" i="4"/>
  <c r="BJ29" i="4" s="1"/>
  <c r="BF29" i="4"/>
  <c r="BG29" i="4" s="1"/>
  <c r="BC29" i="4"/>
  <c r="BD29" i="4" s="1"/>
  <c r="AZ29" i="4"/>
  <c r="BA29" i="4" s="1"/>
  <c r="AX29" i="4"/>
  <c r="AW29" i="4"/>
  <c r="DY28" i="4"/>
  <c r="DW28" i="4"/>
  <c r="DI28" i="4"/>
  <c r="DK28" i="4" s="1"/>
  <c r="DQ28" i="4" s="1"/>
  <c r="DG28" i="4"/>
  <c r="DC28" i="4"/>
  <c r="DB28" i="4"/>
  <c r="CY28" i="4"/>
  <c r="CZ28" i="4" s="1"/>
  <c r="CW28" i="4"/>
  <c r="CV28" i="4"/>
  <c r="CS28" i="4"/>
  <c r="CT28" i="4" s="1"/>
  <c r="CP28" i="4"/>
  <c r="CQ28" i="4" s="1"/>
  <c r="CN28" i="4"/>
  <c r="CM28" i="4"/>
  <c r="CK28" i="4"/>
  <c r="CJ28" i="4"/>
  <c r="CH28" i="4"/>
  <c r="CG28" i="4"/>
  <c r="CD28" i="4"/>
  <c r="CE28" i="4" s="1"/>
  <c r="CA28" i="4"/>
  <c r="CB28" i="4" s="1"/>
  <c r="BX28" i="4"/>
  <c r="BY28" i="4" s="1"/>
  <c r="BV28" i="4"/>
  <c r="BU28" i="4"/>
  <c r="BS28" i="4"/>
  <c r="BR28" i="4"/>
  <c r="BO28" i="4"/>
  <c r="BP28" i="4" s="1"/>
  <c r="BL28" i="4"/>
  <c r="BM28" i="4" s="1"/>
  <c r="BI28" i="4"/>
  <c r="BJ28" i="4" s="1"/>
  <c r="BF28" i="4"/>
  <c r="BG28" i="4" s="1"/>
  <c r="BC28" i="4"/>
  <c r="BD28" i="4" s="1"/>
  <c r="AZ28" i="4"/>
  <c r="BA28" i="4" s="1"/>
  <c r="AW28" i="4"/>
  <c r="AX28" i="4" s="1"/>
  <c r="DY27" i="4"/>
  <c r="DW27" i="4"/>
  <c r="DI27" i="4"/>
  <c r="DG27" i="4"/>
  <c r="DB27" i="4"/>
  <c r="DC27" i="4" s="1"/>
  <c r="CZ27" i="4"/>
  <c r="CY27" i="4"/>
  <c r="CV27" i="4"/>
  <c r="CW27" i="4" s="1"/>
  <c r="CT27" i="4"/>
  <c r="CS27" i="4"/>
  <c r="CP27" i="4"/>
  <c r="CQ27" i="4" s="1"/>
  <c r="CN27" i="4"/>
  <c r="CM27" i="4"/>
  <c r="CK27" i="4"/>
  <c r="CJ27" i="4"/>
  <c r="CH27" i="4"/>
  <c r="CG27" i="4"/>
  <c r="CE27" i="4"/>
  <c r="CD27" i="4"/>
  <c r="CB27" i="4"/>
  <c r="CA27" i="4"/>
  <c r="BX27" i="4"/>
  <c r="BY27" i="4" s="1"/>
  <c r="BU27" i="4"/>
  <c r="BV27" i="4" s="1"/>
  <c r="BR27" i="4"/>
  <c r="BS27" i="4" s="1"/>
  <c r="BO27" i="4"/>
  <c r="BP27" i="4" s="1"/>
  <c r="BL27" i="4"/>
  <c r="BM27" i="4" s="1"/>
  <c r="BI27" i="4"/>
  <c r="BJ27" i="4" s="1"/>
  <c r="BF27" i="4"/>
  <c r="BG27" i="4" s="1"/>
  <c r="BD27" i="4"/>
  <c r="BC27" i="4"/>
  <c r="AZ27" i="4"/>
  <c r="BA27" i="4" s="1"/>
  <c r="AX27" i="4"/>
  <c r="AW27" i="4"/>
  <c r="DY26" i="4"/>
  <c r="DW26" i="4"/>
  <c r="DI26" i="4"/>
  <c r="DG26" i="4"/>
  <c r="DB26" i="4"/>
  <c r="DC26" i="4" s="1"/>
  <c r="CY26" i="4"/>
  <c r="CZ26" i="4" s="1"/>
  <c r="CW26" i="4"/>
  <c r="CV26" i="4"/>
  <c r="CT26" i="4"/>
  <c r="CS26" i="4"/>
  <c r="CP26" i="4"/>
  <c r="CQ26" i="4" s="1"/>
  <c r="CN26" i="4"/>
  <c r="CM26" i="4"/>
  <c r="CK26" i="4"/>
  <c r="CJ26" i="4"/>
  <c r="CH26" i="4"/>
  <c r="CG26" i="4"/>
  <c r="CD26" i="4"/>
  <c r="CE26" i="4" s="1"/>
  <c r="CA26" i="4"/>
  <c r="CB26" i="4" s="1"/>
  <c r="BX26" i="4"/>
  <c r="BY26" i="4" s="1"/>
  <c r="BU26" i="4"/>
  <c r="BV26" i="4" s="1"/>
  <c r="BR26" i="4"/>
  <c r="BS26" i="4" s="1"/>
  <c r="BO26" i="4"/>
  <c r="BP26" i="4" s="1"/>
  <c r="BL26" i="4"/>
  <c r="BM26" i="4" s="1"/>
  <c r="BI26" i="4"/>
  <c r="BJ26" i="4" s="1"/>
  <c r="BF26" i="4"/>
  <c r="BG26" i="4" s="1"/>
  <c r="BD26" i="4"/>
  <c r="BC26" i="4"/>
  <c r="AZ26" i="4"/>
  <c r="BA26" i="4" s="1"/>
  <c r="AX26" i="4"/>
  <c r="AW26" i="4"/>
  <c r="DY25" i="4"/>
  <c r="DW25" i="4"/>
  <c r="DI25" i="4"/>
  <c r="DG25" i="4"/>
  <c r="DB25" i="4"/>
  <c r="DC25" i="4" s="1"/>
  <c r="CY25" i="4"/>
  <c r="CZ25" i="4" s="1"/>
  <c r="CW25" i="4"/>
  <c r="CV25" i="4"/>
  <c r="CS25" i="4"/>
  <c r="CT25" i="4" s="1"/>
  <c r="CQ25" i="4"/>
  <c r="CP25" i="4"/>
  <c r="CN25" i="4"/>
  <c r="CM25" i="4"/>
  <c r="CK25" i="4"/>
  <c r="CJ25" i="4"/>
  <c r="CG25" i="4"/>
  <c r="CH25" i="4" s="1"/>
  <c r="CE25" i="4"/>
  <c r="CD25" i="4"/>
  <c r="CA25" i="4"/>
  <c r="CB25" i="4" s="1"/>
  <c r="BX25" i="4"/>
  <c r="BY25" i="4" s="1"/>
  <c r="BU25" i="4"/>
  <c r="BV25" i="4" s="1"/>
  <c r="BR25" i="4"/>
  <c r="BS25" i="4" s="1"/>
  <c r="BO25" i="4"/>
  <c r="BP25" i="4" s="1"/>
  <c r="BM25" i="4"/>
  <c r="BL25" i="4"/>
  <c r="BI25" i="4"/>
  <c r="BJ25" i="4" s="1"/>
  <c r="BF25" i="4"/>
  <c r="BG25" i="4" s="1"/>
  <c r="BC25" i="4"/>
  <c r="BD25" i="4" s="1"/>
  <c r="AZ25" i="4"/>
  <c r="BA25" i="4" s="1"/>
  <c r="AW25" i="4"/>
  <c r="AX25" i="4" s="1"/>
  <c r="DY24" i="4"/>
  <c r="DW24" i="4"/>
  <c r="DI24" i="4"/>
  <c r="DG24" i="4"/>
  <c r="DB24" i="4"/>
  <c r="DC24" i="4" s="1"/>
  <c r="CZ24" i="4"/>
  <c r="CY24" i="4"/>
  <c r="CW24" i="4"/>
  <c r="CV24" i="4"/>
  <c r="CT24" i="4"/>
  <c r="CS24" i="4"/>
  <c r="CP24" i="4"/>
  <c r="CQ24" i="4" s="1"/>
  <c r="CM24" i="4"/>
  <c r="CN24" i="4" s="1"/>
  <c r="CJ24" i="4"/>
  <c r="CK24" i="4" s="1"/>
  <c r="CG24" i="4"/>
  <c r="CH24" i="4" s="1"/>
  <c r="CD24" i="4"/>
  <c r="CE24" i="4" s="1"/>
  <c r="CA24" i="4"/>
  <c r="CB24" i="4" s="1"/>
  <c r="BX24" i="4"/>
  <c r="BY24" i="4" s="1"/>
  <c r="BU24" i="4"/>
  <c r="BV24" i="4" s="1"/>
  <c r="BR24" i="4"/>
  <c r="BS24" i="4" s="1"/>
  <c r="BO24" i="4"/>
  <c r="BP24" i="4" s="1"/>
  <c r="BM24" i="4"/>
  <c r="BL24" i="4"/>
  <c r="BI24" i="4"/>
  <c r="BJ24" i="4" s="1"/>
  <c r="BF24" i="4"/>
  <c r="BG24" i="4" s="1"/>
  <c r="BC24" i="4"/>
  <c r="BD24" i="4" s="1"/>
  <c r="AZ24" i="4"/>
  <c r="BA24" i="4" s="1"/>
  <c r="AW24" i="4"/>
  <c r="AX24" i="4" s="1"/>
  <c r="DY23" i="4"/>
  <c r="DW23" i="4"/>
  <c r="DI23" i="4"/>
  <c r="DK23" i="4" s="1"/>
  <c r="DG23" i="4"/>
  <c r="DC23" i="4"/>
  <c r="DB23" i="4"/>
  <c r="CZ23" i="4"/>
  <c r="CY23" i="4"/>
  <c r="CW23" i="4"/>
  <c r="CV23" i="4"/>
  <c r="CS23" i="4"/>
  <c r="CT23" i="4" s="1"/>
  <c r="CP23" i="4"/>
  <c r="CQ23" i="4" s="1"/>
  <c r="CM23" i="4"/>
  <c r="CN23" i="4" s="1"/>
  <c r="CJ23" i="4"/>
  <c r="CK23" i="4" s="1"/>
  <c r="CG23" i="4"/>
  <c r="CH23" i="4" s="1"/>
  <c r="CD23" i="4"/>
  <c r="CE23" i="4" s="1"/>
  <c r="CA23" i="4"/>
  <c r="CB23" i="4" s="1"/>
  <c r="BX23" i="4"/>
  <c r="BY23" i="4" s="1"/>
  <c r="BV23" i="4"/>
  <c r="BU23" i="4"/>
  <c r="BR23" i="4"/>
  <c r="BS23" i="4" s="1"/>
  <c r="BO23" i="4"/>
  <c r="BP23" i="4" s="1"/>
  <c r="BM23" i="4"/>
  <c r="BL23" i="4"/>
  <c r="BI23" i="4"/>
  <c r="BJ23" i="4" s="1"/>
  <c r="BF23" i="4"/>
  <c r="BG23" i="4" s="1"/>
  <c r="BC23" i="4"/>
  <c r="BD23" i="4" s="1"/>
  <c r="AZ23" i="4"/>
  <c r="BA23" i="4" s="1"/>
  <c r="AW23" i="4"/>
  <c r="AX23" i="4" s="1"/>
  <c r="DY22" i="4"/>
  <c r="DW22" i="4"/>
  <c r="DI22" i="4"/>
  <c r="DK22" i="4" s="1"/>
  <c r="DG22" i="4"/>
  <c r="DB22" i="4"/>
  <c r="DC22" i="4" s="1"/>
  <c r="CY22" i="4"/>
  <c r="CZ22" i="4" s="1"/>
  <c r="CV22" i="4"/>
  <c r="CW22" i="4" s="1"/>
  <c r="CS22" i="4"/>
  <c r="CT22" i="4" s="1"/>
  <c r="CP22" i="4"/>
  <c r="CQ22" i="4" s="1"/>
  <c r="CN22" i="4"/>
  <c r="CM22" i="4"/>
  <c r="CJ22" i="4"/>
  <c r="CK22" i="4" s="1"/>
  <c r="CG22" i="4"/>
  <c r="CH22" i="4" s="1"/>
  <c r="CD22" i="4"/>
  <c r="CE22" i="4" s="1"/>
  <c r="CA22" i="4"/>
  <c r="CB22" i="4" s="1"/>
  <c r="BY22" i="4"/>
  <c r="BX22" i="4"/>
  <c r="BV22" i="4"/>
  <c r="BU22" i="4"/>
  <c r="BR22" i="4"/>
  <c r="BS22" i="4" s="1"/>
  <c r="BO22" i="4"/>
  <c r="BP22" i="4" s="1"/>
  <c r="BL22" i="4"/>
  <c r="BM22" i="4" s="1"/>
  <c r="BJ22" i="4"/>
  <c r="BI22" i="4"/>
  <c r="BG22" i="4"/>
  <c r="BF22" i="4"/>
  <c r="BC22" i="4"/>
  <c r="BD22" i="4" s="1"/>
  <c r="BA22" i="4"/>
  <c r="AZ22" i="4"/>
  <c r="AX22" i="4"/>
  <c r="AW22" i="4"/>
  <c r="DY21" i="4"/>
  <c r="DW21" i="4"/>
  <c r="DI21" i="4"/>
  <c r="DK21" i="4" s="1"/>
  <c r="DM21" i="4" s="1"/>
  <c r="DG21" i="4"/>
  <c r="DB21" i="4"/>
  <c r="DC21" i="4" s="1"/>
  <c r="CY21" i="4"/>
  <c r="CZ21" i="4" s="1"/>
  <c r="CV21" i="4"/>
  <c r="CW21" i="4" s="1"/>
  <c r="CS21" i="4"/>
  <c r="CT21" i="4" s="1"/>
  <c r="CP21" i="4"/>
  <c r="CQ21" i="4" s="1"/>
  <c r="CN21" i="4"/>
  <c r="CM21" i="4"/>
  <c r="CJ21" i="4"/>
  <c r="CK21" i="4" s="1"/>
  <c r="CH21" i="4"/>
  <c r="CG21" i="4"/>
  <c r="CE21" i="4"/>
  <c r="CD21" i="4"/>
  <c r="CA21" i="4"/>
  <c r="CB21" i="4" s="1"/>
  <c r="BY21" i="4"/>
  <c r="BX21" i="4"/>
  <c r="BU21" i="4"/>
  <c r="BV21" i="4" s="1"/>
  <c r="BR21" i="4"/>
  <c r="BS21" i="4" s="1"/>
  <c r="BO21" i="4"/>
  <c r="BP21" i="4" s="1"/>
  <c r="BL21" i="4"/>
  <c r="BM21" i="4" s="1"/>
  <c r="BI21" i="4"/>
  <c r="BJ21" i="4" s="1"/>
  <c r="BF21" i="4"/>
  <c r="BG21" i="4" s="1"/>
  <c r="BD21" i="4"/>
  <c r="BC21" i="4"/>
  <c r="BA21" i="4"/>
  <c r="AZ21" i="4"/>
  <c r="AX21" i="4"/>
  <c r="AW21" i="4"/>
  <c r="DY20" i="4"/>
  <c r="DW20" i="4"/>
  <c r="DI20" i="4"/>
  <c r="DK20" i="4" s="1"/>
  <c r="DQ20" i="4" s="1"/>
  <c r="DG20" i="4"/>
  <c r="DB20" i="4"/>
  <c r="DC20" i="4" s="1"/>
  <c r="CY20" i="4"/>
  <c r="CZ20" i="4" s="1"/>
  <c r="CV20" i="4"/>
  <c r="CW20" i="4" s="1"/>
  <c r="CS20" i="4"/>
  <c r="CT20" i="4" s="1"/>
  <c r="CQ20" i="4"/>
  <c r="CP20" i="4"/>
  <c r="CN20" i="4"/>
  <c r="CM20" i="4"/>
  <c r="CK20" i="4"/>
  <c r="CJ20" i="4"/>
  <c r="CG20" i="4"/>
  <c r="CH20" i="4" s="1"/>
  <c r="CD20" i="4"/>
  <c r="CE20" i="4" s="1"/>
  <c r="CA20" i="4"/>
  <c r="CB20" i="4" s="1"/>
  <c r="BX20" i="4"/>
  <c r="BY20" i="4" s="1"/>
  <c r="BU20" i="4"/>
  <c r="BV20" i="4" s="1"/>
  <c r="BR20" i="4"/>
  <c r="BS20" i="4" s="1"/>
  <c r="BO20" i="4"/>
  <c r="BP20" i="4" s="1"/>
  <c r="BL20" i="4"/>
  <c r="BM20" i="4" s="1"/>
  <c r="BI20" i="4"/>
  <c r="BJ20" i="4" s="1"/>
  <c r="BG20" i="4"/>
  <c r="BF20" i="4"/>
  <c r="BC20" i="4"/>
  <c r="BD20" i="4" s="1"/>
  <c r="AZ20" i="4"/>
  <c r="BA20" i="4" s="1"/>
  <c r="AW20" i="4"/>
  <c r="AX20" i="4" s="1"/>
  <c r="DY19" i="4"/>
  <c r="DW19" i="4"/>
  <c r="DI19" i="4"/>
  <c r="DK19" i="4" s="1"/>
  <c r="DG19" i="4"/>
  <c r="DB19" i="4"/>
  <c r="DC19" i="4" s="1"/>
  <c r="CY19" i="4"/>
  <c r="CZ19" i="4" s="1"/>
  <c r="CV19" i="4"/>
  <c r="CW19" i="4" s="1"/>
  <c r="CT19" i="4"/>
  <c r="CS19" i="4"/>
  <c r="CQ19" i="4"/>
  <c r="CP19" i="4"/>
  <c r="CM19" i="4"/>
  <c r="CN19" i="4" s="1"/>
  <c r="CJ19" i="4"/>
  <c r="CK19" i="4" s="1"/>
  <c r="CH19" i="4"/>
  <c r="CG19" i="4"/>
  <c r="CD19" i="4"/>
  <c r="CE19" i="4" s="1"/>
  <c r="CA19" i="4"/>
  <c r="CB19" i="4" s="1"/>
  <c r="BX19" i="4"/>
  <c r="BY19" i="4" s="1"/>
  <c r="BV19" i="4"/>
  <c r="BU19" i="4"/>
  <c r="BR19" i="4"/>
  <c r="BS19" i="4" s="1"/>
  <c r="BO19" i="4"/>
  <c r="BP19" i="4" s="1"/>
  <c r="BM19" i="4"/>
  <c r="BL19" i="4"/>
  <c r="BI19" i="4"/>
  <c r="BJ19" i="4" s="1"/>
  <c r="BG19" i="4"/>
  <c r="BF19" i="4"/>
  <c r="BD19" i="4"/>
  <c r="BC19" i="4"/>
  <c r="AZ19" i="4"/>
  <c r="BA19" i="4" s="1"/>
  <c r="AW19" i="4"/>
  <c r="AX19" i="4" s="1"/>
  <c r="DY18" i="4"/>
  <c r="DW18" i="4"/>
  <c r="DI18" i="4"/>
  <c r="DK18" i="4" s="1"/>
  <c r="DG18" i="4"/>
  <c r="DB18" i="4"/>
  <c r="DC18" i="4" s="1"/>
  <c r="CZ18" i="4"/>
  <c r="CY18" i="4"/>
  <c r="CW18" i="4"/>
  <c r="CV18" i="4"/>
  <c r="CS18" i="4"/>
  <c r="CT18" i="4" s="1"/>
  <c r="CQ18" i="4"/>
  <c r="CP18" i="4"/>
  <c r="CM18" i="4"/>
  <c r="CN18" i="4" s="1"/>
  <c r="CJ18" i="4"/>
  <c r="CK18" i="4" s="1"/>
  <c r="CG18" i="4"/>
  <c r="CH18" i="4" s="1"/>
  <c r="CD18" i="4"/>
  <c r="CE18" i="4" s="1"/>
  <c r="CA18" i="4"/>
  <c r="CB18" i="4" s="1"/>
  <c r="BX18" i="4"/>
  <c r="BY18" i="4" s="1"/>
  <c r="BU18" i="4"/>
  <c r="BV18" i="4" s="1"/>
  <c r="BR18" i="4"/>
  <c r="BS18" i="4" s="1"/>
  <c r="BO18" i="4"/>
  <c r="BP18" i="4" s="1"/>
  <c r="BL18" i="4"/>
  <c r="BM18" i="4" s="1"/>
  <c r="BI18" i="4"/>
  <c r="BJ18" i="4" s="1"/>
  <c r="BG18" i="4"/>
  <c r="BF18" i="4"/>
  <c r="BC18" i="4"/>
  <c r="BD18" i="4" s="1"/>
  <c r="AZ18" i="4"/>
  <c r="BA18" i="4" s="1"/>
  <c r="AW18" i="4"/>
  <c r="AX18" i="4" s="1"/>
  <c r="DY17" i="4"/>
  <c r="DW17" i="4"/>
  <c r="DI17" i="4"/>
  <c r="DK17" i="4" s="1"/>
  <c r="DQ17" i="4" s="1"/>
  <c r="DG17" i="4"/>
  <c r="DC17" i="4"/>
  <c r="DB17" i="4"/>
  <c r="CY17" i="4"/>
  <c r="CZ17" i="4" s="1"/>
  <c r="CW17" i="4"/>
  <c r="CV17" i="4"/>
  <c r="CS17" i="4"/>
  <c r="CT17" i="4" s="1"/>
  <c r="CP17" i="4"/>
  <c r="CQ17" i="4" s="1"/>
  <c r="CM17" i="4"/>
  <c r="CN17" i="4" s="1"/>
  <c r="CK17" i="4"/>
  <c r="CJ17" i="4"/>
  <c r="CH17" i="4"/>
  <c r="CG17" i="4"/>
  <c r="CD17" i="4"/>
  <c r="CE17" i="4" s="1"/>
  <c r="CA17" i="4"/>
  <c r="CB17" i="4" s="1"/>
  <c r="BY17" i="4"/>
  <c r="BX17" i="4"/>
  <c r="BV17" i="4"/>
  <c r="BU17" i="4"/>
  <c r="BR17" i="4"/>
  <c r="BS17" i="4" s="1"/>
  <c r="BO17" i="4"/>
  <c r="BP17" i="4" s="1"/>
  <c r="BM17" i="4"/>
  <c r="BL17" i="4"/>
  <c r="BI17" i="4"/>
  <c r="BJ17" i="4" s="1"/>
  <c r="BF17" i="4"/>
  <c r="BG17" i="4" s="1"/>
  <c r="BC17" i="4"/>
  <c r="BD17" i="4" s="1"/>
  <c r="BA17" i="4"/>
  <c r="AZ17" i="4"/>
  <c r="AX17" i="4"/>
  <c r="AW17" i="4"/>
  <c r="DY16" i="4"/>
  <c r="DW16" i="4"/>
  <c r="DI16" i="4"/>
  <c r="DG16" i="4"/>
  <c r="DB16" i="4"/>
  <c r="DC16" i="4" s="1"/>
  <c r="CY16" i="4"/>
  <c r="CZ16" i="4" s="1"/>
  <c r="CV16" i="4"/>
  <c r="CW16" i="4" s="1"/>
  <c r="CS16" i="4"/>
  <c r="CT16" i="4" s="1"/>
  <c r="CQ16" i="4"/>
  <c r="CP16" i="4"/>
  <c r="CM16" i="4"/>
  <c r="CN16" i="4" s="1"/>
  <c r="CJ16" i="4"/>
  <c r="CK16" i="4" s="1"/>
  <c r="CH16" i="4"/>
  <c r="CG16" i="4"/>
  <c r="CE16" i="4"/>
  <c r="CD16" i="4"/>
  <c r="CA16" i="4"/>
  <c r="CB16" i="4" s="1"/>
  <c r="BX16" i="4"/>
  <c r="BY16" i="4" s="1"/>
  <c r="BU16" i="4"/>
  <c r="BV16" i="4" s="1"/>
  <c r="BR16" i="4"/>
  <c r="BS16" i="4" s="1"/>
  <c r="BO16" i="4"/>
  <c r="BP16" i="4" s="1"/>
  <c r="BL16" i="4"/>
  <c r="BM16" i="4" s="1"/>
  <c r="BJ16" i="4"/>
  <c r="BI16" i="4"/>
  <c r="BF16" i="4"/>
  <c r="BG16" i="4" s="1"/>
  <c r="BC16" i="4"/>
  <c r="BD16" i="4" s="1"/>
  <c r="AZ16" i="4"/>
  <c r="BA16" i="4" s="1"/>
  <c r="AW16" i="4"/>
  <c r="AX16" i="4" s="1"/>
  <c r="DY15" i="4"/>
  <c r="DW15" i="4"/>
  <c r="DI15" i="4"/>
  <c r="DG15" i="4"/>
  <c r="DK15" i="4" s="1"/>
  <c r="DB15" i="4"/>
  <c r="DC15" i="4" s="1"/>
  <c r="CY15" i="4"/>
  <c r="CZ15" i="4" s="1"/>
  <c r="CV15" i="4"/>
  <c r="CW15" i="4" s="1"/>
  <c r="CT15" i="4"/>
  <c r="CS15" i="4"/>
  <c r="CP15" i="4"/>
  <c r="CQ15" i="4" s="1"/>
  <c r="CN15" i="4"/>
  <c r="CM15" i="4"/>
  <c r="CK15" i="4"/>
  <c r="CJ15" i="4"/>
  <c r="CH15" i="4"/>
  <c r="CG15" i="4"/>
  <c r="CE15" i="4"/>
  <c r="CD15" i="4"/>
  <c r="CA15" i="4"/>
  <c r="CB15" i="4" s="1"/>
  <c r="BX15" i="4"/>
  <c r="BY15" i="4" s="1"/>
  <c r="BU15" i="4"/>
  <c r="BV15" i="4" s="1"/>
  <c r="BS15" i="4"/>
  <c r="BR15" i="4"/>
  <c r="BO15" i="4"/>
  <c r="BP15" i="4" s="1"/>
  <c r="BL15" i="4"/>
  <c r="BM15" i="4" s="1"/>
  <c r="BI15" i="4"/>
  <c r="BJ15" i="4" s="1"/>
  <c r="BF15" i="4"/>
  <c r="BG15" i="4" s="1"/>
  <c r="BD15" i="4"/>
  <c r="BC15" i="4"/>
  <c r="BA15" i="4"/>
  <c r="AZ15" i="4"/>
  <c r="AX15" i="4"/>
  <c r="AW15" i="4"/>
  <c r="DY14" i="4"/>
  <c r="DW14" i="4"/>
  <c r="DI14" i="4"/>
  <c r="DK14" i="4" s="1"/>
  <c r="DM14" i="4" s="1"/>
  <c r="DG14" i="4"/>
  <c r="DC14" i="4"/>
  <c r="DB14" i="4"/>
  <c r="CY14" i="4"/>
  <c r="CZ14" i="4" s="1"/>
  <c r="CW14" i="4"/>
  <c r="CV14" i="4"/>
  <c r="CS14" i="4"/>
  <c r="CT14" i="4" s="1"/>
  <c r="CQ14" i="4"/>
  <c r="CP14" i="4"/>
  <c r="CN14" i="4"/>
  <c r="CM14" i="4"/>
  <c r="CJ14" i="4"/>
  <c r="CK14" i="4" s="1"/>
  <c r="CH14" i="4"/>
  <c r="CG14" i="4"/>
  <c r="CE14" i="4"/>
  <c r="CD14" i="4"/>
  <c r="CA14" i="4"/>
  <c r="CB14" i="4" s="1"/>
  <c r="BX14" i="4"/>
  <c r="BY14" i="4" s="1"/>
  <c r="BU14" i="4"/>
  <c r="BV14" i="4" s="1"/>
  <c r="BS14" i="4"/>
  <c r="BR14" i="4"/>
  <c r="BO14" i="4"/>
  <c r="BP14" i="4" s="1"/>
  <c r="BL14" i="4"/>
  <c r="BM14" i="4" s="1"/>
  <c r="BJ14" i="4"/>
  <c r="BI14" i="4"/>
  <c r="BG14" i="4"/>
  <c r="BF14" i="4"/>
  <c r="BC14" i="4"/>
  <c r="BD14" i="4" s="1"/>
  <c r="AZ14" i="4"/>
  <c r="BA14" i="4" s="1"/>
  <c r="AX14" i="4"/>
  <c r="AW14" i="4"/>
  <c r="DY13" i="4"/>
  <c r="DW13" i="4"/>
  <c r="DI13" i="4"/>
  <c r="DG13" i="4"/>
  <c r="DK13" i="4" s="1"/>
  <c r="DB13" i="4"/>
  <c r="DC13" i="4" s="1"/>
  <c r="CY13" i="4"/>
  <c r="CZ13" i="4" s="1"/>
  <c r="CW13" i="4"/>
  <c r="CV13" i="4"/>
  <c r="CT13" i="4"/>
  <c r="CS13" i="4"/>
  <c r="CP13" i="4"/>
  <c r="CQ13" i="4" s="1"/>
  <c r="CN13" i="4"/>
  <c r="CM13" i="4"/>
  <c r="CJ13" i="4"/>
  <c r="CK13" i="4" s="1"/>
  <c r="CG13" i="4"/>
  <c r="CH13" i="4" s="1"/>
  <c r="CE13" i="4"/>
  <c r="CD13" i="4"/>
  <c r="CA13" i="4"/>
  <c r="CB13" i="4" s="1"/>
  <c r="BX13" i="4"/>
  <c r="BY13" i="4" s="1"/>
  <c r="BU13" i="4"/>
  <c r="BV13" i="4" s="1"/>
  <c r="BR13" i="4"/>
  <c r="BS13" i="4" s="1"/>
  <c r="BO13" i="4"/>
  <c r="BP13" i="4" s="1"/>
  <c r="BM13" i="4"/>
  <c r="BL13" i="4"/>
  <c r="BJ13" i="4"/>
  <c r="BI13" i="4"/>
  <c r="BF13" i="4"/>
  <c r="BG13" i="4" s="1"/>
  <c r="BC13" i="4"/>
  <c r="BD13" i="4" s="1"/>
  <c r="AZ13" i="4"/>
  <c r="BA13" i="4" s="1"/>
  <c r="AW13" i="4"/>
  <c r="AX13" i="4" s="1"/>
  <c r="DY12" i="4"/>
  <c r="DW12" i="4"/>
  <c r="DI12" i="4"/>
  <c r="DK12" i="4" s="1"/>
  <c r="DG12" i="4"/>
  <c r="DC12" i="4"/>
  <c r="DB12" i="4"/>
  <c r="CZ12" i="4"/>
  <c r="CY12" i="4"/>
  <c r="CV12" i="4"/>
  <c r="CW12" i="4" s="1"/>
  <c r="CS12" i="4"/>
  <c r="CT12" i="4" s="1"/>
  <c r="CQ12" i="4"/>
  <c r="CP12" i="4"/>
  <c r="CM12" i="4"/>
  <c r="CN12" i="4" s="1"/>
  <c r="CK12" i="4"/>
  <c r="CJ12" i="4"/>
  <c r="CH12" i="4"/>
  <c r="CG12" i="4"/>
  <c r="CD12" i="4"/>
  <c r="CE12" i="4" s="1"/>
  <c r="CA12" i="4"/>
  <c r="CB12" i="4" s="1"/>
  <c r="BX12" i="4"/>
  <c r="BY12" i="4" s="1"/>
  <c r="BV12" i="4"/>
  <c r="BU12" i="4"/>
  <c r="BR12" i="4"/>
  <c r="BS12" i="4" s="1"/>
  <c r="BO12" i="4"/>
  <c r="BP12" i="4" s="1"/>
  <c r="BL12" i="4"/>
  <c r="BM12" i="4" s="1"/>
  <c r="BI12" i="4"/>
  <c r="BJ12" i="4" s="1"/>
  <c r="BF12" i="4"/>
  <c r="BG12" i="4" s="1"/>
  <c r="BC12" i="4"/>
  <c r="BD12" i="4" s="1"/>
  <c r="AZ12" i="4"/>
  <c r="BA12" i="4" s="1"/>
  <c r="AW12" i="4"/>
  <c r="AX12" i="4" s="1"/>
  <c r="DY11" i="4"/>
  <c r="DW11" i="4"/>
  <c r="DI11" i="4"/>
  <c r="DG11" i="4"/>
  <c r="DB11" i="4"/>
  <c r="DC11" i="4" s="1"/>
  <c r="CY11" i="4"/>
  <c r="CZ11" i="4" s="1"/>
  <c r="CV11" i="4"/>
  <c r="CW11" i="4" s="1"/>
  <c r="CT11" i="4"/>
  <c r="CS11" i="4"/>
  <c r="CP11" i="4"/>
  <c r="CQ11" i="4" s="1"/>
  <c r="CM11" i="4"/>
  <c r="CN11" i="4" s="1"/>
  <c r="CJ11" i="4"/>
  <c r="CK11" i="4" s="1"/>
  <c r="CG11" i="4"/>
  <c r="CH11" i="4" s="1"/>
  <c r="CD11" i="4"/>
  <c r="CE11" i="4" s="1"/>
  <c r="CA11" i="4"/>
  <c r="CB11" i="4" s="1"/>
  <c r="BX11" i="4"/>
  <c r="BY11" i="4" s="1"/>
  <c r="BU11" i="4"/>
  <c r="BV11" i="4" s="1"/>
  <c r="BR11" i="4"/>
  <c r="BS11" i="4" s="1"/>
  <c r="BO11" i="4"/>
  <c r="BP11" i="4" s="1"/>
  <c r="BM11" i="4"/>
  <c r="BL11" i="4"/>
  <c r="BI11" i="4"/>
  <c r="BJ11" i="4" s="1"/>
  <c r="BF11" i="4"/>
  <c r="BG11" i="4" s="1"/>
  <c r="BC11" i="4"/>
  <c r="BD11" i="4" s="1"/>
  <c r="BA11" i="4"/>
  <c r="AZ11" i="4"/>
  <c r="AW11" i="4"/>
  <c r="AX11" i="4" s="1"/>
  <c r="DY10" i="4"/>
  <c r="DW10" i="4"/>
  <c r="DI10" i="4"/>
  <c r="DG10" i="4"/>
  <c r="DK10" i="4" s="1"/>
  <c r="DB10" i="4"/>
  <c r="DC10" i="4" s="1"/>
  <c r="CZ10" i="4"/>
  <c r="CY10" i="4"/>
  <c r="CV10" i="4"/>
  <c r="CW10" i="4" s="1"/>
  <c r="CS10" i="4"/>
  <c r="CT10" i="4" s="1"/>
  <c r="CQ10" i="4"/>
  <c r="CP10" i="4"/>
  <c r="CN10" i="4"/>
  <c r="CM10" i="4"/>
  <c r="CJ10" i="4"/>
  <c r="CK10" i="4" s="1"/>
  <c r="CH10" i="4"/>
  <c r="CG10" i="4"/>
  <c r="CE10" i="4"/>
  <c r="CD10" i="4"/>
  <c r="CA10" i="4"/>
  <c r="CB10" i="4" s="1"/>
  <c r="BX10" i="4"/>
  <c r="BY10" i="4" s="1"/>
  <c r="BU10" i="4"/>
  <c r="BV10" i="4" s="1"/>
  <c r="BR10" i="4"/>
  <c r="BS10" i="4" s="1"/>
  <c r="BO10" i="4"/>
  <c r="BP10" i="4" s="1"/>
  <c r="BM10" i="4"/>
  <c r="BL10" i="4"/>
  <c r="BI10" i="4"/>
  <c r="BJ10" i="4" s="1"/>
  <c r="BF10" i="4"/>
  <c r="BG10" i="4" s="1"/>
  <c r="BC10" i="4"/>
  <c r="BD10" i="4" s="1"/>
  <c r="BA10" i="4"/>
  <c r="AZ10" i="4"/>
  <c r="AX10" i="4"/>
  <c r="AW10" i="4"/>
  <c r="DY9" i="4"/>
  <c r="DW9" i="4"/>
  <c r="DI9" i="4"/>
  <c r="DG9" i="4"/>
  <c r="DB9" i="4"/>
  <c r="DC9" i="4" s="1"/>
  <c r="CZ9" i="4"/>
  <c r="CY9" i="4"/>
  <c r="CV9" i="4"/>
  <c r="CW9" i="4" s="1"/>
  <c r="CS9" i="4"/>
  <c r="CT9" i="4" s="1"/>
  <c r="CP9" i="4"/>
  <c r="CQ9" i="4" s="1"/>
  <c r="CN9" i="4"/>
  <c r="CM9" i="4"/>
  <c r="CK9" i="4"/>
  <c r="CJ9" i="4"/>
  <c r="CG9" i="4"/>
  <c r="CH9" i="4" s="1"/>
  <c r="CD9" i="4"/>
  <c r="CE9" i="4" s="1"/>
  <c r="CA9" i="4"/>
  <c r="CB9" i="4" s="1"/>
  <c r="BX9" i="4"/>
  <c r="BY9" i="4" s="1"/>
  <c r="BV9" i="4"/>
  <c r="BU9" i="4"/>
  <c r="BR9" i="4"/>
  <c r="BS9" i="4" s="1"/>
  <c r="BO9" i="4"/>
  <c r="BP9" i="4" s="1"/>
  <c r="BM9" i="4"/>
  <c r="BL9" i="4"/>
  <c r="BJ9" i="4"/>
  <c r="BI9" i="4"/>
  <c r="BG9" i="4"/>
  <c r="BF9" i="4"/>
  <c r="BD9" i="4"/>
  <c r="BC9" i="4"/>
  <c r="AZ9" i="4"/>
  <c r="BA9" i="4" s="1"/>
  <c r="AX9" i="4"/>
  <c r="AW9" i="4"/>
  <c r="DY8" i="4"/>
  <c r="DW8" i="4"/>
  <c r="DI8" i="4"/>
  <c r="DK8" i="4" s="1"/>
  <c r="DG8" i="4"/>
  <c r="DC8" i="4"/>
  <c r="DB8" i="4"/>
  <c r="CY8" i="4"/>
  <c r="CZ8" i="4" s="1"/>
  <c r="CV8" i="4"/>
  <c r="CW8" i="4" s="1"/>
  <c r="CT8" i="4"/>
  <c r="CS8" i="4"/>
  <c r="CQ8" i="4"/>
  <c r="CP8" i="4"/>
  <c r="CM8" i="4"/>
  <c r="CN8" i="4" s="1"/>
  <c r="CJ8" i="4"/>
  <c r="CK8" i="4" s="1"/>
  <c r="CG8" i="4"/>
  <c r="CH8" i="4" s="1"/>
  <c r="CD8" i="4"/>
  <c r="CE8" i="4" s="1"/>
  <c r="CA8" i="4"/>
  <c r="CB8" i="4" s="1"/>
  <c r="BX8" i="4"/>
  <c r="BY8" i="4" s="1"/>
  <c r="BU8" i="4"/>
  <c r="BV8" i="4" s="1"/>
  <c r="BR8" i="4"/>
  <c r="BS8" i="4" s="1"/>
  <c r="BP8" i="4"/>
  <c r="BO8" i="4"/>
  <c r="BL8" i="4"/>
  <c r="BM8" i="4" s="1"/>
  <c r="BJ8" i="4"/>
  <c r="BI8" i="4"/>
  <c r="BF8" i="4"/>
  <c r="BG8" i="4" s="1"/>
  <c r="BC8" i="4"/>
  <c r="BD8" i="4" s="1"/>
  <c r="AZ8" i="4"/>
  <c r="BA8" i="4" s="1"/>
  <c r="AW8" i="4"/>
  <c r="AX8" i="4" s="1"/>
  <c r="DY7" i="4"/>
  <c r="DW7" i="4"/>
  <c r="DI7" i="4"/>
  <c r="DK7" i="4" s="1"/>
  <c r="DG7" i="4"/>
  <c r="DB7" i="4"/>
  <c r="DC7" i="4" s="1"/>
  <c r="CZ7" i="4"/>
  <c r="CY7" i="4"/>
  <c r="CW7" i="4"/>
  <c r="CV7" i="4"/>
  <c r="CS7" i="4"/>
  <c r="CT7" i="4" s="1"/>
  <c r="CQ7" i="4"/>
  <c r="CP7" i="4"/>
  <c r="CM7" i="4"/>
  <c r="CN7" i="4" s="1"/>
  <c r="CJ7" i="4"/>
  <c r="CK7" i="4" s="1"/>
  <c r="CG7" i="4"/>
  <c r="CH7" i="4" s="1"/>
  <c r="CD7" i="4"/>
  <c r="CE7" i="4" s="1"/>
  <c r="CA7" i="4"/>
  <c r="CB7" i="4" s="1"/>
  <c r="BX7" i="4"/>
  <c r="BY7" i="4" s="1"/>
  <c r="BU7" i="4"/>
  <c r="BV7" i="4" s="1"/>
  <c r="BS7" i="4"/>
  <c r="BR7" i="4"/>
  <c r="BP7" i="4"/>
  <c r="BO7" i="4"/>
  <c r="BL7" i="4"/>
  <c r="BM7" i="4" s="1"/>
  <c r="BJ7" i="4"/>
  <c r="BI7" i="4"/>
  <c r="BF7" i="4"/>
  <c r="BG7" i="4" s="1"/>
  <c r="BD7" i="4"/>
  <c r="BC7" i="4"/>
  <c r="AZ7" i="4"/>
  <c r="BA7" i="4" s="1"/>
  <c r="AW7" i="4"/>
  <c r="AX7" i="4" s="1"/>
  <c r="DY6" i="4"/>
  <c r="DW6" i="4"/>
  <c r="DI6" i="4"/>
  <c r="DK6" i="4" s="1"/>
  <c r="DQ6" i="4" s="1"/>
  <c r="DG6" i="4"/>
  <c r="DC6" i="4"/>
  <c r="DB6" i="4"/>
  <c r="CY6" i="4"/>
  <c r="CZ6" i="4" s="1"/>
  <c r="CV6" i="4"/>
  <c r="CW6" i="4" s="1"/>
  <c r="CS6" i="4"/>
  <c r="CT6" i="4" s="1"/>
  <c r="CP6" i="4"/>
  <c r="CQ6" i="4" s="1"/>
  <c r="CM6" i="4"/>
  <c r="CN6" i="4" s="1"/>
  <c r="CJ6" i="4"/>
  <c r="CK6" i="4" s="1"/>
  <c r="CG6" i="4"/>
  <c r="CH6" i="4" s="1"/>
  <c r="CD6" i="4"/>
  <c r="CE6" i="4" s="1"/>
  <c r="CA6" i="4"/>
  <c r="CB6" i="4" s="1"/>
  <c r="BX6" i="4"/>
  <c r="BY6" i="4" s="1"/>
  <c r="BU6" i="4"/>
  <c r="BV6" i="4" s="1"/>
  <c r="BR6" i="4"/>
  <c r="BS6" i="4" s="1"/>
  <c r="BO6" i="4"/>
  <c r="BP6" i="4" s="1"/>
  <c r="BL6" i="4"/>
  <c r="BM6" i="4" s="1"/>
  <c r="BI6" i="4"/>
  <c r="BJ6" i="4" s="1"/>
  <c r="BF6" i="4"/>
  <c r="BG6" i="4" s="1"/>
  <c r="BC6" i="4"/>
  <c r="BD6" i="4" s="1"/>
  <c r="AZ6" i="4"/>
  <c r="BA6" i="4" s="1"/>
  <c r="AW6" i="4"/>
  <c r="AX6" i="4" s="1"/>
  <c r="DY5" i="4"/>
  <c r="DW5" i="4"/>
  <c r="DI5" i="4"/>
  <c r="DG5" i="4"/>
  <c r="DB5" i="4"/>
  <c r="DC5" i="4" s="1"/>
  <c r="CY5" i="4"/>
  <c r="CZ5" i="4" s="1"/>
  <c r="CW5" i="4"/>
  <c r="CV5" i="4"/>
  <c r="CS5" i="4"/>
  <c r="CT5" i="4" s="1"/>
  <c r="CP5" i="4"/>
  <c r="CQ5" i="4" s="1"/>
  <c r="CM5" i="4"/>
  <c r="CN5" i="4" s="1"/>
  <c r="CJ5" i="4"/>
  <c r="CK5" i="4" s="1"/>
  <c r="CH5" i="4"/>
  <c r="CG5" i="4"/>
  <c r="CE5" i="4"/>
  <c r="CD5" i="4"/>
  <c r="CA5" i="4"/>
  <c r="CB5" i="4" s="1"/>
  <c r="BX5" i="4"/>
  <c r="BY5" i="4" s="1"/>
  <c r="BU5" i="4"/>
  <c r="BV5" i="4" s="1"/>
  <c r="BR5" i="4"/>
  <c r="BS5" i="4" s="1"/>
  <c r="BO5" i="4"/>
  <c r="BP5" i="4" s="1"/>
  <c r="BL5" i="4"/>
  <c r="BM5" i="4" s="1"/>
  <c r="BI5" i="4"/>
  <c r="BJ5" i="4" s="1"/>
  <c r="BF5" i="4"/>
  <c r="BG5" i="4" s="1"/>
  <c r="BC5" i="4"/>
  <c r="BD5" i="4" s="1"/>
  <c r="AZ5" i="4"/>
  <c r="BA5" i="4" s="1"/>
  <c r="AW5" i="4"/>
  <c r="AX5" i="4" s="1"/>
  <c r="DY4" i="4"/>
  <c r="DW4" i="4"/>
  <c r="DI4" i="4"/>
  <c r="DG4" i="4"/>
  <c r="DK4" i="4" s="1"/>
  <c r="DB4" i="4"/>
  <c r="DC4" i="4" s="1"/>
  <c r="CY4" i="4"/>
  <c r="CZ4" i="4" s="1"/>
  <c r="CV4" i="4"/>
  <c r="CW4" i="4" s="1"/>
  <c r="CT4" i="4"/>
  <c r="CS4" i="4"/>
  <c r="CP4" i="4"/>
  <c r="CQ4" i="4" s="1"/>
  <c r="CN4" i="4"/>
  <c r="CM4" i="4"/>
  <c r="CK4" i="4"/>
  <c r="CJ4" i="4"/>
  <c r="CH4" i="4"/>
  <c r="CG4" i="4"/>
  <c r="CE4" i="4"/>
  <c r="CD4" i="4"/>
  <c r="CA4" i="4"/>
  <c r="CB4" i="4" s="1"/>
  <c r="BX4" i="4"/>
  <c r="BY4" i="4" s="1"/>
  <c r="BU4" i="4"/>
  <c r="BV4" i="4" s="1"/>
  <c r="BR4" i="4"/>
  <c r="BS4" i="4" s="1"/>
  <c r="BO4" i="4"/>
  <c r="BP4" i="4" s="1"/>
  <c r="BM4" i="4"/>
  <c r="BL4" i="4"/>
  <c r="BI4" i="4"/>
  <c r="BJ4" i="4" s="1"/>
  <c r="BF4" i="4"/>
  <c r="BD4" i="4"/>
  <c r="BC4" i="4"/>
  <c r="AZ4" i="4"/>
  <c r="BA4" i="4" s="1"/>
  <c r="AW4" i="4"/>
  <c r="AX4" i="4" s="1"/>
  <c r="DI3" i="4"/>
  <c r="DG3" i="4"/>
  <c r="DK3" i="4" s="1"/>
  <c r="DB3" i="4"/>
  <c r="DC3" i="4" s="1"/>
  <c r="CY3" i="4"/>
  <c r="CY54" i="4" s="1"/>
  <c r="CW3" i="4"/>
  <c r="CV3" i="4"/>
  <c r="CS3" i="4"/>
  <c r="CT3" i="4" s="1"/>
  <c r="CP3" i="4"/>
  <c r="CP54" i="4" s="1"/>
  <c r="CN3" i="4"/>
  <c r="CM3" i="4"/>
  <c r="CK3" i="4"/>
  <c r="CJ3" i="4"/>
  <c r="CH3" i="4"/>
  <c r="CG3" i="4"/>
  <c r="CD3" i="4"/>
  <c r="CE3" i="4" s="1"/>
  <c r="CA3" i="4"/>
  <c r="CB3" i="4" s="1"/>
  <c r="BX3" i="4"/>
  <c r="BY3" i="4" s="1"/>
  <c r="BU3" i="4"/>
  <c r="BV3" i="4" s="1"/>
  <c r="BS3" i="4"/>
  <c r="BR3" i="4"/>
  <c r="BP3" i="4"/>
  <c r="BO3" i="4"/>
  <c r="BL3" i="4"/>
  <c r="BM3" i="4" s="1"/>
  <c r="BI3" i="4"/>
  <c r="BG3" i="4"/>
  <c r="BF3" i="4"/>
  <c r="BD3" i="4"/>
  <c r="BC3" i="4"/>
  <c r="BA3" i="4"/>
  <c r="AZ3" i="4"/>
  <c r="AW3" i="4"/>
  <c r="AX3" i="4" s="1"/>
  <c r="DI2" i="4"/>
  <c r="DG2" i="4"/>
  <c r="DB2" i="4"/>
  <c r="CZ2" i="4"/>
  <c r="CY2" i="4"/>
  <c r="CV2" i="4"/>
  <c r="CW2" i="4" s="1"/>
  <c r="CS2" i="4"/>
  <c r="CT2" i="4" s="1"/>
  <c r="CQ2" i="4"/>
  <c r="CP2" i="4"/>
  <c r="CN2" i="4"/>
  <c r="CM2" i="4"/>
  <c r="CK2" i="4"/>
  <c r="CJ2" i="4"/>
  <c r="CG2" i="4"/>
  <c r="CD2" i="4"/>
  <c r="CA2" i="4"/>
  <c r="BY2" i="4"/>
  <c r="BX2" i="4"/>
  <c r="BU2" i="4"/>
  <c r="BS2" i="4"/>
  <c r="BR2" i="4"/>
  <c r="BO2" i="4"/>
  <c r="BL2" i="4"/>
  <c r="BJ2" i="4"/>
  <c r="BI2" i="4"/>
  <c r="BG2" i="4"/>
  <c r="BF2" i="4"/>
  <c r="BD2" i="4"/>
  <c r="BC2" i="4"/>
  <c r="AZ2" i="4"/>
  <c r="AW2" i="4"/>
  <c r="AX2" i="4" s="1"/>
  <c r="AW2" i="3"/>
  <c r="AX2" i="3"/>
  <c r="AZ2" i="3"/>
  <c r="BA2" i="3" s="1"/>
  <c r="BC2" i="3"/>
  <c r="BD2" i="3"/>
  <c r="BF2" i="3"/>
  <c r="BG2" i="3"/>
  <c r="BI2" i="3"/>
  <c r="BJ2" i="3"/>
  <c r="BL2" i="3"/>
  <c r="BM2" i="3"/>
  <c r="BO2" i="3"/>
  <c r="BP2" i="3" s="1"/>
  <c r="BR2" i="3"/>
  <c r="BS2" i="3"/>
  <c r="BU2" i="3"/>
  <c r="BV2" i="3"/>
  <c r="BX2" i="3"/>
  <c r="BY2" i="3"/>
  <c r="CA2" i="3"/>
  <c r="CB2" i="3"/>
  <c r="CD2" i="3"/>
  <c r="CE2" i="3"/>
  <c r="CG2" i="3"/>
  <c r="CH2" i="3"/>
  <c r="CJ2" i="3"/>
  <c r="CK2" i="3"/>
  <c r="CM2" i="3"/>
  <c r="CN2" i="3"/>
  <c r="CP2" i="3"/>
  <c r="CQ2" i="3"/>
  <c r="CS2" i="3"/>
  <c r="CT2" i="3"/>
  <c r="CV2" i="3"/>
  <c r="CW2" i="3"/>
  <c r="CY2" i="3"/>
  <c r="CZ2" i="3"/>
  <c r="DB2" i="3"/>
  <c r="DC2" i="3"/>
  <c r="DG2" i="3"/>
  <c r="DI2" i="3"/>
  <c r="DK2" i="3" s="1"/>
  <c r="AW3" i="3"/>
  <c r="AX3" i="3"/>
  <c r="AZ3" i="3"/>
  <c r="BA3" i="3"/>
  <c r="BC3" i="3"/>
  <c r="BD3" i="3"/>
  <c r="BF3" i="3"/>
  <c r="BG3" i="3"/>
  <c r="BI3" i="3"/>
  <c r="BJ3" i="3"/>
  <c r="BL3" i="3"/>
  <c r="BM3" i="3"/>
  <c r="BO3" i="3"/>
  <c r="BP3" i="3"/>
  <c r="BR3" i="3"/>
  <c r="BS3" i="3"/>
  <c r="BU3" i="3"/>
  <c r="BV3" i="3"/>
  <c r="BX3" i="3"/>
  <c r="BY3" i="3" s="1"/>
  <c r="CA3" i="3"/>
  <c r="CB3" i="3"/>
  <c r="CD3" i="3"/>
  <c r="CE3" i="3"/>
  <c r="CG3" i="3"/>
  <c r="CH3" i="3"/>
  <c r="CJ3" i="3"/>
  <c r="CK3" i="3"/>
  <c r="CM3" i="3"/>
  <c r="CN3" i="3"/>
  <c r="CP3" i="3"/>
  <c r="CQ3" i="3"/>
  <c r="CS3" i="3"/>
  <c r="CT3" i="3"/>
  <c r="CV3" i="3"/>
  <c r="CW3" i="3"/>
  <c r="CY3" i="3"/>
  <c r="CZ3" i="3"/>
  <c r="DB3" i="3"/>
  <c r="DC3" i="3"/>
  <c r="DG3" i="3"/>
  <c r="DK3" i="3" s="1"/>
  <c r="DI3" i="3"/>
  <c r="AW4" i="3"/>
  <c r="AZ4" i="3"/>
  <c r="BA4" i="3"/>
  <c r="BC4" i="3"/>
  <c r="BD4" i="3" s="1"/>
  <c r="BF4" i="3"/>
  <c r="BG4" i="3"/>
  <c r="BI4" i="3"/>
  <c r="BJ4" i="3" s="1"/>
  <c r="BL4" i="3"/>
  <c r="BO4" i="3"/>
  <c r="BP4" i="3" s="1"/>
  <c r="BR4" i="3"/>
  <c r="BS4" i="3"/>
  <c r="BU4" i="3"/>
  <c r="BV4" i="3"/>
  <c r="BX4" i="3"/>
  <c r="BY4" i="3"/>
  <c r="CA4" i="3"/>
  <c r="CB4" i="3" s="1"/>
  <c r="CD4" i="3"/>
  <c r="CE4" i="3"/>
  <c r="CG4" i="3"/>
  <c r="CH4" i="3"/>
  <c r="CJ4" i="3"/>
  <c r="CK4" i="3"/>
  <c r="CM4" i="3"/>
  <c r="CN4" i="3"/>
  <c r="CP4" i="3"/>
  <c r="CQ4" i="3"/>
  <c r="CS4" i="3"/>
  <c r="CT4" i="3"/>
  <c r="CV4" i="3"/>
  <c r="CW4" i="3"/>
  <c r="CY4" i="3"/>
  <c r="CZ4" i="3"/>
  <c r="DB4" i="3"/>
  <c r="DC4" i="3"/>
  <c r="DG4" i="3"/>
  <c r="DI4" i="3"/>
  <c r="DK4" i="3" s="1"/>
  <c r="DW4" i="3"/>
  <c r="DY4" i="3"/>
  <c r="AW5" i="3"/>
  <c r="AX5" i="3" s="1"/>
  <c r="AZ5" i="3"/>
  <c r="BA5" i="3"/>
  <c r="BC5" i="3"/>
  <c r="BD5" i="3"/>
  <c r="BF5" i="3"/>
  <c r="BG5" i="3"/>
  <c r="BI5" i="3"/>
  <c r="BJ5" i="3"/>
  <c r="BL5" i="3"/>
  <c r="BM5" i="3"/>
  <c r="BO5" i="3"/>
  <c r="BP5" i="3"/>
  <c r="BR5" i="3"/>
  <c r="BS5" i="3" s="1"/>
  <c r="BU5" i="3"/>
  <c r="BV5" i="3" s="1"/>
  <c r="BX5" i="3"/>
  <c r="BY5" i="3" s="1"/>
  <c r="CA5" i="3"/>
  <c r="CB5" i="3"/>
  <c r="CD5" i="3"/>
  <c r="CE5" i="3"/>
  <c r="CG5" i="3"/>
  <c r="CH5" i="3"/>
  <c r="CJ5" i="3"/>
  <c r="CK5" i="3"/>
  <c r="CM5" i="3"/>
  <c r="CN5" i="3"/>
  <c r="CP5" i="3"/>
  <c r="CQ5" i="3"/>
  <c r="CS5" i="3"/>
  <c r="CT5" i="3"/>
  <c r="CV5" i="3"/>
  <c r="CW5" i="3"/>
  <c r="CY5" i="3"/>
  <c r="CZ5" i="3"/>
  <c r="CZ54" i="3" s="1"/>
  <c r="DB5" i="3"/>
  <c r="DC5" i="3" s="1"/>
  <c r="DG5" i="3"/>
  <c r="DI5" i="3"/>
  <c r="DW5" i="3"/>
  <c r="DY5" i="3"/>
  <c r="AW6" i="3"/>
  <c r="AX6" i="3"/>
  <c r="AZ6" i="3"/>
  <c r="BA6" i="3"/>
  <c r="BC6" i="3"/>
  <c r="BD6" i="3"/>
  <c r="BF6" i="3"/>
  <c r="BG6" i="3"/>
  <c r="BI6" i="3"/>
  <c r="BJ6" i="3"/>
  <c r="BL6" i="3"/>
  <c r="BM6" i="3"/>
  <c r="BO6" i="3"/>
  <c r="BP6" i="3" s="1"/>
  <c r="BR6" i="3"/>
  <c r="BS6" i="3"/>
  <c r="BU6" i="3"/>
  <c r="BV6" i="3" s="1"/>
  <c r="BX6" i="3"/>
  <c r="BY6" i="3" s="1"/>
  <c r="CA6" i="3"/>
  <c r="CB6" i="3"/>
  <c r="CD6" i="3"/>
  <c r="CE6" i="3"/>
  <c r="CG6" i="3"/>
  <c r="CH6" i="3"/>
  <c r="CJ6" i="3"/>
  <c r="CK6" i="3"/>
  <c r="CM6" i="3"/>
  <c r="CN6" i="3"/>
  <c r="CP6" i="3"/>
  <c r="CQ6" i="3"/>
  <c r="CS6" i="3"/>
  <c r="CT6" i="3"/>
  <c r="CV6" i="3"/>
  <c r="CW6" i="3" s="1"/>
  <c r="CY6" i="3"/>
  <c r="CZ6" i="3"/>
  <c r="DB6" i="3"/>
  <c r="DC6" i="3" s="1"/>
  <c r="DG6" i="3"/>
  <c r="DI6" i="3"/>
  <c r="DW6" i="3"/>
  <c r="DY6" i="3"/>
  <c r="AW7" i="3"/>
  <c r="AX7" i="3" s="1"/>
  <c r="AZ7" i="3"/>
  <c r="BA7" i="3"/>
  <c r="BC7" i="3"/>
  <c r="BD7" i="3"/>
  <c r="BF7" i="3"/>
  <c r="BG7" i="3"/>
  <c r="BI7" i="3"/>
  <c r="BJ7" i="3" s="1"/>
  <c r="BL7" i="3"/>
  <c r="BM7" i="3"/>
  <c r="BO7" i="3"/>
  <c r="BP7" i="3" s="1"/>
  <c r="BR7" i="3"/>
  <c r="BS7" i="3"/>
  <c r="BU7" i="3"/>
  <c r="BV7" i="3"/>
  <c r="BX7" i="3"/>
  <c r="BY7" i="3" s="1"/>
  <c r="CA7" i="3"/>
  <c r="CB7" i="3"/>
  <c r="CD7" i="3"/>
  <c r="CE7" i="3"/>
  <c r="CG7" i="3"/>
  <c r="CH7" i="3"/>
  <c r="CJ7" i="3"/>
  <c r="CK7" i="3"/>
  <c r="CM7" i="3"/>
  <c r="CN7" i="3"/>
  <c r="CN54" i="3" s="1"/>
  <c r="CP7" i="3"/>
  <c r="CQ7" i="3" s="1"/>
  <c r="CQ54" i="3" s="1"/>
  <c r="CS7" i="3"/>
  <c r="CT7" i="3"/>
  <c r="CV7" i="3"/>
  <c r="CW7" i="3" s="1"/>
  <c r="CY7" i="3"/>
  <c r="CZ7" i="3"/>
  <c r="DB7" i="3"/>
  <c r="DC7" i="3"/>
  <c r="DG7" i="3"/>
  <c r="DI7" i="3"/>
  <c r="DW7" i="3"/>
  <c r="DY7" i="3"/>
  <c r="AW8" i="3"/>
  <c r="AX8" i="3"/>
  <c r="AZ8" i="3"/>
  <c r="BA8" i="3" s="1"/>
  <c r="BC8" i="3"/>
  <c r="BD8" i="3" s="1"/>
  <c r="BF8" i="3"/>
  <c r="BG8" i="3"/>
  <c r="BI8" i="3"/>
  <c r="BJ8" i="3" s="1"/>
  <c r="BL8" i="3"/>
  <c r="BM8" i="3"/>
  <c r="BO8" i="3"/>
  <c r="BP8" i="3"/>
  <c r="BR8" i="3"/>
  <c r="BS8" i="3"/>
  <c r="BU8" i="3"/>
  <c r="BV8" i="3"/>
  <c r="BX8" i="3"/>
  <c r="BY8" i="3" s="1"/>
  <c r="CA8" i="3"/>
  <c r="CB8" i="3"/>
  <c r="CD8" i="3"/>
  <c r="CE8" i="3"/>
  <c r="CG8" i="3"/>
  <c r="CH8" i="3"/>
  <c r="CH54" i="3" s="1"/>
  <c r="CJ8" i="3"/>
  <c r="CK8" i="3" s="1"/>
  <c r="CM8" i="3"/>
  <c r="CN8" i="3"/>
  <c r="CP8" i="3"/>
  <c r="CQ8" i="3" s="1"/>
  <c r="CS8" i="3"/>
  <c r="CT8" i="3"/>
  <c r="CV8" i="3"/>
  <c r="CW8" i="3"/>
  <c r="CY8" i="3"/>
  <c r="CZ8" i="3"/>
  <c r="DB8" i="3"/>
  <c r="DC8" i="3"/>
  <c r="DG8" i="3"/>
  <c r="DI8" i="3"/>
  <c r="DW8" i="3"/>
  <c r="DY8" i="3"/>
  <c r="DY54" i="3" s="1"/>
  <c r="AW9" i="3"/>
  <c r="AX9" i="3" s="1"/>
  <c r="AZ9" i="3"/>
  <c r="BA9" i="3"/>
  <c r="BC9" i="3"/>
  <c r="BD9" i="3" s="1"/>
  <c r="BF9" i="3"/>
  <c r="BG9" i="3"/>
  <c r="BI9" i="3"/>
  <c r="BJ9" i="3" s="1"/>
  <c r="BL9" i="3"/>
  <c r="BM9" i="3"/>
  <c r="BO9" i="3"/>
  <c r="BP9" i="3"/>
  <c r="BR9" i="3"/>
  <c r="BS9" i="3"/>
  <c r="BU9" i="3"/>
  <c r="BV9" i="3"/>
  <c r="BX9" i="3"/>
  <c r="BY9" i="3" s="1"/>
  <c r="CA9" i="3"/>
  <c r="CB9" i="3"/>
  <c r="CD9" i="3"/>
  <c r="CE9" i="3" s="1"/>
  <c r="CE54" i="3" s="1"/>
  <c r="CG9" i="3"/>
  <c r="CH9" i="3"/>
  <c r="CJ9" i="3"/>
  <c r="CK9" i="3" s="1"/>
  <c r="CM9" i="3"/>
  <c r="CN9" i="3"/>
  <c r="CP9" i="3"/>
  <c r="CQ9" i="3"/>
  <c r="CS9" i="3"/>
  <c r="CT9" i="3"/>
  <c r="CV9" i="3"/>
  <c r="CW9" i="3"/>
  <c r="CY9" i="3"/>
  <c r="CZ9" i="3"/>
  <c r="DB9" i="3"/>
  <c r="DC9" i="3"/>
  <c r="DG9" i="3"/>
  <c r="DI9" i="3"/>
  <c r="DW9" i="3"/>
  <c r="DY9" i="3"/>
  <c r="AW10" i="3"/>
  <c r="AX10" i="3" s="1"/>
  <c r="AZ10" i="3"/>
  <c r="BA10" i="3" s="1"/>
  <c r="BC10" i="3"/>
  <c r="BD10" i="3"/>
  <c r="BF10" i="3"/>
  <c r="BG10" i="3"/>
  <c r="BI10" i="3"/>
  <c r="BJ10" i="3"/>
  <c r="BL10" i="3"/>
  <c r="BM10" i="3"/>
  <c r="BO10" i="3"/>
  <c r="BP10" i="3"/>
  <c r="BR10" i="3"/>
  <c r="BS10" i="3"/>
  <c r="BU10" i="3"/>
  <c r="BV10" i="3"/>
  <c r="BX10" i="3"/>
  <c r="BY10" i="3" s="1"/>
  <c r="CA10" i="3"/>
  <c r="CB10" i="3"/>
  <c r="CD10" i="3"/>
  <c r="CE10" i="3" s="1"/>
  <c r="CG10" i="3"/>
  <c r="CH10" i="3"/>
  <c r="CJ10" i="3"/>
  <c r="CK10" i="3"/>
  <c r="CM10" i="3"/>
  <c r="CN10" i="3"/>
  <c r="CP10" i="3"/>
  <c r="CQ10" i="3"/>
  <c r="CS10" i="3"/>
  <c r="CT10" i="3"/>
  <c r="CV10" i="3"/>
  <c r="CW10" i="3"/>
  <c r="CY10" i="3"/>
  <c r="CZ10" i="3"/>
  <c r="DB10" i="3"/>
  <c r="DC10" i="3"/>
  <c r="DG10" i="3"/>
  <c r="DI10" i="3"/>
  <c r="DK10" i="3" s="1"/>
  <c r="DW10" i="3"/>
  <c r="DY10" i="3"/>
  <c r="AW11" i="3"/>
  <c r="AX11" i="3"/>
  <c r="AZ11" i="3"/>
  <c r="BA11" i="3"/>
  <c r="BC11" i="3"/>
  <c r="BF11" i="3"/>
  <c r="BG11" i="3" s="1"/>
  <c r="BI11" i="3"/>
  <c r="BJ11" i="3"/>
  <c r="BL11" i="3"/>
  <c r="BM11" i="3" s="1"/>
  <c r="BO11" i="3"/>
  <c r="BP11" i="3"/>
  <c r="BR11" i="3"/>
  <c r="BS11" i="3" s="1"/>
  <c r="BU11" i="3"/>
  <c r="BV11" i="3"/>
  <c r="BX11" i="3"/>
  <c r="BY11" i="3" s="1"/>
  <c r="CA11" i="3"/>
  <c r="CB11" i="3" s="1"/>
  <c r="CD11" i="3"/>
  <c r="CE11" i="3"/>
  <c r="CG11" i="3"/>
  <c r="CH11" i="3"/>
  <c r="CJ11" i="3"/>
  <c r="CK11" i="3"/>
  <c r="CM11" i="3"/>
  <c r="CN11" i="3"/>
  <c r="CP11" i="3"/>
  <c r="CQ11" i="3"/>
  <c r="CS11" i="3"/>
  <c r="CT11" i="3"/>
  <c r="CV11" i="3"/>
  <c r="CW11" i="3"/>
  <c r="CY11" i="3"/>
  <c r="CZ11" i="3"/>
  <c r="DB11" i="3"/>
  <c r="DC11" i="3"/>
  <c r="DG11" i="3"/>
  <c r="DI11" i="3"/>
  <c r="DK11" i="3" s="1"/>
  <c r="DW11" i="3"/>
  <c r="DY11" i="3"/>
  <c r="AW12" i="3"/>
  <c r="AX12" i="3"/>
  <c r="AZ12" i="3"/>
  <c r="BA12" i="3" s="1"/>
  <c r="BC12" i="3"/>
  <c r="BD12" i="3" s="1"/>
  <c r="BF12" i="3"/>
  <c r="BG12" i="3"/>
  <c r="BI12" i="3"/>
  <c r="BJ12" i="3" s="1"/>
  <c r="BL12" i="3"/>
  <c r="BM12" i="3"/>
  <c r="BO12" i="3"/>
  <c r="BP12" i="3"/>
  <c r="BR12" i="3"/>
  <c r="BS12" i="3"/>
  <c r="BU12" i="3"/>
  <c r="BV12" i="3"/>
  <c r="BX12" i="3"/>
  <c r="BX54" i="3" s="1"/>
  <c r="BY12" i="3"/>
  <c r="CA12" i="3"/>
  <c r="CB12" i="3" s="1"/>
  <c r="CD12" i="3"/>
  <c r="CE12" i="3"/>
  <c r="CG12" i="3"/>
  <c r="CH12" i="3"/>
  <c r="CJ12" i="3"/>
  <c r="CK12" i="3"/>
  <c r="CM12" i="3"/>
  <c r="CN12" i="3"/>
  <c r="CP12" i="3"/>
  <c r="CQ12" i="3"/>
  <c r="CS12" i="3"/>
  <c r="CT12" i="3"/>
  <c r="CV12" i="3"/>
  <c r="CW12" i="3"/>
  <c r="CY12" i="3"/>
  <c r="CZ12" i="3"/>
  <c r="DB12" i="3"/>
  <c r="DC12" i="3"/>
  <c r="DG12" i="3"/>
  <c r="DI12" i="3"/>
  <c r="DK12" i="3" s="1"/>
  <c r="DW12" i="3"/>
  <c r="DY12" i="3"/>
  <c r="AW13" i="3"/>
  <c r="AX13" i="3"/>
  <c r="AZ13" i="3"/>
  <c r="BA13" i="3"/>
  <c r="BC13" i="3"/>
  <c r="BD13" i="3" s="1"/>
  <c r="BF13" i="3"/>
  <c r="BG13" i="3" s="1"/>
  <c r="BI13" i="3"/>
  <c r="BJ13" i="3" s="1"/>
  <c r="BL13" i="3"/>
  <c r="BM13" i="3"/>
  <c r="BO13" i="3"/>
  <c r="BP13" i="3"/>
  <c r="BR13" i="3"/>
  <c r="BS13" i="3"/>
  <c r="BU13" i="3"/>
  <c r="BV13" i="3"/>
  <c r="BX13" i="3"/>
  <c r="BY13" i="3"/>
  <c r="CA13" i="3"/>
  <c r="CB13" i="3" s="1"/>
  <c r="CD13" i="3"/>
  <c r="CE13" i="3"/>
  <c r="CG13" i="3"/>
  <c r="CH13" i="3"/>
  <c r="CJ13" i="3"/>
  <c r="CK13" i="3"/>
  <c r="CM13" i="3"/>
  <c r="CN13" i="3"/>
  <c r="CP13" i="3"/>
  <c r="CQ13" i="3"/>
  <c r="CS13" i="3"/>
  <c r="CT13" i="3"/>
  <c r="CV13" i="3"/>
  <c r="CW13" i="3"/>
  <c r="CY13" i="3"/>
  <c r="CZ13" i="3"/>
  <c r="DB13" i="3"/>
  <c r="DC13" i="3"/>
  <c r="DG13" i="3"/>
  <c r="DI13" i="3"/>
  <c r="DK13" i="3" s="1"/>
  <c r="DW13" i="3"/>
  <c r="DY13" i="3"/>
  <c r="AW14" i="3"/>
  <c r="AX14" i="3"/>
  <c r="AZ14" i="3"/>
  <c r="BA14" i="3"/>
  <c r="BC14" i="3"/>
  <c r="BD14" i="3"/>
  <c r="BF14" i="3"/>
  <c r="BG14" i="3" s="1"/>
  <c r="BI14" i="3"/>
  <c r="BJ14" i="3" s="1"/>
  <c r="BL14" i="3"/>
  <c r="BM14" i="3"/>
  <c r="BO14" i="3"/>
  <c r="BP14" i="3"/>
  <c r="BR14" i="3"/>
  <c r="BS14" i="3"/>
  <c r="BU14" i="3"/>
  <c r="BV14" i="3"/>
  <c r="BX14" i="3"/>
  <c r="BY14" i="3" s="1"/>
  <c r="CA14" i="3"/>
  <c r="CB14" i="3" s="1"/>
  <c r="CD14" i="3"/>
  <c r="CE14" i="3"/>
  <c r="CG14" i="3"/>
  <c r="CH14" i="3"/>
  <c r="CJ14" i="3"/>
  <c r="CK14" i="3"/>
  <c r="CM14" i="3"/>
  <c r="CN14" i="3"/>
  <c r="CP14" i="3"/>
  <c r="CQ14" i="3"/>
  <c r="CS14" i="3"/>
  <c r="CT14" i="3"/>
  <c r="CV14" i="3"/>
  <c r="CW14" i="3"/>
  <c r="CY14" i="3"/>
  <c r="CZ14" i="3"/>
  <c r="DB14" i="3"/>
  <c r="DC14" i="3"/>
  <c r="DG14" i="3"/>
  <c r="DI14" i="3"/>
  <c r="DK14" i="3" s="1"/>
  <c r="DW14" i="3"/>
  <c r="DY14" i="3"/>
  <c r="AW15" i="3"/>
  <c r="AX15" i="3"/>
  <c r="AZ15" i="3"/>
  <c r="BA15" i="3" s="1"/>
  <c r="BC15" i="3"/>
  <c r="BD15" i="3"/>
  <c r="BF15" i="3"/>
  <c r="BG15" i="3"/>
  <c r="BI15" i="3"/>
  <c r="BJ15" i="3"/>
  <c r="BL15" i="3"/>
  <c r="BM15" i="3"/>
  <c r="BO15" i="3"/>
  <c r="BP15" i="3"/>
  <c r="BR15" i="3"/>
  <c r="BS15" i="3"/>
  <c r="BU15" i="3"/>
  <c r="BV15" i="3"/>
  <c r="BX15" i="3"/>
  <c r="BY15" i="3"/>
  <c r="CA15" i="3"/>
  <c r="CB15" i="3" s="1"/>
  <c r="CD15" i="3"/>
  <c r="CE15" i="3"/>
  <c r="CG15" i="3"/>
  <c r="CH15" i="3"/>
  <c r="CJ15" i="3"/>
  <c r="CK15" i="3"/>
  <c r="CM15" i="3"/>
  <c r="CN15" i="3"/>
  <c r="CP15" i="3"/>
  <c r="CQ15" i="3"/>
  <c r="CS15" i="3"/>
  <c r="CT15" i="3"/>
  <c r="CV15" i="3"/>
  <c r="CW15" i="3"/>
  <c r="CY15" i="3"/>
  <c r="CZ15" i="3"/>
  <c r="DB15" i="3"/>
  <c r="DC15" i="3"/>
  <c r="DG15" i="3"/>
  <c r="DI15" i="3"/>
  <c r="DK15" i="3" s="1"/>
  <c r="DW15" i="3"/>
  <c r="DY15" i="3"/>
  <c r="AW16" i="3"/>
  <c r="AX16" i="3"/>
  <c r="AZ16" i="3"/>
  <c r="BA16" i="3" s="1"/>
  <c r="BC16" i="3"/>
  <c r="BD16" i="3"/>
  <c r="BF16" i="3"/>
  <c r="BG16" i="3"/>
  <c r="BI16" i="3"/>
  <c r="BJ16" i="3" s="1"/>
  <c r="BL16" i="3"/>
  <c r="BM16" i="3"/>
  <c r="BO16" i="3"/>
  <c r="BP16" i="3"/>
  <c r="BR16" i="3"/>
  <c r="BS16" i="3"/>
  <c r="BU16" i="3"/>
  <c r="BV16" i="3"/>
  <c r="BX16" i="3"/>
  <c r="BY16" i="3"/>
  <c r="CA16" i="3"/>
  <c r="CB16" i="3" s="1"/>
  <c r="CD16" i="3"/>
  <c r="CE16" i="3"/>
  <c r="CG16" i="3"/>
  <c r="CH16" i="3"/>
  <c r="CJ16" i="3"/>
  <c r="CK16" i="3"/>
  <c r="CM16" i="3"/>
  <c r="CN16" i="3"/>
  <c r="CP16" i="3"/>
  <c r="CQ16" i="3"/>
  <c r="CS16" i="3"/>
  <c r="CT16" i="3"/>
  <c r="CV16" i="3"/>
  <c r="CW16" i="3"/>
  <c r="CY16" i="3"/>
  <c r="CZ16" i="3"/>
  <c r="DB16" i="3"/>
  <c r="DC16" i="3"/>
  <c r="DG16" i="3"/>
  <c r="DI16" i="3"/>
  <c r="DW16" i="3"/>
  <c r="DY16" i="3"/>
  <c r="AW17" i="3"/>
  <c r="AX17" i="3"/>
  <c r="AZ17" i="3"/>
  <c r="BA17" i="3"/>
  <c r="BC17" i="3"/>
  <c r="BD17" i="3"/>
  <c r="BF17" i="3"/>
  <c r="BG17" i="3"/>
  <c r="BI17" i="3"/>
  <c r="BJ17" i="3"/>
  <c r="BL17" i="3"/>
  <c r="BM17" i="3"/>
  <c r="BO17" i="3"/>
  <c r="BP17" i="3"/>
  <c r="BR17" i="3"/>
  <c r="BS17" i="3"/>
  <c r="BU17" i="3"/>
  <c r="BV17" i="3"/>
  <c r="BX17" i="3"/>
  <c r="BY17" i="3" s="1"/>
  <c r="CA17" i="3"/>
  <c r="CB17" i="3" s="1"/>
  <c r="CD17" i="3"/>
  <c r="CE17" i="3"/>
  <c r="CG17" i="3"/>
  <c r="CH17" i="3"/>
  <c r="CJ17" i="3"/>
  <c r="CK17" i="3"/>
  <c r="CM17" i="3"/>
  <c r="CN17" i="3"/>
  <c r="CP17" i="3"/>
  <c r="CQ17" i="3"/>
  <c r="CS17" i="3"/>
  <c r="CT17" i="3"/>
  <c r="CV17" i="3"/>
  <c r="CW17" i="3"/>
  <c r="CY17" i="3"/>
  <c r="CZ17" i="3"/>
  <c r="DB17" i="3"/>
  <c r="DC17" i="3"/>
  <c r="DG17" i="3"/>
  <c r="DI17" i="3"/>
  <c r="DW17" i="3"/>
  <c r="DY17" i="3"/>
  <c r="AW18" i="3"/>
  <c r="AX18" i="3"/>
  <c r="AZ18" i="3"/>
  <c r="BA18" i="3"/>
  <c r="BC18" i="3"/>
  <c r="BD18" i="3"/>
  <c r="BF18" i="3"/>
  <c r="BG18" i="3"/>
  <c r="BI18" i="3"/>
  <c r="BJ18" i="3" s="1"/>
  <c r="BL18" i="3"/>
  <c r="BM18" i="3" s="1"/>
  <c r="BO18" i="3"/>
  <c r="BP18" i="3" s="1"/>
  <c r="BR18" i="3"/>
  <c r="BS18" i="3"/>
  <c r="BU18" i="3"/>
  <c r="BV18" i="3" s="1"/>
  <c r="BX18" i="3"/>
  <c r="BY18" i="3" s="1"/>
  <c r="CA18" i="3"/>
  <c r="CB18" i="3" s="1"/>
  <c r="CD18" i="3"/>
  <c r="CE18" i="3"/>
  <c r="CG18" i="3"/>
  <c r="CH18" i="3"/>
  <c r="CJ18" i="3"/>
  <c r="CK18" i="3"/>
  <c r="CM18" i="3"/>
  <c r="CN18" i="3"/>
  <c r="CP18" i="3"/>
  <c r="CQ18" i="3"/>
  <c r="CS18" i="3"/>
  <c r="CT18" i="3"/>
  <c r="CV18" i="3"/>
  <c r="CW18" i="3"/>
  <c r="CY18" i="3"/>
  <c r="CZ18" i="3"/>
  <c r="DB18" i="3"/>
  <c r="DC18" i="3"/>
  <c r="DG18" i="3"/>
  <c r="DI18" i="3"/>
  <c r="DW18" i="3"/>
  <c r="DY18" i="3"/>
  <c r="AW19" i="3"/>
  <c r="AX19" i="3"/>
  <c r="AZ19" i="3"/>
  <c r="BA19" i="3"/>
  <c r="BC19" i="3"/>
  <c r="BD19" i="3"/>
  <c r="BF19" i="3"/>
  <c r="BG19" i="3"/>
  <c r="BI19" i="3"/>
  <c r="BJ19" i="3"/>
  <c r="BL19" i="3"/>
  <c r="BM19" i="3" s="1"/>
  <c r="BO19" i="3"/>
  <c r="BP19" i="3"/>
  <c r="BR19" i="3"/>
  <c r="BS19" i="3"/>
  <c r="BU19" i="3"/>
  <c r="BV19" i="3"/>
  <c r="BX19" i="3"/>
  <c r="BY19" i="3"/>
  <c r="CA19" i="3"/>
  <c r="CB19" i="3" s="1"/>
  <c r="CD19" i="3"/>
  <c r="CE19" i="3"/>
  <c r="CG19" i="3"/>
  <c r="CH19" i="3"/>
  <c r="CJ19" i="3"/>
  <c r="CK19" i="3"/>
  <c r="CM19" i="3"/>
  <c r="CN19" i="3"/>
  <c r="CP19" i="3"/>
  <c r="CQ19" i="3"/>
  <c r="CS19" i="3"/>
  <c r="CT19" i="3"/>
  <c r="CV19" i="3"/>
  <c r="CW19" i="3"/>
  <c r="CY19" i="3"/>
  <c r="CZ19" i="3"/>
  <c r="DB19" i="3"/>
  <c r="DC19" i="3"/>
  <c r="DG19" i="3"/>
  <c r="DI19" i="3"/>
  <c r="DW19" i="3"/>
  <c r="DY19" i="3"/>
  <c r="AW20" i="3"/>
  <c r="AX20" i="3"/>
  <c r="AZ20" i="3"/>
  <c r="BA20" i="3"/>
  <c r="BC20" i="3"/>
  <c r="BD20" i="3" s="1"/>
  <c r="BF20" i="3"/>
  <c r="BG20" i="3"/>
  <c r="BI20" i="3"/>
  <c r="BJ20" i="3"/>
  <c r="BL20" i="3"/>
  <c r="BM20" i="3" s="1"/>
  <c r="BO20" i="3"/>
  <c r="BP20" i="3"/>
  <c r="BR20" i="3"/>
  <c r="BS20" i="3" s="1"/>
  <c r="BU20" i="3"/>
  <c r="BV20" i="3" s="1"/>
  <c r="BX20" i="3"/>
  <c r="BY20" i="3"/>
  <c r="CA20" i="3"/>
  <c r="CB20" i="3" s="1"/>
  <c r="CD20" i="3"/>
  <c r="CE20" i="3"/>
  <c r="CG20" i="3"/>
  <c r="CH20" i="3"/>
  <c r="CJ20" i="3"/>
  <c r="CK20" i="3"/>
  <c r="CM20" i="3"/>
  <c r="CN20" i="3"/>
  <c r="CP20" i="3"/>
  <c r="CQ20" i="3"/>
  <c r="CS20" i="3"/>
  <c r="CT20" i="3"/>
  <c r="CV20" i="3"/>
  <c r="CW20" i="3"/>
  <c r="CY20" i="3"/>
  <c r="CZ20" i="3"/>
  <c r="DB20" i="3"/>
  <c r="DC20" i="3" s="1"/>
  <c r="DG20" i="3"/>
  <c r="DI20" i="3"/>
  <c r="DW20" i="3"/>
  <c r="DY20" i="3"/>
  <c r="AW21" i="3"/>
  <c r="AX21" i="3"/>
  <c r="AZ21" i="3"/>
  <c r="BA21" i="3" s="1"/>
  <c r="BC21" i="3"/>
  <c r="BD21" i="3"/>
  <c r="BF21" i="3"/>
  <c r="BG21" i="3"/>
  <c r="BI21" i="3"/>
  <c r="BJ21" i="3"/>
  <c r="BL21" i="3"/>
  <c r="BM21" i="3"/>
  <c r="BO21" i="3"/>
  <c r="BP21" i="3"/>
  <c r="BR21" i="3"/>
  <c r="BS21" i="3"/>
  <c r="BU21" i="3"/>
  <c r="BV21" i="3" s="1"/>
  <c r="BX21" i="3"/>
  <c r="BY21" i="3"/>
  <c r="CA21" i="3"/>
  <c r="CB21" i="3" s="1"/>
  <c r="CD21" i="3"/>
  <c r="CE21" i="3"/>
  <c r="CG21" i="3"/>
  <c r="CH21" i="3"/>
  <c r="CJ21" i="3"/>
  <c r="CK21" i="3"/>
  <c r="CM21" i="3"/>
  <c r="CN21" i="3"/>
  <c r="CP21" i="3"/>
  <c r="CQ21" i="3"/>
  <c r="CS21" i="3"/>
  <c r="CT21" i="3" s="1"/>
  <c r="CV21" i="3"/>
  <c r="CW21" i="3"/>
  <c r="CY21" i="3"/>
  <c r="CY54" i="3" s="1"/>
  <c r="CZ21" i="3"/>
  <c r="DB21" i="3"/>
  <c r="DC21" i="3"/>
  <c r="DG21" i="3"/>
  <c r="DI21" i="3"/>
  <c r="DK21" i="3" s="1"/>
  <c r="DW21" i="3"/>
  <c r="DY21" i="3"/>
  <c r="AW22" i="3"/>
  <c r="AX22" i="3"/>
  <c r="AZ22" i="3"/>
  <c r="BA22" i="3"/>
  <c r="BC22" i="3"/>
  <c r="BD22" i="3"/>
  <c r="BF22" i="3"/>
  <c r="BG22" i="3"/>
  <c r="BI22" i="3"/>
  <c r="BJ22" i="3"/>
  <c r="BL22" i="3"/>
  <c r="BM22" i="3"/>
  <c r="BO22" i="3"/>
  <c r="BP22" i="3"/>
  <c r="BR22" i="3"/>
  <c r="BS22" i="3"/>
  <c r="BU22" i="3"/>
  <c r="BV22" i="3"/>
  <c r="BX22" i="3"/>
  <c r="BY22" i="3" s="1"/>
  <c r="CA22" i="3"/>
  <c r="CB22" i="3" s="1"/>
  <c r="CD22" i="3"/>
  <c r="CE22" i="3"/>
  <c r="CG22" i="3"/>
  <c r="CH22" i="3"/>
  <c r="CJ22" i="3"/>
  <c r="CK22" i="3"/>
  <c r="CM22" i="3"/>
  <c r="CN22" i="3"/>
  <c r="CP22" i="3"/>
  <c r="CQ22" i="3"/>
  <c r="CS22" i="3"/>
  <c r="CT22" i="3"/>
  <c r="CV22" i="3"/>
  <c r="CW22" i="3"/>
  <c r="CY22" i="3"/>
  <c r="CZ22" i="3"/>
  <c r="DB22" i="3"/>
  <c r="DC22" i="3"/>
  <c r="DG22" i="3"/>
  <c r="DI22" i="3"/>
  <c r="DK22" i="3" s="1"/>
  <c r="DW22" i="3"/>
  <c r="DY22" i="3"/>
  <c r="AW23" i="3"/>
  <c r="AX23" i="3"/>
  <c r="AZ23" i="3"/>
  <c r="BA23" i="3"/>
  <c r="BC23" i="3"/>
  <c r="BD23" i="3"/>
  <c r="BF23" i="3"/>
  <c r="BG23" i="3"/>
  <c r="BI23" i="3"/>
  <c r="BJ23" i="3"/>
  <c r="BL23" i="3"/>
  <c r="BM23" i="3"/>
  <c r="BO23" i="3"/>
  <c r="BP23" i="3"/>
  <c r="BR23" i="3"/>
  <c r="BS23" i="3" s="1"/>
  <c r="BU23" i="3"/>
  <c r="BV23" i="3"/>
  <c r="BX23" i="3"/>
  <c r="BY23" i="3"/>
  <c r="CA23" i="3"/>
  <c r="CB23" i="3" s="1"/>
  <c r="CD23" i="3"/>
  <c r="CE23" i="3"/>
  <c r="CG23" i="3"/>
  <c r="CH23" i="3"/>
  <c r="CJ23" i="3"/>
  <c r="CK23" i="3"/>
  <c r="CM23" i="3"/>
  <c r="CN23" i="3"/>
  <c r="CP23" i="3"/>
  <c r="CQ23" i="3"/>
  <c r="CS23" i="3"/>
  <c r="CT23" i="3"/>
  <c r="CV23" i="3"/>
  <c r="CW23" i="3"/>
  <c r="CY23" i="3"/>
  <c r="CZ23" i="3"/>
  <c r="DB23" i="3"/>
  <c r="DC23" i="3"/>
  <c r="DG23" i="3"/>
  <c r="DI23" i="3"/>
  <c r="DK23" i="3" s="1"/>
  <c r="DW23" i="3"/>
  <c r="DY23" i="3"/>
  <c r="AW24" i="3"/>
  <c r="AX24" i="3"/>
  <c r="AZ24" i="3"/>
  <c r="BA24" i="3"/>
  <c r="BC24" i="3"/>
  <c r="BD24" i="3" s="1"/>
  <c r="BF24" i="3"/>
  <c r="BG24" i="3" s="1"/>
  <c r="BI24" i="3"/>
  <c r="BJ24" i="3"/>
  <c r="BL24" i="3"/>
  <c r="BM24" i="3"/>
  <c r="BO24" i="3"/>
  <c r="BP24" i="3" s="1"/>
  <c r="BR24" i="3"/>
  <c r="BS24" i="3"/>
  <c r="BU24" i="3"/>
  <c r="BV24" i="3"/>
  <c r="BX24" i="3"/>
  <c r="BY24" i="3" s="1"/>
  <c r="CA24" i="3"/>
  <c r="CB24" i="3" s="1"/>
  <c r="CD24" i="3"/>
  <c r="CE24" i="3"/>
  <c r="CG24" i="3"/>
  <c r="CH24" i="3"/>
  <c r="CJ24" i="3"/>
  <c r="CK24" i="3"/>
  <c r="CM24" i="3"/>
  <c r="CN24" i="3"/>
  <c r="CP24" i="3"/>
  <c r="CQ24" i="3"/>
  <c r="CS24" i="3"/>
  <c r="CT24" i="3"/>
  <c r="CV24" i="3"/>
  <c r="CW24" i="3"/>
  <c r="CY24" i="3"/>
  <c r="CZ24" i="3"/>
  <c r="DB24" i="3"/>
  <c r="DC24" i="3"/>
  <c r="DG24" i="3"/>
  <c r="DI24" i="3"/>
  <c r="DK24" i="3" s="1"/>
  <c r="DW24" i="3"/>
  <c r="DY24" i="3"/>
  <c r="AW25" i="3"/>
  <c r="AX25" i="3" s="1"/>
  <c r="AZ25" i="3"/>
  <c r="BA25" i="3"/>
  <c r="BC25" i="3"/>
  <c r="BD25" i="3" s="1"/>
  <c r="BF25" i="3"/>
  <c r="BG25" i="3"/>
  <c r="BI25" i="3"/>
  <c r="BJ25" i="3"/>
  <c r="BL25" i="3"/>
  <c r="BM25" i="3"/>
  <c r="BO25" i="3"/>
  <c r="BP25" i="3"/>
  <c r="BR25" i="3"/>
  <c r="BS25" i="3" s="1"/>
  <c r="BU25" i="3"/>
  <c r="BV25" i="3"/>
  <c r="BX25" i="3"/>
  <c r="BY25" i="3"/>
  <c r="CA25" i="3"/>
  <c r="CB25" i="3" s="1"/>
  <c r="CD25" i="3"/>
  <c r="CE25" i="3"/>
  <c r="CG25" i="3"/>
  <c r="CH25" i="3"/>
  <c r="CJ25" i="3"/>
  <c r="CK25" i="3"/>
  <c r="CM25" i="3"/>
  <c r="CN25" i="3"/>
  <c r="CP25" i="3"/>
  <c r="CQ25" i="3"/>
  <c r="CS25" i="3"/>
  <c r="CT25" i="3"/>
  <c r="CV25" i="3"/>
  <c r="CW25" i="3"/>
  <c r="CY25" i="3"/>
  <c r="CZ25" i="3"/>
  <c r="DB25" i="3"/>
  <c r="DC25" i="3"/>
  <c r="DG25" i="3"/>
  <c r="DI25" i="3"/>
  <c r="DK25" i="3" s="1"/>
  <c r="DW25" i="3"/>
  <c r="DY25" i="3"/>
  <c r="AW26" i="3"/>
  <c r="AX26" i="3"/>
  <c r="AZ26" i="3"/>
  <c r="BA26" i="3"/>
  <c r="BC26" i="3"/>
  <c r="BD26" i="3"/>
  <c r="BF26" i="3"/>
  <c r="BG26" i="3" s="1"/>
  <c r="BI26" i="3"/>
  <c r="BJ26" i="3"/>
  <c r="BL26" i="3"/>
  <c r="BM26" i="3"/>
  <c r="BO26" i="3"/>
  <c r="BP26" i="3"/>
  <c r="BR26" i="3"/>
  <c r="BS26" i="3"/>
  <c r="BU26" i="3"/>
  <c r="BV26" i="3"/>
  <c r="BX26" i="3"/>
  <c r="BY26" i="3" s="1"/>
  <c r="CA26" i="3"/>
  <c r="CB26" i="3" s="1"/>
  <c r="CD26" i="3"/>
  <c r="CE26" i="3"/>
  <c r="CG26" i="3"/>
  <c r="CH26" i="3"/>
  <c r="CJ26" i="3"/>
  <c r="CK26" i="3"/>
  <c r="CM26" i="3"/>
  <c r="CN26" i="3"/>
  <c r="CP26" i="3"/>
  <c r="CQ26" i="3"/>
  <c r="CS26" i="3"/>
  <c r="CT26" i="3"/>
  <c r="CV26" i="3"/>
  <c r="CW26" i="3"/>
  <c r="CY26" i="3"/>
  <c r="CZ26" i="3"/>
  <c r="DB26" i="3"/>
  <c r="DC26" i="3"/>
  <c r="DG26" i="3"/>
  <c r="DI26" i="3"/>
  <c r="DK26" i="3" s="1"/>
  <c r="DW26" i="3"/>
  <c r="DY26" i="3"/>
  <c r="AW27" i="3"/>
  <c r="AX27" i="3"/>
  <c r="AZ27" i="3"/>
  <c r="BA27" i="3"/>
  <c r="BC27" i="3"/>
  <c r="BD27" i="3"/>
  <c r="BF27" i="3"/>
  <c r="BG27" i="3"/>
  <c r="BI27" i="3"/>
  <c r="BJ27" i="3" s="1"/>
  <c r="BL27" i="3"/>
  <c r="BM27" i="3"/>
  <c r="BO27" i="3"/>
  <c r="BP27" i="3"/>
  <c r="BR27" i="3"/>
  <c r="BS27" i="3" s="1"/>
  <c r="BU27" i="3"/>
  <c r="BV27" i="3"/>
  <c r="BX27" i="3"/>
  <c r="BY27" i="3"/>
  <c r="CA27" i="3"/>
  <c r="CB27" i="3" s="1"/>
  <c r="CD27" i="3"/>
  <c r="CE27" i="3"/>
  <c r="CG27" i="3"/>
  <c r="CH27" i="3"/>
  <c r="CJ27" i="3"/>
  <c r="CK27" i="3"/>
  <c r="CM27" i="3"/>
  <c r="CN27" i="3"/>
  <c r="CP27" i="3"/>
  <c r="CQ27" i="3"/>
  <c r="CS27" i="3"/>
  <c r="CT27" i="3"/>
  <c r="CV27" i="3"/>
  <c r="CW27" i="3"/>
  <c r="CY27" i="3"/>
  <c r="CZ27" i="3"/>
  <c r="DB27" i="3"/>
  <c r="DC27" i="3"/>
  <c r="DG27" i="3"/>
  <c r="DI27" i="3"/>
  <c r="DW27" i="3"/>
  <c r="DY27" i="3"/>
  <c r="AW28" i="3"/>
  <c r="AX28" i="3"/>
  <c r="AZ28" i="3"/>
  <c r="BA28" i="3"/>
  <c r="BC28" i="3"/>
  <c r="BD28" i="3"/>
  <c r="BF28" i="3"/>
  <c r="BG28" i="3"/>
  <c r="BI28" i="3"/>
  <c r="BJ28" i="3"/>
  <c r="BL28" i="3"/>
  <c r="BM28" i="3"/>
  <c r="BO28" i="3"/>
  <c r="BP28" i="3"/>
  <c r="BR28" i="3"/>
  <c r="BS28" i="3"/>
  <c r="BU28" i="3"/>
  <c r="BV28" i="3" s="1"/>
  <c r="BX28" i="3"/>
  <c r="BY28" i="3"/>
  <c r="CA28" i="3"/>
  <c r="CB28" i="3" s="1"/>
  <c r="CD28" i="3"/>
  <c r="CE28" i="3"/>
  <c r="CG28" i="3"/>
  <c r="CH28" i="3"/>
  <c r="CJ28" i="3"/>
  <c r="CK28" i="3"/>
  <c r="CM28" i="3"/>
  <c r="CN28" i="3"/>
  <c r="CP28" i="3"/>
  <c r="CQ28" i="3"/>
  <c r="CS28" i="3"/>
  <c r="CT28" i="3"/>
  <c r="CV28" i="3"/>
  <c r="CW28" i="3"/>
  <c r="CY28" i="3"/>
  <c r="CZ28" i="3"/>
  <c r="DB28" i="3"/>
  <c r="DC28" i="3"/>
  <c r="DG28" i="3"/>
  <c r="DI28" i="3"/>
  <c r="DW28" i="3"/>
  <c r="DY28" i="3"/>
  <c r="AW29" i="3"/>
  <c r="AX29" i="3"/>
  <c r="AZ29" i="3"/>
  <c r="BA29" i="3"/>
  <c r="BC29" i="3"/>
  <c r="BD29" i="3" s="1"/>
  <c r="BF29" i="3"/>
  <c r="BG29" i="3"/>
  <c r="BI29" i="3"/>
  <c r="BJ29" i="3" s="1"/>
  <c r="BL29" i="3"/>
  <c r="BM29" i="3"/>
  <c r="BO29" i="3"/>
  <c r="BP29" i="3"/>
  <c r="BR29" i="3"/>
  <c r="BS29" i="3"/>
  <c r="BU29" i="3"/>
  <c r="BV29" i="3"/>
  <c r="BX29" i="3"/>
  <c r="BY29" i="3"/>
  <c r="CA29" i="3"/>
  <c r="CB29" i="3" s="1"/>
  <c r="CD29" i="3"/>
  <c r="CE29" i="3"/>
  <c r="CG29" i="3"/>
  <c r="CH29" i="3"/>
  <c r="CJ29" i="3"/>
  <c r="CK29" i="3"/>
  <c r="CM29" i="3"/>
  <c r="CN29" i="3"/>
  <c r="CP29" i="3"/>
  <c r="CQ29" i="3"/>
  <c r="CS29" i="3"/>
  <c r="CT29" i="3"/>
  <c r="CV29" i="3"/>
  <c r="CW29" i="3"/>
  <c r="CY29" i="3"/>
  <c r="CZ29" i="3"/>
  <c r="DB29" i="3"/>
  <c r="DC29" i="3"/>
  <c r="DG29" i="3"/>
  <c r="DI29" i="3"/>
  <c r="DW29" i="3"/>
  <c r="DY29" i="3"/>
  <c r="AW30" i="3"/>
  <c r="AX30" i="3"/>
  <c r="AZ30" i="3"/>
  <c r="BA30" i="3"/>
  <c r="BC30" i="3"/>
  <c r="BD30" i="3"/>
  <c r="BF30" i="3"/>
  <c r="BG30" i="3"/>
  <c r="BI30" i="3"/>
  <c r="BJ30" i="3"/>
  <c r="BL30" i="3"/>
  <c r="BM30" i="3"/>
  <c r="BO30" i="3"/>
  <c r="BP30" i="3"/>
  <c r="BR30" i="3"/>
  <c r="BS30" i="3"/>
  <c r="BU30" i="3"/>
  <c r="BV30" i="3"/>
  <c r="BX30" i="3"/>
  <c r="BY30" i="3"/>
  <c r="CA30" i="3"/>
  <c r="CB30" i="3" s="1"/>
  <c r="CD30" i="3"/>
  <c r="CE30" i="3"/>
  <c r="CG30" i="3"/>
  <c r="CH30" i="3"/>
  <c r="CJ30" i="3"/>
  <c r="CK30" i="3"/>
  <c r="CM30" i="3"/>
  <c r="CN30" i="3"/>
  <c r="CP30" i="3"/>
  <c r="CQ30" i="3"/>
  <c r="CS30" i="3"/>
  <c r="CT30" i="3"/>
  <c r="CV30" i="3"/>
  <c r="CW30" i="3"/>
  <c r="CY30" i="3"/>
  <c r="CZ30" i="3"/>
  <c r="DB30" i="3"/>
  <c r="DC30" i="3"/>
  <c r="DG30" i="3"/>
  <c r="DI30" i="3"/>
  <c r="DW30" i="3"/>
  <c r="DY30" i="3"/>
  <c r="AW31" i="3"/>
  <c r="AX31" i="3"/>
  <c r="AZ31" i="3"/>
  <c r="BA31" i="3"/>
  <c r="BC31" i="3"/>
  <c r="BD31" i="3"/>
  <c r="BF31" i="3"/>
  <c r="BG31" i="3"/>
  <c r="BI31" i="3"/>
  <c r="BJ31" i="3"/>
  <c r="BL31" i="3"/>
  <c r="BM31" i="3"/>
  <c r="BO31" i="3"/>
  <c r="BP31" i="3"/>
  <c r="BR31" i="3"/>
  <c r="BS31" i="3"/>
  <c r="BU31" i="3"/>
  <c r="BV31" i="3"/>
  <c r="BX31" i="3"/>
  <c r="BY31" i="3"/>
  <c r="CA31" i="3"/>
  <c r="CB31" i="3" s="1"/>
  <c r="CD31" i="3"/>
  <c r="CE31" i="3"/>
  <c r="CG31" i="3"/>
  <c r="CH31" i="3"/>
  <c r="CJ31" i="3"/>
  <c r="CK31" i="3"/>
  <c r="CM31" i="3"/>
  <c r="CN31" i="3"/>
  <c r="CP31" i="3"/>
  <c r="CQ31" i="3"/>
  <c r="CS31" i="3"/>
  <c r="CT31" i="3"/>
  <c r="CV31" i="3"/>
  <c r="CW31" i="3"/>
  <c r="CY31" i="3"/>
  <c r="CZ31" i="3"/>
  <c r="DB31" i="3"/>
  <c r="DC31" i="3"/>
  <c r="DG31" i="3"/>
  <c r="DI31" i="3"/>
  <c r="DW31" i="3"/>
  <c r="DY31" i="3"/>
  <c r="AW32" i="3"/>
  <c r="AX32" i="3"/>
  <c r="AZ32" i="3"/>
  <c r="BA32" i="3"/>
  <c r="BC32" i="3"/>
  <c r="BD32" i="3"/>
  <c r="BF32" i="3"/>
  <c r="BG32" i="3"/>
  <c r="BI32" i="3"/>
  <c r="BJ32" i="3"/>
  <c r="BL32" i="3"/>
  <c r="BM32" i="3"/>
  <c r="BO32" i="3"/>
  <c r="BP32" i="3"/>
  <c r="BR32" i="3"/>
  <c r="BS32" i="3"/>
  <c r="BU32" i="3"/>
  <c r="BV32" i="3"/>
  <c r="BX32" i="3"/>
  <c r="BY32" i="3" s="1"/>
  <c r="CA32" i="3"/>
  <c r="CB32" i="3" s="1"/>
  <c r="CD32" i="3"/>
  <c r="CE32" i="3"/>
  <c r="CG32" i="3"/>
  <c r="CH32" i="3"/>
  <c r="CJ32" i="3"/>
  <c r="CK32" i="3"/>
  <c r="CM32" i="3"/>
  <c r="CN32" i="3"/>
  <c r="CP32" i="3"/>
  <c r="CQ32" i="3"/>
  <c r="CS32" i="3"/>
  <c r="CT32" i="3"/>
  <c r="CV32" i="3"/>
  <c r="CW32" i="3"/>
  <c r="CY32" i="3"/>
  <c r="CZ32" i="3"/>
  <c r="DB32" i="3"/>
  <c r="DC32" i="3"/>
  <c r="DG32" i="3"/>
  <c r="DI32" i="3"/>
  <c r="DK32" i="3" s="1"/>
  <c r="DW32" i="3"/>
  <c r="DY32" i="3"/>
  <c r="AW33" i="3"/>
  <c r="AX33" i="3"/>
  <c r="AZ33" i="3"/>
  <c r="BA33" i="3"/>
  <c r="BC33" i="3"/>
  <c r="BD33" i="3"/>
  <c r="BF33" i="3"/>
  <c r="BG33" i="3"/>
  <c r="BI33" i="3"/>
  <c r="BJ33" i="3"/>
  <c r="BL33" i="3"/>
  <c r="BM33" i="3"/>
  <c r="BO33" i="3"/>
  <c r="BP33" i="3"/>
  <c r="BR33" i="3"/>
  <c r="BS33" i="3"/>
  <c r="BU33" i="3"/>
  <c r="BV33" i="3"/>
  <c r="BX33" i="3"/>
  <c r="BY33" i="3"/>
  <c r="CA33" i="3"/>
  <c r="CB33" i="3" s="1"/>
  <c r="CD33" i="3"/>
  <c r="CE33" i="3"/>
  <c r="CG33" i="3"/>
  <c r="CH33" i="3"/>
  <c r="CJ33" i="3"/>
  <c r="CK33" i="3"/>
  <c r="CM33" i="3"/>
  <c r="CN33" i="3"/>
  <c r="CP33" i="3"/>
  <c r="CQ33" i="3"/>
  <c r="CS33" i="3"/>
  <c r="CT33" i="3"/>
  <c r="CV33" i="3"/>
  <c r="CW33" i="3"/>
  <c r="CY33" i="3"/>
  <c r="CZ33" i="3"/>
  <c r="DB33" i="3"/>
  <c r="DC33" i="3"/>
  <c r="DG33" i="3"/>
  <c r="DI33" i="3"/>
  <c r="DK33" i="3" s="1"/>
  <c r="DW33" i="3"/>
  <c r="DY33" i="3"/>
  <c r="AW34" i="3"/>
  <c r="AX34" i="3"/>
  <c r="AZ34" i="3"/>
  <c r="BA34" i="3"/>
  <c r="BC34" i="3"/>
  <c r="BD34" i="3"/>
  <c r="BF34" i="3"/>
  <c r="BG34" i="3"/>
  <c r="BI34" i="3"/>
  <c r="BJ34" i="3"/>
  <c r="BL34" i="3"/>
  <c r="BM34" i="3"/>
  <c r="BO34" i="3"/>
  <c r="BP34" i="3"/>
  <c r="BR34" i="3"/>
  <c r="BS34" i="3"/>
  <c r="BU34" i="3"/>
  <c r="BV34" i="3"/>
  <c r="BX34" i="3"/>
  <c r="BY34" i="3"/>
  <c r="CA34" i="3"/>
  <c r="CB34" i="3" s="1"/>
  <c r="CD34" i="3"/>
  <c r="CE34" i="3"/>
  <c r="CG34" i="3"/>
  <c r="CH34" i="3"/>
  <c r="CJ34" i="3"/>
  <c r="CK34" i="3"/>
  <c r="CM34" i="3"/>
  <c r="CN34" i="3"/>
  <c r="CP34" i="3"/>
  <c r="CQ34" i="3"/>
  <c r="CS34" i="3"/>
  <c r="CT34" i="3"/>
  <c r="CV34" i="3"/>
  <c r="CW34" i="3"/>
  <c r="CY34" i="3"/>
  <c r="CZ34" i="3"/>
  <c r="DB34" i="3"/>
  <c r="DC34" i="3"/>
  <c r="DG34" i="3"/>
  <c r="DI34" i="3"/>
  <c r="DK34" i="3" s="1"/>
  <c r="DW34" i="3"/>
  <c r="DY34" i="3"/>
  <c r="AW35" i="3"/>
  <c r="AX35" i="3"/>
  <c r="AZ35" i="3"/>
  <c r="BA35" i="3" s="1"/>
  <c r="BC35" i="3"/>
  <c r="BD35" i="3"/>
  <c r="BF35" i="3"/>
  <c r="BG35" i="3"/>
  <c r="BI35" i="3"/>
  <c r="BJ35" i="3"/>
  <c r="BL35" i="3"/>
  <c r="BM35" i="3" s="1"/>
  <c r="BO35" i="3"/>
  <c r="BP35" i="3" s="1"/>
  <c r="BR35" i="3"/>
  <c r="BS35" i="3"/>
  <c r="BU35" i="3"/>
  <c r="BV35" i="3"/>
  <c r="BX35" i="3"/>
  <c r="BY35" i="3" s="1"/>
  <c r="CA35" i="3"/>
  <c r="CB35" i="3" s="1"/>
  <c r="CD35" i="3"/>
  <c r="CE35" i="3"/>
  <c r="CG35" i="3"/>
  <c r="CH35" i="3"/>
  <c r="CJ35" i="3"/>
  <c r="CK35" i="3"/>
  <c r="CM35" i="3"/>
  <c r="CN35" i="3"/>
  <c r="CP35" i="3"/>
  <c r="CQ35" i="3"/>
  <c r="CS35" i="3"/>
  <c r="CT35" i="3"/>
  <c r="CV35" i="3"/>
  <c r="CW35" i="3"/>
  <c r="CY35" i="3"/>
  <c r="CZ35" i="3"/>
  <c r="DB35" i="3"/>
  <c r="DC35" i="3"/>
  <c r="DG35" i="3"/>
  <c r="DI35" i="3"/>
  <c r="DK35" i="3" s="1"/>
  <c r="DW35" i="3"/>
  <c r="DY35" i="3"/>
  <c r="AW36" i="3"/>
  <c r="AX36" i="3"/>
  <c r="AZ36" i="3"/>
  <c r="BA36" i="3"/>
  <c r="BC36" i="3"/>
  <c r="BD36" i="3"/>
  <c r="BF36" i="3"/>
  <c r="BG36" i="3"/>
  <c r="BI36" i="3"/>
  <c r="BJ36" i="3"/>
  <c r="BL36" i="3"/>
  <c r="BM36" i="3"/>
  <c r="BO36" i="3"/>
  <c r="BP36" i="3" s="1"/>
  <c r="BR36" i="3"/>
  <c r="BS36" i="3"/>
  <c r="BU36" i="3"/>
  <c r="BV36" i="3"/>
  <c r="BX36" i="3"/>
  <c r="BY36" i="3"/>
  <c r="CA36" i="3"/>
  <c r="CB36" i="3" s="1"/>
  <c r="CD36" i="3"/>
  <c r="CE36" i="3"/>
  <c r="CG36" i="3"/>
  <c r="CH36" i="3"/>
  <c r="CJ36" i="3"/>
  <c r="CK36" i="3"/>
  <c r="CM36" i="3"/>
  <c r="CN36" i="3"/>
  <c r="CP36" i="3"/>
  <c r="CQ36" i="3"/>
  <c r="CS36" i="3"/>
  <c r="CT36" i="3"/>
  <c r="CV36" i="3"/>
  <c r="CW36" i="3"/>
  <c r="CY36" i="3"/>
  <c r="CZ36" i="3"/>
  <c r="DB36" i="3"/>
  <c r="DC36" i="3"/>
  <c r="DG36" i="3"/>
  <c r="DI36" i="3"/>
  <c r="DK36" i="3" s="1"/>
  <c r="DW36" i="3"/>
  <c r="DY36" i="3"/>
  <c r="AW37" i="3"/>
  <c r="AX37" i="3"/>
  <c r="AZ37" i="3"/>
  <c r="BA37" i="3"/>
  <c r="BC37" i="3"/>
  <c r="BD37" i="3"/>
  <c r="BF37" i="3"/>
  <c r="BG37" i="3"/>
  <c r="BI37" i="3"/>
  <c r="BJ37" i="3"/>
  <c r="BL37" i="3"/>
  <c r="BM37" i="3"/>
  <c r="BO37" i="3"/>
  <c r="BP37" i="3"/>
  <c r="BR37" i="3"/>
  <c r="BS37" i="3" s="1"/>
  <c r="BU37" i="3"/>
  <c r="BV37" i="3"/>
  <c r="BX37" i="3"/>
  <c r="BY37" i="3"/>
  <c r="CA37" i="3"/>
  <c r="CB37" i="3" s="1"/>
  <c r="CD37" i="3"/>
  <c r="CE37" i="3"/>
  <c r="CG37" i="3"/>
  <c r="CH37" i="3"/>
  <c r="CJ37" i="3"/>
  <c r="CK37" i="3"/>
  <c r="CM37" i="3"/>
  <c r="CN37" i="3"/>
  <c r="CP37" i="3"/>
  <c r="CQ37" i="3"/>
  <c r="CS37" i="3"/>
  <c r="CT37" i="3"/>
  <c r="CV37" i="3"/>
  <c r="CW37" i="3"/>
  <c r="CY37" i="3"/>
  <c r="CZ37" i="3"/>
  <c r="DB37" i="3"/>
  <c r="DC37" i="3"/>
  <c r="DG37" i="3"/>
  <c r="DI37" i="3"/>
  <c r="DK37" i="3" s="1"/>
  <c r="DW37" i="3"/>
  <c r="DY37" i="3"/>
  <c r="AW38" i="3"/>
  <c r="AX38" i="3"/>
  <c r="AZ38" i="3"/>
  <c r="BA38" i="3"/>
  <c r="BC38" i="3"/>
  <c r="BD38" i="3"/>
  <c r="BF38" i="3"/>
  <c r="BG38" i="3"/>
  <c r="BI38" i="3"/>
  <c r="BJ38" i="3"/>
  <c r="BL38" i="3"/>
  <c r="BM38" i="3"/>
  <c r="BO38" i="3"/>
  <c r="BP38" i="3"/>
  <c r="BR38" i="3"/>
  <c r="BS38" i="3"/>
  <c r="BU38" i="3"/>
  <c r="BV38" i="3"/>
  <c r="BX38" i="3"/>
  <c r="BY38" i="3" s="1"/>
  <c r="CA38" i="3"/>
  <c r="CB38" i="3" s="1"/>
  <c r="CD38" i="3"/>
  <c r="CE38" i="3"/>
  <c r="CG38" i="3"/>
  <c r="CH38" i="3"/>
  <c r="CJ38" i="3"/>
  <c r="CK38" i="3"/>
  <c r="CM38" i="3"/>
  <c r="CN38" i="3"/>
  <c r="CP38" i="3"/>
  <c r="CQ38" i="3"/>
  <c r="CS38" i="3"/>
  <c r="CT38" i="3"/>
  <c r="CV38" i="3"/>
  <c r="CW38" i="3"/>
  <c r="CY38" i="3"/>
  <c r="CZ38" i="3"/>
  <c r="DB38" i="3"/>
  <c r="DC38" i="3"/>
  <c r="DG38" i="3"/>
  <c r="DI38" i="3"/>
  <c r="DW38" i="3"/>
  <c r="DY38" i="3"/>
  <c r="AW39" i="3"/>
  <c r="AX39" i="3"/>
  <c r="AZ39" i="3"/>
  <c r="BA39" i="3"/>
  <c r="BC39" i="3"/>
  <c r="BD39" i="3"/>
  <c r="BF39" i="3"/>
  <c r="BG39" i="3"/>
  <c r="BI39" i="3"/>
  <c r="BJ39" i="3"/>
  <c r="BL39" i="3"/>
  <c r="BM39" i="3"/>
  <c r="BO39" i="3"/>
  <c r="BP39" i="3"/>
  <c r="BR39" i="3"/>
  <c r="BS39" i="3"/>
  <c r="BU39" i="3"/>
  <c r="BV39" i="3"/>
  <c r="BX39" i="3"/>
  <c r="BY39" i="3"/>
  <c r="CA39" i="3"/>
  <c r="CB39" i="3" s="1"/>
  <c r="CD39" i="3"/>
  <c r="CE39" i="3"/>
  <c r="CG39" i="3"/>
  <c r="CH39" i="3"/>
  <c r="CJ39" i="3"/>
  <c r="CK39" i="3"/>
  <c r="CM39" i="3"/>
  <c r="CN39" i="3"/>
  <c r="CP39" i="3"/>
  <c r="CQ39" i="3"/>
  <c r="CS39" i="3"/>
  <c r="CT39" i="3"/>
  <c r="CV39" i="3"/>
  <c r="CW39" i="3"/>
  <c r="CY39" i="3"/>
  <c r="CZ39" i="3"/>
  <c r="DB39" i="3"/>
  <c r="DC39" i="3"/>
  <c r="DG39" i="3"/>
  <c r="DI39" i="3"/>
  <c r="DW39" i="3"/>
  <c r="DY39" i="3"/>
  <c r="AW40" i="3"/>
  <c r="AX40" i="3"/>
  <c r="AZ40" i="3"/>
  <c r="BA40" i="3"/>
  <c r="BC40" i="3"/>
  <c r="BD40" i="3"/>
  <c r="BF40" i="3"/>
  <c r="BG40" i="3"/>
  <c r="BI40" i="3"/>
  <c r="BJ40" i="3" s="1"/>
  <c r="BL40" i="3"/>
  <c r="BM40" i="3" s="1"/>
  <c r="BO40" i="3"/>
  <c r="BP40" i="3"/>
  <c r="BR40" i="3"/>
  <c r="BS40" i="3"/>
  <c r="BU40" i="3"/>
  <c r="BV40" i="3"/>
  <c r="BX40" i="3"/>
  <c r="BY40" i="3"/>
  <c r="CA40" i="3"/>
  <c r="CB40" i="3" s="1"/>
  <c r="CD40" i="3"/>
  <c r="CE40" i="3"/>
  <c r="CG40" i="3"/>
  <c r="CH40" i="3"/>
  <c r="CJ40" i="3"/>
  <c r="CK40" i="3"/>
  <c r="CM40" i="3"/>
  <c r="CN40" i="3"/>
  <c r="CP40" i="3"/>
  <c r="CQ40" i="3"/>
  <c r="CS40" i="3"/>
  <c r="CT40" i="3"/>
  <c r="CV40" i="3"/>
  <c r="CW40" i="3"/>
  <c r="CY40" i="3"/>
  <c r="CZ40" i="3"/>
  <c r="DB40" i="3"/>
  <c r="DC40" i="3"/>
  <c r="DG40" i="3"/>
  <c r="DI40" i="3"/>
  <c r="DW40" i="3"/>
  <c r="DY40" i="3"/>
  <c r="AW41" i="3"/>
  <c r="AX41" i="3"/>
  <c r="AZ41" i="3"/>
  <c r="BA41" i="3"/>
  <c r="BC41" i="3"/>
  <c r="BD41" i="3"/>
  <c r="BF41" i="3"/>
  <c r="BG41" i="3"/>
  <c r="BI41" i="3"/>
  <c r="BJ41" i="3"/>
  <c r="BL41" i="3"/>
  <c r="BM41" i="3" s="1"/>
  <c r="BO41" i="3"/>
  <c r="BP41" i="3"/>
  <c r="BR41" i="3"/>
  <c r="BS41" i="3"/>
  <c r="BU41" i="3"/>
  <c r="BV41" i="3"/>
  <c r="BX41" i="3"/>
  <c r="BY41" i="3"/>
  <c r="CA41" i="3"/>
  <c r="CB41" i="3" s="1"/>
  <c r="CD41" i="3"/>
  <c r="CE41" i="3"/>
  <c r="CG41" i="3"/>
  <c r="CH41" i="3"/>
  <c r="CJ41" i="3"/>
  <c r="CK41" i="3"/>
  <c r="CM41" i="3"/>
  <c r="CN41" i="3"/>
  <c r="CP41" i="3"/>
  <c r="CQ41" i="3"/>
  <c r="CS41" i="3"/>
  <c r="CT41" i="3"/>
  <c r="CV41" i="3"/>
  <c r="CW41" i="3"/>
  <c r="CY41" i="3"/>
  <c r="CZ41" i="3"/>
  <c r="DB41" i="3"/>
  <c r="DC41" i="3"/>
  <c r="DG41" i="3"/>
  <c r="DI41" i="3"/>
  <c r="DW41" i="3"/>
  <c r="DY41" i="3"/>
  <c r="AW42" i="3"/>
  <c r="AX42" i="3"/>
  <c r="AZ42" i="3"/>
  <c r="BA42" i="3"/>
  <c r="BC42" i="3"/>
  <c r="BD42" i="3"/>
  <c r="BF42" i="3"/>
  <c r="BG42" i="3"/>
  <c r="BI42" i="3"/>
  <c r="BJ42" i="3"/>
  <c r="BL42" i="3"/>
  <c r="BM42" i="3"/>
  <c r="BO42" i="3"/>
  <c r="BP42" i="3"/>
  <c r="BR42" i="3"/>
  <c r="BS42" i="3"/>
  <c r="BU42" i="3"/>
  <c r="BV42" i="3"/>
  <c r="BX42" i="3"/>
  <c r="BY42" i="3"/>
  <c r="CA42" i="3"/>
  <c r="CB42" i="3" s="1"/>
  <c r="CD42" i="3"/>
  <c r="CE42" i="3"/>
  <c r="CG42" i="3"/>
  <c r="CH42" i="3"/>
  <c r="CJ42" i="3"/>
  <c r="CK42" i="3"/>
  <c r="CM42" i="3"/>
  <c r="CN42" i="3"/>
  <c r="CP42" i="3"/>
  <c r="CQ42" i="3"/>
  <c r="CS42" i="3"/>
  <c r="CT42" i="3"/>
  <c r="CV42" i="3"/>
  <c r="CW42" i="3"/>
  <c r="CY42" i="3"/>
  <c r="CZ42" i="3"/>
  <c r="DB42" i="3"/>
  <c r="DC42" i="3"/>
  <c r="DG42" i="3"/>
  <c r="DI42" i="3"/>
  <c r="DW42" i="3"/>
  <c r="DY42" i="3"/>
  <c r="AW43" i="3"/>
  <c r="AX43" i="3"/>
  <c r="AZ43" i="3"/>
  <c r="BA43" i="3"/>
  <c r="BC43" i="3"/>
  <c r="BD43" i="3"/>
  <c r="BF43" i="3"/>
  <c r="BG43" i="3"/>
  <c r="BI43" i="3"/>
  <c r="BJ43" i="3"/>
  <c r="BL43" i="3"/>
  <c r="BM43" i="3"/>
  <c r="BO43" i="3"/>
  <c r="BP43" i="3"/>
  <c r="BR43" i="3"/>
  <c r="BS43" i="3"/>
  <c r="BU43" i="3"/>
  <c r="BV43" i="3"/>
  <c r="BX43" i="3"/>
  <c r="BY43" i="3"/>
  <c r="CA43" i="3"/>
  <c r="CB43" i="3" s="1"/>
  <c r="CD43" i="3"/>
  <c r="CE43" i="3"/>
  <c r="CG43" i="3"/>
  <c r="CH43" i="3"/>
  <c r="CJ43" i="3"/>
  <c r="CK43" i="3"/>
  <c r="CM43" i="3"/>
  <c r="CN43" i="3"/>
  <c r="CP43" i="3"/>
  <c r="CQ43" i="3"/>
  <c r="CS43" i="3"/>
  <c r="CT43" i="3"/>
  <c r="CV43" i="3"/>
  <c r="CW43" i="3"/>
  <c r="CY43" i="3"/>
  <c r="CZ43" i="3"/>
  <c r="DB43" i="3"/>
  <c r="DC43" i="3"/>
  <c r="DG43" i="3"/>
  <c r="DI43" i="3"/>
  <c r="DK43" i="3" s="1"/>
  <c r="DW43" i="3"/>
  <c r="DY43" i="3"/>
  <c r="AW44" i="3"/>
  <c r="AX44" i="3"/>
  <c r="AZ44" i="3"/>
  <c r="BA44" i="3"/>
  <c r="BC44" i="3"/>
  <c r="BD44" i="3"/>
  <c r="BF44" i="3"/>
  <c r="BG44" i="3"/>
  <c r="BI44" i="3"/>
  <c r="BJ44" i="3" s="1"/>
  <c r="BL44" i="3"/>
  <c r="BM44" i="3"/>
  <c r="BO44" i="3"/>
  <c r="BP44" i="3"/>
  <c r="BR44" i="3"/>
  <c r="BS44" i="3"/>
  <c r="BU44" i="3"/>
  <c r="BV44" i="3"/>
  <c r="BX44" i="3"/>
  <c r="BY44" i="3"/>
  <c r="CA44" i="3"/>
  <c r="CB44" i="3" s="1"/>
  <c r="CD44" i="3"/>
  <c r="CE44" i="3"/>
  <c r="CG44" i="3"/>
  <c r="CH44" i="3"/>
  <c r="CJ44" i="3"/>
  <c r="CK44" i="3"/>
  <c r="CM44" i="3"/>
  <c r="CN44" i="3"/>
  <c r="CP44" i="3"/>
  <c r="CQ44" i="3"/>
  <c r="CS44" i="3"/>
  <c r="CT44" i="3"/>
  <c r="CV44" i="3"/>
  <c r="CW44" i="3"/>
  <c r="CY44" i="3"/>
  <c r="CZ44" i="3"/>
  <c r="DB44" i="3"/>
  <c r="DC44" i="3"/>
  <c r="DG44" i="3"/>
  <c r="DI44" i="3"/>
  <c r="DK44" i="3" s="1"/>
  <c r="DW44" i="3"/>
  <c r="DY44" i="3"/>
  <c r="AW45" i="3"/>
  <c r="AX45" i="3"/>
  <c r="AZ45" i="3"/>
  <c r="BA45" i="3"/>
  <c r="BC45" i="3"/>
  <c r="BD45" i="3"/>
  <c r="BF45" i="3"/>
  <c r="BG45" i="3"/>
  <c r="BI45" i="3"/>
  <c r="BJ45" i="3"/>
  <c r="BL45" i="3"/>
  <c r="BM45" i="3"/>
  <c r="BO45" i="3"/>
  <c r="BP45" i="3"/>
  <c r="BR45" i="3"/>
  <c r="BS45" i="3"/>
  <c r="BU45" i="3"/>
  <c r="BV45" i="3"/>
  <c r="BX45" i="3"/>
  <c r="BY45" i="3"/>
  <c r="CA45" i="3"/>
  <c r="CB45" i="3" s="1"/>
  <c r="CD45" i="3"/>
  <c r="CE45" i="3"/>
  <c r="CG45" i="3"/>
  <c r="CH45" i="3"/>
  <c r="CJ45" i="3"/>
  <c r="CK45" i="3"/>
  <c r="CM45" i="3"/>
  <c r="CN45" i="3"/>
  <c r="CP45" i="3"/>
  <c r="CQ45" i="3"/>
  <c r="CS45" i="3"/>
  <c r="CT45" i="3"/>
  <c r="CV45" i="3"/>
  <c r="CW45" i="3"/>
  <c r="CY45" i="3"/>
  <c r="CZ45" i="3"/>
  <c r="DB45" i="3"/>
  <c r="DC45" i="3"/>
  <c r="DG45" i="3"/>
  <c r="DI45" i="3"/>
  <c r="DK45" i="3" s="1"/>
  <c r="DW45" i="3"/>
  <c r="DY45" i="3"/>
  <c r="AW46" i="3"/>
  <c r="AX46" i="3"/>
  <c r="AZ46" i="3"/>
  <c r="BA46" i="3"/>
  <c r="BC46" i="3"/>
  <c r="BD46" i="3"/>
  <c r="BF46" i="3"/>
  <c r="BG46" i="3"/>
  <c r="BI46" i="3"/>
  <c r="BJ46" i="3"/>
  <c r="BL46" i="3"/>
  <c r="BM46" i="3" s="1"/>
  <c r="BO46" i="3"/>
  <c r="BP46" i="3"/>
  <c r="BR46" i="3"/>
  <c r="BS46" i="3"/>
  <c r="BU46" i="3"/>
  <c r="BV46" i="3"/>
  <c r="BX46" i="3"/>
  <c r="BY46" i="3"/>
  <c r="CA46" i="3"/>
  <c r="CB46" i="3" s="1"/>
  <c r="CD46" i="3"/>
  <c r="CE46" i="3"/>
  <c r="CG46" i="3"/>
  <c r="CH46" i="3"/>
  <c r="CJ46" i="3"/>
  <c r="CK46" i="3"/>
  <c r="CM46" i="3"/>
  <c r="CN46" i="3"/>
  <c r="CP46" i="3"/>
  <c r="CQ46" i="3"/>
  <c r="CS46" i="3"/>
  <c r="CT46" i="3"/>
  <c r="CV46" i="3"/>
  <c r="CW46" i="3"/>
  <c r="CY46" i="3"/>
  <c r="CZ46" i="3"/>
  <c r="DB46" i="3"/>
  <c r="DC46" i="3"/>
  <c r="DG46" i="3"/>
  <c r="DI46" i="3"/>
  <c r="DK46" i="3" s="1"/>
  <c r="DW46" i="3"/>
  <c r="DY46" i="3"/>
  <c r="AW47" i="3"/>
  <c r="AX47" i="3"/>
  <c r="AZ47" i="3"/>
  <c r="BA47" i="3"/>
  <c r="BC47" i="3"/>
  <c r="BD47" i="3" s="1"/>
  <c r="BF47" i="3"/>
  <c r="BG47" i="3"/>
  <c r="BI47" i="3"/>
  <c r="BJ47" i="3"/>
  <c r="BL47" i="3"/>
  <c r="BM47" i="3"/>
  <c r="BO47" i="3"/>
  <c r="BP47" i="3"/>
  <c r="BR47" i="3"/>
  <c r="BS47" i="3"/>
  <c r="BU47" i="3"/>
  <c r="BV47" i="3"/>
  <c r="BX47" i="3"/>
  <c r="BY47" i="3"/>
  <c r="CA47" i="3"/>
  <c r="CB47" i="3" s="1"/>
  <c r="CD47" i="3"/>
  <c r="CE47" i="3"/>
  <c r="CG47" i="3"/>
  <c r="CH47" i="3"/>
  <c r="CJ47" i="3"/>
  <c r="CK47" i="3"/>
  <c r="CM47" i="3"/>
  <c r="CN47" i="3"/>
  <c r="CP47" i="3"/>
  <c r="CQ47" i="3"/>
  <c r="CS47" i="3"/>
  <c r="CT47" i="3"/>
  <c r="CV47" i="3"/>
  <c r="CW47" i="3"/>
  <c r="CY47" i="3"/>
  <c r="CZ47" i="3"/>
  <c r="DB47" i="3"/>
  <c r="DC47" i="3"/>
  <c r="DG47" i="3"/>
  <c r="DI47" i="3"/>
  <c r="DK47" i="3" s="1"/>
  <c r="DW47" i="3"/>
  <c r="DY47" i="3"/>
  <c r="AW48" i="3"/>
  <c r="AX48" i="3"/>
  <c r="AZ48" i="3"/>
  <c r="BA48" i="3"/>
  <c r="BC48" i="3"/>
  <c r="BD48" i="3"/>
  <c r="BF48" i="3"/>
  <c r="BG48" i="3"/>
  <c r="BI48" i="3"/>
  <c r="BJ48" i="3"/>
  <c r="BL48" i="3"/>
  <c r="BM48" i="3"/>
  <c r="BO48" i="3"/>
  <c r="BP48" i="3"/>
  <c r="BR48" i="3"/>
  <c r="BS48" i="3"/>
  <c r="BU48" i="3"/>
  <c r="BV48" i="3"/>
  <c r="BX48" i="3"/>
  <c r="BY48" i="3"/>
  <c r="CA48" i="3"/>
  <c r="CB48" i="3"/>
  <c r="CD48" i="3"/>
  <c r="CE48" i="3"/>
  <c r="CG48" i="3"/>
  <c r="CH48" i="3"/>
  <c r="CJ48" i="3"/>
  <c r="CK48" i="3"/>
  <c r="CM48" i="3"/>
  <c r="CN48" i="3"/>
  <c r="CP48" i="3"/>
  <c r="CQ48" i="3"/>
  <c r="CS48" i="3"/>
  <c r="CT48" i="3" s="1"/>
  <c r="CV48" i="3"/>
  <c r="CW48" i="3" s="1"/>
  <c r="CY48" i="3"/>
  <c r="CZ48" i="3"/>
  <c r="DB48" i="3"/>
  <c r="DC48" i="3"/>
  <c r="DG48" i="3"/>
  <c r="DI48" i="3"/>
  <c r="DK48" i="3" s="1"/>
  <c r="DW48" i="3"/>
  <c r="DY48" i="3"/>
  <c r="AW49" i="3"/>
  <c r="AX49" i="3"/>
  <c r="AZ49" i="3"/>
  <c r="BA49" i="3"/>
  <c r="BC49" i="3"/>
  <c r="BD49" i="3"/>
  <c r="BF49" i="3"/>
  <c r="BG49" i="3"/>
  <c r="BI49" i="3"/>
  <c r="BJ49" i="3"/>
  <c r="BL49" i="3"/>
  <c r="BM49" i="3"/>
  <c r="BO49" i="3"/>
  <c r="BP49" i="3"/>
  <c r="BR49" i="3"/>
  <c r="BS49" i="3"/>
  <c r="BU49" i="3"/>
  <c r="BV49" i="3"/>
  <c r="BX49" i="3"/>
  <c r="BY49" i="3"/>
  <c r="CA49" i="3"/>
  <c r="CB49" i="3"/>
  <c r="CD49" i="3"/>
  <c r="CE49" i="3"/>
  <c r="CG49" i="3"/>
  <c r="CH49" i="3"/>
  <c r="CJ49" i="3"/>
  <c r="CK49" i="3"/>
  <c r="CM49" i="3"/>
  <c r="CN49" i="3"/>
  <c r="CP49" i="3"/>
  <c r="CQ49" i="3"/>
  <c r="CS49" i="3"/>
  <c r="CT49" i="3"/>
  <c r="CV49" i="3"/>
  <c r="CW49" i="3"/>
  <c r="CY49" i="3"/>
  <c r="CZ49" i="3"/>
  <c r="DB49" i="3"/>
  <c r="DC49" i="3"/>
  <c r="DG49" i="3"/>
  <c r="DI49" i="3"/>
  <c r="DW49" i="3"/>
  <c r="DY49" i="3"/>
  <c r="AW50" i="3"/>
  <c r="AX50" i="3"/>
  <c r="AZ50" i="3"/>
  <c r="BA50" i="3"/>
  <c r="BC50" i="3"/>
  <c r="BD50" i="3"/>
  <c r="BF50" i="3"/>
  <c r="BG50" i="3"/>
  <c r="BI50" i="3"/>
  <c r="BJ50" i="3"/>
  <c r="BL50" i="3"/>
  <c r="BM50" i="3"/>
  <c r="BO50" i="3"/>
  <c r="BP50" i="3"/>
  <c r="BR50" i="3"/>
  <c r="BS50" i="3"/>
  <c r="BU50" i="3"/>
  <c r="BV50" i="3"/>
  <c r="BX50" i="3"/>
  <c r="BY50" i="3"/>
  <c r="CA50" i="3"/>
  <c r="CB50" i="3"/>
  <c r="CD50" i="3"/>
  <c r="CE50" i="3"/>
  <c r="CG50" i="3"/>
  <c r="CH50" i="3"/>
  <c r="CJ50" i="3"/>
  <c r="CK50" i="3"/>
  <c r="CM50" i="3"/>
  <c r="CN50" i="3"/>
  <c r="CP50" i="3"/>
  <c r="CQ50" i="3"/>
  <c r="CS50" i="3"/>
  <c r="CT50" i="3" s="1"/>
  <c r="CV50" i="3"/>
  <c r="CW50" i="3"/>
  <c r="CY50" i="3"/>
  <c r="CZ50" i="3"/>
  <c r="DB50" i="3"/>
  <c r="DC50" i="3"/>
  <c r="DG50" i="3"/>
  <c r="DI50" i="3"/>
  <c r="DW50" i="3"/>
  <c r="DY50" i="3"/>
  <c r="AW51" i="3"/>
  <c r="AX51" i="3"/>
  <c r="AZ51" i="3"/>
  <c r="BA51" i="3"/>
  <c r="BC51" i="3"/>
  <c r="BD51" i="3"/>
  <c r="BF51" i="3"/>
  <c r="BG51" i="3"/>
  <c r="BI51" i="3"/>
  <c r="BJ51" i="3"/>
  <c r="BL51" i="3"/>
  <c r="BM51" i="3"/>
  <c r="BO51" i="3"/>
  <c r="BP51" i="3"/>
  <c r="BR51" i="3"/>
  <c r="BS51" i="3"/>
  <c r="BU51" i="3"/>
  <c r="BV51" i="3"/>
  <c r="BX51" i="3"/>
  <c r="BY51" i="3"/>
  <c r="CA51" i="3"/>
  <c r="CB51" i="3"/>
  <c r="CD51" i="3"/>
  <c r="CE51" i="3"/>
  <c r="CG51" i="3"/>
  <c r="CH51" i="3"/>
  <c r="CJ51" i="3"/>
  <c r="CK51" i="3"/>
  <c r="CM51" i="3"/>
  <c r="CN51" i="3"/>
  <c r="CP51" i="3"/>
  <c r="CQ51" i="3"/>
  <c r="CS51" i="3"/>
  <c r="CT51" i="3"/>
  <c r="CV51" i="3"/>
  <c r="CW51" i="3"/>
  <c r="CY51" i="3"/>
  <c r="CZ51" i="3"/>
  <c r="DB51" i="3"/>
  <c r="DC51" i="3"/>
  <c r="DG51" i="3"/>
  <c r="DK51" i="3" s="1"/>
  <c r="DI51" i="3"/>
  <c r="DW51" i="3"/>
  <c r="DY51" i="3"/>
  <c r="AW52" i="3"/>
  <c r="AX52" i="3"/>
  <c r="AZ52" i="3"/>
  <c r="BA52" i="3"/>
  <c r="BC52" i="3"/>
  <c r="BD52" i="3"/>
  <c r="BF52" i="3"/>
  <c r="BG52" i="3"/>
  <c r="BI52" i="3"/>
  <c r="BJ52" i="3"/>
  <c r="BL52" i="3"/>
  <c r="BM52" i="3"/>
  <c r="BO52" i="3"/>
  <c r="BP52" i="3"/>
  <c r="BR52" i="3"/>
  <c r="BS52" i="3"/>
  <c r="BU52" i="3"/>
  <c r="BV52" i="3"/>
  <c r="BX52" i="3"/>
  <c r="BY52" i="3"/>
  <c r="CA52" i="3"/>
  <c r="CB52" i="3"/>
  <c r="CD52" i="3"/>
  <c r="CE52" i="3"/>
  <c r="CG52" i="3"/>
  <c r="CH52" i="3"/>
  <c r="CJ52" i="3"/>
  <c r="CK52" i="3"/>
  <c r="CM52" i="3"/>
  <c r="CN52" i="3"/>
  <c r="CP52" i="3"/>
  <c r="CQ52" i="3"/>
  <c r="CS52" i="3"/>
  <c r="CT52" i="3"/>
  <c r="CV52" i="3"/>
  <c r="CW52" i="3"/>
  <c r="CY52" i="3"/>
  <c r="CZ52" i="3"/>
  <c r="DB52" i="3"/>
  <c r="DC52" i="3"/>
  <c r="DG52" i="3"/>
  <c r="DK52" i="3" s="1"/>
  <c r="DI52" i="3"/>
  <c r="DW52" i="3"/>
  <c r="DY52" i="3"/>
  <c r="AW53" i="3"/>
  <c r="AX53" i="3"/>
  <c r="AZ53" i="3"/>
  <c r="BA53" i="3"/>
  <c r="BC53" i="3"/>
  <c r="BD53" i="3"/>
  <c r="BF53" i="3"/>
  <c r="BG53" i="3"/>
  <c r="BI53" i="3"/>
  <c r="BJ53" i="3"/>
  <c r="BL53" i="3"/>
  <c r="BM53" i="3"/>
  <c r="BO53" i="3"/>
  <c r="BP53" i="3"/>
  <c r="BR53" i="3"/>
  <c r="BS53" i="3"/>
  <c r="BU53" i="3"/>
  <c r="BV53" i="3"/>
  <c r="BX53" i="3"/>
  <c r="BY53" i="3"/>
  <c r="CA53" i="3"/>
  <c r="CB53" i="3"/>
  <c r="CD53" i="3"/>
  <c r="CE53" i="3"/>
  <c r="CG53" i="3"/>
  <c r="CH53" i="3"/>
  <c r="CJ53" i="3"/>
  <c r="CK53" i="3"/>
  <c r="CM53" i="3"/>
  <c r="CN53" i="3"/>
  <c r="CP53" i="3"/>
  <c r="CQ53" i="3"/>
  <c r="CS53" i="3"/>
  <c r="CT53" i="3"/>
  <c r="CV53" i="3"/>
  <c r="CW53" i="3"/>
  <c r="CY53" i="3"/>
  <c r="CZ53" i="3"/>
  <c r="DB53" i="3"/>
  <c r="DC53" i="3"/>
  <c r="DG53" i="3"/>
  <c r="DI53" i="3"/>
  <c r="DW53" i="3"/>
  <c r="DY53" i="3"/>
  <c r="I54" i="3"/>
  <c r="K54" i="3"/>
  <c r="M54" i="3"/>
  <c r="O54" i="3"/>
  <c r="Q54" i="3"/>
  <c r="S54" i="3"/>
  <c r="U54" i="3"/>
  <c r="W54" i="3"/>
  <c r="Y54" i="3"/>
  <c r="AA54" i="3"/>
  <c r="AC54" i="3"/>
  <c r="AE54" i="3"/>
  <c r="AG54" i="3"/>
  <c r="AI54" i="3"/>
  <c r="AK54" i="3"/>
  <c r="AM54" i="3"/>
  <c r="AO54" i="3"/>
  <c r="AQ54" i="3"/>
  <c r="AS54" i="3"/>
  <c r="AU54" i="3"/>
  <c r="CD54" i="3"/>
  <c r="CG54" i="3"/>
  <c r="CJ54" i="3"/>
  <c r="CM54" i="3"/>
  <c r="CP54" i="3"/>
  <c r="CV54" i="3"/>
  <c r="DE54" i="3"/>
  <c r="DG54" i="3"/>
  <c r="DK9" i="6" l="1"/>
  <c r="DQ9" i="6" s="1"/>
  <c r="DK29" i="6"/>
  <c r="DM29" i="6" s="1"/>
  <c r="DK33" i="6"/>
  <c r="DQ33" i="6" s="1"/>
  <c r="DK7" i="6"/>
  <c r="DQ7" i="6" s="1"/>
  <c r="DK45" i="6"/>
  <c r="DO45" i="6" s="1"/>
  <c r="DK4" i="6"/>
  <c r="DQ4" i="6" s="1"/>
  <c r="DK28" i="6"/>
  <c r="DQ28" i="6" s="1"/>
  <c r="DK15" i="6"/>
  <c r="DQ15" i="6" s="1"/>
  <c r="DK12" i="6"/>
  <c r="DO12" i="6" s="1"/>
  <c r="DK24" i="6"/>
  <c r="DQ24" i="6" s="1"/>
  <c r="DK35" i="6"/>
  <c r="DO35" i="6" s="1"/>
  <c r="DK47" i="6"/>
  <c r="DO47" i="6" s="1"/>
  <c r="DK48" i="6"/>
  <c r="DO48" i="6" s="1"/>
  <c r="DK36" i="6"/>
  <c r="DK25" i="6"/>
  <c r="DQ25" i="6" s="1"/>
  <c r="DK14" i="6"/>
  <c r="DQ14" i="6" s="1"/>
  <c r="DK26" i="6"/>
  <c r="DM26" i="6" s="1"/>
  <c r="DK32" i="6"/>
  <c r="DO32" i="6" s="1"/>
  <c r="DK37" i="6"/>
  <c r="DQ37" i="6" s="1"/>
  <c r="DK13" i="6"/>
  <c r="DQ13" i="6" s="1"/>
  <c r="DK17" i="6"/>
  <c r="DQ17" i="6" s="1"/>
  <c r="DK18" i="6"/>
  <c r="DQ18" i="6" s="1"/>
  <c r="DO46" i="6"/>
  <c r="DQ46" i="6"/>
  <c r="DK20" i="6"/>
  <c r="DM20" i="6" s="1"/>
  <c r="DK51" i="6"/>
  <c r="DO51" i="6" s="1"/>
  <c r="DK30" i="6"/>
  <c r="DO30" i="6" s="1"/>
  <c r="DK43" i="6"/>
  <c r="DQ43" i="6" s="1"/>
  <c r="DK19" i="6"/>
  <c r="DO19" i="6" s="1"/>
  <c r="DK23" i="6"/>
  <c r="DO23" i="6" s="1"/>
  <c r="DK6" i="6"/>
  <c r="CM54" i="6"/>
  <c r="DK34" i="6"/>
  <c r="DQ34" i="6" s="1"/>
  <c r="DK41" i="6"/>
  <c r="DQ41" i="6" s="1"/>
  <c r="CW54" i="6"/>
  <c r="BP54" i="6"/>
  <c r="DK8" i="6"/>
  <c r="DQ8" i="6" s="1"/>
  <c r="DK10" i="6"/>
  <c r="DM10" i="6" s="1"/>
  <c r="DK50" i="6"/>
  <c r="DQ50" i="6" s="1"/>
  <c r="DK11" i="6"/>
  <c r="DM11" i="6" s="1"/>
  <c r="DK16" i="6"/>
  <c r="DQ16" i="6" s="1"/>
  <c r="DK22" i="6"/>
  <c r="DQ22" i="6" s="1"/>
  <c r="DK27" i="6"/>
  <c r="DQ27" i="6" s="1"/>
  <c r="DQ39" i="6"/>
  <c r="DO39" i="6"/>
  <c r="DM39" i="6"/>
  <c r="BG54" i="6"/>
  <c r="BM54" i="6"/>
  <c r="BS54" i="6"/>
  <c r="BV2" i="6"/>
  <c r="BV54" i="6" s="1"/>
  <c r="BU54" i="6"/>
  <c r="DO52" i="6"/>
  <c r="DQ52" i="6"/>
  <c r="DM52" i="6"/>
  <c r="CK54" i="6"/>
  <c r="DQ40" i="6"/>
  <c r="DO40" i="6"/>
  <c r="DM40" i="6"/>
  <c r="DM49" i="6"/>
  <c r="DQ49" i="6"/>
  <c r="DO49" i="6"/>
  <c r="BD54" i="6"/>
  <c r="BF54" i="6"/>
  <c r="BY14" i="6"/>
  <c r="BY54" i="6" s="1"/>
  <c r="BX54" i="6"/>
  <c r="DQ36" i="6"/>
  <c r="DO36" i="6"/>
  <c r="DM36" i="6"/>
  <c r="DM53" i="6"/>
  <c r="DQ53" i="6"/>
  <c r="DO53" i="6"/>
  <c r="DM44" i="6"/>
  <c r="DM31" i="6"/>
  <c r="DQ31" i="6"/>
  <c r="DO31" i="6"/>
  <c r="DO44" i="6"/>
  <c r="AX54" i="6"/>
  <c r="CN3" i="6"/>
  <c r="CN54" i="6"/>
  <c r="DO21" i="6"/>
  <c r="DQ21" i="6"/>
  <c r="DM21" i="6"/>
  <c r="DM46" i="6"/>
  <c r="BO54" i="6"/>
  <c r="CP54" i="6"/>
  <c r="CQ54" i="6"/>
  <c r="DM48" i="6"/>
  <c r="BR54" i="6"/>
  <c r="BI54" i="6"/>
  <c r="CS54" i="6"/>
  <c r="BJ2" i="6"/>
  <c r="BJ54" i="6" s="1"/>
  <c r="CT2" i="6"/>
  <c r="CT54" i="6" s="1"/>
  <c r="DQ48" i="6"/>
  <c r="CE54" i="6"/>
  <c r="BL54" i="6"/>
  <c r="CV54" i="6"/>
  <c r="CY54" i="6"/>
  <c r="CZ54" i="6"/>
  <c r="DB54" i="6"/>
  <c r="DC2" i="6"/>
  <c r="DC54" i="6" s="1"/>
  <c r="DO38" i="6"/>
  <c r="DG54" i="6"/>
  <c r="DQ38" i="6"/>
  <c r="DI54" i="6"/>
  <c r="DM32" i="6"/>
  <c r="CA54" i="6"/>
  <c r="DK2" i="6"/>
  <c r="DM42" i="6"/>
  <c r="DQ42" i="6"/>
  <c r="DO42" i="6"/>
  <c r="CB2" i="6"/>
  <c r="CB54" i="6" s="1"/>
  <c r="AW54" i="6"/>
  <c r="CD54" i="6"/>
  <c r="DQ3" i="6"/>
  <c r="DO3" i="6"/>
  <c r="DQ5" i="6"/>
  <c r="DO5" i="6"/>
  <c r="AZ54" i="6"/>
  <c r="CG54" i="6"/>
  <c r="DY54" i="6"/>
  <c r="BA54" i="6"/>
  <c r="CH54" i="6"/>
  <c r="BC54" i="6"/>
  <c r="CJ54" i="6"/>
  <c r="DK49" i="4"/>
  <c r="DO49" i="4" s="1"/>
  <c r="CT54" i="4"/>
  <c r="DK26" i="4"/>
  <c r="DM26" i="4" s="1"/>
  <c r="DK35" i="4"/>
  <c r="DM35" i="4" s="1"/>
  <c r="DK38" i="4"/>
  <c r="DM38" i="4" s="1"/>
  <c r="DK36" i="4"/>
  <c r="DM36" i="4" s="1"/>
  <c r="DK16" i="4"/>
  <c r="DO16" i="4" s="1"/>
  <c r="BR54" i="4"/>
  <c r="DK29" i="4"/>
  <c r="DQ29" i="4" s="1"/>
  <c r="DK27" i="4"/>
  <c r="DO27" i="4" s="1"/>
  <c r="DK11" i="4"/>
  <c r="DQ11" i="4" s="1"/>
  <c r="BF54" i="4"/>
  <c r="DK9" i="4"/>
  <c r="DO9" i="4" s="1"/>
  <c r="DK25" i="4"/>
  <c r="DM25" i="4" s="1"/>
  <c r="BX54" i="4"/>
  <c r="DK37" i="4"/>
  <c r="DM37" i="4" s="1"/>
  <c r="CA54" i="4"/>
  <c r="DK24" i="4"/>
  <c r="DO24" i="4" s="1"/>
  <c r="DK44" i="4"/>
  <c r="DM44" i="4" s="1"/>
  <c r="BS54" i="4"/>
  <c r="DO50" i="4"/>
  <c r="DQ42" i="4"/>
  <c r="DO30" i="4"/>
  <c r="DQ34" i="4"/>
  <c r="DO47" i="4"/>
  <c r="DM17" i="4"/>
  <c r="DO17" i="4"/>
  <c r="DM41" i="4"/>
  <c r="DO41" i="4"/>
  <c r="DO42" i="4"/>
  <c r="DQ50" i="4"/>
  <c r="DM30" i="4"/>
  <c r="DQ47" i="4"/>
  <c r="DM20" i="4"/>
  <c r="DQ33" i="4"/>
  <c r="DO46" i="4"/>
  <c r="DQ46" i="4"/>
  <c r="DK50" i="3"/>
  <c r="DK49" i="3"/>
  <c r="CW54" i="3"/>
  <c r="CT54" i="3"/>
  <c r="CS54" i="3"/>
  <c r="DB54" i="3"/>
  <c r="DC54" i="3"/>
  <c r="DK53" i="3"/>
  <c r="DO53" i="3" s="1"/>
  <c r="BU54" i="3"/>
  <c r="BV54" i="3"/>
  <c r="BI54" i="3"/>
  <c r="BJ54" i="3"/>
  <c r="BF54" i="3"/>
  <c r="BG54" i="3"/>
  <c r="BC54" i="3"/>
  <c r="BD11" i="3"/>
  <c r="BR54" i="3"/>
  <c r="BS54" i="3"/>
  <c r="AZ54" i="3"/>
  <c r="BA54" i="3"/>
  <c r="BO54" i="3"/>
  <c r="AW54" i="3"/>
  <c r="AX54" i="3"/>
  <c r="AX4" i="3"/>
  <c r="BL54" i="3"/>
  <c r="BM4" i="3"/>
  <c r="BM54" i="3" s="1"/>
  <c r="CA54" i="3"/>
  <c r="DK7" i="3"/>
  <c r="DQ7" i="3" s="1"/>
  <c r="DK8" i="3"/>
  <c r="DO8" i="3" s="1"/>
  <c r="CB54" i="3"/>
  <c r="DK9" i="3"/>
  <c r="DO9" i="3" s="1"/>
  <c r="DK5" i="3"/>
  <c r="DQ5" i="3" s="1"/>
  <c r="DK42" i="3"/>
  <c r="DK41" i="3"/>
  <c r="DK40" i="3"/>
  <c r="DO40" i="3" s="1"/>
  <c r="DK39" i="3"/>
  <c r="DO39" i="3" s="1"/>
  <c r="DK38" i="3"/>
  <c r="DM38" i="3" s="1"/>
  <c r="DK31" i="3"/>
  <c r="DM31" i="3" s="1"/>
  <c r="DK30" i="3"/>
  <c r="DM30" i="3" s="1"/>
  <c r="DK29" i="3"/>
  <c r="DM29" i="3" s="1"/>
  <c r="DK28" i="3"/>
  <c r="DM28" i="3" s="1"/>
  <c r="DK27" i="3"/>
  <c r="DM27" i="3" s="1"/>
  <c r="DK20" i="3"/>
  <c r="DQ20" i="3" s="1"/>
  <c r="DK19" i="3"/>
  <c r="DQ19" i="3" s="1"/>
  <c r="DK18" i="3"/>
  <c r="DQ18" i="3" s="1"/>
  <c r="DK17" i="3"/>
  <c r="DM17" i="3" s="1"/>
  <c r="DK16" i="3"/>
  <c r="DM16" i="3" s="1"/>
  <c r="DK6" i="3"/>
  <c r="DM6" i="3" s="1"/>
  <c r="DM12" i="4"/>
  <c r="DQ12" i="4"/>
  <c r="DO12" i="4"/>
  <c r="DQ43" i="4"/>
  <c r="DO43" i="4"/>
  <c r="DM43" i="4"/>
  <c r="DQ18" i="4"/>
  <c r="DM18" i="4"/>
  <c r="DO18" i="4"/>
  <c r="DM45" i="4"/>
  <c r="DQ45" i="4"/>
  <c r="DO45" i="4"/>
  <c r="DQ13" i="4"/>
  <c r="DM13" i="4"/>
  <c r="DO13" i="4"/>
  <c r="DO7" i="4"/>
  <c r="DM7" i="4"/>
  <c r="DQ7" i="4"/>
  <c r="DO15" i="4"/>
  <c r="DM15" i="4"/>
  <c r="DQ15" i="4"/>
  <c r="DQ3" i="4"/>
  <c r="DO3" i="4"/>
  <c r="DM3" i="4"/>
  <c r="DQ19" i="4"/>
  <c r="DO19" i="4"/>
  <c r="DM19" i="4"/>
  <c r="DQ8" i="4"/>
  <c r="DO8" i="4"/>
  <c r="DM8" i="4"/>
  <c r="BY54" i="4"/>
  <c r="DM6" i="4"/>
  <c r="CB2" i="4"/>
  <c r="CB54" i="4" s="1"/>
  <c r="BG4" i="4"/>
  <c r="BG54" i="4" s="1"/>
  <c r="DO6" i="4"/>
  <c r="DM31" i="4"/>
  <c r="CE2" i="4"/>
  <c r="CE54" i="4" s="1"/>
  <c r="CD54" i="4"/>
  <c r="DO10" i="4"/>
  <c r="DQ10" i="4"/>
  <c r="DM10" i="4"/>
  <c r="DQ31" i="4"/>
  <c r="DO34" i="4"/>
  <c r="AX54" i="4"/>
  <c r="DQ37" i="4"/>
  <c r="DO37" i="4"/>
  <c r="BI54" i="4"/>
  <c r="DO20" i="4"/>
  <c r="BD54" i="4"/>
  <c r="BJ3" i="4"/>
  <c r="DO4" i="4"/>
  <c r="DQ4" i="4"/>
  <c r="DM4" i="4"/>
  <c r="DM53" i="4"/>
  <c r="DO21" i="4"/>
  <c r="DQ21" i="4"/>
  <c r="DO23" i="4"/>
  <c r="DM23" i="4"/>
  <c r="CK54" i="4"/>
  <c r="CQ3" i="4"/>
  <c r="DQ23" i="4"/>
  <c r="AW54" i="4"/>
  <c r="DY54" i="4"/>
  <c r="DM22" i="4"/>
  <c r="DQ22" i="4"/>
  <c r="DO26" i="4"/>
  <c r="DO36" i="4"/>
  <c r="CN54" i="4"/>
  <c r="CQ54" i="4"/>
  <c r="DQ53" i="4"/>
  <c r="CZ3" i="4"/>
  <c r="CZ54" i="4" s="1"/>
  <c r="DO29" i="4"/>
  <c r="DM29" i="4"/>
  <c r="DQ52" i="4"/>
  <c r="DM52" i="4"/>
  <c r="BJ54" i="4"/>
  <c r="CW54" i="4"/>
  <c r="DO22" i="4"/>
  <c r="DQ26" i="4"/>
  <c r="DQ36" i="4"/>
  <c r="BL54" i="4"/>
  <c r="DQ39" i="4"/>
  <c r="DO39" i="4"/>
  <c r="DM39" i="4"/>
  <c r="DO14" i="4"/>
  <c r="DB54" i="4"/>
  <c r="DQ14" i="4"/>
  <c r="DM48" i="4"/>
  <c r="DC2" i="4"/>
  <c r="DC54" i="4" s="1"/>
  <c r="DM51" i="4"/>
  <c r="CS54" i="4"/>
  <c r="DG54" i="4"/>
  <c r="DO32" i="4"/>
  <c r="DQ32" i="4"/>
  <c r="DQ48" i="4"/>
  <c r="DQ51" i="4"/>
  <c r="BU54" i="4"/>
  <c r="DI54" i="4"/>
  <c r="DM32" i="4"/>
  <c r="BM2" i="4"/>
  <c r="BM54" i="4" s="1"/>
  <c r="BV2" i="4"/>
  <c r="BV54" i="4" s="1"/>
  <c r="DK2" i="4"/>
  <c r="CM54" i="4"/>
  <c r="AZ54" i="4"/>
  <c r="CG54" i="4"/>
  <c r="BA2" i="4"/>
  <c r="BA54" i="4" s="1"/>
  <c r="CH2" i="4"/>
  <c r="CH54" i="4" s="1"/>
  <c r="DK40" i="4"/>
  <c r="BO54" i="4"/>
  <c r="BP2" i="4"/>
  <c r="BP54" i="4" s="1"/>
  <c r="DO28" i="4"/>
  <c r="CV54" i="4"/>
  <c r="DM28" i="4"/>
  <c r="DO33" i="4"/>
  <c r="BC54" i="4"/>
  <c r="CJ54" i="4"/>
  <c r="DK5" i="4"/>
  <c r="DM7" i="3"/>
  <c r="DO7" i="3"/>
  <c r="BY54" i="3"/>
  <c r="DM26" i="3"/>
  <c r="DO26" i="3"/>
  <c r="DQ26" i="3"/>
  <c r="BD54" i="3"/>
  <c r="DM3" i="3"/>
  <c r="DO3" i="3"/>
  <c r="DQ3" i="3"/>
  <c r="DO2" i="3"/>
  <c r="DQ2" i="3"/>
  <c r="DM2" i="3"/>
  <c r="DM4" i="3"/>
  <c r="DO4" i="3"/>
  <c r="DQ4" i="3"/>
  <c r="DM48" i="3"/>
  <c r="DO48" i="3"/>
  <c r="DQ48" i="3"/>
  <c r="DM46" i="3"/>
  <c r="DO46" i="3"/>
  <c r="DQ46" i="3"/>
  <c r="DM44" i="3"/>
  <c r="DO44" i="3"/>
  <c r="DQ44" i="3"/>
  <c r="DM43" i="3"/>
  <c r="DO43" i="3"/>
  <c r="DQ43" i="3"/>
  <c r="DO36" i="3"/>
  <c r="DQ36" i="3"/>
  <c r="DM36" i="3"/>
  <c r="DM35" i="3"/>
  <c r="DO35" i="3"/>
  <c r="DQ35" i="3"/>
  <c r="DM32" i="3"/>
  <c r="DO32" i="3"/>
  <c r="DQ32" i="3"/>
  <c r="DO25" i="3"/>
  <c r="DM25" i="3"/>
  <c r="DQ25" i="3"/>
  <c r="DQ23" i="3"/>
  <c r="DM23" i="3"/>
  <c r="DO23" i="3"/>
  <c r="DM21" i="3"/>
  <c r="DO21" i="3"/>
  <c r="DQ21" i="3"/>
  <c r="DM13" i="3"/>
  <c r="DO13" i="3"/>
  <c r="DQ13" i="3"/>
  <c r="DM12" i="3"/>
  <c r="DO12" i="3"/>
  <c r="DQ12" i="3"/>
  <c r="DM52" i="3"/>
  <c r="DO52" i="3"/>
  <c r="DQ52" i="3"/>
  <c r="DM49" i="3"/>
  <c r="DQ49" i="3"/>
  <c r="DO49" i="3"/>
  <c r="DO42" i="3"/>
  <c r="DQ42" i="3"/>
  <c r="DM42" i="3"/>
  <c r="DM41" i="3"/>
  <c r="DO41" i="3"/>
  <c r="DQ41" i="3"/>
  <c r="DQ38" i="3"/>
  <c r="BP54" i="3"/>
  <c r="DM10" i="3"/>
  <c r="DO10" i="3"/>
  <c r="DQ10" i="3"/>
  <c r="DO47" i="3"/>
  <c r="DQ47" i="3"/>
  <c r="DM47" i="3"/>
  <c r="DQ45" i="3"/>
  <c r="DM45" i="3"/>
  <c r="DO45" i="3"/>
  <c r="DM37" i="3"/>
  <c r="DQ37" i="3"/>
  <c r="DO37" i="3"/>
  <c r="DQ34" i="3"/>
  <c r="DM34" i="3"/>
  <c r="DO34" i="3"/>
  <c r="DM33" i="3"/>
  <c r="DO33" i="3"/>
  <c r="DQ33" i="3"/>
  <c r="DM24" i="3"/>
  <c r="DO24" i="3"/>
  <c r="DQ24" i="3"/>
  <c r="DM22" i="3"/>
  <c r="DO22" i="3"/>
  <c r="DQ22" i="3"/>
  <c r="DM15" i="3"/>
  <c r="DQ15" i="3"/>
  <c r="DO15" i="3"/>
  <c r="DO14" i="3"/>
  <c r="DQ14" i="3"/>
  <c r="DM14" i="3"/>
  <c r="DM11" i="3"/>
  <c r="DO11" i="3"/>
  <c r="DQ11" i="3"/>
  <c r="DM51" i="3"/>
  <c r="DO51" i="3"/>
  <c r="DQ51" i="3"/>
  <c r="DM50" i="3"/>
  <c r="DQ50" i="3"/>
  <c r="DO50" i="3"/>
  <c r="DM19" i="3"/>
  <c r="DO19" i="3"/>
  <c r="CK54" i="3"/>
  <c r="DI54" i="3"/>
  <c r="DM9" i="6" l="1"/>
  <c r="DO9" i="6"/>
  <c r="DQ45" i="6"/>
  <c r="DM45" i="6"/>
  <c r="DO25" i="6"/>
  <c r="DO29" i="6"/>
  <c r="DQ29" i="6"/>
  <c r="DO33" i="6"/>
  <c r="DM33" i="6"/>
  <c r="DM4" i="6"/>
  <c r="DO4" i="6"/>
  <c r="DO7" i="6"/>
  <c r="DM7" i="6"/>
  <c r="DO28" i="6"/>
  <c r="DM28" i="6"/>
  <c r="DM15" i="6"/>
  <c r="DO15" i="6"/>
  <c r="DQ47" i="6"/>
  <c r="DM24" i="6"/>
  <c r="DO24" i="6"/>
  <c r="DM35" i="6"/>
  <c r="DQ35" i="6"/>
  <c r="DM12" i="6"/>
  <c r="DQ12" i="6"/>
  <c r="DO17" i="6"/>
  <c r="DM37" i="6"/>
  <c r="DO37" i="6"/>
  <c r="DM34" i="6"/>
  <c r="DQ23" i="6"/>
  <c r="DO20" i="6"/>
  <c r="DM17" i="6"/>
  <c r="DQ26" i="6"/>
  <c r="DO18" i="6"/>
  <c r="DM25" i="6"/>
  <c r="DO26" i="6"/>
  <c r="DM18" i="6"/>
  <c r="DQ20" i="6"/>
  <c r="DM43" i="6"/>
  <c r="DM22" i="6"/>
  <c r="DM19" i="6"/>
  <c r="DO13" i="6"/>
  <c r="DQ32" i="6"/>
  <c r="DO11" i="6"/>
  <c r="DQ10" i="6"/>
  <c r="DQ11" i="6"/>
  <c r="DQ19" i="6"/>
  <c r="DM30" i="6"/>
  <c r="DQ51" i="6"/>
  <c r="DQ30" i="6"/>
  <c r="DM50" i="6"/>
  <c r="DO10" i="6"/>
  <c r="DM47" i="6"/>
  <c r="DO43" i="6"/>
  <c r="DO22" i="6"/>
  <c r="DM13" i="6"/>
  <c r="DM14" i="6"/>
  <c r="DO50" i="6"/>
  <c r="DO41" i="6"/>
  <c r="DO14" i="6"/>
  <c r="DM41" i="6"/>
  <c r="DO34" i="6"/>
  <c r="DM6" i="6"/>
  <c r="DQ6" i="6"/>
  <c r="DO6" i="6"/>
  <c r="DM8" i="6"/>
  <c r="DO8" i="6"/>
  <c r="DM51" i="6"/>
  <c r="DM23" i="6"/>
  <c r="DO16" i="6"/>
  <c r="DM27" i="6"/>
  <c r="DO27" i="6"/>
  <c r="DM16" i="6"/>
  <c r="DK54" i="6"/>
  <c r="DO2" i="6"/>
  <c r="DM2" i="6"/>
  <c r="DQ2" i="6"/>
  <c r="DN55" i="6"/>
  <c r="DQ49" i="4"/>
  <c r="DM49" i="4"/>
  <c r="DQ16" i="4"/>
  <c r="DQ35" i="4"/>
  <c r="DO35" i="4"/>
  <c r="DO44" i="4"/>
  <c r="DO38" i="4"/>
  <c r="DQ38" i="4"/>
  <c r="DM16" i="4"/>
  <c r="DM27" i="4"/>
  <c r="DQ27" i="4"/>
  <c r="DQ9" i="4"/>
  <c r="DM9" i="4"/>
  <c r="DO25" i="4"/>
  <c r="DQ25" i="4"/>
  <c r="DO11" i="4"/>
  <c r="DM11" i="4"/>
  <c r="DN55" i="4"/>
  <c r="DM24" i="4"/>
  <c r="DQ24" i="4"/>
  <c r="DQ44" i="4"/>
  <c r="DM53" i="3"/>
  <c r="DQ53" i="3"/>
  <c r="DO38" i="3"/>
  <c r="DM8" i="3"/>
  <c r="DO18" i="3"/>
  <c r="DQ28" i="3"/>
  <c r="DM40" i="3"/>
  <c r="DO5" i="3"/>
  <c r="DM5" i="3"/>
  <c r="DO27" i="3"/>
  <c r="DQ30" i="3"/>
  <c r="DO30" i="3"/>
  <c r="DQ29" i="3"/>
  <c r="DO28" i="3"/>
  <c r="DQ8" i="3"/>
  <c r="DO20" i="3"/>
  <c r="DM18" i="3"/>
  <c r="DM9" i="3"/>
  <c r="DQ27" i="3"/>
  <c r="DO29" i="3"/>
  <c r="DQ6" i="3"/>
  <c r="DO6" i="3"/>
  <c r="DO16" i="3"/>
  <c r="DQ31" i="3"/>
  <c r="DO31" i="3"/>
  <c r="DQ16" i="3"/>
  <c r="DQ39" i="3"/>
  <c r="DQ9" i="3"/>
  <c r="DQ17" i="3"/>
  <c r="DM39" i="3"/>
  <c r="DQ40" i="3"/>
  <c r="DM20" i="3"/>
  <c r="DK54" i="3"/>
  <c r="DO17" i="3"/>
  <c r="DO40" i="4"/>
  <c r="DM40" i="4"/>
  <c r="DQ40" i="4"/>
  <c r="DO5" i="4"/>
  <c r="DM5" i="4"/>
  <c r="DQ5" i="4"/>
  <c r="DK54" i="4"/>
  <c r="DQ2" i="4"/>
  <c r="DM2" i="4"/>
  <c r="DO2" i="4"/>
  <c r="DQ54" i="6" l="1"/>
  <c r="DM54" i="6"/>
  <c r="DO54" i="6" s="1"/>
  <c r="DQ54" i="4"/>
  <c r="DQ54" i="3"/>
  <c r="DM54" i="3"/>
  <c r="DO54" i="3" s="1"/>
  <c r="DM54" i="4"/>
  <c r="DO54" i="4" s="1"/>
</calcChain>
</file>

<file path=xl/sharedStrings.xml><?xml version="1.0" encoding="utf-8"?>
<sst xmlns="http://schemas.openxmlformats.org/spreadsheetml/2006/main" count="382" uniqueCount="113">
  <si>
    <t>DESCRIPTION</t>
  </si>
  <si>
    <t>ORDER</t>
  </si>
  <si>
    <t>COST</t>
  </si>
  <si>
    <t>SELLING PRICE</t>
  </si>
  <si>
    <t>BPM-1</t>
  </si>
  <si>
    <t>BPM-2</t>
  </si>
  <si>
    <t>BPM-3</t>
  </si>
  <si>
    <t>BPM-4</t>
  </si>
  <si>
    <t>BPM-5</t>
  </si>
  <si>
    <t>BPM-6</t>
  </si>
  <si>
    <t>BPM-7</t>
  </si>
  <si>
    <t>BPM-8</t>
  </si>
  <si>
    <t>BPM-9</t>
  </si>
  <si>
    <t>BPM-10</t>
  </si>
  <si>
    <t>BPM-11</t>
  </si>
  <si>
    <t>NEW ORDER</t>
  </si>
  <si>
    <t>SOLD</t>
  </si>
  <si>
    <t xml:space="preserve">COST </t>
  </si>
  <si>
    <t>SABERT BASE THREE COMP</t>
  </si>
  <si>
    <t>SABERT LIDS THREE COMP</t>
  </si>
  <si>
    <t>DINNER NAPKIN</t>
  </si>
  <si>
    <t>CLEAR CUP 24oz</t>
  </si>
  <si>
    <t>CLEAR CUP 12oz</t>
  </si>
  <si>
    <t>LIDS 16oz 24oz</t>
  </si>
  <si>
    <t>CUP HOLDER</t>
  </si>
  <si>
    <t>2oz PORTION CUP</t>
  </si>
  <si>
    <t>XL NITRILE GLOVES</t>
  </si>
  <si>
    <t>MD VINYL GLOVES</t>
  </si>
  <si>
    <t>THERMAL PAPER ROLL 3 1/8"</t>
  </si>
  <si>
    <t>DELI CONTAINER 32OZ CLEAR</t>
  </si>
  <si>
    <t>BAGS TRASH</t>
  </si>
  <si>
    <t>EVAPORATED MILK</t>
  </si>
  <si>
    <t>CONDENSED MILK</t>
  </si>
  <si>
    <t>COCO LOPEZ</t>
  </si>
  <si>
    <t>GARLIC SALT</t>
  </si>
  <si>
    <t>BLUE TAPE</t>
  </si>
  <si>
    <t>MARKERS</t>
  </si>
  <si>
    <t>CLEAR TAPE</t>
  </si>
  <si>
    <t>TRAPOS AMARILLOS</t>
  </si>
  <si>
    <t>ARBOL BLEND</t>
  </si>
  <si>
    <t>RED SAUCE BLEND</t>
  </si>
  <si>
    <t>GREEN SAUCE BLEND</t>
  </si>
  <si>
    <t>HABANERO BLEND</t>
  </si>
  <si>
    <t xml:space="preserve">MOLE BLEND </t>
  </si>
  <si>
    <t>RANCHERO BLEND</t>
  </si>
  <si>
    <t>POBLANO BLEND</t>
  </si>
  <si>
    <t>CARNITAS BLEND</t>
  </si>
  <si>
    <t>RICE BLEND</t>
  </si>
  <si>
    <t>MANGO</t>
  </si>
  <si>
    <t>CUCUMBER LEMON</t>
  </si>
  <si>
    <t>JAMAICA</t>
  </si>
  <si>
    <t>WAX PAPER 10X10</t>
  </si>
  <si>
    <t>TAPATIOS THREE COMPARTMENT</t>
  </si>
  <si>
    <t>TAPATIOS ONE COMPARTMENT</t>
  </si>
  <si>
    <t>TAPATIOS SUIZO</t>
  </si>
  <si>
    <t>RICE FLOUR</t>
  </si>
  <si>
    <t>TOTALS</t>
  </si>
  <si>
    <t>RESERVES MADE IN ADVANCE AND KEEP ON HOLD</t>
  </si>
  <si>
    <t>BPM-12</t>
  </si>
  <si>
    <t>BPM-13</t>
  </si>
  <si>
    <t>BPM-14</t>
  </si>
  <si>
    <t>BPM-15</t>
  </si>
  <si>
    <t>LBT-1</t>
  </si>
  <si>
    <t>LBT-5</t>
  </si>
  <si>
    <t>LBT-6</t>
  </si>
  <si>
    <t>LBT-8</t>
  </si>
  <si>
    <t>BPM-16</t>
  </si>
  <si>
    <t>TORTA - 8X6 32oz</t>
  </si>
  <si>
    <t>PORTION CUP 1.5oz</t>
  </si>
  <si>
    <t>PORTION LID 2oz</t>
  </si>
  <si>
    <t>SOAP 4-1</t>
  </si>
  <si>
    <t>OVEN &amp; GRILL 4-1</t>
  </si>
  <si>
    <t>NEW</t>
  </si>
  <si>
    <t>STRAWS WRAPPED BLACK</t>
  </si>
  <si>
    <t>BAGS #8 CRAFT PAPER</t>
  </si>
  <si>
    <t>FOIL STD 12X1000</t>
  </si>
  <si>
    <t>T-SHIRT BAG</t>
  </si>
  <si>
    <t>FORK HD PLASTIC</t>
  </si>
  <si>
    <t>KIT FORK &amp; KNIFE HVY</t>
  </si>
  <si>
    <t>SPOON PLASTIC</t>
  </si>
  <si>
    <t>LOMBARD</t>
  </si>
  <si>
    <t>NAPERVILLE I</t>
  </si>
  <si>
    <t>CAROL STREAM</t>
  </si>
  <si>
    <t>LISLE</t>
  </si>
  <si>
    <t>GLENDALE H</t>
  </si>
  <si>
    <t>WEST CHICAGO</t>
  </si>
  <si>
    <t>BATAVIA</t>
  </si>
  <si>
    <t>ALGONQUIN</t>
  </si>
  <si>
    <t>NAPERVILLE II</t>
  </si>
  <si>
    <t>ROLLING M</t>
  </si>
  <si>
    <t>SCHAUMBURG</t>
  </si>
  <si>
    <t>CRYSTAL L</t>
  </si>
  <si>
    <t>LAKE ZUR</t>
  </si>
  <si>
    <t>PLAINFIELD</t>
  </si>
  <si>
    <t>FRANKFORT</t>
  </si>
  <si>
    <t>INITIAL INV.</t>
  </si>
  <si>
    <t>FINAL INV.</t>
  </si>
  <si>
    <t>USAGE</t>
  </si>
  <si>
    <t>CUPS 12 BLACK</t>
  </si>
  <si>
    <t>FRIED ICE CREAM</t>
  </si>
  <si>
    <t>ROLLING MEADOWS</t>
  </si>
  <si>
    <t>GLENDALE HEIGHTS</t>
  </si>
  <si>
    <t>NAPERVILLE OGDEN</t>
  </si>
  <si>
    <t>NAPERVILLE ONE</t>
  </si>
  <si>
    <t>ROLLING</t>
  </si>
  <si>
    <t>OGDEN</t>
  </si>
  <si>
    <t>ALGO</t>
  </si>
  <si>
    <t>WEST</t>
  </si>
  <si>
    <t xml:space="preserve">GLENDALE </t>
  </si>
  <si>
    <t>NAP ONE</t>
  </si>
  <si>
    <t>LOMB</t>
  </si>
  <si>
    <t>TOTAL</t>
  </si>
  <si>
    <t>DISPOSABLES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</si>
</sst>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7"/>
      <name val="Calibri"/>
      <family val="2"/>
      <scheme val="minor"/>
    </font>
    <font>
      <b/>
      <sz val="8"/>
      <color theme="8"/>
      <name val="Calibri"/>
      <family val="2"/>
      <scheme val="minor"/>
    </font>
    <font>
      <b/>
      <sz val="26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32"/>
      <name val="Calibri"/>
      <family val="2"/>
      <scheme val="minor"/>
    </font>
    <font>
      <b/>
      <sz val="36"/>
      <name val="Calibri"/>
      <family val="2"/>
      <scheme val="minor"/>
    </font>
    <font>
      <b/>
      <sz val="30"/>
      <name val="Calibri"/>
      <family val="2"/>
      <scheme val="minor"/>
    </font>
    <font>
      <b/>
      <u/>
      <sz val="30"/>
      <name val="Calibri"/>
      <family val="2"/>
      <scheme val="minor"/>
    </font>
    <font>
      <b/>
      <sz val="40"/>
      <name val="Calibri"/>
      <family val="2"/>
      <scheme val="minor"/>
    </font>
    <font>
      <b/>
      <sz val="48"/>
      <name val="Calibri"/>
      <family val="2"/>
      <scheme val="minor"/>
    </font>
    <font>
      <b/>
      <sz val="24"/>
      <name val="Calibri"/>
      <family val="2"/>
      <scheme val="minor"/>
    </font>
    <font>
      <b/>
      <u/>
      <sz val="4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54">
    <xf numFmtId="0" fontId="0" fillId="0" borderId="0" xfId="0"/>
    <xf numFmtId="0" fontId="4" fillId="0" borderId="2" xfId="2" applyFont="1" applyBorder="1"/>
    <xf numFmtId="0" fontId="4" fillId="0" borderId="2" xfId="2" applyFont="1" applyBorder="1" applyAlignment="1">
      <alignment horizontal="center"/>
    </xf>
    <xf numFmtId="0" fontId="4" fillId="0" borderId="0" xfId="2" applyFont="1"/>
    <xf numFmtId="0" fontId="4" fillId="2" borderId="0" xfId="2" applyFont="1" applyFill="1" applyAlignment="1">
      <alignment horizontal="center" vertical="center" wrapText="1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3" applyNumberFormat="1" applyFont="1" applyAlignment="1">
      <alignment horizontal="center"/>
    </xf>
    <xf numFmtId="44" fontId="4" fillId="0" borderId="0" xfId="3" applyFont="1" applyAlignment="1">
      <alignment vertical="center"/>
    </xf>
    <xf numFmtId="0" fontId="6" fillId="2" borderId="1" xfId="2" applyFont="1" applyFill="1" applyBorder="1" applyAlignment="1">
      <alignment horizontal="center" vertical="center"/>
    </xf>
    <xf numFmtId="0" fontId="3" fillId="0" borderId="0" xfId="2" applyFont="1"/>
    <xf numFmtId="0" fontId="7" fillId="0" borderId="6" xfId="2" applyFont="1" applyBorder="1" applyAlignment="1">
      <alignment horizontal="center" vertical="center"/>
    </xf>
    <xf numFmtId="44" fontId="7" fillId="2" borderId="0" xfId="2" applyNumberFormat="1" applyFont="1" applyFill="1" applyAlignment="1">
      <alignment horizontal="center" vertical="center" wrapText="1"/>
    </xf>
    <xf numFmtId="0" fontId="7" fillId="0" borderId="0" xfId="2" applyFont="1" applyAlignment="1">
      <alignment horizontal="center"/>
    </xf>
    <xf numFmtId="44" fontId="7" fillId="2" borderId="2" xfId="2" applyNumberFormat="1" applyFont="1" applyFill="1" applyBorder="1" applyAlignment="1">
      <alignment horizontal="center" vertical="center" wrapText="1"/>
    </xf>
    <xf numFmtId="0" fontId="7" fillId="0" borderId="2" xfId="2" applyFont="1" applyBorder="1" applyAlignment="1">
      <alignment horizontal="center"/>
    </xf>
    <xf numFmtId="0" fontId="7" fillId="0" borderId="7" xfId="2" applyFont="1" applyBorder="1" applyAlignment="1">
      <alignment horizontal="center" vertical="center"/>
    </xf>
    <xf numFmtId="44" fontId="7" fillId="0" borderId="7" xfId="2" applyNumberFormat="1" applyFont="1" applyBorder="1" applyAlignment="1">
      <alignment horizontal="center" vertical="center" wrapText="1"/>
    </xf>
    <xf numFmtId="0" fontId="7" fillId="0" borderId="0" xfId="2" applyFont="1"/>
    <xf numFmtId="44" fontId="7" fillId="3" borderId="7" xfId="2" applyNumberFormat="1" applyFont="1" applyFill="1" applyBorder="1" applyAlignment="1">
      <alignment horizontal="center" vertical="center" wrapText="1"/>
    </xf>
    <xf numFmtId="0" fontId="7" fillId="3" borderId="3" xfId="2" applyFont="1" applyFill="1" applyBorder="1" applyAlignment="1">
      <alignment horizontal="center" vertical="center"/>
    </xf>
    <xf numFmtId="44" fontId="7" fillId="0" borderId="3" xfId="2" applyNumberFormat="1" applyFont="1" applyBorder="1" applyAlignment="1">
      <alignment horizontal="center" vertical="center"/>
    </xf>
    <xf numFmtId="0" fontId="7" fillId="0" borderId="0" xfId="3" applyNumberFormat="1" applyFont="1" applyAlignment="1">
      <alignment horizontal="center"/>
    </xf>
    <xf numFmtId="44" fontId="7" fillId="0" borderId="2" xfId="2" applyNumberFormat="1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0" xfId="2" applyFont="1" applyAlignment="1">
      <alignment horizontal="center"/>
    </xf>
    <xf numFmtId="0" fontId="3" fillId="4" borderId="7" xfId="2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6" fillId="4" borderId="7" xfId="2" applyFont="1" applyFill="1" applyBorder="1" applyAlignment="1">
      <alignment horizontal="center"/>
    </xf>
    <xf numFmtId="0" fontId="5" fillId="0" borderId="0" xfId="2" applyFont="1"/>
    <xf numFmtId="44" fontId="6" fillId="4" borderId="7" xfId="3" applyFont="1" applyFill="1" applyBorder="1" applyAlignment="1">
      <alignment horizontal="center" vertical="center"/>
    </xf>
    <xf numFmtId="0" fontId="6" fillId="0" borderId="0" xfId="2" applyFont="1"/>
    <xf numFmtId="44" fontId="6" fillId="0" borderId="7" xfId="3" applyFont="1" applyBorder="1" applyAlignment="1">
      <alignment horizontal="center" vertical="center"/>
    </xf>
    <xf numFmtId="0" fontId="6" fillId="0" borderId="6" xfId="5" applyFont="1" applyBorder="1" applyAlignment="1">
      <alignment horizontal="center"/>
    </xf>
    <xf numFmtId="0" fontId="6" fillId="4" borderId="6" xfId="5" applyFont="1" applyFill="1" applyBorder="1" applyAlignment="1">
      <alignment horizontal="center"/>
    </xf>
    <xf numFmtId="44" fontId="6" fillId="0" borderId="6" xfId="3" applyFont="1" applyBorder="1" applyAlignment="1">
      <alignment horizontal="center" vertical="center"/>
    </xf>
    <xf numFmtId="0" fontId="6" fillId="0" borderId="6" xfId="2" applyFont="1" applyBorder="1" applyAlignment="1">
      <alignment horizontal="center"/>
    </xf>
    <xf numFmtId="0" fontId="6" fillId="4" borderId="7" xfId="5" applyFont="1" applyFill="1" applyBorder="1" applyAlignment="1">
      <alignment horizontal="center"/>
    </xf>
    <xf numFmtId="0" fontId="6" fillId="0" borderId="7" xfId="5" applyFont="1" applyBorder="1" applyAlignment="1">
      <alignment horizontal="center"/>
    </xf>
    <xf numFmtId="0" fontId="6" fillId="0" borderId="6" xfId="6" applyFont="1" applyBorder="1" applyAlignment="1">
      <alignment horizontal="center"/>
    </xf>
    <xf numFmtId="0" fontId="8" fillId="4" borderId="6" xfId="5" applyFont="1" applyFill="1" applyBorder="1" applyAlignment="1">
      <alignment horizontal="center"/>
    </xf>
    <xf numFmtId="44" fontId="8" fillId="0" borderId="6" xfId="3" applyFont="1" applyBorder="1" applyAlignment="1">
      <alignment horizontal="center" vertical="center"/>
    </xf>
    <xf numFmtId="44" fontId="8" fillId="4" borderId="7" xfId="3" applyFont="1" applyFill="1" applyBorder="1" applyAlignment="1">
      <alignment horizontal="center" vertical="center"/>
    </xf>
    <xf numFmtId="0" fontId="8" fillId="0" borderId="6" xfId="5" applyFont="1" applyBorder="1" applyAlignment="1">
      <alignment horizontal="center"/>
    </xf>
    <xf numFmtId="0" fontId="6" fillId="4" borderId="8" xfId="5" applyFont="1" applyFill="1" applyBorder="1" applyAlignment="1">
      <alignment horizontal="center"/>
    </xf>
    <xf numFmtId="0" fontId="5" fillId="0" borderId="0" xfId="3" applyNumberFormat="1" applyFont="1" applyAlignment="1">
      <alignment horizontal="center"/>
    </xf>
    <xf numFmtId="0" fontId="5" fillId="0" borderId="2" xfId="2" applyFont="1" applyBorder="1" applyAlignment="1">
      <alignment horizontal="center"/>
    </xf>
    <xf numFmtId="0" fontId="3" fillId="0" borderId="0" xfId="2" applyFont="1" applyAlignment="1">
      <alignment vertical="center"/>
    </xf>
    <xf numFmtId="0" fontId="6" fillId="4" borderId="6" xfId="2" applyFont="1" applyFill="1" applyBorder="1" applyAlignment="1">
      <alignment horizontal="center" vertical="center"/>
    </xf>
    <xf numFmtId="0" fontId="6" fillId="4" borderId="7" xfId="2" applyFont="1" applyFill="1" applyBorder="1" applyAlignment="1">
      <alignment horizontal="center" vertical="center"/>
    </xf>
    <xf numFmtId="0" fontId="8" fillId="4" borderId="6" xfId="2" applyFont="1" applyFill="1" applyBorder="1" applyAlignment="1">
      <alignment horizontal="center" vertical="center"/>
    </xf>
    <xf numFmtId="44" fontId="6" fillId="0" borderId="0" xfId="3" applyFont="1" applyAlignment="1">
      <alignment vertical="center"/>
    </xf>
    <xf numFmtId="0" fontId="6" fillId="0" borderId="0" xfId="3" applyNumberFormat="1" applyFont="1" applyAlignment="1">
      <alignment horizontal="center"/>
    </xf>
    <xf numFmtId="44" fontId="6" fillId="0" borderId="0" xfId="3" applyFont="1" applyAlignment="1">
      <alignment horizontal="center" vertical="center"/>
    </xf>
    <xf numFmtId="44" fontId="3" fillId="0" borderId="0" xfId="3" applyFont="1" applyAlignment="1">
      <alignment vertical="center"/>
    </xf>
    <xf numFmtId="44" fontId="3" fillId="0" borderId="0" xfId="3" applyFont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4" borderId="7" xfId="2" applyFont="1" applyFill="1" applyBorder="1" applyAlignment="1">
      <alignment horizontal="center" vertical="center"/>
    </xf>
    <xf numFmtId="1" fontId="5" fillId="0" borderId="7" xfId="2" applyNumberFormat="1" applyFont="1" applyBorder="1" applyAlignment="1">
      <alignment horizontal="center"/>
    </xf>
    <xf numFmtId="44" fontId="5" fillId="0" borderId="7" xfId="1" applyFont="1" applyBorder="1" applyAlignment="1">
      <alignment horizontal="center" vertical="center"/>
    </xf>
    <xf numFmtId="44" fontId="5" fillId="4" borderId="6" xfId="1" applyFont="1" applyFill="1" applyBorder="1" applyAlignment="1">
      <alignment horizontal="center" vertical="center"/>
    </xf>
    <xf numFmtId="0" fontId="5" fillId="4" borderId="8" xfId="2" applyFont="1" applyFill="1" applyBorder="1" applyAlignment="1">
      <alignment horizontal="center" vertical="center"/>
    </xf>
    <xf numFmtId="44" fontId="5" fillId="4" borderId="9" xfId="3" applyFont="1" applyFill="1" applyBorder="1" applyAlignment="1">
      <alignment vertical="center"/>
    </xf>
    <xf numFmtId="0" fontId="5" fillId="0" borderId="8" xfId="2" applyFont="1" applyBorder="1" applyAlignment="1">
      <alignment horizontal="center" vertical="center"/>
    </xf>
    <xf numFmtId="44" fontId="5" fillId="4" borderId="8" xfId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/>
    </xf>
    <xf numFmtId="0" fontId="6" fillId="2" borderId="7" xfId="2" applyFont="1" applyFill="1" applyBorder="1" applyAlignment="1">
      <alignment horizontal="center"/>
    </xf>
    <xf numFmtId="0" fontId="6" fillId="2" borderId="12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/>
    </xf>
    <xf numFmtId="44" fontId="6" fillId="2" borderId="12" xfId="3" applyFont="1" applyFill="1" applyBorder="1" applyAlignment="1">
      <alignment horizontal="center" vertical="center" wrapText="1"/>
    </xf>
    <xf numFmtId="44" fontId="6" fillId="2" borderId="6" xfId="3" applyFont="1" applyFill="1" applyBorder="1" applyAlignment="1">
      <alignment horizontal="center" vertical="center"/>
    </xf>
    <xf numFmtId="44" fontId="6" fillId="2" borderId="7" xfId="3" applyFont="1" applyFill="1" applyBorder="1" applyAlignment="1">
      <alignment horizontal="center" vertical="center"/>
    </xf>
    <xf numFmtId="44" fontId="6" fillId="2" borderId="12" xfId="3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44" fontId="6" fillId="2" borderId="1" xfId="3" applyFont="1" applyFill="1" applyBorder="1" applyAlignment="1">
      <alignment horizontal="center" vertical="center" wrapText="1"/>
    </xf>
    <xf numFmtId="0" fontId="5" fillId="2" borderId="7" xfId="2" applyFont="1" applyFill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44" fontId="6" fillId="2" borderId="1" xfId="3" applyFont="1" applyFill="1" applyBorder="1" applyAlignment="1">
      <alignment horizontal="center" vertical="center"/>
    </xf>
    <xf numFmtId="44" fontId="5" fillId="2" borderId="2" xfId="3" applyFont="1" applyFill="1" applyBorder="1" applyAlignment="1">
      <alignment horizontal="center" vertical="center"/>
    </xf>
    <xf numFmtId="2" fontId="5" fillId="2" borderId="2" xfId="3" applyNumberFormat="1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vertical="center"/>
    </xf>
    <xf numFmtId="44" fontId="5" fillId="0" borderId="8" xfId="1" applyFont="1" applyBorder="1" applyAlignment="1">
      <alignment horizontal="center" vertical="center"/>
    </xf>
    <xf numFmtId="44" fontId="5" fillId="0" borderId="9" xfId="1" applyFont="1" applyBorder="1" applyAlignment="1">
      <alignment vertical="center"/>
    </xf>
    <xf numFmtId="0" fontId="6" fillId="4" borderId="11" xfId="2" applyFont="1" applyFill="1" applyBorder="1" applyAlignment="1">
      <alignment horizontal="center" vertical="center"/>
    </xf>
    <xf numFmtId="44" fontId="5" fillId="0" borderId="7" xfId="3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44" fontId="5" fillId="2" borderId="0" xfId="3" applyFont="1" applyFill="1" applyAlignment="1">
      <alignment horizontal="center" vertical="center"/>
    </xf>
    <xf numFmtId="2" fontId="5" fillId="2" borderId="0" xfId="3" applyNumberFormat="1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44" fontId="6" fillId="2" borderId="6" xfId="2" applyNumberFormat="1" applyFont="1" applyFill="1" applyBorder="1" applyAlignment="1">
      <alignment horizontal="center" vertical="center"/>
    </xf>
    <xf numFmtId="0" fontId="3" fillId="0" borderId="0" xfId="6" applyFont="1"/>
    <xf numFmtId="0" fontId="9" fillId="0" borderId="0" xfId="6" applyFont="1" applyAlignment="1">
      <alignment horizontal="center" vertical="center"/>
    </xf>
    <xf numFmtId="0" fontId="9" fillId="0" borderId="0" xfId="6" applyFont="1" applyAlignment="1">
      <alignment vertical="center"/>
    </xf>
    <xf numFmtId="0" fontId="10" fillId="0" borderId="0" xfId="6" applyFont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11" fillId="0" borderId="0" xfId="6" applyFont="1" applyAlignment="1">
      <alignment vertical="center"/>
    </xf>
    <xf numFmtId="0" fontId="9" fillId="0" borderId="0" xfId="6" applyFont="1"/>
    <xf numFmtId="0" fontId="12" fillId="0" borderId="0" xfId="6" applyFont="1"/>
    <xf numFmtId="0" fontId="12" fillId="0" borderId="7" xfId="5" applyFont="1" applyBorder="1" applyAlignment="1">
      <alignment horizontal="center" vertical="center" wrapText="1"/>
    </xf>
    <xf numFmtId="0" fontId="12" fillId="0" borderId="7" xfId="5" applyFont="1" applyBorder="1" applyAlignment="1">
      <alignment horizontal="center" vertical="center"/>
    </xf>
    <xf numFmtId="0" fontId="13" fillId="0" borderId="7" xfId="5" applyFont="1" applyBorder="1" applyAlignment="1">
      <alignment horizontal="center" vertical="center" wrapText="1"/>
    </xf>
    <xf numFmtId="0" fontId="13" fillId="0" borderId="7" xfId="5" applyFont="1" applyBorder="1" applyAlignment="1">
      <alignment horizontal="center" vertical="center"/>
    </xf>
    <xf numFmtId="0" fontId="13" fillId="0" borderId="0" xfId="6" applyFont="1"/>
    <xf numFmtId="0" fontId="13" fillId="5" borderId="6" xfId="5" applyFont="1" applyFill="1" applyBorder="1" applyAlignment="1">
      <alignment horizontal="center" vertical="center" wrapText="1"/>
    </xf>
    <xf numFmtId="0" fontId="13" fillId="0" borderId="14" xfId="5" applyFont="1" applyBorder="1"/>
    <xf numFmtId="0" fontId="13" fillId="0" borderId="6" xfId="5" applyFont="1" applyBorder="1" applyAlignment="1">
      <alignment horizontal="center" vertical="center" wrapText="1"/>
    </xf>
    <xf numFmtId="0" fontId="13" fillId="0" borderId="0" xfId="5" applyFont="1"/>
    <xf numFmtId="0" fontId="13" fillId="0" borderId="0" xfId="6" applyFont="1" applyAlignment="1">
      <alignment horizontal="center" vertical="center"/>
    </xf>
    <xf numFmtId="0" fontId="13" fillId="0" borderId="6" xfId="5" applyFont="1" applyBorder="1" applyAlignment="1">
      <alignment horizontal="center" vertical="center"/>
    </xf>
    <xf numFmtId="0" fontId="13" fillId="5" borderId="6" xfId="5" applyFont="1" applyFill="1" applyBorder="1" applyAlignment="1">
      <alignment horizontal="center" vertical="center"/>
    </xf>
    <xf numFmtId="0" fontId="13" fillId="0" borderId="15" xfId="6" applyFont="1" applyBorder="1" applyAlignment="1">
      <alignment horizontal="center" vertical="center"/>
    </xf>
    <xf numFmtId="0" fontId="13" fillId="0" borderId="6" xfId="7" applyFont="1" applyBorder="1" applyAlignment="1">
      <alignment horizontal="center" vertical="center"/>
    </xf>
    <xf numFmtId="0" fontId="13" fillId="0" borderId="16" xfId="6" applyFont="1" applyBorder="1" applyAlignment="1">
      <alignment horizontal="center" vertical="center"/>
    </xf>
    <xf numFmtId="0" fontId="13" fillId="0" borderId="16" xfId="6" applyFont="1" applyBorder="1" applyAlignment="1">
      <alignment horizontal="center" vertical="center" wrapText="1"/>
    </xf>
    <xf numFmtId="0" fontId="13" fillId="5" borderId="17" xfId="5" applyFont="1" applyFill="1" applyBorder="1" applyAlignment="1">
      <alignment horizontal="center" vertical="center"/>
    </xf>
    <xf numFmtId="0" fontId="13" fillId="0" borderId="13" xfId="5" applyFont="1" applyBorder="1"/>
    <xf numFmtId="0" fontId="13" fillId="0" borderId="17" xfId="5" applyFont="1" applyBorder="1" applyAlignment="1">
      <alignment horizontal="center" vertical="center"/>
    </xf>
    <xf numFmtId="0" fontId="14" fillId="0" borderId="0" xfId="6" applyFont="1"/>
    <xf numFmtId="0" fontId="15" fillId="0" borderId="2" xfId="6" applyFont="1" applyBorder="1" applyAlignment="1">
      <alignment vertical="center"/>
    </xf>
    <xf numFmtId="0" fontId="15" fillId="0" borderId="8" xfId="6" applyFont="1" applyBorder="1" applyAlignment="1">
      <alignment vertical="center"/>
    </xf>
    <xf numFmtId="0" fontId="17" fillId="0" borderId="0" xfId="6" applyFont="1"/>
    <xf numFmtId="0" fontId="18" fillId="5" borderId="20" xfId="5" applyFont="1" applyFill="1" applyBorder="1" applyAlignment="1">
      <alignment horizontal="center" vertical="center" wrapText="1"/>
    </xf>
    <xf numFmtId="0" fontId="18" fillId="0" borderId="10" xfId="5" applyFont="1" applyBorder="1" applyAlignment="1">
      <alignment horizontal="center" vertical="center" wrapText="1"/>
    </xf>
    <xf numFmtId="0" fontId="18" fillId="0" borderId="20" xfId="5" applyFont="1" applyBorder="1" applyAlignment="1">
      <alignment horizontal="center" vertical="center" wrapText="1"/>
    </xf>
    <xf numFmtId="0" fontId="14" fillId="0" borderId="21" xfId="6" applyFont="1" applyBorder="1" applyAlignment="1">
      <alignment horizontal="center" vertical="center" wrapText="1"/>
    </xf>
    <xf numFmtId="0" fontId="14" fillId="0" borderId="21" xfId="5" applyFont="1" applyBorder="1" applyAlignment="1">
      <alignment horizontal="center" vertical="center" wrapText="1"/>
    </xf>
    <xf numFmtId="0" fontId="14" fillId="0" borderId="10" xfId="5" applyFont="1" applyBorder="1" applyAlignment="1">
      <alignment horizontal="center" wrapText="1"/>
    </xf>
    <xf numFmtId="0" fontId="19" fillId="5" borderId="20" xfId="6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6" fillId="2" borderId="2" xfId="2" applyFont="1" applyFill="1" applyBorder="1" applyAlignment="1">
      <alignment horizontal="center" vertical="center" wrapText="1"/>
    </xf>
    <xf numFmtId="44" fontId="4" fillId="0" borderId="13" xfId="2" applyNumberFormat="1" applyFont="1" applyBorder="1" applyAlignment="1">
      <alignment horizontal="center" vertical="center"/>
    </xf>
    <xf numFmtId="0" fontId="17" fillId="3" borderId="19" xfId="6" applyFont="1" applyFill="1" applyBorder="1" applyAlignment="1">
      <alignment horizontal="center" vertical="center"/>
    </xf>
    <xf numFmtId="0" fontId="17" fillId="3" borderId="18" xfId="6" applyFont="1" applyFill="1" applyBorder="1" applyAlignment="1">
      <alignment horizontal="center" vertical="center"/>
    </xf>
    <xf numFmtId="0" fontId="16" fillId="3" borderId="19" xfId="6" applyFont="1" applyFill="1" applyBorder="1" applyAlignment="1">
      <alignment horizontal="center" vertical="center"/>
    </xf>
    <xf numFmtId="0" fontId="16" fillId="3" borderId="18" xfId="6" applyFont="1" applyFill="1" applyBorder="1" applyAlignment="1">
      <alignment horizontal="center" vertical="center"/>
    </xf>
  </cellXfs>
  <cellStyles count="8">
    <cellStyle name="Currency" xfId="1" builtinId="4"/>
    <cellStyle name="Currency 2" xfId="3" xr:uid="{48F1F3B0-2DAD-4E30-9D8F-874F0CE56617}"/>
    <cellStyle name="Normal" xfId="0" builtinId="0"/>
    <cellStyle name="Normal 2" xfId="2" xr:uid="{79763642-4CA5-4D3A-9391-FF1C806728AD}"/>
    <cellStyle name="Normal 2 2" xfId="5" xr:uid="{15D8A28C-FFD5-4996-8FE3-598EE12D9EA4}"/>
    <cellStyle name="Normal 3" xfId="6" xr:uid="{58A3D6E7-70B0-4D47-8C35-A84DA6D46EBC}"/>
    <cellStyle name="Normal 4" xfId="7" xr:uid="{DA1B4359-06EC-49E9-940E-32FCC23BF8BF}"/>
    <cellStyle name="Percent 2" xfId="4" xr:uid="{579B209B-6B5A-4D4A-A337-8A998A408E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EED7-73B0-4D03-8F29-F0729AB4A7F8}">
  <dimension ref="A1:DY55"/>
  <sheetViews>
    <sheetView zoomScale="72" zoomScaleNormal="72" workbookViewId="0">
      <pane xSplit="1" topLeftCell="H1" activePane="topRight" state="frozen"/>
      <selection pane="topRight" activeCell="I4" sqref="I4:Y47"/>
    </sheetView>
  </sheetViews>
  <sheetFormatPr defaultColWidth="9.109375" defaultRowHeight="13.8" x14ac:dyDescent="0.3"/>
  <cols>
    <col min="1" max="1" width="30.77734375" style="50" customWidth="1"/>
    <col min="2" max="2" width="3.33203125" style="3" customWidth="1"/>
    <col min="3" max="3" width="14.77734375" style="50" customWidth="1"/>
    <col min="4" max="4" width="3.33203125" style="12" customWidth="1"/>
    <col min="5" max="5" width="14.77734375" style="57" customWidth="1"/>
    <col min="6" max="6" width="3.33203125" style="12" customWidth="1"/>
    <col min="7" max="7" width="14.77734375" style="57" customWidth="1"/>
    <col min="8" max="8" width="3.33203125" style="3" customWidth="1"/>
    <col min="9" max="9" width="7.77734375" style="6" customWidth="1"/>
    <col min="10" max="10" width="3.33203125" style="3" customWidth="1"/>
    <col min="11" max="11" width="7.77734375" style="6" customWidth="1"/>
    <col min="12" max="12" width="3.33203125" style="3" customWidth="1"/>
    <col min="13" max="13" width="7.77734375" style="6" customWidth="1"/>
    <col min="14" max="14" width="3.33203125" style="3" customWidth="1"/>
    <col min="15" max="15" width="7.77734375" style="6" customWidth="1"/>
    <col min="16" max="16" width="3.33203125" style="3" customWidth="1"/>
    <col min="17" max="17" width="7.77734375" style="6" customWidth="1"/>
    <col min="18" max="18" width="3.33203125" style="3" customWidth="1"/>
    <col min="19" max="19" width="7.77734375" style="6" customWidth="1"/>
    <col min="20" max="20" width="3.33203125" style="3" customWidth="1"/>
    <col min="21" max="21" width="7.77734375" style="6" customWidth="1"/>
    <col min="22" max="22" width="3.33203125" style="3" customWidth="1"/>
    <col min="23" max="23" width="7.77734375" style="6" customWidth="1"/>
    <col min="24" max="24" width="3.33203125" style="3" customWidth="1"/>
    <col min="25" max="25" width="7.77734375" style="6" customWidth="1"/>
    <col min="26" max="26" width="3.33203125" style="3" customWidth="1"/>
    <col min="27" max="27" width="7.77734375" style="6" customWidth="1"/>
    <col min="28" max="28" width="3.33203125" style="3" customWidth="1"/>
    <col min="29" max="29" width="7.77734375" style="6" customWidth="1"/>
    <col min="30" max="30" width="3.33203125" style="3" hidden="1" customWidth="1"/>
    <col min="31" max="31" width="7.77734375" style="6" hidden="1" customWidth="1"/>
    <col min="32" max="32" width="3.33203125" style="3" hidden="1" customWidth="1"/>
    <col min="33" max="33" width="7.77734375" style="6" hidden="1" customWidth="1"/>
    <col min="34" max="34" width="3.33203125" style="3" hidden="1" customWidth="1"/>
    <col min="35" max="35" width="7.77734375" style="6" hidden="1" customWidth="1"/>
    <col min="36" max="36" width="3.33203125" style="3" hidden="1" customWidth="1"/>
    <col min="37" max="37" width="7.77734375" style="6" hidden="1" customWidth="1"/>
    <col min="38" max="38" width="3.33203125" style="3" hidden="1" customWidth="1"/>
    <col min="39" max="39" width="7.77734375" style="6" hidden="1" customWidth="1"/>
    <col min="40" max="40" width="3.33203125" style="3" customWidth="1"/>
    <col min="41" max="41" width="7.77734375" style="6" customWidth="1"/>
    <col min="42" max="42" width="3.33203125" style="3" customWidth="1"/>
    <col min="43" max="43" width="7.77734375" style="6" customWidth="1"/>
    <col min="44" max="44" width="3.33203125" style="3" customWidth="1"/>
    <col min="45" max="45" width="7.77734375" style="6" customWidth="1"/>
    <col min="46" max="46" width="3.33203125" style="3" customWidth="1"/>
    <col min="47" max="47" width="7.77734375" style="6" customWidth="1"/>
    <col min="48" max="48" width="3.33203125" style="3" customWidth="1"/>
    <col min="49" max="49" width="3.77734375" style="3" customWidth="1"/>
    <col min="50" max="50" width="8.77734375" style="6" customWidth="1"/>
    <col min="51" max="51" width="3.33203125" style="3" customWidth="1"/>
    <col min="52" max="52" width="3.77734375" style="3" customWidth="1"/>
    <col min="53" max="53" width="8.77734375" style="6" customWidth="1"/>
    <col min="54" max="54" width="3.33203125" style="3" customWidth="1"/>
    <col min="55" max="55" width="3.77734375" style="3" customWidth="1"/>
    <col min="56" max="56" width="8.77734375" style="6" customWidth="1"/>
    <col min="57" max="57" width="3.33203125" style="3" customWidth="1"/>
    <col min="58" max="58" width="3.77734375" style="3" customWidth="1"/>
    <col min="59" max="59" width="8.77734375" style="6" customWidth="1"/>
    <col min="60" max="60" width="3.33203125" style="3" customWidth="1"/>
    <col min="61" max="61" width="3.77734375" style="3" customWidth="1"/>
    <col min="62" max="62" width="8.77734375" style="6" customWidth="1"/>
    <col min="63" max="63" width="3.33203125" style="3" customWidth="1"/>
    <col min="64" max="64" width="3.77734375" style="3" customWidth="1"/>
    <col min="65" max="65" width="8.77734375" style="6" customWidth="1"/>
    <col min="66" max="66" width="3.33203125" style="3" customWidth="1"/>
    <col min="67" max="67" width="3.77734375" style="3" customWidth="1"/>
    <col min="68" max="68" width="8.77734375" style="6" customWidth="1"/>
    <col min="69" max="69" width="3.33203125" style="3" customWidth="1"/>
    <col min="70" max="70" width="3.77734375" style="3" customWidth="1"/>
    <col min="71" max="71" width="8.77734375" style="6" customWidth="1"/>
    <col min="72" max="72" width="3.33203125" style="3" customWidth="1"/>
    <col min="73" max="73" width="3.77734375" style="3" customWidth="1"/>
    <col min="74" max="74" width="8.77734375" style="6" customWidth="1"/>
    <col min="75" max="75" width="3.33203125" style="3" customWidth="1"/>
    <col min="76" max="76" width="3.77734375" style="3" customWidth="1"/>
    <col min="77" max="77" width="8.77734375" style="6" customWidth="1"/>
    <col min="78" max="78" width="3.33203125" style="3" customWidth="1"/>
    <col min="79" max="79" width="3.77734375" style="3" customWidth="1"/>
    <col min="80" max="80" width="8.77734375" style="6" customWidth="1"/>
    <col min="81" max="81" width="3.33203125" style="3" hidden="1" customWidth="1"/>
    <col min="82" max="82" width="3.77734375" style="3" hidden="1" customWidth="1"/>
    <col min="83" max="83" width="8.77734375" style="6" hidden="1" customWidth="1"/>
    <col min="84" max="84" width="3.33203125" style="3" hidden="1" customWidth="1"/>
    <col min="85" max="85" width="3.77734375" style="3" hidden="1" customWidth="1"/>
    <col min="86" max="86" width="8.77734375" style="6" hidden="1" customWidth="1"/>
    <col min="87" max="87" width="3.33203125" style="3" hidden="1" customWidth="1"/>
    <col min="88" max="88" width="3.77734375" style="3" hidden="1" customWidth="1"/>
    <col min="89" max="89" width="8.77734375" style="6" hidden="1" customWidth="1"/>
    <col min="90" max="90" width="3.33203125" style="3" hidden="1" customWidth="1"/>
    <col min="91" max="91" width="3.77734375" style="3" hidden="1" customWidth="1"/>
    <col min="92" max="92" width="8.77734375" style="6" hidden="1" customWidth="1"/>
    <col min="93" max="93" width="3.33203125" style="3" hidden="1" customWidth="1"/>
    <col min="94" max="94" width="3.77734375" style="3" hidden="1" customWidth="1"/>
    <col min="95" max="95" width="8.77734375" style="6" hidden="1" customWidth="1"/>
    <col min="96" max="96" width="3.33203125" style="3" customWidth="1"/>
    <col min="97" max="97" width="3.77734375" style="3" customWidth="1"/>
    <col min="98" max="98" width="8.77734375" style="6" customWidth="1"/>
    <col min="99" max="99" width="3.33203125" style="3" customWidth="1"/>
    <col min="100" max="100" width="3.77734375" style="3" customWidth="1"/>
    <col min="101" max="101" width="8.77734375" style="6" customWidth="1"/>
    <col min="102" max="102" width="3.33203125" style="3" customWidth="1"/>
    <col min="103" max="103" width="3.77734375" style="3" customWidth="1"/>
    <col min="104" max="104" width="8.77734375" style="6" customWidth="1"/>
    <col min="105" max="105" width="3.33203125" style="3" customWidth="1"/>
    <col min="106" max="106" width="3.77734375" style="3" customWidth="1"/>
    <col min="107" max="107" width="8.77734375" style="6" customWidth="1"/>
    <col min="108" max="108" width="3.33203125" style="3" customWidth="1"/>
    <col min="109" max="109" width="11.77734375" style="8" customWidth="1"/>
    <col min="110" max="110" width="3.33203125" style="3" customWidth="1"/>
    <col min="111" max="111" width="11.77734375" style="8" customWidth="1"/>
    <col min="112" max="112" width="3.33203125" style="3" customWidth="1"/>
    <col min="113" max="113" width="11.77734375" style="8" customWidth="1"/>
    <col min="114" max="114" width="3.33203125" style="3" customWidth="1"/>
    <col min="115" max="115" width="11.77734375" style="8" customWidth="1"/>
    <col min="116" max="116" width="3.33203125" style="3" customWidth="1"/>
    <col min="117" max="117" width="13.77734375" style="10" customWidth="1"/>
    <col min="118" max="118" width="3.33203125" style="3" customWidth="1"/>
    <col min="119" max="119" width="13.77734375" style="5" customWidth="1"/>
    <col min="120" max="120" width="3.33203125" style="3" customWidth="1"/>
    <col min="121" max="121" width="13.77734375" style="10" customWidth="1"/>
    <col min="122" max="122" width="3.33203125" style="3" customWidth="1"/>
    <col min="123" max="123" width="7.88671875" style="8" customWidth="1"/>
    <col min="124" max="124" width="3.33203125" style="3" customWidth="1"/>
    <col min="125" max="125" width="7.88671875" style="8" customWidth="1"/>
    <col min="126" max="126" width="3.33203125" style="3" customWidth="1"/>
    <col min="127" max="127" width="13.77734375" style="8" customWidth="1"/>
    <col min="128" max="128" width="3.33203125" style="3" customWidth="1"/>
    <col min="129" max="129" width="13.77734375" style="8" customWidth="1"/>
    <col min="130" max="16384" width="9.109375" style="3"/>
  </cols>
  <sheetData>
    <row r="1" spans="1:129" s="50" customFormat="1" ht="18" customHeight="1" thickTop="1" thickBot="1" x14ac:dyDescent="0.35">
      <c r="A1" s="89" t="s">
        <v>0</v>
      </c>
      <c r="B1" s="60"/>
      <c r="C1" s="72" t="s">
        <v>1</v>
      </c>
      <c r="D1" s="90"/>
      <c r="E1" s="74" t="s">
        <v>2</v>
      </c>
      <c r="F1" s="90"/>
      <c r="G1" s="77" t="s">
        <v>3</v>
      </c>
      <c r="H1" s="91"/>
      <c r="I1" s="11" t="s">
        <v>4</v>
      </c>
      <c r="J1" s="90"/>
      <c r="K1" s="11" t="s">
        <v>5</v>
      </c>
      <c r="L1" s="90"/>
      <c r="M1" s="11" t="s">
        <v>6</v>
      </c>
      <c r="N1" s="90"/>
      <c r="O1" s="11" t="s">
        <v>7</v>
      </c>
      <c r="P1" s="90"/>
      <c r="Q1" s="11" t="s">
        <v>8</v>
      </c>
      <c r="R1" s="90"/>
      <c r="S1" s="11" t="s">
        <v>9</v>
      </c>
      <c r="T1" s="90"/>
      <c r="U1" s="11" t="s">
        <v>10</v>
      </c>
      <c r="V1" s="90"/>
      <c r="W1" s="11" t="s">
        <v>11</v>
      </c>
      <c r="X1" s="90"/>
      <c r="Y1" s="11" t="s">
        <v>12</v>
      </c>
      <c r="Z1" s="90"/>
      <c r="AA1" s="11" t="s">
        <v>13</v>
      </c>
      <c r="AB1" s="90"/>
      <c r="AC1" s="11" t="s">
        <v>14</v>
      </c>
      <c r="AD1" s="90"/>
      <c r="AE1" s="11" t="s">
        <v>58</v>
      </c>
      <c r="AF1" s="92"/>
      <c r="AG1" s="11" t="s">
        <v>59</v>
      </c>
      <c r="AH1" s="90"/>
      <c r="AI1" s="11" t="s">
        <v>60</v>
      </c>
      <c r="AJ1" s="92"/>
      <c r="AK1" s="11" t="s">
        <v>61</v>
      </c>
      <c r="AL1" s="90"/>
      <c r="AM1" s="11" t="s">
        <v>66</v>
      </c>
      <c r="AN1" s="92"/>
      <c r="AO1" s="11" t="s">
        <v>62</v>
      </c>
      <c r="AP1" s="92"/>
      <c r="AQ1" s="11" t="s">
        <v>63</v>
      </c>
      <c r="AR1" s="92"/>
      <c r="AS1" s="11" t="s">
        <v>64</v>
      </c>
      <c r="AT1" s="92"/>
      <c r="AU1" s="69" t="s">
        <v>65</v>
      </c>
      <c r="AV1" s="92"/>
      <c r="AW1" s="144" t="s">
        <v>80</v>
      </c>
      <c r="AX1" s="145"/>
      <c r="AY1" s="92"/>
      <c r="AZ1" s="144" t="s">
        <v>81</v>
      </c>
      <c r="BA1" s="145"/>
      <c r="BB1" s="92"/>
      <c r="BC1" s="144" t="s">
        <v>82</v>
      </c>
      <c r="BD1" s="145"/>
      <c r="BE1" s="92"/>
      <c r="BF1" s="144" t="s">
        <v>83</v>
      </c>
      <c r="BG1" s="145"/>
      <c r="BH1" s="92"/>
      <c r="BI1" s="144" t="s">
        <v>84</v>
      </c>
      <c r="BJ1" s="145"/>
      <c r="BK1" s="92"/>
      <c r="BL1" s="144" t="s">
        <v>85</v>
      </c>
      <c r="BM1" s="145"/>
      <c r="BN1" s="92"/>
      <c r="BO1" s="144" t="s">
        <v>86</v>
      </c>
      <c r="BP1" s="145"/>
      <c r="BQ1" s="92"/>
      <c r="BR1" s="144" t="s">
        <v>87</v>
      </c>
      <c r="BS1" s="145"/>
      <c r="BT1" s="92"/>
      <c r="BU1" s="144" t="s">
        <v>88</v>
      </c>
      <c r="BV1" s="145"/>
      <c r="BW1" s="92"/>
      <c r="BX1" s="142" t="s">
        <v>89</v>
      </c>
      <c r="BY1" s="143"/>
      <c r="BZ1" s="92"/>
      <c r="CA1" s="144" t="s">
        <v>90</v>
      </c>
      <c r="CB1" s="145"/>
      <c r="CC1" s="92"/>
      <c r="CD1" s="142" t="s">
        <v>91</v>
      </c>
      <c r="CE1" s="143"/>
      <c r="CF1" s="92"/>
      <c r="CG1" s="142" t="s">
        <v>92</v>
      </c>
      <c r="CH1" s="143"/>
      <c r="CI1" s="92"/>
      <c r="CJ1" s="142" t="s">
        <v>93</v>
      </c>
      <c r="CK1" s="143"/>
      <c r="CL1" s="92"/>
      <c r="CM1" s="142" t="s">
        <v>94</v>
      </c>
      <c r="CN1" s="143"/>
      <c r="CO1" s="92"/>
      <c r="CP1" s="142" t="s">
        <v>72</v>
      </c>
      <c r="CQ1" s="143"/>
      <c r="CR1" s="92"/>
      <c r="CS1" s="142" t="s">
        <v>62</v>
      </c>
      <c r="CT1" s="143"/>
      <c r="CU1" s="92"/>
      <c r="CV1" s="142" t="s">
        <v>63</v>
      </c>
      <c r="CW1" s="143"/>
      <c r="CX1" s="92"/>
      <c r="CY1" s="142" t="s">
        <v>64</v>
      </c>
      <c r="CZ1" s="143"/>
      <c r="DA1" s="92"/>
      <c r="DB1" s="142" t="s">
        <v>65</v>
      </c>
      <c r="DC1" s="143"/>
      <c r="DD1" s="92"/>
      <c r="DE1" s="69" t="s">
        <v>95</v>
      </c>
      <c r="DF1" s="92"/>
      <c r="DG1" s="11" t="s">
        <v>15</v>
      </c>
      <c r="DH1" s="92"/>
      <c r="DI1" s="11" t="s">
        <v>16</v>
      </c>
      <c r="DJ1" s="92"/>
      <c r="DK1" s="80" t="s">
        <v>96</v>
      </c>
      <c r="DL1" s="92"/>
      <c r="DM1" s="83" t="s">
        <v>17</v>
      </c>
      <c r="DN1" s="92"/>
      <c r="DO1" s="80" t="s">
        <v>97</v>
      </c>
      <c r="DP1" s="92"/>
      <c r="DQ1" s="83" t="s">
        <v>3</v>
      </c>
      <c r="DR1" s="92"/>
      <c r="DS1" s="146" t="s">
        <v>57</v>
      </c>
      <c r="DT1" s="146"/>
      <c r="DU1" s="146"/>
      <c r="DV1" s="146"/>
      <c r="DW1" s="146"/>
      <c r="DX1" s="146"/>
      <c r="DY1" s="146"/>
    </row>
    <row r="2" spans="1:129" ht="12" customHeight="1" thickTop="1" x14ac:dyDescent="0.3">
      <c r="A2" s="70" t="s">
        <v>18</v>
      </c>
      <c r="B2" s="29"/>
      <c r="C2" s="103"/>
      <c r="D2" s="30"/>
      <c r="E2" s="75">
        <v>54</v>
      </c>
      <c r="F2" s="30"/>
      <c r="G2" s="75">
        <v>62.1</v>
      </c>
      <c r="H2" s="5"/>
      <c r="I2" s="4"/>
      <c r="J2" s="5"/>
      <c r="K2" s="4"/>
      <c r="L2" s="5"/>
      <c r="M2" s="4"/>
      <c r="N2" s="5"/>
      <c r="O2" s="4"/>
      <c r="P2" s="5"/>
      <c r="Q2" s="4"/>
      <c r="R2" s="5"/>
      <c r="S2" s="4"/>
      <c r="T2" s="5"/>
      <c r="U2" s="4"/>
      <c r="V2" s="5"/>
      <c r="W2" s="4"/>
      <c r="X2" s="5"/>
      <c r="Y2" s="4"/>
      <c r="Z2" s="5"/>
      <c r="AA2" s="4"/>
      <c r="AB2" s="5"/>
      <c r="AC2" s="4"/>
      <c r="AD2" s="5"/>
      <c r="AE2" s="4"/>
      <c r="AG2" s="4"/>
      <c r="AH2" s="5"/>
      <c r="AI2" s="4"/>
      <c r="AJ2" s="5"/>
      <c r="AK2" s="4"/>
      <c r="AL2" s="5"/>
      <c r="AM2" s="4"/>
      <c r="AN2" s="5"/>
      <c r="AO2" s="4"/>
      <c r="AP2" s="5"/>
      <c r="AQ2" s="4"/>
      <c r="AR2" s="5"/>
      <c r="AS2" s="4"/>
      <c r="AT2" s="5"/>
      <c r="AU2" s="4"/>
      <c r="AV2" s="5"/>
      <c r="AW2" s="13">
        <f t="shared" ref="AW2:AW53" si="0">I2</f>
        <v>0</v>
      </c>
      <c r="AX2" s="14">
        <f t="shared" ref="AX2:AX53" si="1">AW2*G2</f>
        <v>0</v>
      </c>
      <c r="AY2" s="15"/>
      <c r="AZ2" s="13">
        <f t="shared" ref="AZ2:AZ53" si="2">K2</f>
        <v>0</v>
      </c>
      <c r="BA2" s="14">
        <f t="shared" ref="BA2:BA53" si="3">AZ2*G2</f>
        <v>0</v>
      </c>
      <c r="BB2" s="15"/>
      <c r="BC2" s="13">
        <f t="shared" ref="BC2:BC53" si="4">M2</f>
        <v>0</v>
      </c>
      <c r="BD2" s="14">
        <f t="shared" ref="BD2:BD53" si="5">BC2*G2</f>
        <v>0</v>
      </c>
      <c r="BE2" s="15"/>
      <c r="BF2" s="13">
        <f t="shared" ref="BF2:BF53" si="6">O2</f>
        <v>0</v>
      </c>
      <c r="BG2" s="14">
        <f t="shared" ref="BG2:BG53" si="7">BF2*G2</f>
        <v>0</v>
      </c>
      <c r="BH2" s="15"/>
      <c r="BI2" s="13">
        <f t="shared" ref="BI2:BI53" si="8">Q2</f>
        <v>0</v>
      </c>
      <c r="BJ2" s="14">
        <f t="shared" ref="BJ2:BJ53" si="9">BI2*G2</f>
        <v>0</v>
      </c>
      <c r="BK2" s="15"/>
      <c r="BL2" s="13">
        <f t="shared" ref="BL2:BL53" si="10">S2</f>
        <v>0</v>
      </c>
      <c r="BM2" s="14">
        <f t="shared" ref="BM2:BM53" si="11">BL2*G2</f>
        <v>0</v>
      </c>
      <c r="BN2" s="15"/>
      <c r="BO2" s="13">
        <f t="shared" ref="BO2:BO53" si="12">U2</f>
        <v>0</v>
      </c>
      <c r="BP2" s="14">
        <f t="shared" ref="BP2:BP53" si="13">BO2*G2</f>
        <v>0</v>
      </c>
      <c r="BQ2" s="15"/>
      <c r="BR2" s="13">
        <f t="shared" ref="BR2:BR53" si="14">W2</f>
        <v>0</v>
      </c>
      <c r="BS2" s="14">
        <f t="shared" ref="BS2:BS53" si="15">BR2*G2</f>
        <v>0</v>
      </c>
      <c r="BT2" s="15"/>
      <c r="BU2" s="13">
        <f t="shared" ref="BU2:BU53" si="16">Y2</f>
        <v>0</v>
      </c>
      <c r="BV2" s="14">
        <f t="shared" ref="BV2:BV53" si="17">BU2*G2</f>
        <v>0</v>
      </c>
      <c r="BW2" s="15"/>
      <c r="BX2" s="13">
        <f t="shared" ref="BX2:BX53" si="18">AA2</f>
        <v>0</v>
      </c>
      <c r="BY2" s="14">
        <f t="shared" ref="BY2:BY53" si="19">BX2*G2</f>
        <v>0</v>
      </c>
      <c r="BZ2" s="15"/>
      <c r="CA2" s="13">
        <f t="shared" ref="CA2:CA53" si="20">AC2</f>
        <v>0</v>
      </c>
      <c r="CB2" s="14">
        <f t="shared" ref="CB2:CB53" si="21">CA2*G2</f>
        <v>0</v>
      </c>
      <c r="CC2" s="15"/>
      <c r="CD2" s="13">
        <f t="shared" ref="CD2:CD53" si="22">AE2</f>
        <v>0</v>
      </c>
      <c r="CE2" s="14">
        <f t="shared" ref="CE2:CE53" si="23">CD2*G2</f>
        <v>0</v>
      </c>
      <c r="CF2" s="15"/>
      <c r="CG2" s="18">
        <f t="shared" ref="CG2:CG53" si="24">AG2</f>
        <v>0</v>
      </c>
      <c r="CH2" s="14">
        <f>CG2*JJ2</f>
        <v>0</v>
      </c>
      <c r="CI2" s="15"/>
      <c r="CJ2" s="18">
        <f t="shared" ref="CJ2:CJ53" si="25">AI2</f>
        <v>0</v>
      </c>
      <c r="CK2" s="14">
        <f t="shared" ref="CK2:CK53" si="26">CJ2*G2</f>
        <v>0</v>
      </c>
      <c r="CL2" s="15"/>
      <c r="CM2" s="18">
        <f t="shared" ref="CM2:CM53" si="27">AK2</f>
        <v>0</v>
      </c>
      <c r="CN2" s="14">
        <f t="shared" ref="CN2:CN53" si="28">CM2*G2</f>
        <v>0</v>
      </c>
      <c r="CO2" s="15"/>
      <c r="CP2" s="18">
        <f t="shared" ref="CP2:CP53" si="29">AM2</f>
        <v>0</v>
      </c>
      <c r="CQ2" s="14">
        <f t="shared" ref="CQ2:CQ53" si="30">CP2*G2</f>
        <v>0</v>
      </c>
      <c r="CR2" s="15"/>
      <c r="CS2" s="18">
        <f t="shared" ref="CS2:CS53" si="31">AO2</f>
        <v>0</v>
      </c>
      <c r="CT2" s="14">
        <f t="shared" ref="CT2:CT53" si="32">CS2*G2</f>
        <v>0</v>
      </c>
      <c r="CU2" s="15"/>
      <c r="CV2" s="13">
        <f t="shared" ref="CV2:CV53" si="33">AQ2</f>
        <v>0</v>
      </c>
      <c r="CW2" s="14">
        <f t="shared" ref="CW2:CW53" si="34">CV2*G2</f>
        <v>0</v>
      </c>
      <c r="CX2" s="15"/>
      <c r="CY2" s="13">
        <f t="shared" ref="CY2:CY53" si="35">AS2</f>
        <v>0</v>
      </c>
      <c r="CZ2" s="14">
        <f t="shared" ref="CZ2:CZ53" si="36">CY2*G2</f>
        <v>0</v>
      </c>
      <c r="DA2" s="15"/>
      <c r="DB2" s="13">
        <f t="shared" ref="DB2:DB53" si="37">AU2</f>
        <v>0</v>
      </c>
      <c r="DC2" s="14">
        <f t="shared" ref="DC2:DC53" si="38">DB2*G2</f>
        <v>0</v>
      </c>
      <c r="DD2" s="5"/>
      <c r="DE2" s="102">
        <v>177</v>
      </c>
      <c r="DF2" s="29"/>
      <c r="DG2" s="78">
        <f t="shared" ref="DG2:DG53" si="39">C2</f>
        <v>0</v>
      </c>
      <c r="DH2" s="29"/>
      <c r="DI2" s="78">
        <f t="shared" ref="DI2:DI53" si="40">SUM(I2:AV2)</f>
        <v>0</v>
      </c>
      <c r="DJ2" s="29"/>
      <c r="DK2" s="81">
        <f t="shared" ref="DK2:DK53" si="41">DE2+DG2-DI2</f>
        <v>177</v>
      </c>
      <c r="DL2" s="29"/>
      <c r="DM2" s="100">
        <f t="shared" ref="DM2:DM53" si="42">E2*DK2</f>
        <v>9558</v>
      </c>
      <c r="DN2" s="29"/>
      <c r="DO2" s="101" t="e">
        <f t="shared" ref="DO2:DO53" si="43">DK2/DI2</f>
        <v>#DIV/0!</v>
      </c>
      <c r="DP2" s="29"/>
      <c r="DQ2" s="100">
        <f t="shared" ref="DQ2:DQ53" si="44">G2*DK2</f>
        <v>10991.7</v>
      </c>
      <c r="DR2" s="29"/>
      <c r="DS2" s="147"/>
      <c r="DT2" s="147"/>
      <c r="DU2" s="147"/>
      <c r="DV2" s="147"/>
      <c r="DW2" s="147"/>
      <c r="DX2" s="147"/>
      <c r="DY2" s="147"/>
    </row>
    <row r="3" spans="1:129" ht="12" customHeight="1" thickBot="1" x14ac:dyDescent="0.35">
      <c r="A3" s="71" t="s">
        <v>19</v>
      </c>
      <c r="B3" s="32"/>
      <c r="C3" s="73"/>
      <c r="D3" s="34"/>
      <c r="E3" s="76">
        <v>36.93</v>
      </c>
      <c r="F3" s="34"/>
      <c r="G3" s="76">
        <v>42.47</v>
      </c>
      <c r="I3" s="7"/>
      <c r="J3" s="2"/>
      <c r="K3" s="7"/>
      <c r="L3" s="2"/>
      <c r="M3" s="7"/>
      <c r="N3" s="2"/>
      <c r="O3" s="7"/>
      <c r="P3" s="2"/>
      <c r="Q3" s="7"/>
      <c r="R3" s="2"/>
      <c r="S3" s="7"/>
      <c r="T3" s="2"/>
      <c r="U3" s="7"/>
      <c r="V3" s="2"/>
      <c r="W3" s="7"/>
      <c r="X3" s="2"/>
      <c r="Y3" s="7"/>
      <c r="Z3" s="2"/>
      <c r="AA3" s="7"/>
      <c r="AB3" s="2"/>
      <c r="AC3" s="7"/>
      <c r="AD3" s="2"/>
      <c r="AE3" s="7"/>
      <c r="AF3" s="1"/>
      <c r="AG3" s="7"/>
      <c r="AH3" s="2"/>
      <c r="AI3" s="7"/>
      <c r="AJ3" s="2"/>
      <c r="AK3" s="7"/>
      <c r="AL3" s="2"/>
      <c r="AM3" s="7"/>
      <c r="AN3" s="2"/>
      <c r="AO3" s="7"/>
      <c r="AP3" s="2"/>
      <c r="AQ3" s="7"/>
      <c r="AR3" s="2"/>
      <c r="AS3" s="7"/>
      <c r="AT3" s="2"/>
      <c r="AU3" s="7"/>
      <c r="AV3" s="2"/>
      <c r="AW3" s="13">
        <f t="shared" si="0"/>
        <v>0</v>
      </c>
      <c r="AX3" s="16">
        <f t="shared" si="1"/>
        <v>0</v>
      </c>
      <c r="AY3" s="17"/>
      <c r="AZ3" s="13">
        <f t="shared" si="2"/>
        <v>0</v>
      </c>
      <c r="BA3" s="16">
        <f t="shared" si="3"/>
        <v>0</v>
      </c>
      <c r="BB3" s="17"/>
      <c r="BC3" s="13">
        <f t="shared" si="4"/>
        <v>0</v>
      </c>
      <c r="BD3" s="16">
        <f t="shared" si="5"/>
        <v>0</v>
      </c>
      <c r="BE3" s="17"/>
      <c r="BF3" s="13">
        <f t="shared" si="6"/>
        <v>0</v>
      </c>
      <c r="BG3" s="16">
        <f t="shared" si="7"/>
        <v>0</v>
      </c>
      <c r="BH3" s="17"/>
      <c r="BI3" s="13">
        <f t="shared" si="8"/>
        <v>0</v>
      </c>
      <c r="BJ3" s="16">
        <f t="shared" si="9"/>
        <v>0</v>
      </c>
      <c r="BK3" s="17"/>
      <c r="BL3" s="13">
        <f t="shared" si="10"/>
        <v>0</v>
      </c>
      <c r="BM3" s="16">
        <f t="shared" si="11"/>
        <v>0</v>
      </c>
      <c r="BN3" s="17"/>
      <c r="BO3" s="13">
        <f t="shared" si="12"/>
        <v>0</v>
      </c>
      <c r="BP3" s="16">
        <f t="shared" si="13"/>
        <v>0</v>
      </c>
      <c r="BQ3" s="17"/>
      <c r="BR3" s="13">
        <f t="shared" si="14"/>
        <v>0</v>
      </c>
      <c r="BS3" s="16">
        <f t="shared" si="15"/>
        <v>0</v>
      </c>
      <c r="BT3" s="17"/>
      <c r="BU3" s="13">
        <f t="shared" si="16"/>
        <v>0</v>
      </c>
      <c r="BV3" s="16">
        <f t="shared" si="17"/>
        <v>0</v>
      </c>
      <c r="BW3" s="17"/>
      <c r="BX3" s="13">
        <f t="shared" si="18"/>
        <v>0</v>
      </c>
      <c r="BY3" s="16">
        <f t="shared" si="19"/>
        <v>0</v>
      </c>
      <c r="BZ3" s="17"/>
      <c r="CA3" s="13">
        <f t="shared" si="20"/>
        <v>0</v>
      </c>
      <c r="CB3" s="16">
        <f t="shared" si="21"/>
        <v>0</v>
      </c>
      <c r="CC3" s="17"/>
      <c r="CD3" s="13">
        <f t="shared" si="22"/>
        <v>0</v>
      </c>
      <c r="CE3" s="16">
        <f t="shared" si="23"/>
        <v>0</v>
      </c>
      <c r="CF3" s="17"/>
      <c r="CG3" s="18">
        <f t="shared" si="24"/>
        <v>0</v>
      </c>
      <c r="CH3" s="16">
        <f t="shared" ref="CH3:CH53" si="45">CG3*G3</f>
        <v>0</v>
      </c>
      <c r="CI3" s="17"/>
      <c r="CJ3" s="18">
        <f t="shared" si="25"/>
        <v>0</v>
      </c>
      <c r="CK3" s="16">
        <f t="shared" si="26"/>
        <v>0</v>
      </c>
      <c r="CL3" s="17"/>
      <c r="CM3" s="18">
        <f t="shared" si="27"/>
        <v>0</v>
      </c>
      <c r="CN3" s="16">
        <f t="shared" si="28"/>
        <v>0</v>
      </c>
      <c r="CO3" s="17"/>
      <c r="CP3" s="18">
        <f t="shared" si="29"/>
        <v>0</v>
      </c>
      <c r="CQ3" s="16">
        <f t="shared" si="30"/>
        <v>0</v>
      </c>
      <c r="CR3" s="17"/>
      <c r="CS3" s="18">
        <f t="shared" si="31"/>
        <v>0</v>
      </c>
      <c r="CT3" s="16">
        <f t="shared" si="32"/>
        <v>0</v>
      </c>
      <c r="CU3" s="17"/>
      <c r="CV3" s="13">
        <f t="shared" si="33"/>
        <v>0</v>
      </c>
      <c r="CW3" s="16">
        <f t="shared" si="34"/>
        <v>0</v>
      </c>
      <c r="CX3" s="17"/>
      <c r="CY3" s="13">
        <f t="shared" si="35"/>
        <v>0</v>
      </c>
      <c r="CZ3" s="16">
        <f t="shared" si="36"/>
        <v>0</v>
      </c>
      <c r="DA3" s="17"/>
      <c r="DB3" s="13">
        <f t="shared" si="37"/>
        <v>0</v>
      </c>
      <c r="DC3" s="16">
        <f t="shared" si="38"/>
        <v>0</v>
      </c>
      <c r="DD3" s="2"/>
      <c r="DE3" s="99">
        <v>178</v>
      </c>
      <c r="DF3" s="49"/>
      <c r="DG3" s="79">
        <f t="shared" si="39"/>
        <v>0</v>
      </c>
      <c r="DH3" s="49"/>
      <c r="DI3" s="79">
        <f t="shared" si="40"/>
        <v>0</v>
      </c>
      <c r="DJ3" s="49"/>
      <c r="DK3" s="82">
        <f t="shared" si="41"/>
        <v>178</v>
      </c>
      <c r="DL3" s="49"/>
      <c r="DM3" s="84">
        <f t="shared" si="42"/>
        <v>6573.54</v>
      </c>
      <c r="DN3" s="49"/>
      <c r="DO3" s="85" t="e">
        <f t="shared" si="43"/>
        <v>#DIV/0!</v>
      </c>
      <c r="DP3" s="49"/>
      <c r="DQ3" s="84">
        <f t="shared" si="44"/>
        <v>7559.66</v>
      </c>
      <c r="DR3" s="49"/>
      <c r="DS3" s="148"/>
      <c r="DT3" s="148"/>
      <c r="DU3" s="148"/>
      <c r="DV3" s="148"/>
      <c r="DW3" s="148"/>
      <c r="DX3" s="148"/>
      <c r="DY3" s="148"/>
    </row>
    <row r="4" spans="1:129" ht="12" customHeight="1" thickTop="1" x14ac:dyDescent="0.3">
      <c r="A4" s="31" t="s">
        <v>20</v>
      </c>
      <c r="B4" s="32"/>
      <c r="C4" s="52"/>
      <c r="D4" s="34"/>
      <c r="E4" s="35">
        <v>29.95</v>
      </c>
      <c r="F4" s="34"/>
      <c r="G4" s="33">
        <v>35.94</v>
      </c>
      <c r="I4" s="26">
        <v>2</v>
      </c>
      <c r="J4" s="27"/>
      <c r="K4" s="28">
        <v>3</v>
      </c>
      <c r="L4" s="12"/>
      <c r="M4" s="26">
        <v>1</v>
      </c>
      <c r="N4" s="12"/>
      <c r="O4" s="28">
        <v>3</v>
      </c>
      <c r="P4" s="12"/>
      <c r="Q4" s="26">
        <v>2</v>
      </c>
      <c r="R4" s="12"/>
      <c r="S4" s="28">
        <v>1</v>
      </c>
      <c r="T4" s="12"/>
      <c r="U4" s="26">
        <v>1</v>
      </c>
      <c r="V4" s="12"/>
      <c r="W4" s="28">
        <v>3</v>
      </c>
      <c r="X4" s="12"/>
      <c r="Y4" s="26">
        <v>2</v>
      </c>
      <c r="Z4" s="12"/>
      <c r="AA4" s="28">
        <v>1</v>
      </c>
      <c r="AB4" s="12"/>
      <c r="AC4" s="26">
        <v>2</v>
      </c>
      <c r="AD4" s="12"/>
      <c r="AE4" s="28"/>
      <c r="AF4" s="12"/>
      <c r="AG4" s="26"/>
      <c r="AH4" s="12"/>
      <c r="AI4" s="28"/>
      <c r="AJ4" s="12"/>
      <c r="AK4" s="26"/>
      <c r="AL4" s="12"/>
      <c r="AM4" s="28"/>
      <c r="AN4" s="12"/>
      <c r="AO4" s="26"/>
      <c r="AP4" s="12"/>
      <c r="AQ4" s="28"/>
      <c r="AR4" s="12"/>
      <c r="AS4" s="26"/>
      <c r="AT4" s="12"/>
      <c r="AU4" s="28"/>
      <c r="AW4" s="18">
        <f t="shared" si="0"/>
        <v>2</v>
      </c>
      <c r="AX4" s="19">
        <f t="shared" si="1"/>
        <v>71.88</v>
      </c>
      <c r="AY4" s="20"/>
      <c r="AZ4" s="18">
        <f t="shared" si="2"/>
        <v>3</v>
      </c>
      <c r="BA4" s="21">
        <f t="shared" si="3"/>
        <v>107.82</v>
      </c>
      <c r="BB4" s="20"/>
      <c r="BC4" s="18">
        <f t="shared" si="4"/>
        <v>1</v>
      </c>
      <c r="BD4" s="19">
        <f t="shared" si="5"/>
        <v>35.94</v>
      </c>
      <c r="BE4" s="20"/>
      <c r="BF4" s="18">
        <f t="shared" si="6"/>
        <v>3</v>
      </c>
      <c r="BG4" s="21">
        <f t="shared" si="7"/>
        <v>107.82</v>
      </c>
      <c r="BH4" s="20"/>
      <c r="BI4" s="18">
        <f t="shared" si="8"/>
        <v>2</v>
      </c>
      <c r="BJ4" s="19">
        <f t="shared" si="9"/>
        <v>71.88</v>
      </c>
      <c r="BK4" s="20"/>
      <c r="BL4" s="18">
        <f t="shared" si="10"/>
        <v>1</v>
      </c>
      <c r="BM4" s="21">
        <f t="shared" si="11"/>
        <v>35.94</v>
      </c>
      <c r="BN4" s="20"/>
      <c r="BO4" s="18">
        <f t="shared" si="12"/>
        <v>1</v>
      </c>
      <c r="BP4" s="19">
        <f t="shared" si="13"/>
        <v>35.94</v>
      </c>
      <c r="BQ4" s="20"/>
      <c r="BR4" s="18">
        <f t="shared" si="14"/>
        <v>3</v>
      </c>
      <c r="BS4" s="21">
        <f t="shared" si="15"/>
        <v>107.82</v>
      </c>
      <c r="BT4" s="20"/>
      <c r="BU4" s="18">
        <f t="shared" si="16"/>
        <v>2</v>
      </c>
      <c r="BV4" s="19">
        <f t="shared" si="17"/>
        <v>71.88</v>
      </c>
      <c r="BW4" s="20"/>
      <c r="BX4" s="18">
        <f t="shared" si="18"/>
        <v>1</v>
      </c>
      <c r="BY4" s="21">
        <f t="shared" si="19"/>
        <v>35.94</v>
      </c>
      <c r="BZ4" s="20"/>
      <c r="CA4" s="18">
        <f t="shared" si="20"/>
        <v>2</v>
      </c>
      <c r="CB4" s="19">
        <f t="shared" si="21"/>
        <v>71.88</v>
      </c>
      <c r="CC4" s="20"/>
      <c r="CD4" s="18">
        <f t="shared" si="22"/>
        <v>0</v>
      </c>
      <c r="CE4" s="21">
        <f t="shared" si="23"/>
        <v>0</v>
      </c>
      <c r="CF4" s="20"/>
      <c r="CG4" s="18">
        <f t="shared" si="24"/>
        <v>0</v>
      </c>
      <c r="CH4" s="21">
        <f t="shared" si="45"/>
        <v>0</v>
      </c>
      <c r="CI4" s="20"/>
      <c r="CJ4" s="18">
        <f t="shared" si="25"/>
        <v>0</v>
      </c>
      <c r="CK4" s="21">
        <f t="shared" si="26"/>
        <v>0</v>
      </c>
      <c r="CL4" s="20"/>
      <c r="CM4" s="18">
        <f t="shared" si="27"/>
        <v>0</v>
      </c>
      <c r="CN4" s="21">
        <f t="shared" si="28"/>
        <v>0</v>
      </c>
      <c r="CO4" s="20"/>
      <c r="CP4" s="18">
        <f t="shared" si="29"/>
        <v>0</v>
      </c>
      <c r="CQ4" s="21">
        <f t="shared" si="30"/>
        <v>0</v>
      </c>
      <c r="CR4" s="20"/>
      <c r="CS4" s="18">
        <f t="shared" si="31"/>
        <v>0</v>
      </c>
      <c r="CT4" s="19">
        <f t="shared" si="32"/>
        <v>0</v>
      </c>
      <c r="CU4" s="20"/>
      <c r="CV4" s="18">
        <f t="shared" si="33"/>
        <v>0</v>
      </c>
      <c r="CW4" s="21">
        <f t="shared" si="34"/>
        <v>0</v>
      </c>
      <c r="CX4" s="20"/>
      <c r="CY4" s="18">
        <f t="shared" si="35"/>
        <v>0</v>
      </c>
      <c r="CZ4" s="19">
        <f t="shared" si="36"/>
        <v>0</v>
      </c>
      <c r="DA4" s="20"/>
      <c r="DB4" s="18">
        <f t="shared" si="37"/>
        <v>0</v>
      </c>
      <c r="DC4" s="21">
        <f t="shared" si="38"/>
        <v>0</v>
      </c>
      <c r="DE4" s="98">
        <v>769</v>
      </c>
      <c r="DF4" s="32"/>
      <c r="DG4" s="61">
        <f t="shared" si="39"/>
        <v>0</v>
      </c>
      <c r="DH4" s="32"/>
      <c r="DI4" s="59">
        <f t="shared" si="40"/>
        <v>21</v>
      </c>
      <c r="DJ4" s="32"/>
      <c r="DK4" s="59">
        <f t="shared" si="41"/>
        <v>748</v>
      </c>
      <c r="DL4" s="32"/>
      <c r="DM4" s="96">
        <f t="shared" si="42"/>
        <v>22402.6</v>
      </c>
      <c r="DN4" s="32"/>
      <c r="DO4" s="62">
        <f t="shared" si="43"/>
        <v>35.61904761904762</v>
      </c>
      <c r="DP4" s="32"/>
      <c r="DQ4" s="96">
        <f t="shared" si="44"/>
        <v>26883.119999999999</v>
      </c>
      <c r="DR4" s="32"/>
      <c r="DS4" s="61"/>
      <c r="DT4" s="32"/>
      <c r="DU4" s="63">
        <v>0</v>
      </c>
      <c r="DV4" s="32"/>
      <c r="DW4" s="64">
        <f t="shared" ref="DW4:DW53" si="46">DU4*1.2</f>
        <v>0</v>
      </c>
      <c r="DX4" s="32"/>
      <c r="DY4" s="63">
        <f t="shared" ref="DY4:DY53" si="47">DU4*DS4</f>
        <v>0</v>
      </c>
    </row>
    <row r="5" spans="1:129" ht="12" customHeight="1" x14ac:dyDescent="0.3">
      <c r="A5" s="36" t="s">
        <v>67</v>
      </c>
      <c r="B5" s="32"/>
      <c r="C5" s="51"/>
      <c r="D5" s="34"/>
      <c r="E5" s="35">
        <v>23</v>
      </c>
      <c r="F5" s="34"/>
      <c r="G5" s="33">
        <v>27.6</v>
      </c>
      <c r="I5" s="26">
        <v>2</v>
      </c>
      <c r="J5" s="27"/>
      <c r="K5" s="28">
        <v>6</v>
      </c>
      <c r="L5" s="12"/>
      <c r="M5" s="26">
        <v>5</v>
      </c>
      <c r="N5" s="12"/>
      <c r="O5" s="28">
        <v>5</v>
      </c>
      <c r="P5" s="12"/>
      <c r="Q5" s="26">
        <v>3</v>
      </c>
      <c r="R5" s="12"/>
      <c r="S5" s="28">
        <v>3</v>
      </c>
      <c r="T5" s="12"/>
      <c r="U5" s="26">
        <v>4</v>
      </c>
      <c r="V5" s="12"/>
      <c r="W5" s="28">
        <v>6</v>
      </c>
      <c r="X5" s="12"/>
      <c r="Y5" s="26">
        <v>3</v>
      </c>
      <c r="Z5" s="12"/>
      <c r="AA5" s="28">
        <v>2</v>
      </c>
      <c r="AB5" s="12"/>
      <c r="AC5" s="26">
        <v>2</v>
      </c>
      <c r="AD5" s="12"/>
      <c r="AE5" s="28"/>
      <c r="AF5" s="12"/>
      <c r="AG5" s="26"/>
      <c r="AH5" s="12"/>
      <c r="AI5" s="28"/>
      <c r="AJ5" s="12"/>
      <c r="AK5" s="26"/>
      <c r="AL5" s="12"/>
      <c r="AM5" s="28"/>
      <c r="AN5" s="12"/>
      <c r="AO5" s="26"/>
      <c r="AP5" s="12"/>
      <c r="AQ5" s="28"/>
      <c r="AR5" s="12"/>
      <c r="AS5" s="26"/>
      <c r="AT5" s="12"/>
      <c r="AU5" s="28"/>
      <c r="AW5" s="18">
        <f t="shared" si="0"/>
        <v>2</v>
      </c>
      <c r="AX5" s="19">
        <f t="shared" si="1"/>
        <v>55.2</v>
      </c>
      <c r="AY5" s="20"/>
      <c r="AZ5" s="13">
        <f t="shared" si="2"/>
        <v>6</v>
      </c>
      <c r="BA5" s="21">
        <f t="shared" si="3"/>
        <v>165.60000000000002</v>
      </c>
      <c r="BB5" s="20"/>
      <c r="BC5" s="13">
        <f t="shared" si="4"/>
        <v>5</v>
      </c>
      <c r="BD5" s="19">
        <f t="shared" si="5"/>
        <v>138</v>
      </c>
      <c r="BE5" s="20"/>
      <c r="BF5" s="13">
        <f t="shared" si="6"/>
        <v>5</v>
      </c>
      <c r="BG5" s="21">
        <f t="shared" si="7"/>
        <v>138</v>
      </c>
      <c r="BH5" s="20"/>
      <c r="BI5" s="13">
        <f t="shared" si="8"/>
        <v>3</v>
      </c>
      <c r="BJ5" s="19">
        <f t="shared" si="9"/>
        <v>82.800000000000011</v>
      </c>
      <c r="BK5" s="20"/>
      <c r="BL5" s="13">
        <f t="shared" si="10"/>
        <v>3</v>
      </c>
      <c r="BM5" s="21">
        <f t="shared" si="11"/>
        <v>82.800000000000011</v>
      </c>
      <c r="BN5" s="20"/>
      <c r="BO5" s="13">
        <f t="shared" si="12"/>
        <v>4</v>
      </c>
      <c r="BP5" s="19">
        <f t="shared" si="13"/>
        <v>110.4</v>
      </c>
      <c r="BQ5" s="20"/>
      <c r="BR5" s="13">
        <f t="shared" si="14"/>
        <v>6</v>
      </c>
      <c r="BS5" s="21">
        <f t="shared" si="15"/>
        <v>165.60000000000002</v>
      </c>
      <c r="BT5" s="20"/>
      <c r="BU5" s="13">
        <f t="shared" si="16"/>
        <v>3</v>
      </c>
      <c r="BV5" s="19">
        <f t="shared" si="17"/>
        <v>82.800000000000011</v>
      </c>
      <c r="BW5" s="20"/>
      <c r="BX5" s="13">
        <f t="shared" si="18"/>
        <v>2</v>
      </c>
      <c r="BY5" s="21">
        <f t="shared" si="19"/>
        <v>55.2</v>
      </c>
      <c r="BZ5" s="20"/>
      <c r="CA5" s="13">
        <f t="shared" si="20"/>
        <v>2</v>
      </c>
      <c r="CB5" s="19">
        <f t="shared" si="21"/>
        <v>55.2</v>
      </c>
      <c r="CC5" s="20"/>
      <c r="CD5" s="13">
        <f t="shared" si="22"/>
        <v>0</v>
      </c>
      <c r="CE5" s="21">
        <f t="shared" si="23"/>
        <v>0</v>
      </c>
      <c r="CF5" s="20"/>
      <c r="CG5" s="18">
        <f t="shared" si="24"/>
        <v>0</v>
      </c>
      <c r="CH5" s="21">
        <f t="shared" si="45"/>
        <v>0</v>
      </c>
      <c r="CI5" s="20"/>
      <c r="CJ5" s="18">
        <f t="shared" si="25"/>
        <v>0</v>
      </c>
      <c r="CK5" s="21">
        <f t="shared" si="26"/>
        <v>0</v>
      </c>
      <c r="CL5" s="20"/>
      <c r="CM5" s="18">
        <f t="shared" si="27"/>
        <v>0</v>
      </c>
      <c r="CN5" s="21">
        <f t="shared" si="28"/>
        <v>0</v>
      </c>
      <c r="CO5" s="20"/>
      <c r="CP5" s="18">
        <f t="shared" si="29"/>
        <v>0</v>
      </c>
      <c r="CQ5" s="21">
        <f t="shared" si="30"/>
        <v>0</v>
      </c>
      <c r="CR5" s="20"/>
      <c r="CS5" s="18">
        <f t="shared" si="31"/>
        <v>0</v>
      </c>
      <c r="CT5" s="19">
        <f t="shared" si="32"/>
        <v>0</v>
      </c>
      <c r="CU5" s="20"/>
      <c r="CV5" s="13">
        <f t="shared" si="33"/>
        <v>0</v>
      </c>
      <c r="CW5" s="21">
        <f t="shared" si="34"/>
        <v>0</v>
      </c>
      <c r="CX5" s="20"/>
      <c r="CY5" s="13">
        <f t="shared" si="35"/>
        <v>0</v>
      </c>
      <c r="CZ5" s="19">
        <f t="shared" si="36"/>
        <v>0</v>
      </c>
      <c r="DA5" s="20"/>
      <c r="DB5" s="13">
        <f t="shared" si="37"/>
        <v>0</v>
      </c>
      <c r="DC5" s="21">
        <f t="shared" si="38"/>
        <v>0</v>
      </c>
      <c r="DE5" s="97">
        <v>734</v>
      </c>
      <c r="DF5" s="32"/>
      <c r="DG5" s="61">
        <f t="shared" si="39"/>
        <v>0</v>
      </c>
      <c r="DH5" s="32"/>
      <c r="DI5" s="59">
        <f t="shared" si="40"/>
        <v>41</v>
      </c>
      <c r="DJ5" s="32"/>
      <c r="DK5" s="59">
        <f t="shared" si="41"/>
        <v>693</v>
      </c>
      <c r="DL5" s="32"/>
      <c r="DM5" s="96">
        <f t="shared" si="42"/>
        <v>15939</v>
      </c>
      <c r="DN5" s="32"/>
      <c r="DO5" s="62">
        <f t="shared" si="43"/>
        <v>16.902439024390244</v>
      </c>
      <c r="DP5" s="32"/>
      <c r="DQ5" s="96">
        <f t="shared" si="44"/>
        <v>19126.8</v>
      </c>
      <c r="DR5" s="32"/>
      <c r="DS5" s="61">
        <v>600</v>
      </c>
      <c r="DT5" s="32"/>
      <c r="DU5" s="63">
        <v>28.75</v>
      </c>
      <c r="DV5" s="32"/>
      <c r="DW5" s="64">
        <f t="shared" si="46"/>
        <v>34.5</v>
      </c>
      <c r="DX5" s="32"/>
      <c r="DY5" s="63">
        <f t="shared" si="47"/>
        <v>17250</v>
      </c>
    </row>
    <row r="6" spans="1:129" ht="12" customHeight="1" x14ac:dyDescent="0.3">
      <c r="A6" s="37" t="s">
        <v>21</v>
      </c>
      <c r="B6" s="32"/>
      <c r="C6" s="51"/>
      <c r="D6" s="34"/>
      <c r="E6" s="35">
        <v>38.950000000000003</v>
      </c>
      <c r="F6" s="34"/>
      <c r="G6" s="33">
        <v>46.74</v>
      </c>
      <c r="I6" s="26">
        <v>1</v>
      </c>
      <c r="J6" s="27"/>
      <c r="K6" s="28">
        <v>1</v>
      </c>
      <c r="L6" s="12"/>
      <c r="M6" s="26">
        <v>2</v>
      </c>
      <c r="N6" s="12"/>
      <c r="O6" s="28">
        <v>2</v>
      </c>
      <c r="P6" s="12"/>
      <c r="Q6" s="26">
        <v>1</v>
      </c>
      <c r="R6" s="12"/>
      <c r="S6" s="28">
        <v>1</v>
      </c>
      <c r="T6" s="12"/>
      <c r="U6" s="26">
        <v>1</v>
      </c>
      <c r="V6" s="12"/>
      <c r="W6" s="28">
        <v>1</v>
      </c>
      <c r="X6" s="12"/>
      <c r="Y6" s="26">
        <v>1</v>
      </c>
      <c r="Z6" s="12"/>
      <c r="AA6" s="28">
        <v>1</v>
      </c>
      <c r="AB6" s="12"/>
      <c r="AC6" s="26">
        <v>1</v>
      </c>
      <c r="AD6" s="12"/>
      <c r="AE6" s="28"/>
      <c r="AF6" s="12"/>
      <c r="AG6" s="26"/>
      <c r="AH6" s="12"/>
      <c r="AI6" s="28"/>
      <c r="AJ6" s="12"/>
      <c r="AK6" s="26"/>
      <c r="AL6" s="12"/>
      <c r="AM6" s="28"/>
      <c r="AN6" s="12"/>
      <c r="AO6" s="26"/>
      <c r="AP6" s="12"/>
      <c r="AQ6" s="28"/>
      <c r="AR6" s="12"/>
      <c r="AS6" s="26"/>
      <c r="AT6" s="12"/>
      <c r="AU6" s="28"/>
      <c r="AW6" s="18">
        <f t="shared" si="0"/>
        <v>1</v>
      </c>
      <c r="AX6" s="19">
        <f t="shared" si="1"/>
        <v>46.74</v>
      </c>
      <c r="AY6" s="20"/>
      <c r="AZ6" s="13">
        <f t="shared" si="2"/>
        <v>1</v>
      </c>
      <c r="BA6" s="21">
        <f t="shared" si="3"/>
        <v>46.74</v>
      </c>
      <c r="BB6" s="20"/>
      <c r="BC6" s="13">
        <f t="shared" si="4"/>
        <v>2</v>
      </c>
      <c r="BD6" s="19">
        <f t="shared" si="5"/>
        <v>93.48</v>
      </c>
      <c r="BE6" s="20"/>
      <c r="BF6" s="13">
        <f t="shared" si="6"/>
        <v>2</v>
      </c>
      <c r="BG6" s="21">
        <f t="shared" si="7"/>
        <v>93.48</v>
      </c>
      <c r="BH6" s="20"/>
      <c r="BI6" s="13">
        <f t="shared" si="8"/>
        <v>1</v>
      </c>
      <c r="BJ6" s="19">
        <f t="shared" si="9"/>
        <v>46.74</v>
      </c>
      <c r="BK6" s="20"/>
      <c r="BL6" s="13">
        <f t="shared" si="10"/>
        <v>1</v>
      </c>
      <c r="BM6" s="21">
        <f t="shared" si="11"/>
        <v>46.74</v>
      </c>
      <c r="BN6" s="20"/>
      <c r="BO6" s="13">
        <f t="shared" si="12"/>
        <v>1</v>
      </c>
      <c r="BP6" s="19">
        <f t="shared" si="13"/>
        <v>46.74</v>
      </c>
      <c r="BQ6" s="20"/>
      <c r="BR6" s="13">
        <f t="shared" si="14"/>
        <v>1</v>
      </c>
      <c r="BS6" s="21">
        <f t="shared" si="15"/>
        <v>46.74</v>
      </c>
      <c r="BT6" s="20"/>
      <c r="BU6" s="13">
        <f t="shared" si="16"/>
        <v>1</v>
      </c>
      <c r="BV6" s="19">
        <f t="shared" si="17"/>
        <v>46.74</v>
      </c>
      <c r="BW6" s="20"/>
      <c r="BX6" s="13">
        <f t="shared" si="18"/>
        <v>1</v>
      </c>
      <c r="BY6" s="21">
        <f t="shared" si="19"/>
        <v>46.74</v>
      </c>
      <c r="BZ6" s="20"/>
      <c r="CA6" s="13">
        <f t="shared" si="20"/>
        <v>1</v>
      </c>
      <c r="CB6" s="19">
        <f t="shared" si="21"/>
        <v>46.74</v>
      </c>
      <c r="CC6" s="20"/>
      <c r="CD6" s="13">
        <f t="shared" si="22"/>
        <v>0</v>
      </c>
      <c r="CE6" s="21">
        <f t="shared" si="23"/>
        <v>0</v>
      </c>
      <c r="CF6" s="20"/>
      <c r="CG6" s="18">
        <f t="shared" si="24"/>
        <v>0</v>
      </c>
      <c r="CH6" s="21">
        <f t="shared" si="45"/>
        <v>0</v>
      </c>
      <c r="CI6" s="20"/>
      <c r="CJ6" s="18">
        <f t="shared" si="25"/>
        <v>0</v>
      </c>
      <c r="CK6" s="21">
        <f t="shared" si="26"/>
        <v>0</v>
      </c>
      <c r="CL6" s="20"/>
      <c r="CM6" s="18">
        <f t="shared" si="27"/>
        <v>0</v>
      </c>
      <c r="CN6" s="21">
        <f t="shared" si="28"/>
        <v>0</v>
      </c>
      <c r="CO6" s="20"/>
      <c r="CP6" s="18">
        <f t="shared" si="29"/>
        <v>0</v>
      </c>
      <c r="CQ6" s="21">
        <f t="shared" si="30"/>
        <v>0</v>
      </c>
      <c r="CR6" s="20"/>
      <c r="CS6" s="18">
        <f t="shared" si="31"/>
        <v>0</v>
      </c>
      <c r="CT6" s="19">
        <f t="shared" si="32"/>
        <v>0</v>
      </c>
      <c r="CU6" s="20"/>
      <c r="CV6" s="13">
        <f t="shared" si="33"/>
        <v>0</v>
      </c>
      <c r="CW6" s="21">
        <f t="shared" si="34"/>
        <v>0</v>
      </c>
      <c r="CX6" s="20"/>
      <c r="CY6" s="13">
        <f t="shared" si="35"/>
        <v>0</v>
      </c>
      <c r="CZ6" s="19">
        <f t="shared" si="36"/>
        <v>0</v>
      </c>
      <c r="DA6" s="20"/>
      <c r="DB6" s="13">
        <f t="shared" si="37"/>
        <v>0</v>
      </c>
      <c r="DC6" s="21">
        <f t="shared" si="38"/>
        <v>0</v>
      </c>
      <c r="DE6" s="97">
        <v>221</v>
      </c>
      <c r="DF6" s="32"/>
      <c r="DG6" s="61">
        <f t="shared" si="39"/>
        <v>0</v>
      </c>
      <c r="DH6" s="32"/>
      <c r="DI6" s="59">
        <f t="shared" si="40"/>
        <v>13</v>
      </c>
      <c r="DJ6" s="32"/>
      <c r="DK6" s="59">
        <f t="shared" si="41"/>
        <v>208</v>
      </c>
      <c r="DL6" s="32"/>
      <c r="DM6" s="96">
        <f t="shared" si="42"/>
        <v>8101.6</v>
      </c>
      <c r="DN6" s="32"/>
      <c r="DO6" s="62">
        <f t="shared" si="43"/>
        <v>16</v>
      </c>
      <c r="DP6" s="32"/>
      <c r="DQ6" s="96">
        <f t="shared" si="44"/>
        <v>9721.92</v>
      </c>
      <c r="DR6" s="32"/>
      <c r="DS6" s="61"/>
      <c r="DT6" s="32"/>
      <c r="DU6" s="63">
        <v>0</v>
      </c>
      <c r="DV6" s="32"/>
      <c r="DW6" s="64">
        <f t="shared" si="46"/>
        <v>0</v>
      </c>
      <c r="DX6" s="32"/>
      <c r="DY6" s="63">
        <f t="shared" si="47"/>
        <v>0</v>
      </c>
    </row>
    <row r="7" spans="1:129" ht="12" customHeight="1" x14ac:dyDescent="0.3">
      <c r="A7" s="36" t="s">
        <v>22</v>
      </c>
      <c r="B7" s="32"/>
      <c r="C7" s="51"/>
      <c r="D7" s="34"/>
      <c r="E7" s="35">
        <v>44.95</v>
      </c>
      <c r="F7" s="34"/>
      <c r="G7" s="33">
        <v>53.94</v>
      </c>
      <c r="I7" s="26"/>
      <c r="J7" s="27"/>
      <c r="K7" s="28">
        <v>1</v>
      </c>
      <c r="L7" s="12"/>
      <c r="M7" s="26">
        <v>1</v>
      </c>
      <c r="N7" s="12"/>
      <c r="O7" s="28">
        <v>1</v>
      </c>
      <c r="P7" s="12"/>
      <c r="Q7" s="26"/>
      <c r="R7" s="12"/>
      <c r="S7" s="28"/>
      <c r="T7" s="12"/>
      <c r="U7" s="26"/>
      <c r="V7" s="12"/>
      <c r="W7" s="28"/>
      <c r="X7" s="12"/>
      <c r="Y7" s="26">
        <v>1</v>
      </c>
      <c r="Z7" s="12"/>
      <c r="AA7" s="28">
        <v>1</v>
      </c>
      <c r="AB7" s="12"/>
      <c r="AC7" s="26">
        <v>1</v>
      </c>
      <c r="AD7" s="12"/>
      <c r="AE7" s="28"/>
      <c r="AF7" s="12"/>
      <c r="AG7" s="26"/>
      <c r="AH7" s="12"/>
      <c r="AI7" s="28"/>
      <c r="AJ7" s="12"/>
      <c r="AK7" s="26"/>
      <c r="AL7" s="12"/>
      <c r="AM7" s="28"/>
      <c r="AN7" s="12"/>
      <c r="AO7" s="26"/>
      <c r="AP7" s="12"/>
      <c r="AQ7" s="28"/>
      <c r="AR7" s="12"/>
      <c r="AS7" s="26"/>
      <c r="AT7" s="12"/>
      <c r="AU7" s="28"/>
      <c r="AW7" s="18">
        <f t="shared" si="0"/>
        <v>0</v>
      </c>
      <c r="AX7" s="19">
        <f t="shared" si="1"/>
        <v>0</v>
      </c>
      <c r="AY7" s="20"/>
      <c r="AZ7" s="13">
        <f t="shared" si="2"/>
        <v>1</v>
      </c>
      <c r="BA7" s="21">
        <f t="shared" si="3"/>
        <v>53.94</v>
      </c>
      <c r="BB7" s="20"/>
      <c r="BC7" s="13">
        <f t="shared" si="4"/>
        <v>1</v>
      </c>
      <c r="BD7" s="19">
        <f t="shared" si="5"/>
        <v>53.94</v>
      </c>
      <c r="BE7" s="20"/>
      <c r="BF7" s="13">
        <f t="shared" si="6"/>
        <v>1</v>
      </c>
      <c r="BG7" s="21">
        <f t="shared" si="7"/>
        <v>53.94</v>
      </c>
      <c r="BH7" s="20"/>
      <c r="BI7" s="13">
        <f t="shared" si="8"/>
        <v>0</v>
      </c>
      <c r="BJ7" s="19">
        <f t="shared" si="9"/>
        <v>0</v>
      </c>
      <c r="BK7" s="20"/>
      <c r="BL7" s="13">
        <f t="shared" si="10"/>
        <v>0</v>
      </c>
      <c r="BM7" s="21">
        <f t="shared" si="11"/>
        <v>0</v>
      </c>
      <c r="BN7" s="20"/>
      <c r="BO7" s="13">
        <f t="shared" si="12"/>
        <v>0</v>
      </c>
      <c r="BP7" s="19">
        <f t="shared" si="13"/>
        <v>0</v>
      </c>
      <c r="BQ7" s="20"/>
      <c r="BR7" s="13">
        <f t="shared" si="14"/>
        <v>0</v>
      </c>
      <c r="BS7" s="21">
        <f t="shared" si="15"/>
        <v>0</v>
      </c>
      <c r="BT7" s="20"/>
      <c r="BU7" s="13">
        <f t="shared" si="16"/>
        <v>1</v>
      </c>
      <c r="BV7" s="19">
        <f t="shared" si="17"/>
        <v>53.94</v>
      </c>
      <c r="BW7" s="20"/>
      <c r="BX7" s="13">
        <f t="shared" si="18"/>
        <v>1</v>
      </c>
      <c r="BY7" s="21">
        <f t="shared" si="19"/>
        <v>53.94</v>
      </c>
      <c r="BZ7" s="20"/>
      <c r="CA7" s="13">
        <f t="shared" si="20"/>
        <v>1</v>
      </c>
      <c r="CB7" s="19">
        <f t="shared" si="21"/>
        <v>53.94</v>
      </c>
      <c r="CC7" s="20"/>
      <c r="CD7" s="13">
        <f t="shared" si="22"/>
        <v>0</v>
      </c>
      <c r="CE7" s="21">
        <f t="shared" si="23"/>
        <v>0</v>
      </c>
      <c r="CF7" s="20"/>
      <c r="CG7" s="18">
        <f t="shared" si="24"/>
        <v>0</v>
      </c>
      <c r="CH7" s="21">
        <f t="shared" si="45"/>
        <v>0</v>
      </c>
      <c r="CI7" s="20"/>
      <c r="CJ7" s="18">
        <f t="shared" si="25"/>
        <v>0</v>
      </c>
      <c r="CK7" s="21">
        <f t="shared" si="26"/>
        <v>0</v>
      </c>
      <c r="CL7" s="20"/>
      <c r="CM7" s="18">
        <f t="shared" si="27"/>
        <v>0</v>
      </c>
      <c r="CN7" s="21">
        <f t="shared" si="28"/>
        <v>0</v>
      </c>
      <c r="CO7" s="20"/>
      <c r="CP7" s="18">
        <f t="shared" si="29"/>
        <v>0</v>
      </c>
      <c r="CQ7" s="21">
        <f t="shared" si="30"/>
        <v>0</v>
      </c>
      <c r="CR7" s="20"/>
      <c r="CS7" s="18">
        <f t="shared" si="31"/>
        <v>0</v>
      </c>
      <c r="CT7" s="19">
        <f t="shared" si="32"/>
        <v>0</v>
      </c>
      <c r="CU7" s="20"/>
      <c r="CV7" s="13">
        <f t="shared" si="33"/>
        <v>0</v>
      </c>
      <c r="CW7" s="21">
        <f t="shared" si="34"/>
        <v>0</v>
      </c>
      <c r="CX7" s="20"/>
      <c r="CY7" s="13">
        <f t="shared" si="35"/>
        <v>0</v>
      </c>
      <c r="CZ7" s="19">
        <f t="shared" si="36"/>
        <v>0</v>
      </c>
      <c r="DA7" s="20"/>
      <c r="DB7" s="13">
        <f t="shared" si="37"/>
        <v>0</v>
      </c>
      <c r="DC7" s="21">
        <f t="shared" si="38"/>
        <v>0</v>
      </c>
      <c r="DE7" s="97">
        <v>65</v>
      </c>
      <c r="DF7" s="32"/>
      <c r="DG7" s="61">
        <f t="shared" si="39"/>
        <v>0</v>
      </c>
      <c r="DH7" s="32"/>
      <c r="DI7" s="59">
        <f t="shared" si="40"/>
        <v>6</v>
      </c>
      <c r="DJ7" s="32"/>
      <c r="DK7" s="59">
        <f t="shared" si="41"/>
        <v>59</v>
      </c>
      <c r="DL7" s="32"/>
      <c r="DM7" s="96">
        <f t="shared" si="42"/>
        <v>2652.05</v>
      </c>
      <c r="DN7" s="32"/>
      <c r="DO7" s="62">
        <f t="shared" si="43"/>
        <v>9.8333333333333339</v>
      </c>
      <c r="DP7" s="32"/>
      <c r="DQ7" s="96">
        <f t="shared" si="44"/>
        <v>3182.46</v>
      </c>
      <c r="DR7" s="32"/>
      <c r="DS7" s="61"/>
      <c r="DT7" s="32"/>
      <c r="DU7" s="63">
        <v>0</v>
      </c>
      <c r="DV7" s="32"/>
      <c r="DW7" s="64">
        <f t="shared" si="46"/>
        <v>0</v>
      </c>
      <c r="DX7" s="32"/>
      <c r="DY7" s="63">
        <f t="shared" si="47"/>
        <v>0</v>
      </c>
    </row>
    <row r="8" spans="1:129" ht="12" customHeight="1" x14ac:dyDescent="0.3">
      <c r="A8" s="37" t="s">
        <v>23</v>
      </c>
      <c r="B8" s="32"/>
      <c r="C8" s="51"/>
      <c r="D8" s="34"/>
      <c r="E8" s="35">
        <v>18.25</v>
      </c>
      <c r="F8" s="34"/>
      <c r="G8" s="33">
        <v>21.9</v>
      </c>
      <c r="I8" s="26"/>
      <c r="J8" s="27"/>
      <c r="K8" s="28"/>
      <c r="L8" s="12"/>
      <c r="M8" s="26"/>
      <c r="N8" s="12"/>
      <c r="O8" s="28">
        <v>1</v>
      </c>
      <c r="P8" s="12"/>
      <c r="Q8" s="26">
        <v>1</v>
      </c>
      <c r="R8" s="12"/>
      <c r="S8" s="28"/>
      <c r="T8" s="12"/>
      <c r="U8" s="26"/>
      <c r="V8" s="12"/>
      <c r="W8" s="28">
        <v>1</v>
      </c>
      <c r="X8" s="12"/>
      <c r="Y8" s="26">
        <v>1</v>
      </c>
      <c r="Z8" s="12"/>
      <c r="AA8" s="28"/>
      <c r="AB8" s="12"/>
      <c r="AC8" s="26">
        <v>1</v>
      </c>
      <c r="AD8" s="12"/>
      <c r="AE8" s="28"/>
      <c r="AF8" s="12"/>
      <c r="AG8" s="26"/>
      <c r="AH8" s="12"/>
      <c r="AI8" s="28"/>
      <c r="AJ8" s="12"/>
      <c r="AK8" s="26"/>
      <c r="AL8" s="12"/>
      <c r="AM8" s="28"/>
      <c r="AN8" s="12"/>
      <c r="AO8" s="26"/>
      <c r="AP8" s="12"/>
      <c r="AQ8" s="28"/>
      <c r="AR8" s="12"/>
      <c r="AS8" s="26"/>
      <c r="AT8" s="12"/>
      <c r="AU8" s="28"/>
      <c r="AW8" s="18">
        <f t="shared" si="0"/>
        <v>0</v>
      </c>
      <c r="AX8" s="19">
        <f t="shared" si="1"/>
        <v>0</v>
      </c>
      <c r="AY8" s="20"/>
      <c r="AZ8" s="13">
        <f t="shared" si="2"/>
        <v>0</v>
      </c>
      <c r="BA8" s="21">
        <f t="shared" si="3"/>
        <v>0</v>
      </c>
      <c r="BB8" s="20"/>
      <c r="BC8" s="13">
        <f t="shared" si="4"/>
        <v>0</v>
      </c>
      <c r="BD8" s="19">
        <f t="shared" si="5"/>
        <v>0</v>
      </c>
      <c r="BE8" s="20"/>
      <c r="BF8" s="13">
        <f t="shared" si="6"/>
        <v>1</v>
      </c>
      <c r="BG8" s="21">
        <f t="shared" si="7"/>
        <v>21.9</v>
      </c>
      <c r="BH8" s="20"/>
      <c r="BI8" s="13">
        <f t="shared" si="8"/>
        <v>1</v>
      </c>
      <c r="BJ8" s="19">
        <f t="shared" si="9"/>
        <v>21.9</v>
      </c>
      <c r="BK8" s="20"/>
      <c r="BL8" s="13">
        <f t="shared" si="10"/>
        <v>0</v>
      </c>
      <c r="BM8" s="21">
        <f t="shared" si="11"/>
        <v>0</v>
      </c>
      <c r="BN8" s="20"/>
      <c r="BO8" s="13">
        <f t="shared" si="12"/>
        <v>0</v>
      </c>
      <c r="BP8" s="19">
        <f t="shared" si="13"/>
        <v>0</v>
      </c>
      <c r="BQ8" s="20"/>
      <c r="BR8" s="13">
        <f t="shared" si="14"/>
        <v>1</v>
      </c>
      <c r="BS8" s="21">
        <f t="shared" si="15"/>
        <v>21.9</v>
      </c>
      <c r="BT8" s="20"/>
      <c r="BU8" s="13">
        <f t="shared" si="16"/>
        <v>1</v>
      </c>
      <c r="BV8" s="19">
        <f t="shared" si="17"/>
        <v>21.9</v>
      </c>
      <c r="BW8" s="20"/>
      <c r="BX8" s="13">
        <f t="shared" si="18"/>
        <v>0</v>
      </c>
      <c r="BY8" s="21">
        <f t="shared" si="19"/>
        <v>0</v>
      </c>
      <c r="BZ8" s="20"/>
      <c r="CA8" s="13">
        <f t="shared" si="20"/>
        <v>1</v>
      </c>
      <c r="CB8" s="19">
        <f t="shared" si="21"/>
        <v>21.9</v>
      </c>
      <c r="CC8" s="20"/>
      <c r="CD8" s="13">
        <f t="shared" si="22"/>
        <v>0</v>
      </c>
      <c r="CE8" s="21">
        <f t="shared" si="23"/>
        <v>0</v>
      </c>
      <c r="CF8" s="20"/>
      <c r="CG8" s="18">
        <f t="shared" si="24"/>
        <v>0</v>
      </c>
      <c r="CH8" s="21">
        <f t="shared" si="45"/>
        <v>0</v>
      </c>
      <c r="CI8" s="20"/>
      <c r="CJ8" s="18">
        <f t="shared" si="25"/>
        <v>0</v>
      </c>
      <c r="CK8" s="21">
        <f t="shared" si="26"/>
        <v>0</v>
      </c>
      <c r="CL8" s="20"/>
      <c r="CM8" s="18">
        <f t="shared" si="27"/>
        <v>0</v>
      </c>
      <c r="CN8" s="21">
        <f t="shared" si="28"/>
        <v>0</v>
      </c>
      <c r="CO8" s="20"/>
      <c r="CP8" s="18">
        <f t="shared" si="29"/>
        <v>0</v>
      </c>
      <c r="CQ8" s="21">
        <f t="shared" si="30"/>
        <v>0</v>
      </c>
      <c r="CR8" s="20"/>
      <c r="CS8" s="18">
        <f t="shared" si="31"/>
        <v>0</v>
      </c>
      <c r="CT8" s="19">
        <f t="shared" si="32"/>
        <v>0</v>
      </c>
      <c r="CU8" s="20"/>
      <c r="CV8" s="13">
        <f t="shared" si="33"/>
        <v>0</v>
      </c>
      <c r="CW8" s="21">
        <f t="shared" si="34"/>
        <v>0</v>
      </c>
      <c r="CX8" s="20"/>
      <c r="CY8" s="13">
        <f t="shared" si="35"/>
        <v>0</v>
      </c>
      <c r="CZ8" s="19">
        <f t="shared" si="36"/>
        <v>0</v>
      </c>
      <c r="DA8" s="20"/>
      <c r="DB8" s="13">
        <f t="shared" si="37"/>
        <v>0</v>
      </c>
      <c r="DC8" s="21">
        <f t="shared" si="38"/>
        <v>0</v>
      </c>
      <c r="DE8" s="97">
        <v>110</v>
      </c>
      <c r="DF8" s="32"/>
      <c r="DG8" s="61">
        <f t="shared" si="39"/>
        <v>0</v>
      </c>
      <c r="DH8" s="32"/>
      <c r="DI8" s="59">
        <f t="shared" si="40"/>
        <v>5</v>
      </c>
      <c r="DJ8" s="32"/>
      <c r="DK8" s="59">
        <f t="shared" si="41"/>
        <v>105</v>
      </c>
      <c r="DL8" s="32"/>
      <c r="DM8" s="96">
        <f t="shared" si="42"/>
        <v>1916.25</v>
      </c>
      <c r="DN8" s="32"/>
      <c r="DO8" s="62">
        <f t="shared" si="43"/>
        <v>21</v>
      </c>
      <c r="DP8" s="32"/>
      <c r="DQ8" s="96">
        <f t="shared" si="44"/>
        <v>2299.5</v>
      </c>
      <c r="DR8" s="32"/>
      <c r="DS8" s="61"/>
      <c r="DT8" s="32"/>
      <c r="DU8" s="63">
        <v>0</v>
      </c>
      <c r="DV8" s="32"/>
      <c r="DW8" s="64">
        <f t="shared" si="46"/>
        <v>0</v>
      </c>
      <c r="DX8" s="32"/>
      <c r="DY8" s="63">
        <f t="shared" si="47"/>
        <v>0</v>
      </c>
    </row>
    <row r="9" spans="1:129" ht="12" customHeight="1" x14ac:dyDescent="0.3">
      <c r="A9" s="36" t="s">
        <v>24</v>
      </c>
      <c r="B9" s="32"/>
      <c r="C9" s="51"/>
      <c r="D9" s="34"/>
      <c r="E9" s="38">
        <v>29.95</v>
      </c>
      <c r="F9" s="34"/>
      <c r="G9" s="33">
        <v>35.94</v>
      </c>
      <c r="I9" s="26"/>
      <c r="J9" s="27"/>
      <c r="K9" s="28"/>
      <c r="L9" s="12"/>
      <c r="M9" s="26"/>
      <c r="N9" s="12"/>
      <c r="O9" s="28">
        <v>1</v>
      </c>
      <c r="P9" s="12"/>
      <c r="Q9" s="26"/>
      <c r="R9" s="12"/>
      <c r="S9" s="28"/>
      <c r="T9" s="12"/>
      <c r="U9" s="26"/>
      <c r="V9" s="12"/>
      <c r="W9" s="28"/>
      <c r="X9" s="12"/>
      <c r="Y9" s="26"/>
      <c r="Z9" s="12"/>
      <c r="AA9" s="28"/>
      <c r="AB9" s="12"/>
      <c r="AC9" s="26"/>
      <c r="AD9" s="12"/>
      <c r="AE9" s="28"/>
      <c r="AF9" s="12"/>
      <c r="AG9" s="26"/>
      <c r="AH9" s="12"/>
      <c r="AI9" s="28"/>
      <c r="AJ9" s="12"/>
      <c r="AK9" s="26"/>
      <c r="AL9" s="12"/>
      <c r="AM9" s="28"/>
      <c r="AN9" s="12"/>
      <c r="AO9" s="26"/>
      <c r="AP9" s="12"/>
      <c r="AQ9" s="28"/>
      <c r="AR9" s="12"/>
      <c r="AS9" s="26"/>
      <c r="AT9" s="12"/>
      <c r="AU9" s="28"/>
      <c r="AW9" s="18">
        <f t="shared" si="0"/>
        <v>0</v>
      </c>
      <c r="AX9" s="19">
        <f t="shared" si="1"/>
        <v>0</v>
      </c>
      <c r="AY9" s="20"/>
      <c r="AZ9" s="13">
        <f t="shared" si="2"/>
        <v>0</v>
      </c>
      <c r="BA9" s="21">
        <f t="shared" si="3"/>
        <v>0</v>
      </c>
      <c r="BB9" s="20"/>
      <c r="BC9" s="13">
        <f t="shared" si="4"/>
        <v>0</v>
      </c>
      <c r="BD9" s="19">
        <f t="shared" si="5"/>
        <v>0</v>
      </c>
      <c r="BE9" s="20"/>
      <c r="BF9" s="13">
        <f t="shared" si="6"/>
        <v>1</v>
      </c>
      <c r="BG9" s="21">
        <f t="shared" si="7"/>
        <v>35.94</v>
      </c>
      <c r="BH9" s="20"/>
      <c r="BI9" s="13">
        <f t="shared" si="8"/>
        <v>0</v>
      </c>
      <c r="BJ9" s="19">
        <f t="shared" si="9"/>
        <v>0</v>
      </c>
      <c r="BK9" s="20"/>
      <c r="BL9" s="13">
        <f t="shared" si="10"/>
        <v>0</v>
      </c>
      <c r="BM9" s="21">
        <f t="shared" si="11"/>
        <v>0</v>
      </c>
      <c r="BN9" s="20"/>
      <c r="BO9" s="13">
        <f t="shared" si="12"/>
        <v>0</v>
      </c>
      <c r="BP9" s="19">
        <f t="shared" si="13"/>
        <v>0</v>
      </c>
      <c r="BQ9" s="20"/>
      <c r="BR9" s="13">
        <f t="shared" si="14"/>
        <v>0</v>
      </c>
      <c r="BS9" s="21">
        <f t="shared" si="15"/>
        <v>0</v>
      </c>
      <c r="BT9" s="20"/>
      <c r="BU9" s="13">
        <f t="shared" si="16"/>
        <v>0</v>
      </c>
      <c r="BV9" s="19">
        <f t="shared" si="17"/>
        <v>0</v>
      </c>
      <c r="BW9" s="20"/>
      <c r="BX9" s="13">
        <f t="shared" si="18"/>
        <v>0</v>
      </c>
      <c r="BY9" s="21">
        <f t="shared" si="19"/>
        <v>0</v>
      </c>
      <c r="BZ9" s="20"/>
      <c r="CA9" s="13">
        <f t="shared" si="20"/>
        <v>0</v>
      </c>
      <c r="CB9" s="19">
        <f t="shared" si="21"/>
        <v>0</v>
      </c>
      <c r="CC9" s="20"/>
      <c r="CD9" s="13">
        <f t="shared" si="22"/>
        <v>0</v>
      </c>
      <c r="CE9" s="21">
        <f t="shared" si="23"/>
        <v>0</v>
      </c>
      <c r="CF9" s="20"/>
      <c r="CG9" s="18">
        <f t="shared" si="24"/>
        <v>0</v>
      </c>
      <c r="CH9" s="21">
        <f t="shared" si="45"/>
        <v>0</v>
      </c>
      <c r="CI9" s="20"/>
      <c r="CJ9" s="18">
        <f t="shared" si="25"/>
        <v>0</v>
      </c>
      <c r="CK9" s="21">
        <f t="shared" si="26"/>
        <v>0</v>
      </c>
      <c r="CL9" s="20"/>
      <c r="CM9" s="18">
        <f t="shared" si="27"/>
        <v>0</v>
      </c>
      <c r="CN9" s="21">
        <f t="shared" si="28"/>
        <v>0</v>
      </c>
      <c r="CO9" s="20"/>
      <c r="CP9" s="18">
        <f t="shared" si="29"/>
        <v>0</v>
      </c>
      <c r="CQ9" s="21">
        <f t="shared" si="30"/>
        <v>0</v>
      </c>
      <c r="CR9" s="20"/>
      <c r="CS9" s="18">
        <f t="shared" si="31"/>
        <v>0</v>
      </c>
      <c r="CT9" s="19">
        <f t="shared" si="32"/>
        <v>0</v>
      </c>
      <c r="CU9" s="20"/>
      <c r="CV9" s="13">
        <f t="shared" si="33"/>
        <v>0</v>
      </c>
      <c r="CW9" s="21">
        <f t="shared" si="34"/>
        <v>0</v>
      </c>
      <c r="CX9" s="20"/>
      <c r="CY9" s="13">
        <f t="shared" si="35"/>
        <v>0</v>
      </c>
      <c r="CZ9" s="19">
        <f t="shared" si="36"/>
        <v>0</v>
      </c>
      <c r="DA9" s="20"/>
      <c r="DB9" s="13">
        <f t="shared" si="37"/>
        <v>0</v>
      </c>
      <c r="DC9" s="21">
        <f t="shared" si="38"/>
        <v>0</v>
      </c>
      <c r="DE9" s="97">
        <v>36</v>
      </c>
      <c r="DF9" s="32"/>
      <c r="DG9" s="61">
        <f t="shared" si="39"/>
        <v>0</v>
      </c>
      <c r="DH9" s="32"/>
      <c r="DI9" s="59">
        <f t="shared" si="40"/>
        <v>1</v>
      </c>
      <c r="DJ9" s="32"/>
      <c r="DK9" s="59">
        <f t="shared" si="41"/>
        <v>35</v>
      </c>
      <c r="DL9" s="32"/>
      <c r="DM9" s="96">
        <f t="shared" si="42"/>
        <v>1048.25</v>
      </c>
      <c r="DN9" s="32"/>
      <c r="DO9" s="62">
        <f t="shared" si="43"/>
        <v>35</v>
      </c>
      <c r="DP9" s="32"/>
      <c r="DQ9" s="96">
        <f t="shared" si="44"/>
        <v>1257.8999999999999</v>
      </c>
      <c r="DR9" s="32"/>
      <c r="DS9" s="61"/>
      <c r="DT9" s="32"/>
      <c r="DU9" s="63">
        <v>0</v>
      </c>
      <c r="DV9" s="32"/>
      <c r="DW9" s="64">
        <f t="shared" si="46"/>
        <v>0</v>
      </c>
      <c r="DX9" s="32"/>
      <c r="DY9" s="63">
        <f t="shared" si="47"/>
        <v>0</v>
      </c>
    </row>
    <row r="10" spans="1:129" ht="12" customHeight="1" x14ac:dyDescent="0.3">
      <c r="A10" s="37" t="s">
        <v>73</v>
      </c>
      <c r="B10" s="32"/>
      <c r="C10" s="51"/>
      <c r="D10" s="34"/>
      <c r="E10" s="38">
        <v>22.95</v>
      </c>
      <c r="F10" s="34"/>
      <c r="G10" s="33">
        <v>27.54</v>
      </c>
      <c r="I10" s="26"/>
      <c r="J10" s="27"/>
      <c r="K10" s="28">
        <v>1</v>
      </c>
      <c r="L10" s="12"/>
      <c r="M10" s="26"/>
      <c r="N10" s="12"/>
      <c r="O10" s="28">
        <v>1</v>
      </c>
      <c r="P10" s="12"/>
      <c r="Q10" s="26"/>
      <c r="R10" s="12"/>
      <c r="S10" s="28"/>
      <c r="T10" s="12"/>
      <c r="U10" s="26"/>
      <c r="V10" s="12"/>
      <c r="W10" s="28">
        <v>1</v>
      </c>
      <c r="X10" s="12"/>
      <c r="Y10" s="26"/>
      <c r="Z10" s="12"/>
      <c r="AA10" s="28"/>
      <c r="AB10" s="12"/>
      <c r="AC10" s="26"/>
      <c r="AD10" s="12"/>
      <c r="AE10" s="28"/>
      <c r="AF10" s="12"/>
      <c r="AG10" s="26"/>
      <c r="AH10" s="12"/>
      <c r="AI10" s="28"/>
      <c r="AJ10" s="12"/>
      <c r="AK10" s="26"/>
      <c r="AL10" s="12"/>
      <c r="AM10" s="28"/>
      <c r="AN10" s="12"/>
      <c r="AO10" s="26"/>
      <c r="AP10" s="12"/>
      <c r="AQ10" s="28"/>
      <c r="AR10" s="12"/>
      <c r="AS10" s="26"/>
      <c r="AT10" s="12"/>
      <c r="AU10" s="28"/>
      <c r="AW10" s="18">
        <f t="shared" si="0"/>
        <v>0</v>
      </c>
      <c r="AX10" s="19">
        <f t="shared" si="1"/>
        <v>0</v>
      </c>
      <c r="AY10" s="20"/>
      <c r="AZ10" s="13">
        <f t="shared" si="2"/>
        <v>1</v>
      </c>
      <c r="BA10" s="21">
        <f t="shared" si="3"/>
        <v>27.54</v>
      </c>
      <c r="BB10" s="20"/>
      <c r="BC10" s="13">
        <f t="shared" si="4"/>
        <v>0</v>
      </c>
      <c r="BD10" s="19">
        <f t="shared" si="5"/>
        <v>0</v>
      </c>
      <c r="BE10" s="20"/>
      <c r="BF10" s="13">
        <f t="shared" si="6"/>
        <v>1</v>
      </c>
      <c r="BG10" s="21">
        <f t="shared" si="7"/>
        <v>27.54</v>
      </c>
      <c r="BH10" s="20"/>
      <c r="BI10" s="13">
        <f t="shared" si="8"/>
        <v>0</v>
      </c>
      <c r="BJ10" s="19">
        <f t="shared" si="9"/>
        <v>0</v>
      </c>
      <c r="BK10" s="20"/>
      <c r="BL10" s="13">
        <f t="shared" si="10"/>
        <v>0</v>
      </c>
      <c r="BM10" s="21">
        <f t="shared" si="11"/>
        <v>0</v>
      </c>
      <c r="BN10" s="20"/>
      <c r="BO10" s="13">
        <f t="shared" si="12"/>
        <v>0</v>
      </c>
      <c r="BP10" s="19">
        <f t="shared" si="13"/>
        <v>0</v>
      </c>
      <c r="BQ10" s="20"/>
      <c r="BR10" s="13">
        <f t="shared" si="14"/>
        <v>1</v>
      </c>
      <c r="BS10" s="21">
        <f t="shared" si="15"/>
        <v>27.54</v>
      </c>
      <c r="BT10" s="20"/>
      <c r="BU10" s="13">
        <f t="shared" si="16"/>
        <v>0</v>
      </c>
      <c r="BV10" s="19">
        <f t="shared" si="17"/>
        <v>0</v>
      </c>
      <c r="BW10" s="20"/>
      <c r="BX10" s="13">
        <f t="shared" si="18"/>
        <v>0</v>
      </c>
      <c r="BY10" s="21">
        <f t="shared" si="19"/>
        <v>0</v>
      </c>
      <c r="BZ10" s="20"/>
      <c r="CA10" s="13">
        <f t="shared" si="20"/>
        <v>0</v>
      </c>
      <c r="CB10" s="19">
        <f t="shared" si="21"/>
        <v>0</v>
      </c>
      <c r="CC10" s="20"/>
      <c r="CD10" s="13">
        <f t="shared" si="22"/>
        <v>0</v>
      </c>
      <c r="CE10" s="21">
        <f t="shared" si="23"/>
        <v>0</v>
      </c>
      <c r="CF10" s="20"/>
      <c r="CG10" s="18">
        <f t="shared" si="24"/>
        <v>0</v>
      </c>
      <c r="CH10" s="21">
        <f t="shared" si="45"/>
        <v>0</v>
      </c>
      <c r="CI10" s="20"/>
      <c r="CJ10" s="18">
        <f t="shared" si="25"/>
        <v>0</v>
      </c>
      <c r="CK10" s="21">
        <f t="shared" si="26"/>
        <v>0</v>
      </c>
      <c r="CL10" s="20"/>
      <c r="CM10" s="18">
        <f t="shared" si="27"/>
        <v>0</v>
      </c>
      <c r="CN10" s="21">
        <f t="shared" si="28"/>
        <v>0</v>
      </c>
      <c r="CO10" s="20"/>
      <c r="CP10" s="18">
        <f t="shared" si="29"/>
        <v>0</v>
      </c>
      <c r="CQ10" s="21">
        <f t="shared" si="30"/>
        <v>0</v>
      </c>
      <c r="CR10" s="20"/>
      <c r="CS10" s="18">
        <f t="shared" si="31"/>
        <v>0</v>
      </c>
      <c r="CT10" s="19">
        <f t="shared" si="32"/>
        <v>0</v>
      </c>
      <c r="CU10" s="20"/>
      <c r="CV10" s="13">
        <f t="shared" si="33"/>
        <v>0</v>
      </c>
      <c r="CW10" s="21">
        <f t="shared" si="34"/>
        <v>0</v>
      </c>
      <c r="CX10" s="20"/>
      <c r="CY10" s="13">
        <f t="shared" si="35"/>
        <v>0</v>
      </c>
      <c r="CZ10" s="19">
        <f t="shared" si="36"/>
        <v>0</v>
      </c>
      <c r="DA10" s="20"/>
      <c r="DB10" s="13">
        <f t="shared" si="37"/>
        <v>0</v>
      </c>
      <c r="DC10" s="21">
        <f t="shared" si="38"/>
        <v>0</v>
      </c>
      <c r="DE10" s="97">
        <v>97</v>
      </c>
      <c r="DF10" s="32"/>
      <c r="DG10" s="61">
        <f t="shared" si="39"/>
        <v>0</v>
      </c>
      <c r="DH10" s="32"/>
      <c r="DI10" s="59">
        <f t="shared" si="40"/>
        <v>3</v>
      </c>
      <c r="DJ10" s="32"/>
      <c r="DK10" s="59">
        <f t="shared" si="41"/>
        <v>94</v>
      </c>
      <c r="DL10" s="32"/>
      <c r="DM10" s="96">
        <f t="shared" si="42"/>
        <v>2157.2999999999997</v>
      </c>
      <c r="DN10" s="32"/>
      <c r="DO10" s="62">
        <f t="shared" si="43"/>
        <v>31.333333333333332</v>
      </c>
      <c r="DP10" s="32"/>
      <c r="DQ10" s="96">
        <f t="shared" si="44"/>
        <v>2588.7599999999998</v>
      </c>
      <c r="DR10" s="32"/>
      <c r="DS10" s="61"/>
      <c r="DT10" s="32"/>
      <c r="DU10" s="63">
        <v>0</v>
      </c>
      <c r="DV10" s="32"/>
      <c r="DW10" s="64">
        <f t="shared" si="46"/>
        <v>0</v>
      </c>
      <c r="DX10" s="32"/>
      <c r="DY10" s="63">
        <f t="shared" si="47"/>
        <v>0</v>
      </c>
    </row>
    <row r="11" spans="1:129" ht="12" customHeight="1" x14ac:dyDescent="0.3">
      <c r="A11" s="36" t="s">
        <v>68</v>
      </c>
      <c r="B11" s="32"/>
      <c r="C11" s="51"/>
      <c r="D11" s="34"/>
      <c r="E11" s="38">
        <v>21.99</v>
      </c>
      <c r="F11" s="34"/>
      <c r="G11" s="33">
        <v>26.39</v>
      </c>
      <c r="I11" s="26">
        <v>1</v>
      </c>
      <c r="J11" s="27"/>
      <c r="K11" s="28">
        <v>2</v>
      </c>
      <c r="L11" s="12"/>
      <c r="M11" s="26">
        <v>1</v>
      </c>
      <c r="N11" s="12"/>
      <c r="O11" s="28">
        <v>2</v>
      </c>
      <c r="P11" s="12"/>
      <c r="Q11" s="26">
        <v>1</v>
      </c>
      <c r="R11" s="12"/>
      <c r="S11" s="28">
        <v>1</v>
      </c>
      <c r="T11" s="12"/>
      <c r="U11" s="26">
        <v>1</v>
      </c>
      <c r="V11" s="12"/>
      <c r="W11" s="28">
        <v>2</v>
      </c>
      <c r="X11" s="12"/>
      <c r="Y11" s="26">
        <v>2</v>
      </c>
      <c r="Z11" s="12"/>
      <c r="AA11" s="28">
        <v>1</v>
      </c>
      <c r="AB11" s="12"/>
      <c r="AC11" s="26">
        <v>2</v>
      </c>
      <c r="AD11" s="12"/>
      <c r="AE11" s="28"/>
      <c r="AF11" s="12"/>
      <c r="AG11" s="26"/>
      <c r="AH11" s="12"/>
      <c r="AI11" s="28"/>
      <c r="AJ11" s="12"/>
      <c r="AK11" s="26"/>
      <c r="AL11" s="12"/>
      <c r="AM11" s="28"/>
      <c r="AN11" s="12"/>
      <c r="AO11" s="26"/>
      <c r="AP11" s="12"/>
      <c r="AQ11" s="28"/>
      <c r="AR11" s="12"/>
      <c r="AS11" s="26"/>
      <c r="AT11" s="12"/>
      <c r="AU11" s="28"/>
      <c r="AW11" s="18">
        <f t="shared" si="0"/>
        <v>1</v>
      </c>
      <c r="AX11" s="19">
        <f t="shared" si="1"/>
        <v>26.39</v>
      </c>
      <c r="AY11" s="20"/>
      <c r="AZ11" s="13">
        <f t="shared" si="2"/>
        <v>2</v>
      </c>
      <c r="BA11" s="21">
        <f t="shared" si="3"/>
        <v>52.78</v>
      </c>
      <c r="BB11" s="20"/>
      <c r="BC11" s="13">
        <f t="shared" si="4"/>
        <v>1</v>
      </c>
      <c r="BD11" s="19">
        <f t="shared" si="5"/>
        <v>26.39</v>
      </c>
      <c r="BE11" s="20"/>
      <c r="BF11" s="13">
        <f t="shared" si="6"/>
        <v>2</v>
      </c>
      <c r="BG11" s="21">
        <f t="shared" si="7"/>
        <v>52.78</v>
      </c>
      <c r="BH11" s="20"/>
      <c r="BI11" s="13">
        <f t="shared" si="8"/>
        <v>1</v>
      </c>
      <c r="BJ11" s="19">
        <f t="shared" si="9"/>
        <v>26.39</v>
      </c>
      <c r="BK11" s="20"/>
      <c r="BL11" s="13">
        <f t="shared" si="10"/>
        <v>1</v>
      </c>
      <c r="BM11" s="21">
        <f t="shared" si="11"/>
        <v>26.39</v>
      </c>
      <c r="BN11" s="20"/>
      <c r="BO11" s="13">
        <f t="shared" si="12"/>
        <v>1</v>
      </c>
      <c r="BP11" s="19">
        <f t="shared" si="13"/>
        <v>26.39</v>
      </c>
      <c r="BQ11" s="20"/>
      <c r="BR11" s="13">
        <f t="shared" si="14"/>
        <v>2</v>
      </c>
      <c r="BS11" s="21">
        <f t="shared" si="15"/>
        <v>52.78</v>
      </c>
      <c r="BT11" s="20"/>
      <c r="BU11" s="13">
        <f t="shared" si="16"/>
        <v>2</v>
      </c>
      <c r="BV11" s="19">
        <f t="shared" si="17"/>
        <v>52.78</v>
      </c>
      <c r="BW11" s="20"/>
      <c r="BX11" s="13">
        <f t="shared" si="18"/>
        <v>1</v>
      </c>
      <c r="BY11" s="21">
        <f t="shared" si="19"/>
        <v>26.39</v>
      </c>
      <c r="BZ11" s="20"/>
      <c r="CA11" s="13">
        <f t="shared" si="20"/>
        <v>2</v>
      </c>
      <c r="CB11" s="19">
        <f t="shared" si="21"/>
        <v>52.78</v>
      </c>
      <c r="CC11" s="20"/>
      <c r="CD11" s="13">
        <f t="shared" si="22"/>
        <v>0</v>
      </c>
      <c r="CE11" s="21">
        <f t="shared" si="23"/>
        <v>0</v>
      </c>
      <c r="CF11" s="20"/>
      <c r="CG11" s="18">
        <f t="shared" si="24"/>
        <v>0</v>
      </c>
      <c r="CH11" s="21">
        <f t="shared" si="45"/>
        <v>0</v>
      </c>
      <c r="CI11" s="20"/>
      <c r="CJ11" s="18">
        <f t="shared" si="25"/>
        <v>0</v>
      </c>
      <c r="CK11" s="21">
        <f t="shared" si="26"/>
        <v>0</v>
      </c>
      <c r="CL11" s="20"/>
      <c r="CM11" s="18">
        <f t="shared" si="27"/>
        <v>0</v>
      </c>
      <c r="CN11" s="21">
        <f t="shared" si="28"/>
        <v>0</v>
      </c>
      <c r="CO11" s="20"/>
      <c r="CP11" s="18">
        <f t="shared" si="29"/>
        <v>0</v>
      </c>
      <c r="CQ11" s="21">
        <f t="shared" si="30"/>
        <v>0</v>
      </c>
      <c r="CR11" s="20"/>
      <c r="CS11" s="18">
        <f t="shared" si="31"/>
        <v>0</v>
      </c>
      <c r="CT11" s="19">
        <f t="shared" si="32"/>
        <v>0</v>
      </c>
      <c r="CU11" s="20"/>
      <c r="CV11" s="13">
        <f t="shared" si="33"/>
        <v>0</v>
      </c>
      <c r="CW11" s="21">
        <f t="shared" si="34"/>
        <v>0</v>
      </c>
      <c r="CX11" s="20"/>
      <c r="CY11" s="13">
        <f t="shared" si="35"/>
        <v>0</v>
      </c>
      <c r="CZ11" s="19">
        <f t="shared" si="36"/>
        <v>0</v>
      </c>
      <c r="DA11" s="20"/>
      <c r="DB11" s="13">
        <f t="shared" si="37"/>
        <v>0</v>
      </c>
      <c r="DC11" s="21">
        <f t="shared" si="38"/>
        <v>0</v>
      </c>
      <c r="DE11" s="97">
        <v>357</v>
      </c>
      <c r="DF11" s="32"/>
      <c r="DG11" s="61">
        <f t="shared" si="39"/>
        <v>0</v>
      </c>
      <c r="DH11" s="32"/>
      <c r="DI11" s="59">
        <f t="shared" si="40"/>
        <v>16</v>
      </c>
      <c r="DJ11" s="32"/>
      <c r="DK11" s="59">
        <f t="shared" si="41"/>
        <v>341</v>
      </c>
      <c r="DL11" s="32"/>
      <c r="DM11" s="96">
        <f t="shared" si="42"/>
        <v>7498.5899999999992</v>
      </c>
      <c r="DN11" s="32"/>
      <c r="DO11" s="62">
        <f t="shared" si="43"/>
        <v>21.3125</v>
      </c>
      <c r="DP11" s="32"/>
      <c r="DQ11" s="96">
        <f t="shared" si="44"/>
        <v>8998.99</v>
      </c>
      <c r="DR11" s="32"/>
      <c r="DS11" s="61"/>
      <c r="DT11" s="32"/>
      <c r="DU11" s="63">
        <v>0</v>
      </c>
      <c r="DV11" s="32"/>
      <c r="DW11" s="64">
        <f t="shared" si="46"/>
        <v>0</v>
      </c>
      <c r="DX11" s="32"/>
      <c r="DY11" s="63">
        <f t="shared" si="47"/>
        <v>0</v>
      </c>
    </row>
    <row r="12" spans="1:129" ht="12" customHeight="1" x14ac:dyDescent="0.3">
      <c r="A12" s="37" t="s">
        <v>69</v>
      </c>
      <c r="B12" s="32"/>
      <c r="C12" s="51"/>
      <c r="D12" s="34"/>
      <c r="E12" s="38">
        <v>18.745000000000001</v>
      </c>
      <c r="F12" s="34"/>
      <c r="G12" s="33">
        <v>22.49</v>
      </c>
      <c r="I12" s="26">
        <v>1</v>
      </c>
      <c r="J12" s="27"/>
      <c r="K12" s="28">
        <v>2</v>
      </c>
      <c r="L12" s="12"/>
      <c r="M12" s="26">
        <v>1</v>
      </c>
      <c r="N12" s="12"/>
      <c r="O12" s="28">
        <v>2</v>
      </c>
      <c r="P12" s="12"/>
      <c r="Q12" s="26">
        <v>1</v>
      </c>
      <c r="R12" s="12"/>
      <c r="S12" s="28">
        <v>1</v>
      </c>
      <c r="T12" s="12"/>
      <c r="U12" s="26">
        <v>1</v>
      </c>
      <c r="V12" s="12"/>
      <c r="W12" s="28">
        <v>2</v>
      </c>
      <c r="X12" s="12"/>
      <c r="Y12" s="26">
        <v>2</v>
      </c>
      <c r="Z12" s="12"/>
      <c r="AA12" s="28">
        <v>1</v>
      </c>
      <c r="AB12" s="12"/>
      <c r="AC12" s="26">
        <v>1</v>
      </c>
      <c r="AD12" s="12"/>
      <c r="AE12" s="28"/>
      <c r="AF12" s="12"/>
      <c r="AG12" s="26"/>
      <c r="AH12" s="12"/>
      <c r="AI12" s="28"/>
      <c r="AJ12" s="12"/>
      <c r="AK12" s="26"/>
      <c r="AL12" s="12"/>
      <c r="AM12" s="28"/>
      <c r="AN12" s="12"/>
      <c r="AO12" s="26"/>
      <c r="AP12" s="12"/>
      <c r="AQ12" s="28"/>
      <c r="AR12" s="12"/>
      <c r="AS12" s="26"/>
      <c r="AT12" s="12"/>
      <c r="AU12" s="28"/>
      <c r="AW12" s="18">
        <f t="shared" si="0"/>
        <v>1</v>
      </c>
      <c r="AX12" s="19">
        <f t="shared" si="1"/>
        <v>22.49</v>
      </c>
      <c r="AY12" s="20"/>
      <c r="AZ12" s="13">
        <f t="shared" si="2"/>
        <v>2</v>
      </c>
      <c r="BA12" s="21">
        <f t="shared" si="3"/>
        <v>44.98</v>
      </c>
      <c r="BB12" s="20"/>
      <c r="BC12" s="13">
        <f t="shared" si="4"/>
        <v>1</v>
      </c>
      <c r="BD12" s="19">
        <f t="shared" si="5"/>
        <v>22.49</v>
      </c>
      <c r="BE12" s="20"/>
      <c r="BF12" s="13">
        <f t="shared" si="6"/>
        <v>2</v>
      </c>
      <c r="BG12" s="21">
        <f t="shared" si="7"/>
        <v>44.98</v>
      </c>
      <c r="BH12" s="20"/>
      <c r="BI12" s="13">
        <f t="shared" si="8"/>
        <v>1</v>
      </c>
      <c r="BJ12" s="19">
        <f t="shared" si="9"/>
        <v>22.49</v>
      </c>
      <c r="BK12" s="20"/>
      <c r="BL12" s="13">
        <f t="shared" si="10"/>
        <v>1</v>
      </c>
      <c r="BM12" s="21">
        <f t="shared" si="11"/>
        <v>22.49</v>
      </c>
      <c r="BN12" s="20"/>
      <c r="BO12" s="13">
        <f t="shared" si="12"/>
        <v>1</v>
      </c>
      <c r="BP12" s="19">
        <f t="shared" si="13"/>
        <v>22.49</v>
      </c>
      <c r="BQ12" s="20"/>
      <c r="BR12" s="13">
        <f t="shared" si="14"/>
        <v>2</v>
      </c>
      <c r="BS12" s="21">
        <f t="shared" si="15"/>
        <v>44.98</v>
      </c>
      <c r="BT12" s="20"/>
      <c r="BU12" s="13">
        <f t="shared" si="16"/>
        <v>2</v>
      </c>
      <c r="BV12" s="19">
        <f t="shared" si="17"/>
        <v>44.98</v>
      </c>
      <c r="BW12" s="20"/>
      <c r="BX12" s="13">
        <f t="shared" si="18"/>
        <v>1</v>
      </c>
      <c r="BY12" s="21">
        <f t="shared" si="19"/>
        <v>22.49</v>
      </c>
      <c r="BZ12" s="20"/>
      <c r="CA12" s="13">
        <f t="shared" si="20"/>
        <v>1</v>
      </c>
      <c r="CB12" s="19">
        <f t="shared" si="21"/>
        <v>22.49</v>
      </c>
      <c r="CC12" s="20"/>
      <c r="CD12" s="13">
        <f t="shared" si="22"/>
        <v>0</v>
      </c>
      <c r="CE12" s="21">
        <f t="shared" si="23"/>
        <v>0</v>
      </c>
      <c r="CF12" s="20"/>
      <c r="CG12" s="18">
        <f t="shared" si="24"/>
        <v>0</v>
      </c>
      <c r="CH12" s="21">
        <f t="shared" si="45"/>
        <v>0</v>
      </c>
      <c r="CI12" s="20"/>
      <c r="CJ12" s="18">
        <f t="shared" si="25"/>
        <v>0</v>
      </c>
      <c r="CK12" s="21">
        <f t="shared" si="26"/>
        <v>0</v>
      </c>
      <c r="CL12" s="20"/>
      <c r="CM12" s="18">
        <f t="shared" si="27"/>
        <v>0</v>
      </c>
      <c r="CN12" s="21">
        <f t="shared" si="28"/>
        <v>0</v>
      </c>
      <c r="CO12" s="20"/>
      <c r="CP12" s="18">
        <f t="shared" si="29"/>
        <v>0</v>
      </c>
      <c r="CQ12" s="21">
        <f t="shared" si="30"/>
        <v>0</v>
      </c>
      <c r="CR12" s="20"/>
      <c r="CS12" s="18">
        <f t="shared" si="31"/>
        <v>0</v>
      </c>
      <c r="CT12" s="19">
        <f t="shared" si="32"/>
        <v>0</v>
      </c>
      <c r="CU12" s="20"/>
      <c r="CV12" s="13">
        <f t="shared" si="33"/>
        <v>0</v>
      </c>
      <c r="CW12" s="21">
        <f t="shared" si="34"/>
        <v>0</v>
      </c>
      <c r="CX12" s="20"/>
      <c r="CY12" s="13">
        <f t="shared" si="35"/>
        <v>0</v>
      </c>
      <c r="CZ12" s="19">
        <f t="shared" si="36"/>
        <v>0</v>
      </c>
      <c r="DA12" s="20"/>
      <c r="DB12" s="13">
        <f t="shared" si="37"/>
        <v>0</v>
      </c>
      <c r="DC12" s="21">
        <f t="shared" si="38"/>
        <v>0</v>
      </c>
      <c r="DE12" s="97">
        <v>491</v>
      </c>
      <c r="DF12" s="32"/>
      <c r="DG12" s="61">
        <f t="shared" si="39"/>
        <v>0</v>
      </c>
      <c r="DH12" s="32"/>
      <c r="DI12" s="59">
        <f t="shared" si="40"/>
        <v>15</v>
      </c>
      <c r="DJ12" s="32"/>
      <c r="DK12" s="59">
        <f t="shared" si="41"/>
        <v>476</v>
      </c>
      <c r="DL12" s="32"/>
      <c r="DM12" s="96">
        <f t="shared" si="42"/>
        <v>8922.6200000000008</v>
      </c>
      <c r="DN12" s="32"/>
      <c r="DO12" s="62">
        <f t="shared" si="43"/>
        <v>31.733333333333334</v>
      </c>
      <c r="DP12" s="32"/>
      <c r="DQ12" s="96">
        <f t="shared" si="44"/>
        <v>10705.24</v>
      </c>
      <c r="DR12" s="32"/>
      <c r="DS12" s="61"/>
      <c r="DT12" s="32"/>
      <c r="DU12" s="63">
        <v>0</v>
      </c>
      <c r="DV12" s="32"/>
      <c r="DW12" s="64">
        <f t="shared" si="46"/>
        <v>0</v>
      </c>
      <c r="DX12" s="32"/>
      <c r="DY12" s="63">
        <f t="shared" si="47"/>
        <v>0</v>
      </c>
    </row>
    <row r="13" spans="1:129" ht="12" customHeight="1" x14ac:dyDescent="0.3">
      <c r="A13" s="39" t="s">
        <v>78</v>
      </c>
      <c r="B13" s="29"/>
      <c r="C13" s="51"/>
      <c r="D13" s="30"/>
      <c r="E13" s="38">
        <v>27.5</v>
      </c>
      <c r="F13" s="30"/>
      <c r="G13" s="33">
        <v>33</v>
      </c>
      <c r="H13" s="5"/>
      <c r="I13" s="26"/>
      <c r="J13" s="27"/>
      <c r="K13" s="28">
        <v>1</v>
      </c>
      <c r="L13" s="12"/>
      <c r="M13" s="26">
        <v>1</v>
      </c>
      <c r="N13" s="12"/>
      <c r="O13" s="28">
        <v>2</v>
      </c>
      <c r="P13" s="12"/>
      <c r="Q13" s="26">
        <v>1</v>
      </c>
      <c r="R13" s="12"/>
      <c r="S13" s="28">
        <v>1</v>
      </c>
      <c r="T13" s="12"/>
      <c r="U13" s="26"/>
      <c r="V13" s="12"/>
      <c r="W13" s="28">
        <v>1</v>
      </c>
      <c r="X13" s="12"/>
      <c r="Y13" s="26">
        <v>1</v>
      </c>
      <c r="Z13" s="12"/>
      <c r="AA13" s="28"/>
      <c r="AB13" s="12"/>
      <c r="AC13" s="26"/>
      <c r="AD13" s="12"/>
      <c r="AE13" s="28"/>
      <c r="AF13" s="12"/>
      <c r="AG13" s="26"/>
      <c r="AH13" s="12"/>
      <c r="AI13" s="28"/>
      <c r="AJ13" s="12"/>
      <c r="AK13" s="26"/>
      <c r="AL13" s="12"/>
      <c r="AM13" s="28"/>
      <c r="AN13" s="12"/>
      <c r="AO13" s="26"/>
      <c r="AP13" s="12"/>
      <c r="AQ13" s="28"/>
      <c r="AR13" s="12"/>
      <c r="AS13" s="26"/>
      <c r="AT13" s="12"/>
      <c r="AU13" s="28"/>
      <c r="AW13" s="18">
        <f t="shared" si="0"/>
        <v>0</v>
      </c>
      <c r="AX13" s="19">
        <f t="shared" si="1"/>
        <v>0</v>
      </c>
      <c r="AY13" s="20"/>
      <c r="AZ13" s="13">
        <f t="shared" si="2"/>
        <v>1</v>
      </c>
      <c r="BA13" s="21">
        <f t="shared" si="3"/>
        <v>33</v>
      </c>
      <c r="BB13" s="20"/>
      <c r="BC13" s="13">
        <f t="shared" si="4"/>
        <v>1</v>
      </c>
      <c r="BD13" s="19">
        <f t="shared" si="5"/>
        <v>33</v>
      </c>
      <c r="BE13" s="20"/>
      <c r="BF13" s="13">
        <f t="shared" si="6"/>
        <v>2</v>
      </c>
      <c r="BG13" s="21">
        <f t="shared" si="7"/>
        <v>66</v>
      </c>
      <c r="BH13" s="20"/>
      <c r="BI13" s="13">
        <f t="shared" si="8"/>
        <v>1</v>
      </c>
      <c r="BJ13" s="19">
        <f t="shared" si="9"/>
        <v>33</v>
      </c>
      <c r="BK13" s="20"/>
      <c r="BL13" s="13">
        <f t="shared" si="10"/>
        <v>1</v>
      </c>
      <c r="BM13" s="21">
        <f t="shared" si="11"/>
        <v>33</v>
      </c>
      <c r="BN13" s="20"/>
      <c r="BO13" s="13">
        <f t="shared" si="12"/>
        <v>0</v>
      </c>
      <c r="BP13" s="19">
        <f t="shared" si="13"/>
        <v>0</v>
      </c>
      <c r="BQ13" s="20"/>
      <c r="BR13" s="13">
        <f t="shared" si="14"/>
        <v>1</v>
      </c>
      <c r="BS13" s="21">
        <f t="shared" si="15"/>
        <v>33</v>
      </c>
      <c r="BT13" s="20"/>
      <c r="BU13" s="13">
        <f t="shared" si="16"/>
        <v>1</v>
      </c>
      <c r="BV13" s="19">
        <f t="shared" si="17"/>
        <v>33</v>
      </c>
      <c r="BW13" s="20"/>
      <c r="BX13" s="13">
        <f t="shared" si="18"/>
        <v>0</v>
      </c>
      <c r="BY13" s="21">
        <f t="shared" si="19"/>
        <v>0</v>
      </c>
      <c r="BZ13" s="20"/>
      <c r="CA13" s="13">
        <f t="shared" si="20"/>
        <v>0</v>
      </c>
      <c r="CB13" s="19">
        <f t="shared" si="21"/>
        <v>0</v>
      </c>
      <c r="CC13" s="20"/>
      <c r="CD13" s="13">
        <f t="shared" si="22"/>
        <v>0</v>
      </c>
      <c r="CE13" s="21">
        <f t="shared" si="23"/>
        <v>0</v>
      </c>
      <c r="CF13" s="20"/>
      <c r="CG13" s="18">
        <f t="shared" si="24"/>
        <v>0</v>
      </c>
      <c r="CH13" s="21">
        <f t="shared" si="45"/>
        <v>0</v>
      </c>
      <c r="CI13" s="20"/>
      <c r="CJ13" s="18">
        <f t="shared" si="25"/>
        <v>0</v>
      </c>
      <c r="CK13" s="21">
        <f t="shared" si="26"/>
        <v>0</v>
      </c>
      <c r="CL13" s="20"/>
      <c r="CM13" s="18">
        <f t="shared" si="27"/>
        <v>0</v>
      </c>
      <c r="CN13" s="21">
        <f t="shared" si="28"/>
        <v>0</v>
      </c>
      <c r="CO13" s="20"/>
      <c r="CP13" s="18">
        <f t="shared" si="29"/>
        <v>0</v>
      </c>
      <c r="CQ13" s="21">
        <f t="shared" si="30"/>
        <v>0</v>
      </c>
      <c r="CR13" s="20"/>
      <c r="CS13" s="18">
        <f t="shared" si="31"/>
        <v>0</v>
      </c>
      <c r="CT13" s="19">
        <f t="shared" si="32"/>
        <v>0</v>
      </c>
      <c r="CU13" s="20"/>
      <c r="CV13" s="13">
        <f t="shared" si="33"/>
        <v>0</v>
      </c>
      <c r="CW13" s="21">
        <f t="shared" si="34"/>
        <v>0</v>
      </c>
      <c r="CX13" s="20"/>
      <c r="CY13" s="13">
        <f t="shared" si="35"/>
        <v>0</v>
      </c>
      <c r="CZ13" s="19">
        <f t="shared" si="36"/>
        <v>0</v>
      </c>
      <c r="DA13" s="20"/>
      <c r="DB13" s="13">
        <f t="shared" si="37"/>
        <v>0</v>
      </c>
      <c r="DC13" s="21">
        <f t="shared" si="38"/>
        <v>0</v>
      </c>
      <c r="DE13" s="97">
        <v>300</v>
      </c>
      <c r="DF13" s="32"/>
      <c r="DG13" s="61">
        <f t="shared" si="39"/>
        <v>0</v>
      </c>
      <c r="DH13" s="32"/>
      <c r="DI13" s="59">
        <f t="shared" si="40"/>
        <v>8</v>
      </c>
      <c r="DJ13" s="32"/>
      <c r="DK13" s="59">
        <f t="shared" si="41"/>
        <v>292</v>
      </c>
      <c r="DL13" s="32"/>
      <c r="DM13" s="96">
        <f t="shared" si="42"/>
        <v>8030</v>
      </c>
      <c r="DN13" s="32"/>
      <c r="DO13" s="62">
        <f t="shared" si="43"/>
        <v>36.5</v>
      </c>
      <c r="DP13" s="32"/>
      <c r="DQ13" s="96">
        <f t="shared" si="44"/>
        <v>9636</v>
      </c>
      <c r="DR13" s="32"/>
      <c r="DS13" s="61"/>
      <c r="DT13" s="32"/>
      <c r="DU13" s="63">
        <v>0</v>
      </c>
      <c r="DV13" s="32"/>
      <c r="DW13" s="64">
        <f t="shared" si="46"/>
        <v>0</v>
      </c>
      <c r="DX13" s="32"/>
      <c r="DY13" s="63">
        <f t="shared" si="47"/>
        <v>0</v>
      </c>
    </row>
    <row r="14" spans="1:129" ht="12" customHeight="1" x14ac:dyDescent="0.3">
      <c r="A14" s="40" t="s">
        <v>77</v>
      </c>
      <c r="B14" s="32"/>
      <c r="C14" s="51"/>
      <c r="D14" s="34"/>
      <c r="E14" s="38">
        <v>11.07</v>
      </c>
      <c r="F14" s="34"/>
      <c r="G14" s="33">
        <v>13.28</v>
      </c>
      <c r="I14" s="26">
        <v>2</v>
      </c>
      <c r="J14" s="27"/>
      <c r="K14" s="28">
        <v>1</v>
      </c>
      <c r="L14" s="12"/>
      <c r="M14" s="26">
        <v>1</v>
      </c>
      <c r="N14" s="12"/>
      <c r="O14" s="28">
        <v>1</v>
      </c>
      <c r="P14" s="12"/>
      <c r="Q14" s="26"/>
      <c r="R14" s="12"/>
      <c r="S14" s="28">
        <v>1</v>
      </c>
      <c r="T14" s="12"/>
      <c r="U14" s="26">
        <v>1</v>
      </c>
      <c r="V14" s="12"/>
      <c r="W14" s="28">
        <v>1</v>
      </c>
      <c r="X14" s="12"/>
      <c r="Y14" s="26"/>
      <c r="Z14" s="12"/>
      <c r="AA14" s="28">
        <v>1</v>
      </c>
      <c r="AB14" s="12"/>
      <c r="AC14" s="26"/>
      <c r="AD14" s="12"/>
      <c r="AE14" s="28"/>
      <c r="AF14" s="12"/>
      <c r="AG14" s="26"/>
      <c r="AH14" s="12"/>
      <c r="AI14" s="28"/>
      <c r="AJ14" s="12"/>
      <c r="AK14" s="26"/>
      <c r="AL14" s="12"/>
      <c r="AM14" s="28"/>
      <c r="AN14" s="12"/>
      <c r="AO14" s="26"/>
      <c r="AP14" s="12"/>
      <c r="AQ14" s="28"/>
      <c r="AR14" s="12"/>
      <c r="AS14" s="26"/>
      <c r="AT14" s="12"/>
      <c r="AU14" s="28"/>
      <c r="AW14" s="18">
        <f t="shared" si="0"/>
        <v>2</v>
      </c>
      <c r="AX14" s="19">
        <f t="shared" si="1"/>
        <v>26.56</v>
      </c>
      <c r="AY14" s="20"/>
      <c r="AZ14" s="13">
        <f t="shared" si="2"/>
        <v>1</v>
      </c>
      <c r="BA14" s="21">
        <f t="shared" si="3"/>
        <v>13.28</v>
      </c>
      <c r="BB14" s="20"/>
      <c r="BC14" s="13">
        <f t="shared" si="4"/>
        <v>1</v>
      </c>
      <c r="BD14" s="19">
        <f t="shared" si="5"/>
        <v>13.28</v>
      </c>
      <c r="BE14" s="20"/>
      <c r="BF14" s="13">
        <f t="shared" si="6"/>
        <v>1</v>
      </c>
      <c r="BG14" s="21">
        <f t="shared" si="7"/>
        <v>13.28</v>
      </c>
      <c r="BH14" s="20"/>
      <c r="BI14" s="13">
        <f t="shared" si="8"/>
        <v>0</v>
      </c>
      <c r="BJ14" s="19">
        <f t="shared" si="9"/>
        <v>0</v>
      </c>
      <c r="BK14" s="20"/>
      <c r="BL14" s="13">
        <f t="shared" si="10"/>
        <v>1</v>
      </c>
      <c r="BM14" s="21">
        <f t="shared" si="11"/>
        <v>13.28</v>
      </c>
      <c r="BN14" s="20"/>
      <c r="BO14" s="13">
        <f t="shared" si="12"/>
        <v>1</v>
      </c>
      <c r="BP14" s="19">
        <f t="shared" si="13"/>
        <v>13.28</v>
      </c>
      <c r="BQ14" s="20"/>
      <c r="BR14" s="13">
        <f t="shared" si="14"/>
        <v>1</v>
      </c>
      <c r="BS14" s="21">
        <f t="shared" si="15"/>
        <v>13.28</v>
      </c>
      <c r="BT14" s="20"/>
      <c r="BU14" s="13">
        <f t="shared" si="16"/>
        <v>0</v>
      </c>
      <c r="BV14" s="19">
        <f t="shared" si="17"/>
        <v>0</v>
      </c>
      <c r="BW14" s="20"/>
      <c r="BX14" s="13">
        <f t="shared" si="18"/>
        <v>1</v>
      </c>
      <c r="BY14" s="21">
        <f t="shared" si="19"/>
        <v>13.28</v>
      </c>
      <c r="BZ14" s="20"/>
      <c r="CA14" s="13">
        <f t="shared" si="20"/>
        <v>0</v>
      </c>
      <c r="CB14" s="19">
        <f t="shared" si="21"/>
        <v>0</v>
      </c>
      <c r="CC14" s="20"/>
      <c r="CD14" s="13">
        <f t="shared" si="22"/>
        <v>0</v>
      </c>
      <c r="CE14" s="21">
        <f t="shared" si="23"/>
        <v>0</v>
      </c>
      <c r="CF14" s="20"/>
      <c r="CG14" s="18">
        <f t="shared" si="24"/>
        <v>0</v>
      </c>
      <c r="CH14" s="21">
        <f t="shared" si="45"/>
        <v>0</v>
      </c>
      <c r="CI14" s="20"/>
      <c r="CJ14" s="18">
        <f t="shared" si="25"/>
        <v>0</v>
      </c>
      <c r="CK14" s="21">
        <f t="shared" si="26"/>
        <v>0</v>
      </c>
      <c r="CL14" s="20"/>
      <c r="CM14" s="18">
        <f t="shared" si="27"/>
        <v>0</v>
      </c>
      <c r="CN14" s="21">
        <f t="shared" si="28"/>
        <v>0</v>
      </c>
      <c r="CO14" s="20"/>
      <c r="CP14" s="18">
        <f t="shared" si="29"/>
        <v>0</v>
      </c>
      <c r="CQ14" s="21">
        <f t="shared" si="30"/>
        <v>0</v>
      </c>
      <c r="CR14" s="20"/>
      <c r="CS14" s="18">
        <f t="shared" si="31"/>
        <v>0</v>
      </c>
      <c r="CT14" s="19">
        <f t="shared" si="32"/>
        <v>0</v>
      </c>
      <c r="CU14" s="20"/>
      <c r="CV14" s="13">
        <f t="shared" si="33"/>
        <v>0</v>
      </c>
      <c r="CW14" s="21">
        <f t="shared" si="34"/>
        <v>0</v>
      </c>
      <c r="CX14" s="20"/>
      <c r="CY14" s="13">
        <f t="shared" si="35"/>
        <v>0</v>
      </c>
      <c r="CZ14" s="19">
        <f t="shared" si="36"/>
        <v>0</v>
      </c>
      <c r="DA14" s="20"/>
      <c r="DB14" s="13">
        <f t="shared" si="37"/>
        <v>0</v>
      </c>
      <c r="DC14" s="21">
        <f t="shared" si="38"/>
        <v>0</v>
      </c>
      <c r="DE14" s="97">
        <v>111</v>
      </c>
      <c r="DF14" s="32"/>
      <c r="DG14" s="61">
        <f t="shared" si="39"/>
        <v>0</v>
      </c>
      <c r="DH14" s="32"/>
      <c r="DI14" s="59">
        <f t="shared" si="40"/>
        <v>9</v>
      </c>
      <c r="DJ14" s="32"/>
      <c r="DK14" s="59">
        <f t="shared" si="41"/>
        <v>102</v>
      </c>
      <c r="DL14" s="32"/>
      <c r="DM14" s="96">
        <f t="shared" si="42"/>
        <v>1129.1400000000001</v>
      </c>
      <c r="DN14" s="32"/>
      <c r="DO14" s="62">
        <f t="shared" si="43"/>
        <v>11.333333333333334</v>
      </c>
      <c r="DP14" s="32"/>
      <c r="DQ14" s="96">
        <f t="shared" si="44"/>
        <v>1354.56</v>
      </c>
      <c r="DR14" s="32"/>
      <c r="DS14" s="61"/>
      <c r="DT14" s="32"/>
      <c r="DU14" s="63">
        <v>0</v>
      </c>
      <c r="DV14" s="32"/>
      <c r="DW14" s="64">
        <f t="shared" si="46"/>
        <v>0</v>
      </c>
      <c r="DX14" s="32"/>
      <c r="DY14" s="63">
        <f t="shared" si="47"/>
        <v>0</v>
      </c>
    </row>
    <row r="15" spans="1:129" ht="12" customHeight="1" x14ac:dyDescent="0.3">
      <c r="A15" s="41" t="s">
        <v>79</v>
      </c>
      <c r="B15" s="32"/>
      <c r="C15" s="51"/>
      <c r="D15" s="34"/>
      <c r="E15" s="38">
        <v>13.03</v>
      </c>
      <c r="F15" s="34"/>
      <c r="G15" s="33">
        <v>15.64</v>
      </c>
      <c r="I15" s="26"/>
      <c r="J15" s="27"/>
      <c r="K15" s="28">
        <v>1</v>
      </c>
      <c r="L15" s="12"/>
      <c r="M15" s="26"/>
      <c r="N15" s="12"/>
      <c r="O15" s="28">
        <v>1</v>
      </c>
      <c r="P15" s="12"/>
      <c r="Q15" s="26"/>
      <c r="R15" s="12"/>
      <c r="S15" s="28"/>
      <c r="T15" s="12"/>
      <c r="U15" s="26"/>
      <c r="V15" s="12"/>
      <c r="W15" s="28"/>
      <c r="X15" s="12"/>
      <c r="Y15" s="26"/>
      <c r="Z15" s="12"/>
      <c r="AA15" s="28">
        <v>1</v>
      </c>
      <c r="AB15" s="12"/>
      <c r="AC15" s="26"/>
      <c r="AD15" s="12"/>
      <c r="AE15" s="28"/>
      <c r="AF15" s="12"/>
      <c r="AG15" s="26"/>
      <c r="AH15" s="12"/>
      <c r="AI15" s="28"/>
      <c r="AJ15" s="12"/>
      <c r="AK15" s="26"/>
      <c r="AL15" s="12"/>
      <c r="AM15" s="28"/>
      <c r="AN15" s="12"/>
      <c r="AO15" s="26"/>
      <c r="AP15" s="12"/>
      <c r="AQ15" s="28"/>
      <c r="AR15" s="12"/>
      <c r="AS15" s="26"/>
      <c r="AT15" s="12"/>
      <c r="AU15" s="28"/>
      <c r="AW15" s="18">
        <f t="shared" si="0"/>
        <v>0</v>
      </c>
      <c r="AX15" s="19">
        <f t="shared" si="1"/>
        <v>0</v>
      </c>
      <c r="AY15" s="20"/>
      <c r="AZ15" s="13">
        <f t="shared" si="2"/>
        <v>1</v>
      </c>
      <c r="BA15" s="21">
        <f t="shared" si="3"/>
        <v>15.64</v>
      </c>
      <c r="BB15" s="20"/>
      <c r="BC15" s="13">
        <f t="shared" si="4"/>
        <v>0</v>
      </c>
      <c r="BD15" s="19">
        <f t="shared" si="5"/>
        <v>0</v>
      </c>
      <c r="BE15" s="20"/>
      <c r="BF15" s="13">
        <f t="shared" si="6"/>
        <v>1</v>
      </c>
      <c r="BG15" s="21">
        <f t="shared" si="7"/>
        <v>15.64</v>
      </c>
      <c r="BH15" s="20"/>
      <c r="BI15" s="13">
        <f t="shared" si="8"/>
        <v>0</v>
      </c>
      <c r="BJ15" s="19">
        <f t="shared" si="9"/>
        <v>0</v>
      </c>
      <c r="BK15" s="20"/>
      <c r="BL15" s="13">
        <f t="shared" si="10"/>
        <v>0</v>
      </c>
      <c r="BM15" s="21">
        <f t="shared" si="11"/>
        <v>0</v>
      </c>
      <c r="BN15" s="20"/>
      <c r="BO15" s="13">
        <f t="shared" si="12"/>
        <v>0</v>
      </c>
      <c r="BP15" s="19">
        <f t="shared" si="13"/>
        <v>0</v>
      </c>
      <c r="BQ15" s="20"/>
      <c r="BR15" s="13">
        <f t="shared" si="14"/>
        <v>0</v>
      </c>
      <c r="BS15" s="21">
        <f t="shared" si="15"/>
        <v>0</v>
      </c>
      <c r="BT15" s="20"/>
      <c r="BU15" s="13">
        <f t="shared" si="16"/>
        <v>0</v>
      </c>
      <c r="BV15" s="19">
        <f t="shared" si="17"/>
        <v>0</v>
      </c>
      <c r="BW15" s="20"/>
      <c r="BX15" s="13">
        <f t="shared" si="18"/>
        <v>1</v>
      </c>
      <c r="BY15" s="21">
        <f t="shared" si="19"/>
        <v>15.64</v>
      </c>
      <c r="BZ15" s="20"/>
      <c r="CA15" s="13">
        <f t="shared" si="20"/>
        <v>0</v>
      </c>
      <c r="CB15" s="19">
        <f t="shared" si="21"/>
        <v>0</v>
      </c>
      <c r="CC15" s="20"/>
      <c r="CD15" s="13">
        <f t="shared" si="22"/>
        <v>0</v>
      </c>
      <c r="CE15" s="21">
        <f t="shared" si="23"/>
        <v>0</v>
      </c>
      <c r="CF15" s="20"/>
      <c r="CG15" s="18">
        <f t="shared" si="24"/>
        <v>0</v>
      </c>
      <c r="CH15" s="21">
        <f t="shared" si="45"/>
        <v>0</v>
      </c>
      <c r="CI15" s="20"/>
      <c r="CJ15" s="18">
        <f t="shared" si="25"/>
        <v>0</v>
      </c>
      <c r="CK15" s="21">
        <f t="shared" si="26"/>
        <v>0</v>
      </c>
      <c r="CL15" s="20"/>
      <c r="CM15" s="18">
        <f t="shared" si="27"/>
        <v>0</v>
      </c>
      <c r="CN15" s="21">
        <f t="shared" si="28"/>
        <v>0</v>
      </c>
      <c r="CO15" s="20"/>
      <c r="CP15" s="18">
        <f t="shared" si="29"/>
        <v>0</v>
      </c>
      <c r="CQ15" s="21">
        <f t="shared" si="30"/>
        <v>0</v>
      </c>
      <c r="CR15" s="20"/>
      <c r="CS15" s="18">
        <f t="shared" si="31"/>
        <v>0</v>
      </c>
      <c r="CT15" s="19">
        <f t="shared" si="32"/>
        <v>0</v>
      </c>
      <c r="CU15" s="20"/>
      <c r="CV15" s="13">
        <f t="shared" si="33"/>
        <v>0</v>
      </c>
      <c r="CW15" s="21">
        <f t="shared" si="34"/>
        <v>0</v>
      </c>
      <c r="CX15" s="20"/>
      <c r="CY15" s="13">
        <f t="shared" si="35"/>
        <v>0</v>
      </c>
      <c r="CZ15" s="19">
        <f t="shared" si="36"/>
        <v>0</v>
      </c>
      <c r="DA15" s="20"/>
      <c r="DB15" s="13">
        <f t="shared" si="37"/>
        <v>0</v>
      </c>
      <c r="DC15" s="21">
        <f t="shared" si="38"/>
        <v>0</v>
      </c>
      <c r="DE15" s="97">
        <v>48</v>
      </c>
      <c r="DF15" s="32"/>
      <c r="DG15" s="61">
        <f t="shared" si="39"/>
        <v>0</v>
      </c>
      <c r="DH15" s="32"/>
      <c r="DI15" s="59">
        <f t="shared" si="40"/>
        <v>3</v>
      </c>
      <c r="DJ15" s="32"/>
      <c r="DK15" s="59">
        <f t="shared" si="41"/>
        <v>45</v>
      </c>
      <c r="DL15" s="32"/>
      <c r="DM15" s="96">
        <f t="shared" si="42"/>
        <v>586.35</v>
      </c>
      <c r="DN15" s="32"/>
      <c r="DO15" s="62">
        <f t="shared" si="43"/>
        <v>15</v>
      </c>
      <c r="DP15" s="32"/>
      <c r="DQ15" s="96">
        <f t="shared" si="44"/>
        <v>703.80000000000007</v>
      </c>
      <c r="DR15" s="32"/>
      <c r="DS15" s="61"/>
      <c r="DT15" s="32"/>
      <c r="DU15" s="63">
        <v>0</v>
      </c>
      <c r="DV15" s="32"/>
      <c r="DW15" s="64">
        <f t="shared" si="46"/>
        <v>0</v>
      </c>
      <c r="DX15" s="32"/>
      <c r="DY15" s="63">
        <f t="shared" si="47"/>
        <v>0</v>
      </c>
    </row>
    <row r="16" spans="1:129" ht="12.45" customHeight="1" x14ac:dyDescent="0.3">
      <c r="A16" s="37" t="s">
        <v>76</v>
      </c>
      <c r="B16" s="32"/>
      <c r="C16" s="51"/>
      <c r="D16" s="34"/>
      <c r="E16" s="38">
        <v>18.95</v>
      </c>
      <c r="F16" s="34"/>
      <c r="G16" s="33">
        <v>22.74</v>
      </c>
      <c r="I16" s="26"/>
      <c r="J16" s="27"/>
      <c r="K16" s="28">
        <v>1</v>
      </c>
      <c r="L16" s="12"/>
      <c r="M16" s="26">
        <v>1</v>
      </c>
      <c r="N16" s="12"/>
      <c r="O16" s="28">
        <v>1</v>
      </c>
      <c r="P16" s="12"/>
      <c r="Q16" s="26"/>
      <c r="R16" s="12"/>
      <c r="S16" s="28">
        <v>1</v>
      </c>
      <c r="T16" s="12"/>
      <c r="U16" s="26">
        <v>1</v>
      </c>
      <c r="V16" s="12"/>
      <c r="W16" s="28"/>
      <c r="X16" s="12"/>
      <c r="Y16" s="26"/>
      <c r="Z16" s="12"/>
      <c r="AA16" s="28">
        <v>1</v>
      </c>
      <c r="AB16" s="12"/>
      <c r="AC16" s="26">
        <v>1</v>
      </c>
      <c r="AD16" s="12"/>
      <c r="AE16" s="28"/>
      <c r="AF16" s="12"/>
      <c r="AG16" s="26"/>
      <c r="AH16" s="12"/>
      <c r="AI16" s="28"/>
      <c r="AJ16" s="12"/>
      <c r="AK16" s="26"/>
      <c r="AL16" s="12"/>
      <c r="AM16" s="28"/>
      <c r="AN16" s="12"/>
      <c r="AO16" s="26"/>
      <c r="AP16" s="12"/>
      <c r="AQ16" s="28"/>
      <c r="AR16" s="12"/>
      <c r="AS16" s="26"/>
      <c r="AT16" s="12"/>
      <c r="AU16" s="28"/>
      <c r="AW16" s="18">
        <f t="shared" si="0"/>
        <v>0</v>
      </c>
      <c r="AX16" s="19">
        <f t="shared" si="1"/>
        <v>0</v>
      </c>
      <c r="AY16" s="20"/>
      <c r="AZ16" s="13">
        <f t="shared" si="2"/>
        <v>1</v>
      </c>
      <c r="BA16" s="21">
        <f t="shared" si="3"/>
        <v>22.74</v>
      </c>
      <c r="BB16" s="20"/>
      <c r="BC16" s="13">
        <f t="shared" si="4"/>
        <v>1</v>
      </c>
      <c r="BD16" s="19">
        <f t="shared" si="5"/>
        <v>22.74</v>
      </c>
      <c r="BE16" s="20"/>
      <c r="BF16" s="13">
        <f t="shared" si="6"/>
        <v>1</v>
      </c>
      <c r="BG16" s="21">
        <f t="shared" si="7"/>
        <v>22.74</v>
      </c>
      <c r="BH16" s="20"/>
      <c r="BI16" s="13">
        <f t="shared" si="8"/>
        <v>0</v>
      </c>
      <c r="BJ16" s="19">
        <f t="shared" si="9"/>
        <v>0</v>
      </c>
      <c r="BK16" s="20"/>
      <c r="BL16" s="13">
        <f t="shared" si="10"/>
        <v>1</v>
      </c>
      <c r="BM16" s="21">
        <f t="shared" si="11"/>
        <v>22.74</v>
      </c>
      <c r="BN16" s="20"/>
      <c r="BO16" s="13">
        <f t="shared" si="12"/>
        <v>1</v>
      </c>
      <c r="BP16" s="19">
        <f t="shared" si="13"/>
        <v>22.74</v>
      </c>
      <c r="BQ16" s="20"/>
      <c r="BR16" s="13">
        <f t="shared" si="14"/>
        <v>0</v>
      </c>
      <c r="BS16" s="21">
        <f t="shared" si="15"/>
        <v>0</v>
      </c>
      <c r="BT16" s="20"/>
      <c r="BU16" s="13">
        <f t="shared" si="16"/>
        <v>0</v>
      </c>
      <c r="BV16" s="19">
        <f t="shared" si="17"/>
        <v>0</v>
      </c>
      <c r="BW16" s="20"/>
      <c r="BX16" s="13">
        <f t="shared" si="18"/>
        <v>1</v>
      </c>
      <c r="BY16" s="21">
        <f t="shared" si="19"/>
        <v>22.74</v>
      </c>
      <c r="BZ16" s="20"/>
      <c r="CA16" s="13">
        <f t="shared" si="20"/>
        <v>1</v>
      </c>
      <c r="CB16" s="19">
        <f t="shared" si="21"/>
        <v>22.74</v>
      </c>
      <c r="CC16" s="20"/>
      <c r="CD16" s="13">
        <f t="shared" si="22"/>
        <v>0</v>
      </c>
      <c r="CE16" s="21">
        <f t="shared" si="23"/>
        <v>0</v>
      </c>
      <c r="CF16" s="20"/>
      <c r="CG16" s="18">
        <f t="shared" si="24"/>
        <v>0</v>
      </c>
      <c r="CH16" s="21">
        <f t="shared" si="45"/>
        <v>0</v>
      </c>
      <c r="CI16" s="20"/>
      <c r="CJ16" s="18">
        <f t="shared" si="25"/>
        <v>0</v>
      </c>
      <c r="CK16" s="21">
        <f t="shared" si="26"/>
        <v>0</v>
      </c>
      <c r="CL16" s="20"/>
      <c r="CM16" s="18">
        <f t="shared" si="27"/>
        <v>0</v>
      </c>
      <c r="CN16" s="21">
        <f t="shared" si="28"/>
        <v>0</v>
      </c>
      <c r="CO16" s="20"/>
      <c r="CP16" s="18">
        <f t="shared" si="29"/>
        <v>0</v>
      </c>
      <c r="CQ16" s="21">
        <f t="shared" si="30"/>
        <v>0</v>
      </c>
      <c r="CR16" s="20"/>
      <c r="CS16" s="18">
        <f t="shared" si="31"/>
        <v>0</v>
      </c>
      <c r="CT16" s="19">
        <f t="shared" si="32"/>
        <v>0</v>
      </c>
      <c r="CU16" s="20"/>
      <c r="CV16" s="13">
        <f t="shared" si="33"/>
        <v>0</v>
      </c>
      <c r="CW16" s="21">
        <f t="shared" si="34"/>
        <v>0</v>
      </c>
      <c r="CX16" s="20"/>
      <c r="CY16" s="13">
        <f t="shared" si="35"/>
        <v>0</v>
      </c>
      <c r="CZ16" s="19">
        <f t="shared" si="36"/>
        <v>0</v>
      </c>
      <c r="DA16" s="20"/>
      <c r="DB16" s="13">
        <f t="shared" si="37"/>
        <v>0</v>
      </c>
      <c r="DC16" s="21">
        <f t="shared" si="38"/>
        <v>0</v>
      </c>
      <c r="DE16" s="97">
        <v>58</v>
      </c>
      <c r="DF16" s="32"/>
      <c r="DG16" s="61">
        <f t="shared" si="39"/>
        <v>0</v>
      </c>
      <c r="DH16" s="32"/>
      <c r="DI16" s="59">
        <f t="shared" si="40"/>
        <v>7</v>
      </c>
      <c r="DJ16" s="32"/>
      <c r="DK16" s="59">
        <f t="shared" si="41"/>
        <v>51</v>
      </c>
      <c r="DL16" s="32"/>
      <c r="DM16" s="96">
        <f t="shared" si="42"/>
        <v>966.44999999999993</v>
      </c>
      <c r="DN16" s="32"/>
      <c r="DO16" s="62">
        <f t="shared" si="43"/>
        <v>7.2857142857142856</v>
      </c>
      <c r="DP16" s="32"/>
      <c r="DQ16" s="96">
        <f t="shared" si="44"/>
        <v>1159.74</v>
      </c>
      <c r="DR16" s="32"/>
      <c r="DS16" s="61"/>
      <c r="DT16" s="32"/>
      <c r="DU16" s="63">
        <v>0</v>
      </c>
      <c r="DV16" s="32"/>
      <c r="DW16" s="64">
        <f t="shared" si="46"/>
        <v>0</v>
      </c>
      <c r="DX16" s="32"/>
      <c r="DY16" s="63">
        <f t="shared" si="47"/>
        <v>0</v>
      </c>
    </row>
    <row r="17" spans="1:129" ht="12" customHeight="1" x14ac:dyDescent="0.3">
      <c r="A17" s="42" t="s">
        <v>25</v>
      </c>
      <c r="B17" s="32"/>
      <c r="C17" s="51"/>
      <c r="D17" s="34"/>
      <c r="E17" s="38">
        <v>22.95</v>
      </c>
      <c r="F17" s="34"/>
      <c r="G17" s="33">
        <v>27.54</v>
      </c>
      <c r="I17" s="26"/>
      <c r="J17" s="27"/>
      <c r="K17" s="28"/>
      <c r="L17" s="12"/>
      <c r="M17" s="26"/>
      <c r="N17" s="12"/>
      <c r="O17" s="28"/>
      <c r="P17" s="12"/>
      <c r="Q17" s="26"/>
      <c r="R17" s="12"/>
      <c r="S17" s="28"/>
      <c r="T17" s="12"/>
      <c r="U17" s="26">
        <v>1</v>
      </c>
      <c r="V17" s="12"/>
      <c r="W17" s="28"/>
      <c r="X17" s="12"/>
      <c r="Y17" s="26">
        <v>1</v>
      </c>
      <c r="Z17" s="12"/>
      <c r="AA17" s="28"/>
      <c r="AB17" s="12"/>
      <c r="AC17" s="26">
        <v>1</v>
      </c>
      <c r="AD17" s="12"/>
      <c r="AE17" s="28"/>
      <c r="AF17" s="12"/>
      <c r="AG17" s="26"/>
      <c r="AH17" s="12"/>
      <c r="AI17" s="28"/>
      <c r="AJ17" s="12"/>
      <c r="AK17" s="26"/>
      <c r="AL17" s="12"/>
      <c r="AM17" s="28"/>
      <c r="AN17" s="12"/>
      <c r="AO17" s="26"/>
      <c r="AP17" s="12"/>
      <c r="AQ17" s="28"/>
      <c r="AR17" s="12"/>
      <c r="AS17" s="26"/>
      <c r="AT17" s="12"/>
      <c r="AU17" s="28"/>
      <c r="AW17" s="18">
        <f t="shared" si="0"/>
        <v>0</v>
      </c>
      <c r="AX17" s="19">
        <f t="shared" si="1"/>
        <v>0</v>
      </c>
      <c r="AY17" s="20"/>
      <c r="AZ17" s="13">
        <f t="shared" si="2"/>
        <v>0</v>
      </c>
      <c r="BA17" s="21">
        <f t="shared" si="3"/>
        <v>0</v>
      </c>
      <c r="BB17" s="20"/>
      <c r="BC17" s="13">
        <f t="shared" si="4"/>
        <v>0</v>
      </c>
      <c r="BD17" s="19">
        <f t="shared" si="5"/>
        <v>0</v>
      </c>
      <c r="BE17" s="20"/>
      <c r="BF17" s="13">
        <f t="shared" si="6"/>
        <v>0</v>
      </c>
      <c r="BG17" s="21">
        <f t="shared" si="7"/>
        <v>0</v>
      </c>
      <c r="BH17" s="20"/>
      <c r="BI17" s="13">
        <f t="shared" si="8"/>
        <v>0</v>
      </c>
      <c r="BJ17" s="19">
        <f t="shared" si="9"/>
        <v>0</v>
      </c>
      <c r="BK17" s="20"/>
      <c r="BL17" s="13">
        <f t="shared" si="10"/>
        <v>0</v>
      </c>
      <c r="BM17" s="21">
        <f t="shared" si="11"/>
        <v>0</v>
      </c>
      <c r="BN17" s="20"/>
      <c r="BO17" s="13">
        <f t="shared" si="12"/>
        <v>1</v>
      </c>
      <c r="BP17" s="19">
        <f t="shared" si="13"/>
        <v>27.54</v>
      </c>
      <c r="BQ17" s="20"/>
      <c r="BR17" s="13">
        <f t="shared" si="14"/>
        <v>0</v>
      </c>
      <c r="BS17" s="21">
        <f t="shared" si="15"/>
        <v>0</v>
      </c>
      <c r="BT17" s="20"/>
      <c r="BU17" s="13">
        <f t="shared" si="16"/>
        <v>1</v>
      </c>
      <c r="BV17" s="19">
        <f t="shared" si="17"/>
        <v>27.54</v>
      </c>
      <c r="BW17" s="20"/>
      <c r="BX17" s="13">
        <f t="shared" si="18"/>
        <v>0</v>
      </c>
      <c r="BY17" s="21">
        <f t="shared" si="19"/>
        <v>0</v>
      </c>
      <c r="BZ17" s="20"/>
      <c r="CA17" s="13">
        <f t="shared" si="20"/>
        <v>1</v>
      </c>
      <c r="CB17" s="19">
        <f t="shared" si="21"/>
        <v>27.54</v>
      </c>
      <c r="CC17" s="20"/>
      <c r="CD17" s="13">
        <f t="shared" si="22"/>
        <v>0</v>
      </c>
      <c r="CE17" s="21">
        <f t="shared" si="23"/>
        <v>0</v>
      </c>
      <c r="CF17" s="20"/>
      <c r="CG17" s="18">
        <f t="shared" si="24"/>
        <v>0</v>
      </c>
      <c r="CH17" s="21">
        <f t="shared" si="45"/>
        <v>0</v>
      </c>
      <c r="CI17" s="20"/>
      <c r="CJ17" s="18">
        <f t="shared" si="25"/>
        <v>0</v>
      </c>
      <c r="CK17" s="21">
        <f t="shared" si="26"/>
        <v>0</v>
      </c>
      <c r="CL17" s="20"/>
      <c r="CM17" s="18">
        <f t="shared" si="27"/>
        <v>0</v>
      </c>
      <c r="CN17" s="21">
        <f t="shared" si="28"/>
        <v>0</v>
      </c>
      <c r="CO17" s="20"/>
      <c r="CP17" s="18">
        <f t="shared" si="29"/>
        <v>0</v>
      </c>
      <c r="CQ17" s="21">
        <f t="shared" si="30"/>
        <v>0</v>
      </c>
      <c r="CR17" s="20"/>
      <c r="CS17" s="18">
        <f t="shared" si="31"/>
        <v>0</v>
      </c>
      <c r="CT17" s="19">
        <f t="shared" si="32"/>
        <v>0</v>
      </c>
      <c r="CU17" s="20"/>
      <c r="CV17" s="13">
        <f t="shared" si="33"/>
        <v>0</v>
      </c>
      <c r="CW17" s="21">
        <f t="shared" si="34"/>
        <v>0</v>
      </c>
      <c r="CX17" s="20"/>
      <c r="CY17" s="13">
        <f t="shared" si="35"/>
        <v>0</v>
      </c>
      <c r="CZ17" s="19">
        <f t="shared" si="36"/>
        <v>0</v>
      </c>
      <c r="DA17" s="20"/>
      <c r="DB17" s="13">
        <f t="shared" si="37"/>
        <v>0</v>
      </c>
      <c r="DC17" s="21">
        <f t="shared" si="38"/>
        <v>0</v>
      </c>
      <c r="DE17" s="97">
        <v>82</v>
      </c>
      <c r="DF17" s="32"/>
      <c r="DG17" s="61">
        <f t="shared" si="39"/>
        <v>0</v>
      </c>
      <c r="DH17" s="32"/>
      <c r="DI17" s="59">
        <f t="shared" si="40"/>
        <v>3</v>
      </c>
      <c r="DJ17" s="32"/>
      <c r="DK17" s="59">
        <f t="shared" si="41"/>
        <v>79</v>
      </c>
      <c r="DL17" s="32"/>
      <c r="DM17" s="96">
        <f t="shared" si="42"/>
        <v>1813.05</v>
      </c>
      <c r="DN17" s="32"/>
      <c r="DO17" s="62">
        <f t="shared" si="43"/>
        <v>26.333333333333332</v>
      </c>
      <c r="DP17" s="32"/>
      <c r="DQ17" s="96">
        <f t="shared" si="44"/>
        <v>2175.66</v>
      </c>
      <c r="DR17" s="32"/>
      <c r="DS17" s="61"/>
      <c r="DT17" s="32"/>
      <c r="DU17" s="63">
        <v>0</v>
      </c>
      <c r="DV17" s="32"/>
      <c r="DW17" s="64">
        <f t="shared" si="46"/>
        <v>0</v>
      </c>
      <c r="DX17" s="32"/>
      <c r="DY17" s="63">
        <f t="shared" si="47"/>
        <v>0</v>
      </c>
    </row>
    <row r="18" spans="1:129" ht="12" customHeight="1" x14ac:dyDescent="0.3">
      <c r="A18" s="37" t="s">
        <v>26</v>
      </c>
      <c r="B18" s="32"/>
      <c r="C18" s="51"/>
      <c r="D18" s="34"/>
      <c r="E18" s="38">
        <v>33.950000000000003</v>
      </c>
      <c r="F18" s="34"/>
      <c r="G18" s="33">
        <v>40.74</v>
      </c>
      <c r="I18" s="26"/>
      <c r="J18" s="27"/>
      <c r="K18" s="28">
        <v>1</v>
      </c>
      <c r="L18" s="12"/>
      <c r="M18" s="26">
        <v>1</v>
      </c>
      <c r="N18" s="12"/>
      <c r="O18" s="28">
        <v>2</v>
      </c>
      <c r="P18" s="12"/>
      <c r="Q18" s="26">
        <v>2</v>
      </c>
      <c r="R18" s="12"/>
      <c r="S18" s="28">
        <v>1</v>
      </c>
      <c r="T18" s="12"/>
      <c r="U18" s="26">
        <v>1</v>
      </c>
      <c r="V18" s="12"/>
      <c r="W18" s="28">
        <v>2</v>
      </c>
      <c r="X18" s="12"/>
      <c r="Y18" s="26">
        <v>1</v>
      </c>
      <c r="Z18" s="12"/>
      <c r="AA18" s="28">
        <v>1</v>
      </c>
      <c r="AB18" s="12"/>
      <c r="AC18" s="26">
        <v>1</v>
      </c>
      <c r="AD18" s="12"/>
      <c r="AE18" s="28"/>
      <c r="AF18" s="12"/>
      <c r="AG18" s="26"/>
      <c r="AH18" s="12"/>
      <c r="AI18" s="28"/>
      <c r="AJ18" s="12"/>
      <c r="AK18" s="26"/>
      <c r="AL18" s="12"/>
      <c r="AM18" s="28"/>
      <c r="AN18" s="12"/>
      <c r="AO18" s="26"/>
      <c r="AP18" s="12"/>
      <c r="AQ18" s="28"/>
      <c r="AR18" s="12"/>
      <c r="AS18" s="26"/>
      <c r="AT18" s="12"/>
      <c r="AU18" s="28"/>
      <c r="AW18" s="18">
        <f t="shared" si="0"/>
        <v>0</v>
      </c>
      <c r="AX18" s="19">
        <f t="shared" si="1"/>
        <v>0</v>
      </c>
      <c r="AY18" s="20"/>
      <c r="AZ18" s="13">
        <f t="shared" si="2"/>
        <v>1</v>
      </c>
      <c r="BA18" s="21">
        <f t="shared" si="3"/>
        <v>40.74</v>
      </c>
      <c r="BB18" s="20"/>
      <c r="BC18" s="13">
        <f t="shared" si="4"/>
        <v>1</v>
      </c>
      <c r="BD18" s="19">
        <f t="shared" si="5"/>
        <v>40.74</v>
      </c>
      <c r="BE18" s="20"/>
      <c r="BF18" s="13">
        <f t="shared" si="6"/>
        <v>2</v>
      </c>
      <c r="BG18" s="21">
        <f t="shared" si="7"/>
        <v>81.48</v>
      </c>
      <c r="BH18" s="20"/>
      <c r="BI18" s="13">
        <f t="shared" si="8"/>
        <v>2</v>
      </c>
      <c r="BJ18" s="19">
        <f t="shared" si="9"/>
        <v>81.48</v>
      </c>
      <c r="BK18" s="20"/>
      <c r="BL18" s="13">
        <f t="shared" si="10"/>
        <v>1</v>
      </c>
      <c r="BM18" s="21">
        <f t="shared" si="11"/>
        <v>40.74</v>
      </c>
      <c r="BN18" s="20"/>
      <c r="BO18" s="13">
        <f t="shared" si="12"/>
        <v>1</v>
      </c>
      <c r="BP18" s="19">
        <f t="shared" si="13"/>
        <v>40.74</v>
      </c>
      <c r="BQ18" s="20"/>
      <c r="BR18" s="13">
        <f t="shared" si="14"/>
        <v>2</v>
      </c>
      <c r="BS18" s="21">
        <f t="shared" si="15"/>
        <v>81.48</v>
      </c>
      <c r="BT18" s="20"/>
      <c r="BU18" s="13">
        <f t="shared" si="16"/>
        <v>1</v>
      </c>
      <c r="BV18" s="19">
        <f t="shared" si="17"/>
        <v>40.74</v>
      </c>
      <c r="BW18" s="20"/>
      <c r="BX18" s="13">
        <f t="shared" si="18"/>
        <v>1</v>
      </c>
      <c r="BY18" s="21">
        <f t="shared" si="19"/>
        <v>40.74</v>
      </c>
      <c r="BZ18" s="20"/>
      <c r="CA18" s="13">
        <f t="shared" si="20"/>
        <v>1</v>
      </c>
      <c r="CB18" s="19">
        <f t="shared" si="21"/>
        <v>40.74</v>
      </c>
      <c r="CC18" s="20"/>
      <c r="CD18" s="13">
        <f t="shared" si="22"/>
        <v>0</v>
      </c>
      <c r="CE18" s="21">
        <f t="shared" si="23"/>
        <v>0</v>
      </c>
      <c r="CF18" s="20"/>
      <c r="CG18" s="18">
        <f t="shared" si="24"/>
        <v>0</v>
      </c>
      <c r="CH18" s="21">
        <f t="shared" si="45"/>
        <v>0</v>
      </c>
      <c r="CI18" s="20"/>
      <c r="CJ18" s="18">
        <f t="shared" si="25"/>
        <v>0</v>
      </c>
      <c r="CK18" s="21">
        <f t="shared" si="26"/>
        <v>0</v>
      </c>
      <c r="CL18" s="20"/>
      <c r="CM18" s="18">
        <f t="shared" si="27"/>
        <v>0</v>
      </c>
      <c r="CN18" s="21">
        <f t="shared" si="28"/>
        <v>0</v>
      </c>
      <c r="CO18" s="20"/>
      <c r="CP18" s="18">
        <f t="shared" si="29"/>
        <v>0</v>
      </c>
      <c r="CQ18" s="21">
        <f t="shared" si="30"/>
        <v>0</v>
      </c>
      <c r="CR18" s="20"/>
      <c r="CS18" s="18">
        <f t="shared" si="31"/>
        <v>0</v>
      </c>
      <c r="CT18" s="19">
        <f t="shared" si="32"/>
        <v>0</v>
      </c>
      <c r="CU18" s="20"/>
      <c r="CV18" s="13">
        <f t="shared" si="33"/>
        <v>0</v>
      </c>
      <c r="CW18" s="21">
        <f t="shared" si="34"/>
        <v>0</v>
      </c>
      <c r="CX18" s="20"/>
      <c r="CY18" s="13">
        <f t="shared" si="35"/>
        <v>0</v>
      </c>
      <c r="CZ18" s="19">
        <f t="shared" si="36"/>
        <v>0</v>
      </c>
      <c r="DA18" s="20"/>
      <c r="DB18" s="13">
        <f t="shared" si="37"/>
        <v>0</v>
      </c>
      <c r="DC18" s="21">
        <f t="shared" si="38"/>
        <v>0</v>
      </c>
      <c r="DE18" s="97">
        <v>354</v>
      </c>
      <c r="DF18" s="32"/>
      <c r="DG18" s="61">
        <f t="shared" si="39"/>
        <v>0</v>
      </c>
      <c r="DH18" s="32"/>
      <c r="DI18" s="59">
        <f t="shared" si="40"/>
        <v>13</v>
      </c>
      <c r="DJ18" s="32"/>
      <c r="DK18" s="59">
        <f t="shared" si="41"/>
        <v>341</v>
      </c>
      <c r="DL18" s="32"/>
      <c r="DM18" s="96">
        <f t="shared" si="42"/>
        <v>11576.95</v>
      </c>
      <c r="DN18" s="32"/>
      <c r="DO18" s="62">
        <f t="shared" si="43"/>
        <v>26.23076923076923</v>
      </c>
      <c r="DP18" s="32"/>
      <c r="DQ18" s="96">
        <f t="shared" si="44"/>
        <v>13892.34</v>
      </c>
      <c r="DR18" s="32"/>
      <c r="DS18" s="61"/>
      <c r="DT18" s="32"/>
      <c r="DU18" s="63">
        <v>0</v>
      </c>
      <c r="DV18" s="32"/>
      <c r="DW18" s="64">
        <f t="shared" si="46"/>
        <v>0</v>
      </c>
      <c r="DX18" s="32"/>
      <c r="DY18" s="63">
        <f t="shared" si="47"/>
        <v>0</v>
      </c>
    </row>
    <row r="19" spans="1:129" ht="12" customHeight="1" x14ac:dyDescent="0.3">
      <c r="A19" s="36" t="s">
        <v>27</v>
      </c>
      <c r="B19" s="32"/>
      <c r="C19" s="51"/>
      <c r="D19" s="34"/>
      <c r="E19" s="38">
        <v>15.85</v>
      </c>
      <c r="F19" s="34"/>
      <c r="G19" s="33">
        <v>19.02</v>
      </c>
      <c r="I19" s="26"/>
      <c r="J19" s="27"/>
      <c r="K19" s="28"/>
      <c r="L19" s="12"/>
      <c r="M19" s="26">
        <v>1</v>
      </c>
      <c r="N19" s="12"/>
      <c r="O19" s="28">
        <v>1</v>
      </c>
      <c r="P19" s="12"/>
      <c r="Q19" s="26"/>
      <c r="R19" s="12"/>
      <c r="S19" s="28">
        <v>1</v>
      </c>
      <c r="T19" s="12"/>
      <c r="U19" s="26"/>
      <c r="V19" s="12"/>
      <c r="W19" s="28"/>
      <c r="X19" s="12"/>
      <c r="Y19" s="26"/>
      <c r="Z19" s="12"/>
      <c r="AA19" s="28"/>
      <c r="AB19" s="12"/>
      <c r="AC19" s="26"/>
      <c r="AD19" s="12"/>
      <c r="AE19" s="28"/>
      <c r="AF19" s="12"/>
      <c r="AG19" s="26"/>
      <c r="AH19" s="12"/>
      <c r="AI19" s="28"/>
      <c r="AJ19" s="12"/>
      <c r="AK19" s="26"/>
      <c r="AL19" s="12"/>
      <c r="AM19" s="28"/>
      <c r="AN19" s="12"/>
      <c r="AO19" s="26"/>
      <c r="AP19" s="12"/>
      <c r="AQ19" s="28"/>
      <c r="AR19" s="12"/>
      <c r="AS19" s="26"/>
      <c r="AT19" s="12"/>
      <c r="AU19" s="28"/>
      <c r="AW19" s="18">
        <f t="shared" si="0"/>
        <v>0</v>
      </c>
      <c r="AX19" s="19">
        <f t="shared" si="1"/>
        <v>0</v>
      </c>
      <c r="AY19" s="20"/>
      <c r="AZ19" s="13">
        <f t="shared" si="2"/>
        <v>0</v>
      </c>
      <c r="BA19" s="21">
        <f t="shared" si="3"/>
        <v>0</v>
      </c>
      <c r="BB19" s="20"/>
      <c r="BC19" s="13">
        <f t="shared" si="4"/>
        <v>1</v>
      </c>
      <c r="BD19" s="19">
        <f t="shared" si="5"/>
        <v>19.02</v>
      </c>
      <c r="BE19" s="20"/>
      <c r="BF19" s="13">
        <f t="shared" si="6"/>
        <v>1</v>
      </c>
      <c r="BG19" s="21">
        <f t="shared" si="7"/>
        <v>19.02</v>
      </c>
      <c r="BH19" s="20"/>
      <c r="BI19" s="13">
        <f t="shared" si="8"/>
        <v>0</v>
      </c>
      <c r="BJ19" s="19">
        <f t="shared" si="9"/>
        <v>0</v>
      </c>
      <c r="BK19" s="20"/>
      <c r="BL19" s="13">
        <f t="shared" si="10"/>
        <v>1</v>
      </c>
      <c r="BM19" s="21">
        <f t="shared" si="11"/>
        <v>19.02</v>
      </c>
      <c r="BN19" s="20"/>
      <c r="BO19" s="13">
        <f t="shared" si="12"/>
        <v>0</v>
      </c>
      <c r="BP19" s="19">
        <f t="shared" si="13"/>
        <v>0</v>
      </c>
      <c r="BQ19" s="20"/>
      <c r="BR19" s="13">
        <f t="shared" si="14"/>
        <v>0</v>
      </c>
      <c r="BS19" s="21">
        <f t="shared" si="15"/>
        <v>0</v>
      </c>
      <c r="BT19" s="20"/>
      <c r="BU19" s="13">
        <f t="shared" si="16"/>
        <v>0</v>
      </c>
      <c r="BV19" s="19">
        <f t="shared" si="17"/>
        <v>0</v>
      </c>
      <c r="BW19" s="20"/>
      <c r="BX19" s="13">
        <f t="shared" si="18"/>
        <v>0</v>
      </c>
      <c r="BY19" s="21">
        <f t="shared" si="19"/>
        <v>0</v>
      </c>
      <c r="BZ19" s="20"/>
      <c r="CA19" s="13">
        <f t="shared" si="20"/>
        <v>0</v>
      </c>
      <c r="CB19" s="19">
        <f t="shared" si="21"/>
        <v>0</v>
      </c>
      <c r="CC19" s="20"/>
      <c r="CD19" s="13">
        <f t="shared" si="22"/>
        <v>0</v>
      </c>
      <c r="CE19" s="21">
        <f t="shared" si="23"/>
        <v>0</v>
      </c>
      <c r="CF19" s="20"/>
      <c r="CG19" s="18">
        <f t="shared" si="24"/>
        <v>0</v>
      </c>
      <c r="CH19" s="21">
        <f t="shared" si="45"/>
        <v>0</v>
      </c>
      <c r="CI19" s="20"/>
      <c r="CJ19" s="18">
        <f t="shared" si="25"/>
        <v>0</v>
      </c>
      <c r="CK19" s="21">
        <f t="shared" si="26"/>
        <v>0</v>
      </c>
      <c r="CL19" s="20"/>
      <c r="CM19" s="18">
        <f t="shared" si="27"/>
        <v>0</v>
      </c>
      <c r="CN19" s="21">
        <f t="shared" si="28"/>
        <v>0</v>
      </c>
      <c r="CO19" s="20"/>
      <c r="CP19" s="18">
        <f t="shared" si="29"/>
        <v>0</v>
      </c>
      <c r="CQ19" s="21">
        <f t="shared" si="30"/>
        <v>0</v>
      </c>
      <c r="CR19" s="20"/>
      <c r="CS19" s="18">
        <f t="shared" si="31"/>
        <v>0</v>
      </c>
      <c r="CT19" s="19">
        <f t="shared" si="32"/>
        <v>0</v>
      </c>
      <c r="CU19" s="20"/>
      <c r="CV19" s="13">
        <f t="shared" si="33"/>
        <v>0</v>
      </c>
      <c r="CW19" s="21">
        <f t="shared" si="34"/>
        <v>0</v>
      </c>
      <c r="CX19" s="20"/>
      <c r="CY19" s="13">
        <f t="shared" si="35"/>
        <v>0</v>
      </c>
      <c r="CZ19" s="19">
        <f t="shared" si="36"/>
        <v>0</v>
      </c>
      <c r="DA19" s="20"/>
      <c r="DB19" s="13">
        <f t="shared" si="37"/>
        <v>0</v>
      </c>
      <c r="DC19" s="21">
        <f t="shared" si="38"/>
        <v>0</v>
      </c>
      <c r="DE19" s="97">
        <v>39</v>
      </c>
      <c r="DF19" s="32"/>
      <c r="DG19" s="61">
        <f t="shared" si="39"/>
        <v>0</v>
      </c>
      <c r="DH19" s="32"/>
      <c r="DI19" s="59">
        <f t="shared" si="40"/>
        <v>3</v>
      </c>
      <c r="DJ19" s="32"/>
      <c r="DK19" s="59">
        <f t="shared" si="41"/>
        <v>36</v>
      </c>
      <c r="DL19" s="32"/>
      <c r="DM19" s="96">
        <f t="shared" si="42"/>
        <v>570.6</v>
      </c>
      <c r="DN19" s="32"/>
      <c r="DO19" s="62">
        <f t="shared" si="43"/>
        <v>12</v>
      </c>
      <c r="DP19" s="32"/>
      <c r="DQ19" s="96">
        <f t="shared" si="44"/>
        <v>684.72</v>
      </c>
      <c r="DR19" s="32"/>
      <c r="DS19" s="61"/>
      <c r="DT19" s="32"/>
      <c r="DU19" s="63">
        <v>0</v>
      </c>
      <c r="DV19" s="32"/>
      <c r="DW19" s="64">
        <f t="shared" si="46"/>
        <v>0</v>
      </c>
      <c r="DX19" s="32"/>
      <c r="DY19" s="63">
        <f t="shared" si="47"/>
        <v>0</v>
      </c>
    </row>
    <row r="20" spans="1:129" ht="12" customHeight="1" x14ac:dyDescent="0.3">
      <c r="A20" s="37" t="s">
        <v>75</v>
      </c>
      <c r="B20" s="32"/>
      <c r="C20" s="51"/>
      <c r="D20" s="34"/>
      <c r="E20" s="38">
        <v>21.95</v>
      </c>
      <c r="F20" s="34"/>
      <c r="G20" s="33">
        <v>26.34</v>
      </c>
      <c r="I20" s="26"/>
      <c r="J20" s="27"/>
      <c r="K20" s="28">
        <v>1</v>
      </c>
      <c r="L20" s="12"/>
      <c r="M20" s="26">
        <v>1</v>
      </c>
      <c r="N20" s="12"/>
      <c r="O20" s="28">
        <v>1</v>
      </c>
      <c r="P20" s="12"/>
      <c r="Q20" s="26"/>
      <c r="R20" s="12"/>
      <c r="S20" s="28"/>
      <c r="T20" s="12"/>
      <c r="U20" s="26">
        <v>1</v>
      </c>
      <c r="V20" s="12"/>
      <c r="W20" s="28">
        <v>1</v>
      </c>
      <c r="X20" s="12"/>
      <c r="Y20" s="26">
        <v>1</v>
      </c>
      <c r="Z20" s="12"/>
      <c r="AA20" s="28">
        <v>1</v>
      </c>
      <c r="AB20" s="12"/>
      <c r="AC20" s="26"/>
      <c r="AD20" s="12"/>
      <c r="AE20" s="28"/>
      <c r="AF20" s="12"/>
      <c r="AG20" s="26"/>
      <c r="AH20" s="12"/>
      <c r="AI20" s="28"/>
      <c r="AJ20" s="12"/>
      <c r="AK20" s="26"/>
      <c r="AL20" s="12"/>
      <c r="AM20" s="28"/>
      <c r="AN20" s="12"/>
      <c r="AO20" s="26"/>
      <c r="AP20" s="12"/>
      <c r="AQ20" s="28"/>
      <c r="AR20" s="12"/>
      <c r="AS20" s="26"/>
      <c r="AT20" s="12"/>
      <c r="AU20" s="28"/>
      <c r="AW20" s="18">
        <f t="shared" si="0"/>
        <v>0</v>
      </c>
      <c r="AX20" s="19">
        <f t="shared" si="1"/>
        <v>0</v>
      </c>
      <c r="AY20" s="20"/>
      <c r="AZ20" s="13">
        <f t="shared" si="2"/>
        <v>1</v>
      </c>
      <c r="BA20" s="21">
        <f t="shared" si="3"/>
        <v>26.34</v>
      </c>
      <c r="BB20" s="20"/>
      <c r="BC20" s="13">
        <f t="shared" si="4"/>
        <v>1</v>
      </c>
      <c r="BD20" s="19">
        <f t="shared" si="5"/>
        <v>26.34</v>
      </c>
      <c r="BE20" s="20"/>
      <c r="BF20" s="13">
        <f t="shared" si="6"/>
        <v>1</v>
      </c>
      <c r="BG20" s="21">
        <f t="shared" si="7"/>
        <v>26.34</v>
      </c>
      <c r="BH20" s="20"/>
      <c r="BI20" s="13">
        <f t="shared" si="8"/>
        <v>0</v>
      </c>
      <c r="BJ20" s="19">
        <f t="shared" si="9"/>
        <v>0</v>
      </c>
      <c r="BK20" s="20"/>
      <c r="BL20" s="13">
        <f t="shared" si="10"/>
        <v>0</v>
      </c>
      <c r="BM20" s="21">
        <f t="shared" si="11"/>
        <v>0</v>
      </c>
      <c r="BN20" s="20"/>
      <c r="BO20" s="13">
        <f t="shared" si="12"/>
        <v>1</v>
      </c>
      <c r="BP20" s="19">
        <f t="shared" si="13"/>
        <v>26.34</v>
      </c>
      <c r="BQ20" s="20"/>
      <c r="BR20" s="13">
        <f t="shared" si="14"/>
        <v>1</v>
      </c>
      <c r="BS20" s="21">
        <f t="shared" si="15"/>
        <v>26.34</v>
      </c>
      <c r="BT20" s="20"/>
      <c r="BU20" s="13">
        <f t="shared" si="16"/>
        <v>1</v>
      </c>
      <c r="BV20" s="19">
        <f t="shared" si="17"/>
        <v>26.34</v>
      </c>
      <c r="BW20" s="20"/>
      <c r="BX20" s="13">
        <f t="shared" si="18"/>
        <v>1</v>
      </c>
      <c r="BY20" s="21">
        <f t="shared" si="19"/>
        <v>26.34</v>
      </c>
      <c r="BZ20" s="20"/>
      <c r="CA20" s="13">
        <f t="shared" si="20"/>
        <v>0</v>
      </c>
      <c r="CB20" s="19">
        <f t="shared" si="21"/>
        <v>0</v>
      </c>
      <c r="CC20" s="20"/>
      <c r="CD20" s="13">
        <f t="shared" si="22"/>
        <v>0</v>
      </c>
      <c r="CE20" s="21">
        <f t="shared" si="23"/>
        <v>0</v>
      </c>
      <c r="CF20" s="20"/>
      <c r="CG20" s="18">
        <f t="shared" si="24"/>
        <v>0</v>
      </c>
      <c r="CH20" s="21">
        <f t="shared" si="45"/>
        <v>0</v>
      </c>
      <c r="CI20" s="20"/>
      <c r="CJ20" s="18">
        <f t="shared" si="25"/>
        <v>0</v>
      </c>
      <c r="CK20" s="21">
        <f t="shared" si="26"/>
        <v>0</v>
      </c>
      <c r="CL20" s="20"/>
      <c r="CM20" s="18">
        <f t="shared" si="27"/>
        <v>0</v>
      </c>
      <c r="CN20" s="21">
        <f t="shared" si="28"/>
        <v>0</v>
      </c>
      <c r="CO20" s="20"/>
      <c r="CP20" s="18">
        <f t="shared" si="29"/>
        <v>0</v>
      </c>
      <c r="CQ20" s="21">
        <f t="shared" si="30"/>
        <v>0</v>
      </c>
      <c r="CR20" s="20"/>
      <c r="CS20" s="18">
        <f t="shared" si="31"/>
        <v>0</v>
      </c>
      <c r="CT20" s="19">
        <f t="shared" si="32"/>
        <v>0</v>
      </c>
      <c r="CU20" s="20"/>
      <c r="CV20" s="13">
        <f t="shared" si="33"/>
        <v>0</v>
      </c>
      <c r="CW20" s="21">
        <f t="shared" si="34"/>
        <v>0</v>
      </c>
      <c r="CX20" s="20"/>
      <c r="CY20" s="13">
        <f t="shared" si="35"/>
        <v>0</v>
      </c>
      <c r="CZ20" s="19">
        <f t="shared" si="36"/>
        <v>0</v>
      </c>
      <c r="DA20" s="20"/>
      <c r="DB20" s="13">
        <f t="shared" si="37"/>
        <v>0</v>
      </c>
      <c r="DC20" s="21">
        <f t="shared" si="38"/>
        <v>0</v>
      </c>
      <c r="DE20" s="97">
        <v>1750</v>
      </c>
      <c r="DF20" s="32"/>
      <c r="DG20" s="61">
        <f t="shared" si="39"/>
        <v>0</v>
      </c>
      <c r="DH20" s="32"/>
      <c r="DI20" s="59">
        <f t="shared" si="40"/>
        <v>7</v>
      </c>
      <c r="DJ20" s="32"/>
      <c r="DK20" s="59">
        <f t="shared" si="41"/>
        <v>1743</v>
      </c>
      <c r="DL20" s="32"/>
      <c r="DM20" s="96">
        <f t="shared" si="42"/>
        <v>38258.85</v>
      </c>
      <c r="DN20" s="32"/>
      <c r="DO20" s="62">
        <f t="shared" si="43"/>
        <v>249</v>
      </c>
      <c r="DP20" s="32"/>
      <c r="DQ20" s="96">
        <f t="shared" si="44"/>
        <v>45910.62</v>
      </c>
      <c r="DR20" s="32"/>
      <c r="DS20" s="61">
        <v>486</v>
      </c>
      <c r="DT20" s="32"/>
      <c r="DU20" s="63">
        <v>23.95</v>
      </c>
      <c r="DV20" s="32"/>
      <c r="DW20" s="64">
        <f t="shared" si="46"/>
        <v>28.74</v>
      </c>
      <c r="DX20" s="32"/>
      <c r="DY20" s="63">
        <f t="shared" si="47"/>
        <v>11639.699999999999</v>
      </c>
    </row>
    <row r="21" spans="1:129" ht="12" customHeight="1" x14ac:dyDescent="0.3">
      <c r="A21" s="36" t="s">
        <v>28</v>
      </c>
      <c r="B21" s="32"/>
      <c r="C21" s="51"/>
      <c r="D21" s="34"/>
      <c r="E21" s="38">
        <v>33.5</v>
      </c>
      <c r="F21" s="34"/>
      <c r="G21" s="33">
        <v>40.200000000000003</v>
      </c>
      <c r="I21" s="26"/>
      <c r="J21" s="27"/>
      <c r="K21" s="28"/>
      <c r="L21" s="12"/>
      <c r="M21" s="26"/>
      <c r="N21" s="12"/>
      <c r="O21" s="28"/>
      <c r="P21" s="12"/>
      <c r="Q21" s="26">
        <v>1</v>
      </c>
      <c r="R21" s="12"/>
      <c r="S21" s="28"/>
      <c r="T21" s="12"/>
      <c r="U21" s="26"/>
      <c r="V21" s="12"/>
      <c r="W21" s="28"/>
      <c r="X21" s="12"/>
      <c r="Y21" s="26"/>
      <c r="Z21" s="12"/>
      <c r="AA21" s="28"/>
      <c r="AB21" s="12"/>
      <c r="AC21" s="26"/>
      <c r="AD21" s="12"/>
      <c r="AE21" s="28"/>
      <c r="AF21" s="12"/>
      <c r="AG21" s="26"/>
      <c r="AH21" s="12"/>
      <c r="AI21" s="28"/>
      <c r="AJ21" s="12"/>
      <c r="AK21" s="26"/>
      <c r="AL21" s="12"/>
      <c r="AM21" s="28"/>
      <c r="AN21" s="12"/>
      <c r="AO21" s="26"/>
      <c r="AP21" s="12"/>
      <c r="AQ21" s="28"/>
      <c r="AR21" s="12"/>
      <c r="AS21" s="26"/>
      <c r="AT21" s="12"/>
      <c r="AU21" s="28"/>
      <c r="AW21" s="18">
        <f t="shared" si="0"/>
        <v>0</v>
      </c>
      <c r="AX21" s="19">
        <f t="shared" si="1"/>
        <v>0</v>
      </c>
      <c r="AY21" s="20"/>
      <c r="AZ21" s="13">
        <f t="shared" si="2"/>
        <v>0</v>
      </c>
      <c r="BA21" s="21">
        <f t="shared" si="3"/>
        <v>0</v>
      </c>
      <c r="BB21" s="20"/>
      <c r="BC21" s="13">
        <f t="shared" si="4"/>
        <v>0</v>
      </c>
      <c r="BD21" s="19">
        <f t="shared" si="5"/>
        <v>0</v>
      </c>
      <c r="BE21" s="20"/>
      <c r="BF21" s="13">
        <f t="shared" si="6"/>
        <v>0</v>
      </c>
      <c r="BG21" s="21">
        <f t="shared" si="7"/>
        <v>0</v>
      </c>
      <c r="BH21" s="20"/>
      <c r="BI21" s="13">
        <f t="shared" si="8"/>
        <v>1</v>
      </c>
      <c r="BJ21" s="19">
        <f t="shared" si="9"/>
        <v>40.200000000000003</v>
      </c>
      <c r="BK21" s="20"/>
      <c r="BL21" s="13">
        <f t="shared" si="10"/>
        <v>0</v>
      </c>
      <c r="BM21" s="21">
        <f t="shared" si="11"/>
        <v>0</v>
      </c>
      <c r="BN21" s="20"/>
      <c r="BO21" s="13">
        <f t="shared" si="12"/>
        <v>0</v>
      </c>
      <c r="BP21" s="19">
        <f t="shared" si="13"/>
        <v>0</v>
      </c>
      <c r="BQ21" s="20"/>
      <c r="BR21" s="13">
        <f t="shared" si="14"/>
        <v>0</v>
      </c>
      <c r="BS21" s="21">
        <f t="shared" si="15"/>
        <v>0</v>
      </c>
      <c r="BT21" s="20"/>
      <c r="BU21" s="13">
        <f t="shared" si="16"/>
        <v>0</v>
      </c>
      <c r="BV21" s="19">
        <f t="shared" si="17"/>
        <v>0</v>
      </c>
      <c r="BW21" s="20"/>
      <c r="BX21" s="13">
        <f t="shared" si="18"/>
        <v>0</v>
      </c>
      <c r="BY21" s="21">
        <f t="shared" si="19"/>
        <v>0</v>
      </c>
      <c r="BZ21" s="20"/>
      <c r="CA21" s="13">
        <f t="shared" si="20"/>
        <v>0</v>
      </c>
      <c r="CB21" s="19">
        <f t="shared" si="21"/>
        <v>0</v>
      </c>
      <c r="CC21" s="20"/>
      <c r="CD21" s="13">
        <f t="shared" si="22"/>
        <v>0</v>
      </c>
      <c r="CE21" s="21">
        <f t="shared" si="23"/>
        <v>0</v>
      </c>
      <c r="CF21" s="20"/>
      <c r="CG21" s="18">
        <f t="shared" si="24"/>
        <v>0</v>
      </c>
      <c r="CH21" s="21">
        <f t="shared" si="45"/>
        <v>0</v>
      </c>
      <c r="CI21" s="20"/>
      <c r="CJ21" s="18">
        <f t="shared" si="25"/>
        <v>0</v>
      </c>
      <c r="CK21" s="21">
        <f t="shared" si="26"/>
        <v>0</v>
      </c>
      <c r="CL21" s="20"/>
      <c r="CM21" s="18">
        <f t="shared" si="27"/>
        <v>0</v>
      </c>
      <c r="CN21" s="21">
        <f t="shared" si="28"/>
        <v>0</v>
      </c>
      <c r="CO21" s="20"/>
      <c r="CP21" s="18">
        <f t="shared" si="29"/>
        <v>0</v>
      </c>
      <c r="CQ21" s="21">
        <f t="shared" si="30"/>
        <v>0</v>
      </c>
      <c r="CR21" s="20"/>
      <c r="CS21" s="18">
        <f t="shared" si="31"/>
        <v>0</v>
      </c>
      <c r="CT21" s="19">
        <f t="shared" si="32"/>
        <v>0</v>
      </c>
      <c r="CU21" s="20"/>
      <c r="CV21" s="13">
        <f t="shared" si="33"/>
        <v>0</v>
      </c>
      <c r="CW21" s="21">
        <f t="shared" si="34"/>
        <v>0</v>
      </c>
      <c r="CX21" s="20"/>
      <c r="CY21" s="13">
        <f t="shared" si="35"/>
        <v>0</v>
      </c>
      <c r="CZ21" s="19">
        <f t="shared" si="36"/>
        <v>0</v>
      </c>
      <c r="DA21" s="20"/>
      <c r="DB21" s="13">
        <f t="shared" si="37"/>
        <v>0</v>
      </c>
      <c r="DC21" s="21">
        <f t="shared" si="38"/>
        <v>0</v>
      </c>
      <c r="DE21" s="97">
        <v>61</v>
      </c>
      <c r="DF21" s="32"/>
      <c r="DG21" s="61">
        <f t="shared" si="39"/>
        <v>0</v>
      </c>
      <c r="DH21" s="32"/>
      <c r="DI21" s="59">
        <f t="shared" si="40"/>
        <v>1</v>
      </c>
      <c r="DJ21" s="32"/>
      <c r="DK21" s="59">
        <f t="shared" si="41"/>
        <v>60</v>
      </c>
      <c r="DL21" s="32"/>
      <c r="DM21" s="96">
        <f t="shared" si="42"/>
        <v>2010</v>
      </c>
      <c r="DN21" s="32"/>
      <c r="DO21" s="62">
        <f t="shared" si="43"/>
        <v>60</v>
      </c>
      <c r="DP21" s="32"/>
      <c r="DQ21" s="96">
        <f t="shared" si="44"/>
        <v>2412</v>
      </c>
      <c r="DR21" s="32"/>
      <c r="DS21" s="61">
        <v>90</v>
      </c>
      <c r="DT21" s="32"/>
      <c r="DU21" s="63">
        <v>39.950000000000003</v>
      </c>
      <c r="DV21" s="32"/>
      <c r="DW21" s="64">
        <f t="shared" si="46"/>
        <v>47.940000000000005</v>
      </c>
      <c r="DX21" s="32"/>
      <c r="DY21" s="63">
        <f t="shared" si="47"/>
        <v>3595.5000000000005</v>
      </c>
    </row>
    <row r="22" spans="1:129" ht="12.45" customHeight="1" x14ac:dyDescent="0.3">
      <c r="A22" s="37" t="s">
        <v>29</v>
      </c>
      <c r="B22" s="32"/>
      <c r="C22" s="51"/>
      <c r="D22" s="34"/>
      <c r="E22" s="38">
        <v>35.71</v>
      </c>
      <c r="F22" s="34"/>
      <c r="G22" s="33">
        <v>42.85</v>
      </c>
      <c r="I22" s="26"/>
      <c r="J22" s="27"/>
      <c r="K22" s="28"/>
      <c r="L22" s="12"/>
      <c r="M22" s="26"/>
      <c r="N22" s="12"/>
      <c r="O22" s="28"/>
      <c r="P22" s="12"/>
      <c r="Q22" s="26"/>
      <c r="R22" s="12"/>
      <c r="S22" s="28"/>
      <c r="T22" s="12"/>
      <c r="U22" s="26"/>
      <c r="V22" s="12"/>
      <c r="W22" s="28"/>
      <c r="X22" s="12"/>
      <c r="Y22" s="26"/>
      <c r="Z22" s="12"/>
      <c r="AA22" s="28">
        <v>1</v>
      </c>
      <c r="AB22" s="12"/>
      <c r="AC22" s="26"/>
      <c r="AD22" s="12"/>
      <c r="AE22" s="28"/>
      <c r="AF22" s="12"/>
      <c r="AG22" s="26"/>
      <c r="AH22" s="12"/>
      <c r="AI22" s="28"/>
      <c r="AJ22" s="12"/>
      <c r="AK22" s="26"/>
      <c r="AL22" s="12"/>
      <c r="AM22" s="28"/>
      <c r="AN22" s="12"/>
      <c r="AO22" s="26"/>
      <c r="AP22" s="12"/>
      <c r="AQ22" s="28"/>
      <c r="AR22" s="12"/>
      <c r="AS22" s="26"/>
      <c r="AT22" s="12"/>
      <c r="AU22" s="28"/>
      <c r="AW22" s="18">
        <f t="shared" si="0"/>
        <v>0</v>
      </c>
      <c r="AX22" s="19">
        <f t="shared" si="1"/>
        <v>0</v>
      </c>
      <c r="AY22" s="20"/>
      <c r="AZ22" s="13">
        <f t="shared" si="2"/>
        <v>0</v>
      </c>
      <c r="BA22" s="21">
        <f t="shared" si="3"/>
        <v>0</v>
      </c>
      <c r="BB22" s="20"/>
      <c r="BC22" s="13">
        <f t="shared" si="4"/>
        <v>0</v>
      </c>
      <c r="BD22" s="19">
        <f t="shared" si="5"/>
        <v>0</v>
      </c>
      <c r="BE22" s="20"/>
      <c r="BF22" s="13">
        <f t="shared" si="6"/>
        <v>0</v>
      </c>
      <c r="BG22" s="21">
        <f t="shared" si="7"/>
        <v>0</v>
      </c>
      <c r="BH22" s="20"/>
      <c r="BI22" s="13">
        <f t="shared" si="8"/>
        <v>0</v>
      </c>
      <c r="BJ22" s="19">
        <f t="shared" si="9"/>
        <v>0</v>
      </c>
      <c r="BK22" s="20"/>
      <c r="BL22" s="13">
        <f t="shared" si="10"/>
        <v>0</v>
      </c>
      <c r="BM22" s="21">
        <f t="shared" si="11"/>
        <v>0</v>
      </c>
      <c r="BN22" s="20"/>
      <c r="BO22" s="13">
        <f t="shared" si="12"/>
        <v>0</v>
      </c>
      <c r="BP22" s="19">
        <f t="shared" si="13"/>
        <v>0</v>
      </c>
      <c r="BQ22" s="20"/>
      <c r="BR22" s="13">
        <f t="shared" si="14"/>
        <v>0</v>
      </c>
      <c r="BS22" s="21">
        <f t="shared" si="15"/>
        <v>0</v>
      </c>
      <c r="BT22" s="20"/>
      <c r="BU22" s="13">
        <f t="shared" si="16"/>
        <v>0</v>
      </c>
      <c r="BV22" s="19">
        <f t="shared" si="17"/>
        <v>0</v>
      </c>
      <c r="BW22" s="20"/>
      <c r="BX22" s="13">
        <f t="shared" si="18"/>
        <v>1</v>
      </c>
      <c r="BY22" s="21">
        <f t="shared" si="19"/>
        <v>42.85</v>
      </c>
      <c r="BZ22" s="20"/>
      <c r="CA22" s="13">
        <f t="shared" si="20"/>
        <v>0</v>
      </c>
      <c r="CB22" s="19">
        <f t="shared" si="21"/>
        <v>0</v>
      </c>
      <c r="CC22" s="20"/>
      <c r="CD22" s="13">
        <f t="shared" si="22"/>
        <v>0</v>
      </c>
      <c r="CE22" s="21">
        <f t="shared" si="23"/>
        <v>0</v>
      </c>
      <c r="CF22" s="20"/>
      <c r="CG22" s="18">
        <f t="shared" si="24"/>
        <v>0</v>
      </c>
      <c r="CH22" s="21">
        <f t="shared" si="45"/>
        <v>0</v>
      </c>
      <c r="CI22" s="20"/>
      <c r="CJ22" s="18">
        <f t="shared" si="25"/>
        <v>0</v>
      </c>
      <c r="CK22" s="21">
        <f t="shared" si="26"/>
        <v>0</v>
      </c>
      <c r="CL22" s="20"/>
      <c r="CM22" s="18">
        <f t="shared" si="27"/>
        <v>0</v>
      </c>
      <c r="CN22" s="21">
        <f t="shared" si="28"/>
        <v>0</v>
      </c>
      <c r="CO22" s="20"/>
      <c r="CP22" s="18">
        <f t="shared" si="29"/>
        <v>0</v>
      </c>
      <c r="CQ22" s="21">
        <f t="shared" si="30"/>
        <v>0</v>
      </c>
      <c r="CR22" s="20"/>
      <c r="CS22" s="18">
        <f t="shared" si="31"/>
        <v>0</v>
      </c>
      <c r="CT22" s="19">
        <f t="shared" si="32"/>
        <v>0</v>
      </c>
      <c r="CU22" s="20"/>
      <c r="CV22" s="13">
        <f t="shared" si="33"/>
        <v>0</v>
      </c>
      <c r="CW22" s="21">
        <f t="shared" si="34"/>
        <v>0</v>
      </c>
      <c r="CX22" s="20"/>
      <c r="CY22" s="13">
        <f t="shared" si="35"/>
        <v>0</v>
      </c>
      <c r="CZ22" s="19">
        <f t="shared" si="36"/>
        <v>0</v>
      </c>
      <c r="DA22" s="20"/>
      <c r="DB22" s="13">
        <f t="shared" si="37"/>
        <v>0</v>
      </c>
      <c r="DC22" s="21">
        <f t="shared" si="38"/>
        <v>0</v>
      </c>
      <c r="DE22" s="97">
        <v>13</v>
      </c>
      <c r="DF22" s="32"/>
      <c r="DG22" s="61">
        <f t="shared" si="39"/>
        <v>0</v>
      </c>
      <c r="DH22" s="32"/>
      <c r="DI22" s="59">
        <f t="shared" si="40"/>
        <v>1</v>
      </c>
      <c r="DJ22" s="32"/>
      <c r="DK22" s="59">
        <f t="shared" si="41"/>
        <v>12</v>
      </c>
      <c r="DL22" s="32"/>
      <c r="DM22" s="96">
        <f t="shared" si="42"/>
        <v>428.52</v>
      </c>
      <c r="DN22" s="32"/>
      <c r="DO22" s="62">
        <f t="shared" si="43"/>
        <v>12</v>
      </c>
      <c r="DP22" s="32"/>
      <c r="DQ22" s="96">
        <f t="shared" si="44"/>
        <v>514.20000000000005</v>
      </c>
      <c r="DR22" s="32"/>
      <c r="DS22" s="61"/>
      <c r="DT22" s="32"/>
      <c r="DU22" s="63">
        <v>0</v>
      </c>
      <c r="DV22" s="32"/>
      <c r="DW22" s="64">
        <f t="shared" si="46"/>
        <v>0</v>
      </c>
      <c r="DX22" s="32"/>
      <c r="DY22" s="63">
        <f t="shared" si="47"/>
        <v>0</v>
      </c>
    </row>
    <row r="23" spans="1:129" ht="12" customHeight="1" x14ac:dyDescent="0.3">
      <c r="A23" s="36" t="s">
        <v>51</v>
      </c>
      <c r="B23" s="32"/>
      <c r="C23" s="51"/>
      <c r="D23" s="34"/>
      <c r="E23" s="38">
        <v>77.2</v>
      </c>
      <c r="F23" s="34"/>
      <c r="G23" s="33">
        <v>96.5</v>
      </c>
      <c r="I23" s="26"/>
      <c r="J23" s="27"/>
      <c r="K23" s="28"/>
      <c r="L23" s="12"/>
      <c r="M23" s="26"/>
      <c r="N23" s="12"/>
      <c r="O23" s="28"/>
      <c r="P23" s="12"/>
      <c r="Q23" s="26"/>
      <c r="R23" s="12"/>
      <c r="S23" s="28"/>
      <c r="T23" s="12"/>
      <c r="U23" s="26"/>
      <c r="V23" s="12"/>
      <c r="W23" s="28"/>
      <c r="X23" s="12"/>
      <c r="Y23" s="26"/>
      <c r="Z23" s="12"/>
      <c r="AA23" s="28"/>
      <c r="AB23" s="12"/>
      <c r="AC23" s="26"/>
      <c r="AD23" s="12"/>
      <c r="AE23" s="28"/>
      <c r="AF23" s="12"/>
      <c r="AG23" s="26"/>
      <c r="AH23" s="12"/>
      <c r="AI23" s="28"/>
      <c r="AJ23" s="12"/>
      <c r="AK23" s="26"/>
      <c r="AL23" s="12"/>
      <c r="AM23" s="28"/>
      <c r="AN23" s="12"/>
      <c r="AO23" s="26"/>
      <c r="AP23" s="12"/>
      <c r="AQ23" s="28"/>
      <c r="AR23" s="12"/>
      <c r="AS23" s="26"/>
      <c r="AT23" s="12"/>
      <c r="AU23" s="28"/>
      <c r="AW23" s="18">
        <f t="shared" si="0"/>
        <v>0</v>
      </c>
      <c r="AX23" s="19">
        <f t="shared" si="1"/>
        <v>0</v>
      </c>
      <c r="AY23" s="20"/>
      <c r="AZ23" s="13">
        <f t="shared" si="2"/>
        <v>0</v>
      </c>
      <c r="BA23" s="21">
        <f t="shared" si="3"/>
        <v>0</v>
      </c>
      <c r="BB23" s="20"/>
      <c r="BC23" s="13">
        <f t="shared" si="4"/>
        <v>0</v>
      </c>
      <c r="BD23" s="19">
        <f t="shared" si="5"/>
        <v>0</v>
      </c>
      <c r="BE23" s="20"/>
      <c r="BF23" s="13">
        <f t="shared" si="6"/>
        <v>0</v>
      </c>
      <c r="BG23" s="21">
        <f t="shared" si="7"/>
        <v>0</v>
      </c>
      <c r="BH23" s="20"/>
      <c r="BI23" s="13">
        <f t="shared" si="8"/>
        <v>0</v>
      </c>
      <c r="BJ23" s="19">
        <f t="shared" si="9"/>
        <v>0</v>
      </c>
      <c r="BK23" s="20"/>
      <c r="BL23" s="13">
        <f t="shared" si="10"/>
        <v>0</v>
      </c>
      <c r="BM23" s="21">
        <f t="shared" si="11"/>
        <v>0</v>
      </c>
      <c r="BN23" s="20"/>
      <c r="BO23" s="13">
        <f t="shared" si="12"/>
        <v>0</v>
      </c>
      <c r="BP23" s="19">
        <f t="shared" si="13"/>
        <v>0</v>
      </c>
      <c r="BQ23" s="20"/>
      <c r="BR23" s="13">
        <f t="shared" si="14"/>
        <v>0</v>
      </c>
      <c r="BS23" s="21">
        <f t="shared" si="15"/>
        <v>0</v>
      </c>
      <c r="BT23" s="20"/>
      <c r="BU23" s="13">
        <f t="shared" si="16"/>
        <v>0</v>
      </c>
      <c r="BV23" s="19">
        <f t="shared" si="17"/>
        <v>0</v>
      </c>
      <c r="BW23" s="20"/>
      <c r="BX23" s="13">
        <f t="shared" si="18"/>
        <v>0</v>
      </c>
      <c r="BY23" s="21">
        <f t="shared" si="19"/>
        <v>0</v>
      </c>
      <c r="BZ23" s="20"/>
      <c r="CA23" s="13">
        <f t="shared" si="20"/>
        <v>0</v>
      </c>
      <c r="CB23" s="19">
        <f t="shared" si="21"/>
        <v>0</v>
      </c>
      <c r="CC23" s="20"/>
      <c r="CD23" s="13">
        <f t="shared" si="22"/>
        <v>0</v>
      </c>
      <c r="CE23" s="21">
        <f t="shared" si="23"/>
        <v>0</v>
      </c>
      <c r="CF23" s="20"/>
      <c r="CG23" s="18">
        <f t="shared" si="24"/>
        <v>0</v>
      </c>
      <c r="CH23" s="21">
        <f t="shared" si="45"/>
        <v>0</v>
      </c>
      <c r="CI23" s="20"/>
      <c r="CJ23" s="18">
        <f t="shared" si="25"/>
        <v>0</v>
      </c>
      <c r="CK23" s="21">
        <f t="shared" si="26"/>
        <v>0</v>
      </c>
      <c r="CL23" s="20"/>
      <c r="CM23" s="18">
        <f t="shared" si="27"/>
        <v>0</v>
      </c>
      <c r="CN23" s="21">
        <f t="shared" si="28"/>
        <v>0</v>
      </c>
      <c r="CO23" s="20"/>
      <c r="CP23" s="18">
        <f t="shared" si="29"/>
        <v>0</v>
      </c>
      <c r="CQ23" s="21">
        <f t="shared" si="30"/>
        <v>0</v>
      </c>
      <c r="CR23" s="20"/>
      <c r="CS23" s="18">
        <f t="shared" si="31"/>
        <v>0</v>
      </c>
      <c r="CT23" s="19">
        <f t="shared" si="32"/>
        <v>0</v>
      </c>
      <c r="CU23" s="20"/>
      <c r="CV23" s="13">
        <f t="shared" si="33"/>
        <v>0</v>
      </c>
      <c r="CW23" s="21">
        <f t="shared" si="34"/>
        <v>0</v>
      </c>
      <c r="CX23" s="20"/>
      <c r="CY23" s="13">
        <f t="shared" si="35"/>
        <v>0</v>
      </c>
      <c r="CZ23" s="19">
        <f t="shared" si="36"/>
        <v>0</v>
      </c>
      <c r="DA23" s="20"/>
      <c r="DB23" s="13">
        <f t="shared" si="37"/>
        <v>0</v>
      </c>
      <c r="DC23" s="21">
        <f t="shared" si="38"/>
        <v>0</v>
      </c>
      <c r="DE23" s="97">
        <v>151</v>
      </c>
      <c r="DF23" s="32"/>
      <c r="DG23" s="61">
        <f t="shared" si="39"/>
        <v>0</v>
      </c>
      <c r="DH23" s="32"/>
      <c r="DI23" s="59">
        <f t="shared" si="40"/>
        <v>0</v>
      </c>
      <c r="DJ23" s="32"/>
      <c r="DK23" s="59">
        <f t="shared" si="41"/>
        <v>151</v>
      </c>
      <c r="DL23" s="32"/>
      <c r="DM23" s="96">
        <f t="shared" si="42"/>
        <v>11657.2</v>
      </c>
      <c r="DN23" s="32"/>
      <c r="DO23" s="62" t="e">
        <f t="shared" si="43"/>
        <v>#DIV/0!</v>
      </c>
      <c r="DP23" s="32"/>
      <c r="DQ23" s="96">
        <f t="shared" si="44"/>
        <v>14571.5</v>
      </c>
      <c r="DR23" s="32"/>
      <c r="DS23" s="61"/>
      <c r="DT23" s="32"/>
      <c r="DU23" s="63">
        <v>0</v>
      </c>
      <c r="DV23" s="32"/>
      <c r="DW23" s="64">
        <f t="shared" si="46"/>
        <v>0</v>
      </c>
      <c r="DX23" s="32"/>
      <c r="DY23" s="63">
        <f t="shared" si="47"/>
        <v>0</v>
      </c>
    </row>
    <row r="24" spans="1:129" ht="12" customHeight="1" x14ac:dyDescent="0.3">
      <c r="A24" s="37" t="s">
        <v>74</v>
      </c>
      <c r="B24" s="32"/>
      <c r="C24" s="51"/>
      <c r="D24" s="34"/>
      <c r="E24" s="38">
        <v>13.8</v>
      </c>
      <c r="F24" s="34"/>
      <c r="G24" s="33">
        <v>16.559999999999999</v>
      </c>
      <c r="I24" s="26"/>
      <c r="J24" s="27"/>
      <c r="K24" s="28">
        <v>4</v>
      </c>
      <c r="L24" s="12"/>
      <c r="M24" s="26">
        <v>1</v>
      </c>
      <c r="N24" s="12"/>
      <c r="O24" s="28">
        <v>2</v>
      </c>
      <c r="P24" s="12"/>
      <c r="Q24" s="26">
        <v>1</v>
      </c>
      <c r="R24" s="12"/>
      <c r="S24" s="28">
        <v>1</v>
      </c>
      <c r="T24" s="12"/>
      <c r="U24" s="26">
        <v>2</v>
      </c>
      <c r="V24" s="12"/>
      <c r="W24" s="28">
        <v>3</v>
      </c>
      <c r="X24" s="12"/>
      <c r="Y24" s="26">
        <v>1</v>
      </c>
      <c r="Z24" s="12"/>
      <c r="AA24" s="28">
        <v>1</v>
      </c>
      <c r="AB24" s="12"/>
      <c r="AC24" s="26">
        <v>1</v>
      </c>
      <c r="AD24" s="12"/>
      <c r="AE24" s="28"/>
      <c r="AF24" s="12"/>
      <c r="AG24" s="26"/>
      <c r="AH24" s="12"/>
      <c r="AI24" s="28"/>
      <c r="AJ24" s="12"/>
      <c r="AK24" s="26"/>
      <c r="AL24" s="12"/>
      <c r="AM24" s="28"/>
      <c r="AN24" s="12"/>
      <c r="AO24" s="26"/>
      <c r="AP24" s="12"/>
      <c r="AQ24" s="28"/>
      <c r="AR24" s="12"/>
      <c r="AS24" s="26"/>
      <c r="AT24" s="12"/>
      <c r="AU24" s="28"/>
      <c r="AW24" s="18">
        <f t="shared" si="0"/>
        <v>0</v>
      </c>
      <c r="AX24" s="19">
        <f t="shared" si="1"/>
        <v>0</v>
      </c>
      <c r="AY24" s="20"/>
      <c r="AZ24" s="13">
        <f t="shared" si="2"/>
        <v>4</v>
      </c>
      <c r="BA24" s="21">
        <f t="shared" si="3"/>
        <v>66.239999999999995</v>
      </c>
      <c r="BB24" s="20"/>
      <c r="BC24" s="13">
        <f t="shared" si="4"/>
        <v>1</v>
      </c>
      <c r="BD24" s="19">
        <f t="shared" si="5"/>
        <v>16.559999999999999</v>
      </c>
      <c r="BE24" s="20"/>
      <c r="BF24" s="13">
        <f t="shared" si="6"/>
        <v>2</v>
      </c>
      <c r="BG24" s="21">
        <f t="shared" si="7"/>
        <v>33.119999999999997</v>
      </c>
      <c r="BH24" s="20"/>
      <c r="BI24" s="13">
        <f t="shared" si="8"/>
        <v>1</v>
      </c>
      <c r="BJ24" s="19">
        <f t="shared" si="9"/>
        <v>16.559999999999999</v>
      </c>
      <c r="BK24" s="20"/>
      <c r="BL24" s="13">
        <f t="shared" si="10"/>
        <v>1</v>
      </c>
      <c r="BM24" s="21">
        <f t="shared" si="11"/>
        <v>16.559999999999999</v>
      </c>
      <c r="BN24" s="20"/>
      <c r="BO24" s="13">
        <f t="shared" si="12"/>
        <v>2</v>
      </c>
      <c r="BP24" s="19">
        <f t="shared" si="13"/>
        <v>33.119999999999997</v>
      </c>
      <c r="BQ24" s="20"/>
      <c r="BR24" s="13">
        <f t="shared" si="14"/>
        <v>3</v>
      </c>
      <c r="BS24" s="21">
        <f t="shared" si="15"/>
        <v>49.679999999999993</v>
      </c>
      <c r="BT24" s="20"/>
      <c r="BU24" s="13">
        <f t="shared" si="16"/>
        <v>1</v>
      </c>
      <c r="BV24" s="19">
        <f t="shared" si="17"/>
        <v>16.559999999999999</v>
      </c>
      <c r="BW24" s="20"/>
      <c r="BX24" s="13">
        <f t="shared" si="18"/>
        <v>1</v>
      </c>
      <c r="BY24" s="21">
        <f t="shared" si="19"/>
        <v>16.559999999999999</v>
      </c>
      <c r="BZ24" s="20"/>
      <c r="CA24" s="13">
        <f t="shared" si="20"/>
        <v>1</v>
      </c>
      <c r="CB24" s="19">
        <f t="shared" si="21"/>
        <v>16.559999999999999</v>
      </c>
      <c r="CC24" s="20"/>
      <c r="CD24" s="13">
        <f t="shared" si="22"/>
        <v>0</v>
      </c>
      <c r="CE24" s="21">
        <f t="shared" si="23"/>
        <v>0</v>
      </c>
      <c r="CF24" s="20"/>
      <c r="CG24" s="18">
        <f t="shared" si="24"/>
        <v>0</v>
      </c>
      <c r="CH24" s="21">
        <f t="shared" si="45"/>
        <v>0</v>
      </c>
      <c r="CI24" s="20"/>
      <c r="CJ24" s="18">
        <f t="shared" si="25"/>
        <v>0</v>
      </c>
      <c r="CK24" s="21">
        <f t="shared" si="26"/>
        <v>0</v>
      </c>
      <c r="CL24" s="20"/>
      <c r="CM24" s="18">
        <f t="shared" si="27"/>
        <v>0</v>
      </c>
      <c r="CN24" s="21">
        <f t="shared" si="28"/>
        <v>0</v>
      </c>
      <c r="CO24" s="20"/>
      <c r="CP24" s="18">
        <f t="shared" si="29"/>
        <v>0</v>
      </c>
      <c r="CQ24" s="21">
        <f t="shared" si="30"/>
        <v>0</v>
      </c>
      <c r="CR24" s="20"/>
      <c r="CS24" s="18">
        <f t="shared" si="31"/>
        <v>0</v>
      </c>
      <c r="CT24" s="19">
        <f t="shared" si="32"/>
        <v>0</v>
      </c>
      <c r="CU24" s="20"/>
      <c r="CV24" s="13">
        <f t="shared" si="33"/>
        <v>0</v>
      </c>
      <c r="CW24" s="21">
        <f t="shared" si="34"/>
        <v>0</v>
      </c>
      <c r="CX24" s="20"/>
      <c r="CY24" s="13">
        <f t="shared" si="35"/>
        <v>0</v>
      </c>
      <c r="CZ24" s="19">
        <f t="shared" si="36"/>
        <v>0</v>
      </c>
      <c r="DA24" s="20"/>
      <c r="DB24" s="13">
        <f t="shared" si="37"/>
        <v>0</v>
      </c>
      <c r="DC24" s="21">
        <f t="shared" si="38"/>
        <v>0</v>
      </c>
      <c r="DE24" s="97">
        <v>584</v>
      </c>
      <c r="DF24" s="32"/>
      <c r="DG24" s="61">
        <f t="shared" si="39"/>
        <v>0</v>
      </c>
      <c r="DH24" s="32"/>
      <c r="DI24" s="59">
        <f t="shared" si="40"/>
        <v>17</v>
      </c>
      <c r="DJ24" s="32"/>
      <c r="DK24" s="59">
        <f t="shared" si="41"/>
        <v>567</v>
      </c>
      <c r="DL24" s="32"/>
      <c r="DM24" s="96">
        <f t="shared" si="42"/>
        <v>7824.6</v>
      </c>
      <c r="DN24" s="32"/>
      <c r="DO24" s="62">
        <f t="shared" si="43"/>
        <v>33.352941176470587</v>
      </c>
      <c r="DP24" s="32"/>
      <c r="DQ24" s="96">
        <f t="shared" si="44"/>
        <v>9389.5199999999986</v>
      </c>
      <c r="DR24" s="32"/>
      <c r="DS24" s="61"/>
      <c r="DT24" s="32"/>
      <c r="DU24" s="63">
        <v>0</v>
      </c>
      <c r="DV24" s="32"/>
      <c r="DW24" s="64">
        <f t="shared" si="46"/>
        <v>0</v>
      </c>
      <c r="DX24" s="32"/>
      <c r="DY24" s="63">
        <f t="shared" si="47"/>
        <v>0</v>
      </c>
    </row>
    <row r="25" spans="1:129" ht="12" customHeight="1" x14ac:dyDescent="0.3">
      <c r="A25" s="36" t="s">
        <v>70</v>
      </c>
      <c r="B25" s="32"/>
      <c r="C25" s="51"/>
      <c r="D25" s="34"/>
      <c r="E25" s="38">
        <v>27.99</v>
      </c>
      <c r="F25" s="34"/>
      <c r="G25" s="33">
        <v>33.590000000000003</v>
      </c>
      <c r="I25" s="26">
        <v>2</v>
      </c>
      <c r="J25" s="27"/>
      <c r="K25" s="28">
        <v>4</v>
      </c>
      <c r="L25" s="12"/>
      <c r="M25" s="26">
        <v>2</v>
      </c>
      <c r="N25" s="12"/>
      <c r="O25" s="28">
        <v>2</v>
      </c>
      <c r="P25" s="12"/>
      <c r="Q25" s="26">
        <v>2</v>
      </c>
      <c r="R25" s="12"/>
      <c r="S25" s="28">
        <v>1</v>
      </c>
      <c r="T25" s="12"/>
      <c r="U25" s="26">
        <v>1</v>
      </c>
      <c r="V25" s="12"/>
      <c r="W25" s="28">
        <v>1</v>
      </c>
      <c r="X25" s="12"/>
      <c r="Y25" s="26">
        <v>1</v>
      </c>
      <c r="Z25" s="12"/>
      <c r="AA25" s="28">
        <v>2</v>
      </c>
      <c r="AB25" s="12"/>
      <c r="AC25" s="26">
        <v>1</v>
      </c>
      <c r="AD25" s="12"/>
      <c r="AE25" s="28"/>
      <c r="AF25" s="12"/>
      <c r="AG25" s="26"/>
      <c r="AH25" s="12"/>
      <c r="AI25" s="28"/>
      <c r="AJ25" s="12"/>
      <c r="AK25" s="26"/>
      <c r="AL25" s="12"/>
      <c r="AM25" s="28"/>
      <c r="AN25" s="12"/>
      <c r="AO25" s="26"/>
      <c r="AP25" s="12"/>
      <c r="AQ25" s="28"/>
      <c r="AR25" s="12"/>
      <c r="AS25" s="26"/>
      <c r="AT25" s="12"/>
      <c r="AU25" s="28"/>
      <c r="AW25" s="18">
        <f t="shared" si="0"/>
        <v>2</v>
      </c>
      <c r="AX25" s="19">
        <f t="shared" si="1"/>
        <v>67.180000000000007</v>
      </c>
      <c r="AY25" s="20"/>
      <c r="AZ25" s="13">
        <f t="shared" si="2"/>
        <v>4</v>
      </c>
      <c r="BA25" s="21">
        <f t="shared" si="3"/>
        <v>134.36000000000001</v>
      </c>
      <c r="BB25" s="20"/>
      <c r="BC25" s="13">
        <f t="shared" si="4"/>
        <v>2</v>
      </c>
      <c r="BD25" s="19">
        <f t="shared" si="5"/>
        <v>67.180000000000007</v>
      </c>
      <c r="BE25" s="20"/>
      <c r="BF25" s="13">
        <f t="shared" si="6"/>
        <v>2</v>
      </c>
      <c r="BG25" s="21">
        <f t="shared" si="7"/>
        <v>67.180000000000007</v>
      </c>
      <c r="BH25" s="20"/>
      <c r="BI25" s="13">
        <f t="shared" si="8"/>
        <v>2</v>
      </c>
      <c r="BJ25" s="19">
        <f t="shared" si="9"/>
        <v>67.180000000000007</v>
      </c>
      <c r="BK25" s="20"/>
      <c r="BL25" s="13">
        <f t="shared" si="10"/>
        <v>1</v>
      </c>
      <c r="BM25" s="21">
        <f t="shared" si="11"/>
        <v>33.590000000000003</v>
      </c>
      <c r="BN25" s="20"/>
      <c r="BO25" s="13">
        <f t="shared" si="12"/>
        <v>1</v>
      </c>
      <c r="BP25" s="19">
        <f t="shared" si="13"/>
        <v>33.590000000000003</v>
      </c>
      <c r="BQ25" s="20"/>
      <c r="BR25" s="13">
        <f t="shared" si="14"/>
        <v>1</v>
      </c>
      <c r="BS25" s="21">
        <f t="shared" si="15"/>
        <v>33.590000000000003</v>
      </c>
      <c r="BT25" s="20"/>
      <c r="BU25" s="13">
        <f t="shared" si="16"/>
        <v>1</v>
      </c>
      <c r="BV25" s="19">
        <f t="shared" si="17"/>
        <v>33.590000000000003</v>
      </c>
      <c r="BW25" s="20"/>
      <c r="BX25" s="13">
        <f t="shared" si="18"/>
        <v>2</v>
      </c>
      <c r="BY25" s="21">
        <f t="shared" si="19"/>
        <v>67.180000000000007</v>
      </c>
      <c r="BZ25" s="20"/>
      <c r="CA25" s="13">
        <f t="shared" si="20"/>
        <v>1</v>
      </c>
      <c r="CB25" s="19">
        <f t="shared" si="21"/>
        <v>33.590000000000003</v>
      </c>
      <c r="CC25" s="20"/>
      <c r="CD25" s="13">
        <f t="shared" si="22"/>
        <v>0</v>
      </c>
      <c r="CE25" s="21">
        <f t="shared" si="23"/>
        <v>0</v>
      </c>
      <c r="CF25" s="20"/>
      <c r="CG25" s="18">
        <f t="shared" si="24"/>
        <v>0</v>
      </c>
      <c r="CH25" s="21">
        <f t="shared" si="45"/>
        <v>0</v>
      </c>
      <c r="CI25" s="20"/>
      <c r="CJ25" s="18">
        <f t="shared" si="25"/>
        <v>0</v>
      </c>
      <c r="CK25" s="21">
        <f t="shared" si="26"/>
        <v>0</v>
      </c>
      <c r="CL25" s="20"/>
      <c r="CM25" s="18">
        <f t="shared" si="27"/>
        <v>0</v>
      </c>
      <c r="CN25" s="21">
        <f t="shared" si="28"/>
        <v>0</v>
      </c>
      <c r="CO25" s="20"/>
      <c r="CP25" s="18">
        <f t="shared" si="29"/>
        <v>0</v>
      </c>
      <c r="CQ25" s="21">
        <f t="shared" si="30"/>
        <v>0</v>
      </c>
      <c r="CR25" s="20"/>
      <c r="CS25" s="18">
        <f t="shared" si="31"/>
        <v>0</v>
      </c>
      <c r="CT25" s="19">
        <f t="shared" si="32"/>
        <v>0</v>
      </c>
      <c r="CU25" s="20"/>
      <c r="CV25" s="13">
        <f t="shared" si="33"/>
        <v>0</v>
      </c>
      <c r="CW25" s="21">
        <f t="shared" si="34"/>
        <v>0</v>
      </c>
      <c r="CX25" s="20"/>
      <c r="CY25" s="13">
        <f t="shared" si="35"/>
        <v>0</v>
      </c>
      <c r="CZ25" s="19">
        <f t="shared" si="36"/>
        <v>0</v>
      </c>
      <c r="DA25" s="20"/>
      <c r="DB25" s="13">
        <f t="shared" si="37"/>
        <v>0</v>
      </c>
      <c r="DC25" s="21">
        <f t="shared" si="38"/>
        <v>0</v>
      </c>
      <c r="DE25" s="97">
        <v>101</v>
      </c>
      <c r="DF25" s="32"/>
      <c r="DG25" s="61">
        <f t="shared" si="39"/>
        <v>0</v>
      </c>
      <c r="DH25" s="32"/>
      <c r="DI25" s="59">
        <f t="shared" si="40"/>
        <v>19</v>
      </c>
      <c r="DJ25" s="32"/>
      <c r="DK25" s="59">
        <f t="shared" si="41"/>
        <v>82</v>
      </c>
      <c r="DL25" s="32"/>
      <c r="DM25" s="96">
        <f t="shared" si="42"/>
        <v>2295.1799999999998</v>
      </c>
      <c r="DN25" s="32"/>
      <c r="DO25" s="62">
        <f t="shared" si="43"/>
        <v>4.3157894736842106</v>
      </c>
      <c r="DP25" s="32"/>
      <c r="DQ25" s="96">
        <f t="shared" si="44"/>
        <v>2754.38</v>
      </c>
      <c r="DR25" s="32"/>
      <c r="DS25" s="61"/>
      <c r="DT25" s="32"/>
      <c r="DU25" s="63">
        <v>0</v>
      </c>
      <c r="DV25" s="32"/>
      <c r="DW25" s="64">
        <f t="shared" si="46"/>
        <v>0</v>
      </c>
      <c r="DX25" s="32"/>
      <c r="DY25" s="63">
        <f t="shared" si="47"/>
        <v>0</v>
      </c>
    </row>
    <row r="26" spans="1:129" ht="12" customHeight="1" x14ac:dyDescent="0.3">
      <c r="A26" s="37" t="s">
        <v>71</v>
      </c>
      <c r="B26" s="32"/>
      <c r="C26" s="51"/>
      <c r="D26" s="34"/>
      <c r="E26" s="38">
        <v>32.99</v>
      </c>
      <c r="F26" s="34"/>
      <c r="G26" s="33">
        <v>39.590000000000003</v>
      </c>
      <c r="I26" s="26">
        <v>1</v>
      </c>
      <c r="J26" s="27"/>
      <c r="K26" s="28">
        <v>1</v>
      </c>
      <c r="L26" s="12"/>
      <c r="M26" s="26">
        <v>1</v>
      </c>
      <c r="N26" s="12"/>
      <c r="O26" s="28">
        <v>1</v>
      </c>
      <c r="P26" s="12"/>
      <c r="Q26" s="26"/>
      <c r="R26" s="12"/>
      <c r="S26" s="28">
        <v>1</v>
      </c>
      <c r="T26" s="12"/>
      <c r="U26" s="26"/>
      <c r="V26" s="12"/>
      <c r="W26" s="28">
        <v>1</v>
      </c>
      <c r="X26" s="12"/>
      <c r="Y26" s="26">
        <v>1</v>
      </c>
      <c r="Z26" s="12"/>
      <c r="AA26" s="28"/>
      <c r="AB26" s="12"/>
      <c r="AC26" s="26">
        <v>1</v>
      </c>
      <c r="AD26" s="12"/>
      <c r="AE26" s="28"/>
      <c r="AF26" s="12"/>
      <c r="AG26" s="26"/>
      <c r="AH26" s="12"/>
      <c r="AI26" s="28"/>
      <c r="AJ26" s="12"/>
      <c r="AK26" s="26"/>
      <c r="AL26" s="12"/>
      <c r="AM26" s="28"/>
      <c r="AN26" s="12"/>
      <c r="AO26" s="26"/>
      <c r="AP26" s="12"/>
      <c r="AQ26" s="28"/>
      <c r="AR26" s="12"/>
      <c r="AS26" s="26"/>
      <c r="AT26" s="12"/>
      <c r="AU26" s="28"/>
      <c r="AW26" s="18">
        <f t="shared" si="0"/>
        <v>1</v>
      </c>
      <c r="AX26" s="19">
        <f t="shared" si="1"/>
        <v>39.590000000000003</v>
      </c>
      <c r="AY26" s="20"/>
      <c r="AZ26" s="13">
        <f t="shared" si="2"/>
        <v>1</v>
      </c>
      <c r="BA26" s="21">
        <f t="shared" si="3"/>
        <v>39.590000000000003</v>
      </c>
      <c r="BB26" s="20"/>
      <c r="BC26" s="13">
        <f t="shared" si="4"/>
        <v>1</v>
      </c>
      <c r="BD26" s="19">
        <f t="shared" si="5"/>
        <v>39.590000000000003</v>
      </c>
      <c r="BE26" s="20"/>
      <c r="BF26" s="13">
        <f t="shared" si="6"/>
        <v>1</v>
      </c>
      <c r="BG26" s="21">
        <f t="shared" si="7"/>
        <v>39.590000000000003</v>
      </c>
      <c r="BH26" s="20"/>
      <c r="BI26" s="13">
        <f t="shared" si="8"/>
        <v>0</v>
      </c>
      <c r="BJ26" s="19">
        <f t="shared" si="9"/>
        <v>0</v>
      </c>
      <c r="BK26" s="20"/>
      <c r="BL26" s="13">
        <f t="shared" si="10"/>
        <v>1</v>
      </c>
      <c r="BM26" s="21">
        <f t="shared" si="11"/>
        <v>39.590000000000003</v>
      </c>
      <c r="BN26" s="20"/>
      <c r="BO26" s="13">
        <f t="shared" si="12"/>
        <v>0</v>
      </c>
      <c r="BP26" s="19">
        <f t="shared" si="13"/>
        <v>0</v>
      </c>
      <c r="BQ26" s="20"/>
      <c r="BR26" s="13">
        <f t="shared" si="14"/>
        <v>1</v>
      </c>
      <c r="BS26" s="21">
        <f t="shared" si="15"/>
        <v>39.590000000000003</v>
      </c>
      <c r="BT26" s="20"/>
      <c r="BU26" s="13">
        <f t="shared" si="16"/>
        <v>1</v>
      </c>
      <c r="BV26" s="19">
        <f t="shared" si="17"/>
        <v>39.590000000000003</v>
      </c>
      <c r="BW26" s="20"/>
      <c r="BX26" s="13">
        <f t="shared" si="18"/>
        <v>0</v>
      </c>
      <c r="BY26" s="21">
        <f t="shared" si="19"/>
        <v>0</v>
      </c>
      <c r="BZ26" s="20"/>
      <c r="CA26" s="13">
        <f t="shared" si="20"/>
        <v>1</v>
      </c>
      <c r="CB26" s="19">
        <f t="shared" si="21"/>
        <v>39.590000000000003</v>
      </c>
      <c r="CC26" s="20"/>
      <c r="CD26" s="13">
        <f t="shared" si="22"/>
        <v>0</v>
      </c>
      <c r="CE26" s="21">
        <f t="shared" si="23"/>
        <v>0</v>
      </c>
      <c r="CF26" s="20"/>
      <c r="CG26" s="18">
        <f t="shared" si="24"/>
        <v>0</v>
      </c>
      <c r="CH26" s="21">
        <f t="shared" si="45"/>
        <v>0</v>
      </c>
      <c r="CI26" s="20"/>
      <c r="CJ26" s="18">
        <f t="shared" si="25"/>
        <v>0</v>
      </c>
      <c r="CK26" s="21">
        <f t="shared" si="26"/>
        <v>0</v>
      </c>
      <c r="CL26" s="20"/>
      <c r="CM26" s="18">
        <f t="shared" si="27"/>
        <v>0</v>
      </c>
      <c r="CN26" s="21">
        <f t="shared" si="28"/>
        <v>0</v>
      </c>
      <c r="CO26" s="20"/>
      <c r="CP26" s="18">
        <f t="shared" si="29"/>
        <v>0</v>
      </c>
      <c r="CQ26" s="21">
        <f t="shared" si="30"/>
        <v>0</v>
      </c>
      <c r="CR26" s="20"/>
      <c r="CS26" s="18">
        <f t="shared" si="31"/>
        <v>0</v>
      </c>
      <c r="CT26" s="19">
        <f t="shared" si="32"/>
        <v>0</v>
      </c>
      <c r="CU26" s="20"/>
      <c r="CV26" s="13">
        <f t="shared" si="33"/>
        <v>0</v>
      </c>
      <c r="CW26" s="21">
        <f t="shared" si="34"/>
        <v>0</v>
      </c>
      <c r="CX26" s="20"/>
      <c r="CY26" s="13">
        <f t="shared" si="35"/>
        <v>0</v>
      </c>
      <c r="CZ26" s="19">
        <f t="shared" si="36"/>
        <v>0</v>
      </c>
      <c r="DA26" s="20"/>
      <c r="DB26" s="13">
        <f t="shared" si="37"/>
        <v>0</v>
      </c>
      <c r="DC26" s="21">
        <f t="shared" si="38"/>
        <v>0</v>
      </c>
      <c r="DE26" s="97">
        <v>108</v>
      </c>
      <c r="DF26" s="32"/>
      <c r="DG26" s="61">
        <f t="shared" si="39"/>
        <v>0</v>
      </c>
      <c r="DH26" s="32"/>
      <c r="DI26" s="59">
        <f t="shared" si="40"/>
        <v>8</v>
      </c>
      <c r="DJ26" s="32"/>
      <c r="DK26" s="59">
        <f t="shared" si="41"/>
        <v>100</v>
      </c>
      <c r="DL26" s="32"/>
      <c r="DM26" s="96">
        <f t="shared" si="42"/>
        <v>3299</v>
      </c>
      <c r="DN26" s="32"/>
      <c r="DO26" s="62">
        <f t="shared" si="43"/>
        <v>12.5</v>
      </c>
      <c r="DP26" s="32"/>
      <c r="DQ26" s="96">
        <f t="shared" si="44"/>
        <v>3959.0000000000005</v>
      </c>
      <c r="DR26" s="32"/>
      <c r="DS26" s="61"/>
      <c r="DT26" s="32"/>
      <c r="DU26" s="63">
        <v>0</v>
      </c>
      <c r="DV26" s="32"/>
      <c r="DW26" s="64">
        <f t="shared" si="46"/>
        <v>0</v>
      </c>
      <c r="DX26" s="32"/>
      <c r="DY26" s="63">
        <f t="shared" si="47"/>
        <v>0</v>
      </c>
    </row>
    <row r="27" spans="1:129" ht="12" customHeight="1" x14ac:dyDescent="0.3">
      <c r="A27" s="36" t="s">
        <v>30</v>
      </c>
      <c r="B27" s="32"/>
      <c r="C27" s="51"/>
      <c r="D27" s="34"/>
      <c r="E27" s="38">
        <v>23.05</v>
      </c>
      <c r="F27" s="34"/>
      <c r="G27" s="33">
        <v>27.66</v>
      </c>
      <c r="I27" s="26"/>
      <c r="J27" s="27"/>
      <c r="K27" s="28">
        <v>1</v>
      </c>
      <c r="L27" s="12"/>
      <c r="M27" s="26"/>
      <c r="N27" s="12"/>
      <c r="O27" s="28">
        <v>1</v>
      </c>
      <c r="P27" s="12"/>
      <c r="Q27" s="26"/>
      <c r="R27" s="12"/>
      <c r="S27" s="28">
        <v>1</v>
      </c>
      <c r="T27" s="12"/>
      <c r="U27" s="26"/>
      <c r="V27" s="12"/>
      <c r="W27" s="28">
        <v>1</v>
      </c>
      <c r="X27" s="12"/>
      <c r="Y27" s="26"/>
      <c r="Z27" s="12"/>
      <c r="AA27" s="28">
        <v>1</v>
      </c>
      <c r="AB27" s="12"/>
      <c r="AC27" s="26"/>
      <c r="AD27" s="12"/>
      <c r="AE27" s="28"/>
      <c r="AF27" s="12"/>
      <c r="AG27" s="26"/>
      <c r="AH27" s="12"/>
      <c r="AI27" s="28"/>
      <c r="AJ27" s="12"/>
      <c r="AK27" s="26"/>
      <c r="AL27" s="12"/>
      <c r="AM27" s="28"/>
      <c r="AN27" s="12"/>
      <c r="AO27" s="26"/>
      <c r="AP27" s="12"/>
      <c r="AQ27" s="28"/>
      <c r="AR27" s="12"/>
      <c r="AS27" s="26"/>
      <c r="AT27" s="12"/>
      <c r="AU27" s="28"/>
      <c r="AW27" s="18">
        <f t="shared" si="0"/>
        <v>0</v>
      </c>
      <c r="AX27" s="19">
        <f t="shared" si="1"/>
        <v>0</v>
      </c>
      <c r="AY27" s="20"/>
      <c r="AZ27" s="13">
        <f t="shared" si="2"/>
        <v>1</v>
      </c>
      <c r="BA27" s="21">
        <f t="shared" si="3"/>
        <v>27.66</v>
      </c>
      <c r="BB27" s="20"/>
      <c r="BC27" s="13">
        <f t="shared" si="4"/>
        <v>0</v>
      </c>
      <c r="BD27" s="19">
        <f t="shared" si="5"/>
        <v>0</v>
      </c>
      <c r="BE27" s="20"/>
      <c r="BF27" s="13">
        <f t="shared" si="6"/>
        <v>1</v>
      </c>
      <c r="BG27" s="21">
        <f t="shared" si="7"/>
        <v>27.66</v>
      </c>
      <c r="BH27" s="20"/>
      <c r="BI27" s="13">
        <f t="shared" si="8"/>
        <v>0</v>
      </c>
      <c r="BJ27" s="19">
        <f t="shared" si="9"/>
        <v>0</v>
      </c>
      <c r="BK27" s="20"/>
      <c r="BL27" s="13">
        <f t="shared" si="10"/>
        <v>1</v>
      </c>
      <c r="BM27" s="21">
        <f t="shared" si="11"/>
        <v>27.66</v>
      </c>
      <c r="BN27" s="20"/>
      <c r="BO27" s="13">
        <f t="shared" si="12"/>
        <v>0</v>
      </c>
      <c r="BP27" s="19">
        <f t="shared" si="13"/>
        <v>0</v>
      </c>
      <c r="BQ27" s="20"/>
      <c r="BR27" s="13">
        <f t="shared" si="14"/>
        <v>1</v>
      </c>
      <c r="BS27" s="21">
        <f t="shared" si="15"/>
        <v>27.66</v>
      </c>
      <c r="BT27" s="20"/>
      <c r="BU27" s="13">
        <f t="shared" si="16"/>
        <v>0</v>
      </c>
      <c r="BV27" s="19">
        <f t="shared" si="17"/>
        <v>0</v>
      </c>
      <c r="BW27" s="20"/>
      <c r="BX27" s="13">
        <f t="shared" si="18"/>
        <v>1</v>
      </c>
      <c r="BY27" s="21">
        <f t="shared" si="19"/>
        <v>27.66</v>
      </c>
      <c r="BZ27" s="20"/>
      <c r="CA27" s="13">
        <f t="shared" si="20"/>
        <v>0</v>
      </c>
      <c r="CB27" s="19">
        <f t="shared" si="21"/>
        <v>0</v>
      </c>
      <c r="CC27" s="20"/>
      <c r="CD27" s="13">
        <f t="shared" si="22"/>
        <v>0</v>
      </c>
      <c r="CE27" s="21">
        <f t="shared" si="23"/>
        <v>0</v>
      </c>
      <c r="CF27" s="20"/>
      <c r="CG27" s="18">
        <f t="shared" si="24"/>
        <v>0</v>
      </c>
      <c r="CH27" s="21">
        <f t="shared" si="45"/>
        <v>0</v>
      </c>
      <c r="CI27" s="20"/>
      <c r="CJ27" s="18">
        <f t="shared" si="25"/>
        <v>0</v>
      </c>
      <c r="CK27" s="21">
        <f t="shared" si="26"/>
        <v>0</v>
      </c>
      <c r="CL27" s="20"/>
      <c r="CM27" s="18">
        <f t="shared" si="27"/>
        <v>0</v>
      </c>
      <c r="CN27" s="21">
        <f t="shared" si="28"/>
        <v>0</v>
      </c>
      <c r="CO27" s="20"/>
      <c r="CP27" s="18">
        <f t="shared" si="29"/>
        <v>0</v>
      </c>
      <c r="CQ27" s="21">
        <f t="shared" si="30"/>
        <v>0</v>
      </c>
      <c r="CR27" s="20"/>
      <c r="CS27" s="18">
        <f t="shared" si="31"/>
        <v>0</v>
      </c>
      <c r="CT27" s="19">
        <f t="shared" si="32"/>
        <v>0</v>
      </c>
      <c r="CU27" s="20"/>
      <c r="CV27" s="13">
        <f t="shared" si="33"/>
        <v>0</v>
      </c>
      <c r="CW27" s="21">
        <f t="shared" si="34"/>
        <v>0</v>
      </c>
      <c r="CX27" s="20"/>
      <c r="CY27" s="13">
        <f t="shared" si="35"/>
        <v>0</v>
      </c>
      <c r="CZ27" s="19">
        <f t="shared" si="36"/>
        <v>0</v>
      </c>
      <c r="DA27" s="20"/>
      <c r="DB27" s="13">
        <f t="shared" si="37"/>
        <v>0</v>
      </c>
      <c r="DC27" s="21">
        <f t="shared" si="38"/>
        <v>0</v>
      </c>
      <c r="DE27" s="97">
        <v>143</v>
      </c>
      <c r="DF27" s="32"/>
      <c r="DG27" s="61">
        <f t="shared" si="39"/>
        <v>0</v>
      </c>
      <c r="DH27" s="32"/>
      <c r="DI27" s="59">
        <f t="shared" si="40"/>
        <v>5</v>
      </c>
      <c r="DJ27" s="32"/>
      <c r="DK27" s="59">
        <f t="shared" si="41"/>
        <v>138</v>
      </c>
      <c r="DL27" s="32"/>
      <c r="DM27" s="96">
        <f t="shared" si="42"/>
        <v>3180.9</v>
      </c>
      <c r="DN27" s="32"/>
      <c r="DO27" s="62">
        <f t="shared" si="43"/>
        <v>27.6</v>
      </c>
      <c r="DP27" s="32"/>
      <c r="DQ27" s="96">
        <f t="shared" si="44"/>
        <v>3817.08</v>
      </c>
      <c r="DR27" s="32"/>
      <c r="DS27" s="61"/>
      <c r="DT27" s="32"/>
      <c r="DU27" s="63">
        <v>0</v>
      </c>
      <c r="DV27" s="32"/>
      <c r="DW27" s="64">
        <f t="shared" si="46"/>
        <v>0</v>
      </c>
      <c r="DX27" s="32"/>
      <c r="DY27" s="63">
        <f t="shared" si="47"/>
        <v>0</v>
      </c>
    </row>
    <row r="28" spans="1:129" ht="12" customHeight="1" x14ac:dyDescent="0.3">
      <c r="A28" s="37" t="s">
        <v>31</v>
      </c>
      <c r="B28" s="32"/>
      <c r="C28" s="51"/>
      <c r="D28" s="34"/>
      <c r="E28" s="38">
        <v>26.11</v>
      </c>
      <c r="F28" s="34"/>
      <c r="G28" s="33">
        <v>31.33</v>
      </c>
      <c r="I28" s="26">
        <v>1</v>
      </c>
      <c r="J28" s="27"/>
      <c r="K28" s="28">
        <v>3</v>
      </c>
      <c r="L28" s="12"/>
      <c r="M28" s="26">
        <v>2</v>
      </c>
      <c r="N28" s="12"/>
      <c r="O28" s="28">
        <v>3</v>
      </c>
      <c r="P28" s="12"/>
      <c r="Q28" s="26">
        <v>2</v>
      </c>
      <c r="R28" s="12"/>
      <c r="S28" s="28">
        <v>1</v>
      </c>
      <c r="T28" s="12"/>
      <c r="U28" s="26">
        <v>1</v>
      </c>
      <c r="V28" s="12"/>
      <c r="W28" s="28">
        <v>2</v>
      </c>
      <c r="X28" s="12"/>
      <c r="Y28" s="26">
        <v>2</v>
      </c>
      <c r="Z28" s="12"/>
      <c r="AA28" s="28">
        <v>1</v>
      </c>
      <c r="AB28" s="12"/>
      <c r="AC28" s="26">
        <v>2</v>
      </c>
      <c r="AD28" s="12"/>
      <c r="AE28" s="28"/>
      <c r="AF28" s="12"/>
      <c r="AG28" s="26"/>
      <c r="AH28" s="12"/>
      <c r="AI28" s="28"/>
      <c r="AJ28" s="12"/>
      <c r="AK28" s="26"/>
      <c r="AL28" s="12"/>
      <c r="AM28" s="28"/>
      <c r="AN28" s="12"/>
      <c r="AO28" s="26"/>
      <c r="AP28" s="12"/>
      <c r="AQ28" s="28"/>
      <c r="AR28" s="12"/>
      <c r="AS28" s="26"/>
      <c r="AT28" s="12"/>
      <c r="AU28" s="28"/>
      <c r="AW28" s="18">
        <f t="shared" si="0"/>
        <v>1</v>
      </c>
      <c r="AX28" s="19">
        <f t="shared" si="1"/>
        <v>31.33</v>
      </c>
      <c r="AY28" s="20"/>
      <c r="AZ28" s="13">
        <f t="shared" si="2"/>
        <v>3</v>
      </c>
      <c r="BA28" s="21">
        <f t="shared" si="3"/>
        <v>93.99</v>
      </c>
      <c r="BB28" s="20"/>
      <c r="BC28" s="13">
        <f t="shared" si="4"/>
        <v>2</v>
      </c>
      <c r="BD28" s="19">
        <f t="shared" si="5"/>
        <v>62.66</v>
      </c>
      <c r="BE28" s="20"/>
      <c r="BF28" s="13">
        <f t="shared" si="6"/>
        <v>3</v>
      </c>
      <c r="BG28" s="21">
        <f t="shared" si="7"/>
        <v>93.99</v>
      </c>
      <c r="BH28" s="20"/>
      <c r="BI28" s="13">
        <f t="shared" si="8"/>
        <v>2</v>
      </c>
      <c r="BJ28" s="19">
        <f t="shared" si="9"/>
        <v>62.66</v>
      </c>
      <c r="BK28" s="20"/>
      <c r="BL28" s="13">
        <f t="shared" si="10"/>
        <v>1</v>
      </c>
      <c r="BM28" s="21">
        <f t="shared" si="11"/>
        <v>31.33</v>
      </c>
      <c r="BN28" s="20"/>
      <c r="BO28" s="13">
        <f t="shared" si="12"/>
        <v>1</v>
      </c>
      <c r="BP28" s="19">
        <f t="shared" si="13"/>
        <v>31.33</v>
      </c>
      <c r="BQ28" s="20"/>
      <c r="BR28" s="13">
        <f t="shared" si="14"/>
        <v>2</v>
      </c>
      <c r="BS28" s="21">
        <f t="shared" si="15"/>
        <v>62.66</v>
      </c>
      <c r="BT28" s="20"/>
      <c r="BU28" s="13">
        <f t="shared" si="16"/>
        <v>2</v>
      </c>
      <c r="BV28" s="19">
        <f t="shared" si="17"/>
        <v>62.66</v>
      </c>
      <c r="BW28" s="20"/>
      <c r="BX28" s="13">
        <f t="shared" si="18"/>
        <v>1</v>
      </c>
      <c r="BY28" s="21">
        <f t="shared" si="19"/>
        <v>31.33</v>
      </c>
      <c r="BZ28" s="20"/>
      <c r="CA28" s="13">
        <f t="shared" si="20"/>
        <v>2</v>
      </c>
      <c r="CB28" s="19">
        <f t="shared" si="21"/>
        <v>62.66</v>
      </c>
      <c r="CC28" s="20"/>
      <c r="CD28" s="13">
        <f t="shared" si="22"/>
        <v>0</v>
      </c>
      <c r="CE28" s="21">
        <f t="shared" si="23"/>
        <v>0</v>
      </c>
      <c r="CF28" s="20"/>
      <c r="CG28" s="18">
        <f t="shared" si="24"/>
        <v>0</v>
      </c>
      <c r="CH28" s="21">
        <f t="shared" si="45"/>
        <v>0</v>
      </c>
      <c r="CI28" s="20"/>
      <c r="CJ28" s="18">
        <f t="shared" si="25"/>
        <v>0</v>
      </c>
      <c r="CK28" s="21">
        <f t="shared" si="26"/>
        <v>0</v>
      </c>
      <c r="CL28" s="20"/>
      <c r="CM28" s="18">
        <f t="shared" si="27"/>
        <v>0</v>
      </c>
      <c r="CN28" s="21">
        <f t="shared" si="28"/>
        <v>0</v>
      </c>
      <c r="CO28" s="20"/>
      <c r="CP28" s="18">
        <f t="shared" si="29"/>
        <v>0</v>
      </c>
      <c r="CQ28" s="21">
        <f t="shared" si="30"/>
        <v>0</v>
      </c>
      <c r="CR28" s="20"/>
      <c r="CS28" s="18">
        <f t="shared" si="31"/>
        <v>0</v>
      </c>
      <c r="CT28" s="19">
        <f t="shared" si="32"/>
        <v>0</v>
      </c>
      <c r="CU28" s="20"/>
      <c r="CV28" s="13">
        <f t="shared" si="33"/>
        <v>0</v>
      </c>
      <c r="CW28" s="21">
        <f t="shared" si="34"/>
        <v>0</v>
      </c>
      <c r="CX28" s="20"/>
      <c r="CY28" s="13">
        <f t="shared" si="35"/>
        <v>0</v>
      </c>
      <c r="CZ28" s="19">
        <f t="shared" si="36"/>
        <v>0</v>
      </c>
      <c r="DA28" s="20"/>
      <c r="DB28" s="13">
        <f t="shared" si="37"/>
        <v>0</v>
      </c>
      <c r="DC28" s="21">
        <f t="shared" si="38"/>
        <v>0</v>
      </c>
      <c r="DE28" s="97">
        <v>43</v>
      </c>
      <c r="DF28" s="32"/>
      <c r="DG28" s="61">
        <f t="shared" si="39"/>
        <v>0</v>
      </c>
      <c r="DH28" s="32"/>
      <c r="DI28" s="59">
        <f t="shared" si="40"/>
        <v>20</v>
      </c>
      <c r="DJ28" s="32"/>
      <c r="DK28" s="59">
        <f t="shared" si="41"/>
        <v>23</v>
      </c>
      <c r="DL28" s="32"/>
      <c r="DM28" s="96">
        <f t="shared" si="42"/>
        <v>600.53</v>
      </c>
      <c r="DN28" s="32"/>
      <c r="DO28" s="62">
        <f t="shared" si="43"/>
        <v>1.1499999999999999</v>
      </c>
      <c r="DP28" s="32"/>
      <c r="DQ28" s="96">
        <f t="shared" si="44"/>
        <v>720.58999999999992</v>
      </c>
      <c r="DR28" s="32"/>
      <c r="DS28" s="61"/>
      <c r="DT28" s="32"/>
      <c r="DU28" s="63">
        <v>0</v>
      </c>
      <c r="DV28" s="32"/>
      <c r="DW28" s="64">
        <f t="shared" si="46"/>
        <v>0</v>
      </c>
      <c r="DX28" s="32"/>
      <c r="DY28" s="63">
        <f t="shared" si="47"/>
        <v>0</v>
      </c>
    </row>
    <row r="29" spans="1:129" ht="12" customHeight="1" x14ac:dyDescent="0.3">
      <c r="A29" s="41" t="s">
        <v>32</v>
      </c>
      <c r="B29" s="32"/>
      <c r="C29" s="51"/>
      <c r="D29" s="34"/>
      <c r="E29" s="38">
        <v>42.24</v>
      </c>
      <c r="F29" s="34"/>
      <c r="G29" s="33">
        <v>50.69</v>
      </c>
      <c r="I29" s="26"/>
      <c r="J29" s="27"/>
      <c r="K29" s="28">
        <v>1</v>
      </c>
      <c r="L29" s="12"/>
      <c r="M29" s="26">
        <v>1</v>
      </c>
      <c r="N29" s="12"/>
      <c r="O29" s="28"/>
      <c r="P29" s="12"/>
      <c r="Q29" s="26">
        <v>1</v>
      </c>
      <c r="R29" s="12"/>
      <c r="S29" s="28">
        <v>1</v>
      </c>
      <c r="T29" s="12"/>
      <c r="U29" s="26"/>
      <c r="V29" s="12"/>
      <c r="W29" s="28">
        <v>1</v>
      </c>
      <c r="X29" s="12"/>
      <c r="Y29" s="26">
        <v>1</v>
      </c>
      <c r="Z29" s="12"/>
      <c r="AA29" s="28"/>
      <c r="AB29" s="12"/>
      <c r="AC29" s="26"/>
      <c r="AD29" s="12"/>
      <c r="AE29" s="28"/>
      <c r="AF29" s="12"/>
      <c r="AG29" s="26"/>
      <c r="AH29" s="12"/>
      <c r="AI29" s="28"/>
      <c r="AJ29" s="12"/>
      <c r="AK29" s="26"/>
      <c r="AL29" s="12"/>
      <c r="AM29" s="28"/>
      <c r="AN29" s="12"/>
      <c r="AO29" s="26"/>
      <c r="AP29" s="12"/>
      <c r="AQ29" s="28"/>
      <c r="AR29" s="12"/>
      <c r="AS29" s="26"/>
      <c r="AT29" s="12"/>
      <c r="AU29" s="28"/>
      <c r="AW29" s="18">
        <f t="shared" si="0"/>
        <v>0</v>
      </c>
      <c r="AX29" s="19">
        <f t="shared" si="1"/>
        <v>0</v>
      </c>
      <c r="AY29" s="20"/>
      <c r="AZ29" s="13">
        <f t="shared" si="2"/>
        <v>1</v>
      </c>
      <c r="BA29" s="21">
        <f t="shared" si="3"/>
        <v>50.69</v>
      </c>
      <c r="BB29" s="20"/>
      <c r="BC29" s="13">
        <f t="shared" si="4"/>
        <v>1</v>
      </c>
      <c r="BD29" s="19">
        <f t="shared" si="5"/>
        <v>50.69</v>
      </c>
      <c r="BE29" s="20"/>
      <c r="BF29" s="13">
        <f t="shared" si="6"/>
        <v>0</v>
      </c>
      <c r="BG29" s="21">
        <f t="shared" si="7"/>
        <v>0</v>
      </c>
      <c r="BH29" s="20"/>
      <c r="BI29" s="13">
        <f t="shared" si="8"/>
        <v>1</v>
      </c>
      <c r="BJ29" s="19">
        <f t="shared" si="9"/>
        <v>50.69</v>
      </c>
      <c r="BK29" s="20"/>
      <c r="BL29" s="13">
        <f t="shared" si="10"/>
        <v>1</v>
      </c>
      <c r="BM29" s="21">
        <f t="shared" si="11"/>
        <v>50.69</v>
      </c>
      <c r="BN29" s="20"/>
      <c r="BO29" s="13">
        <f t="shared" si="12"/>
        <v>0</v>
      </c>
      <c r="BP29" s="19">
        <f t="shared" si="13"/>
        <v>0</v>
      </c>
      <c r="BQ29" s="20"/>
      <c r="BR29" s="13">
        <f t="shared" si="14"/>
        <v>1</v>
      </c>
      <c r="BS29" s="21">
        <f t="shared" si="15"/>
        <v>50.69</v>
      </c>
      <c r="BT29" s="20"/>
      <c r="BU29" s="13">
        <f t="shared" si="16"/>
        <v>1</v>
      </c>
      <c r="BV29" s="19">
        <f t="shared" si="17"/>
        <v>50.69</v>
      </c>
      <c r="BW29" s="20"/>
      <c r="BX29" s="13">
        <f t="shared" si="18"/>
        <v>0</v>
      </c>
      <c r="BY29" s="21">
        <f t="shared" si="19"/>
        <v>0</v>
      </c>
      <c r="BZ29" s="20"/>
      <c r="CA29" s="13">
        <f t="shared" si="20"/>
        <v>0</v>
      </c>
      <c r="CB29" s="19">
        <f t="shared" si="21"/>
        <v>0</v>
      </c>
      <c r="CC29" s="20"/>
      <c r="CD29" s="13">
        <f t="shared" si="22"/>
        <v>0</v>
      </c>
      <c r="CE29" s="21">
        <f t="shared" si="23"/>
        <v>0</v>
      </c>
      <c r="CF29" s="20"/>
      <c r="CG29" s="18">
        <f t="shared" si="24"/>
        <v>0</v>
      </c>
      <c r="CH29" s="21">
        <f t="shared" si="45"/>
        <v>0</v>
      </c>
      <c r="CI29" s="20"/>
      <c r="CJ29" s="18">
        <f t="shared" si="25"/>
        <v>0</v>
      </c>
      <c r="CK29" s="21">
        <f t="shared" si="26"/>
        <v>0</v>
      </c>
      <c r="CL29" s="20"/>
      <c r="CM29" s="18">
        <f t="shared" si="27"/>
        <v>0</v>
      </c>
      <c r="CN29" s="21">
        <f t="shared" si="28"/>
        <v>0</v>
      </c>
      <c r="CO29" s="20"/>
      <c r="CP29" s="18">
        <f t="shared" si="29"/>
        <v>0</v>
      </c>
      <c r="CQ29" s="21">
        <f t="shared" si="30"/>
        <v>0</v>
      </c>
      <c r="CR29" s="20"/>
      <c r="CS29" s="18">
        <f t="shared" si="31"/>
        <v>0</v>
      </c>
      <c r="CT29" s="19">
        <f t="shared" si="32"/>
        <v>0</v>
      </c>
      <c r="CU29" s="20"/>
      <c r="CV29" s="13">
        <f t="shared" si="33"/>
        <v>0</v>
      </c>
      <c r="CW29" s="21">
        <f t="shared" si="34"/>
        <v>0</v>
      </c>
      <c r="CX29" s="20"/>
      <c r="CY29" s="13">
        <f t="shared" si="35"/>
        <v>0</v>
      </c>
      <c r="CZ29" s="19">
        <f t="shared" si="36"/>
        <v>0</v>
      </c>
      <c r="DA29" s="20"/>
      <c r="DB29" s="13">
        <f t="shared" si="37"/>
        <v>0</v>
      </c>
      <c r="DC29" s="21">
        <f t="shared" si="38"/>
        <v>0</v>
      </c>
      <c r="DE29" s="97">
        <v>77</v>
      </c>
      <c r="DF29" s="32"/>
      <c r="DG29" s="61">
        <f t="shared" si="39"/>
        <v>0</v>
      </c>
      <c r="DH29" s="32"/>
      <c r="DI29" s="59">
        <f t="shared" si="40"/>
        <v>6</v>
      </c>
      <c r="DJ29" s="32"/>
      <c r="DK29" s="59">
        <f t="shared" si="41"/>
        <v>71</v>
      </c>
      <c r="DL29" s="32"/>
      <c r="DM29" s="96">
        <f t="shared" si="42"/>
        <v>2999.04</v>
      </c>
      <c r="DN29" s="32"/>
      <c r="DO29" s="62">
        <f t="shared" si="43"/>
        <v>11.833333333333334</v>
      </c>
      <c r="DP29" s="32"/>
      <c r="DQ29" s="96">
        <f t="shared" si="44"/>
        <v>3598.99</v>
      </c>
      <c r="DR29" s="32"/>
      <c r="DS29" s="61"/>
      <c r="DT29" s="32"/>
      <c r="DU29" s="63">
        <v>0</v>
      </c>
      <c r="DV29" s="32"/>
      <c r="DW29" s="64">
        <f t="shared" si="46"/>
        <v>0</v>
      </c>
      <c r="DX29" s="32"/>
      <c r="DY29" s="63">
        <f t="shared" si="47"/>
        <v>0</v>
      </c>
    </row>
    <row r="30" spans="1:129" ht="12" customHeight="1" x14ac:dyDescent="0.3">
      <c r="A30" s="37" t="s">
        <v>33</v>
      </c>
      <c r="B30" s="32"/>
      <c r="C30" s="51"/>
      <c r="D30" s="34"/>
      <c r="E30" s="38">
        <v>75.69</v>
      </c>
      <c r="F30" s="34"/>
      <c r="G30" s="33">
        <v>90.83</v>
      </c>
      <c r="I30" s="26"/>
      <c r="J30" s="27"/>
      <c r="K30" s="28">
        <v>1</v>
      </c>
      <c r="L30" s="12"/>
      <c r="M30" s="26">
        <v>1</v>
      </c>
      <c r="N30" s="12"/>
      <c r="O30" s="28">
        <v>1</v>
      </c>
      <c r="P30" s="12"/>
      <c r="Q30" s="26"/>
      <c r="R30" s="12"/>
      <c r="S30" s="28"/>
      <c r="T30" s="12"/>
      <c r="U30" s="26">
        <v>1</v>
      </c>
      <c r="V30" s="12"/>
      <c r="W30" s="28">
        <v>1</v>
      </c>
      <c r="X30" s="12"/>
      <c r="Y30" s="26">
        <v>1</v>
      </c>
      <c r="Z30" s="12"/>
      <c r="AA30" s="28"/>
      <c r="AB30" s="12"/>
      <c r="AC30" s="26"/>
      <c r="AD30" s="12"/>
      <c r="AE30" s="28"/>
      <c r="AF30" s="12"/>
      <c r="AG30" s="26"/>
      <c r="AH30" s="12"/>
      <c r="AI30" s="28"/>
      <c r="AJ30" s="12"/>
      <c r="AK30" s="26"/>
      <c r="AL30" s="12"/>
      <c r="AM30" s="28"/>
      <c r="AN30" s="12"/>
      <c r="AO30" s="26"/>
      <c r="AP30" s="12"/>
      <c r="AQ30" s="28"/>
      <c r="AR30" s="12"/>
      <c r="AS30" s="26"/>
      <c r="AT30" s="12"/>
      <c r="AU30" s="28"/>
      <c r="AW30" s="18">
        <f t="shared" si="0"/>
        <v>0</v>
      </c>
      <c r="AX30" s="19">
        <f t="shared" si="1"/>
        <v>0</v>
      </c>
      <c r="AY30" s="20"/>
      <c r="AZ30" s="13">
        <f t="shared" si="2"/>
        <v>1</v>
      </c>
      <c r="BA30" s="21">
        <f t="shared" si="3"/>
        <v>90.83</v>
      </c>
      <c r="BB30" s="20"/>
      <c r="BC30" s="13">
        <f t="shared" si="4"/>
        <v>1</v>
      </c>
      <c r="BD30" s="19">
        <f t="shared" si="5"/>
        <v>90.83</v>
      </c>
      <c r="BE30" s="20"/>
      <c r="BF30" s="13">
        <f t="shared" si="6"/>
        <v>1</v>
      </c>
      <c r="BG30" s="21">
        <f t="shared" si="7"/>
        <v>90.83</v>
      </c>
      <c r="BH30" s="20"/>
      <c r="BI30" s="13">
        <f t="shared" si="8"/>
        <v>0</v>
      </c>
      <c r="BJ30" s="19">
        <f t="shared" si="9"/>
        <v>0</v>
      </c>
      <c r="BK30" s="20"/>
      <c r="BL30" s="13">
        <f t="shared" si="10"/>
        <v>0</v>
      </c>
      <c r="BM30" s="21">
        <f t="shared" si="11"/>
        <v>0</v>
      </c>
      <c r="BN30" s="20"/>
      <c r="BO30" s="13">
        <f t="shared" si="12"/>
        <v>1</v>
      </c>
      <c r="BP30" s="19">
        <f t="shared" si="13"/>
        <v>90.83</v>
      </c>
      <c r="BQ30" s="20"/>
      <c r="BR30" s="13">
        <f t="shared" si="14"/>
        <v>1</v>
      </c>
      <c r="BS30" s="21">
        <f t="shared" si="15"/>
        <v>90.83</v>
      </c>
      <c r="BT30" s="20"/>
      <c r="BU30" s="13">
        <f t="shared" si="16"/>
        <v>1</v>
      </c>
      <c r="BV30" s="19">
        <f t="shared" si="17"/>
        <v>90.83</v>
      </c>
      <c r="BW30" s="20"/>
      <c r="BX30" s="13">
        <f t="shared" si="18"/>
        <v>0</v>
      </c>
      <c r="BY30" s="21">
        <f t="shared" si="19"/>
        <v>0</v>
      </c>
      <c r="BZ30" s="20"/>
      <c r="CA30" s="13">
        <f t="shared" si="20"/>
        <v>0</v>
      </c>
      <c r="CB30" s="19">
        <f t="shared" si="21"/>
        <v>0</v>
      </c>
      <c r="CC30" s="20"/>
      <c r="CD30" s="13">
        <f t="shared" si="22"/>
        <v>0</v>
      </c>
      <c r="CE30" s="21">
        <f t="shared" si="23"/>
        <v>0</v>
      </c>
      <c r="CF30" s="20"/>
      <c r="CG30" s="18">
        <f t="shared" si="24"/>
        <v>0</v>
      </c>
      <c r="CH30" s="21">
        <f t="shared" si="45"/>
        <v>0</v>
      </c>
      <c r="CI30" s="20"/>
      <c r="CJ30" s="18">
        <f t="shared" si="25"/>
        <v>0</v>
      </c>
      <c r="CK30" s="21">
        <f t="shared" si="26"/>
        <v>0</v>
      </c>
      <c r="CL30" s="20"/>
      <c r="CM30" s="18">
        <f t="shared" si="27"/>
        <v>0</v>
      </c>
      <c r="CN30" s="21">
        <f t="shared" si="28"/>
        <v>0</v>
      </c>
      <c r="CO30" s="20"/>
      <c r="CP30" s="18">
        <f t="shared" si="29"/>
        <v>0</v>
      </c>
      <c r="CQ30" s="21">
        <f t="shared" si="30"/>
        <v>0</v>
      </c>
      <c r="CR30" s="20"/>
      <c r="CS30" s="18">
        <f t="shared" si="31"/>
        <v>0</v>
      </c>
      <c r="CT30" s="19">
        <f t="shared" si="32"/>
        <v>0</v>
      </c>
      <c r="CU30" s="20"/>
      <c r="CV30" s="13">
        <f t="shared" si="33"/>
        <v>0</v>
      </c>
      <c r="CW30" s="21">
        <f t="shared" si="34"/>
        <v>0</v>
      </c>
      <c r="CX30" s="20"/>
      <c r="CY30" s="13">
        <f t="shared" si="35"/>
        <v>0</v>
      </c>
      <c r="CZ30" s="19">
        <f t="shared" si="36"/>
        <v>0</v>
      </c>
      <c r="DA30" s="20"/>
      <c r="DB30" s="13">
        <f t="shared" si="37"/>
        <v>0</v>
      </c>
      <c r="DC30" s="21">
        <f t="shared" si="38"/>
        <v>0</v>
      </c>
      <c r="DE30" s="97">
        <v>11</v>
      </c>
      <c r="DF30" s="32"/>
      <c r="DG30" s="61">
        <f t="shared" si="39"/>
        <v>0</v>
      </c>
      <c r="DH30" s="32"/>
      <c r="DI30" s="59">
        <f t="shared" si="40"/>
        <v>6</v>
      </c>
      <c r="DJ30" s="32"/>
      <c r="DK30" s="59">
        <f t="shared" si="41"/>
        <v>5</v>
      </c>
      <c r="DL30" s="32"/>
      <c r="DM30" s="96">
        <f t="shared" si="42"/>
        <v>378.45</v>
      </c>
      <c r="DN30" s="32"/>
      <c r="DO30" s="62">
        <f t="shared" si="43"/>
        <v>0.83333333333333337</v>
      </c>
      <c r="DP30" s="32"/>
      <c r="DQ30" s="96">
        <f t="shared" si="44"/>
        <v>454.15</v>
      </c>
      <c r="DR30" s="32"/>
      <c r="DS30" s="61"/>
      <c r="DT30" s="32"/>
      <c r="DU30" s="63">
        <v>0</v>
      </c>
      <c r="DV30" s="32"/>
      <c r="DW30" s="64">
        <f t="shared" si="46"/>
        <v>0</v>
      </c>
      <c r="DX30" s="32"/>
      <c r="DY30" s="63">
        <f t="shared" si="47"/>
        <v>0</v>
      </c>
    </row>
    <row r="31" spans="1:129" ht="12" customHeight="1" x14ac:dyDescent="0.3">
      <c r="A31" s="36" t="s">
        <v>34</v>
      </c>
      <c r="B31" s="32"/>
      <c r="C31" s="51"/>
      <c r="D31" s="34"/>
      <c r="E31" s="38">
        <v>5</v>
      </c>
      <c r="F31" s="34"/>
      <c r="G31" s="33">
        <v>6</v>
      </c>
      <c r="I31" s="26"/>
      <c r="J31" s="27"/>
      <c r="K31" s="28"/>
      <c r="L31" s="12"/>
      <c r="M31" s="26"/>
      <c r="N31" s="12"/>
      <c r="O31" s="28"/>
      <c r="P31" s="12"/>
      <c r="Q31" s="26"/>
      <c r="R31" s="12"/>
      <c r="S31" s="28"/>
      <c r="T31" s="12"/>
      <c r="U31" s="26">
        <v>1</v>
      </c>
      <c r="V31" s="12"/>
      <c r="W31" s="28"/>
      <c r="X31" s="12"/>
      <c r="Y31" s="26"/>
      <c r="Z31" s="12"/>
      <c r="AA31" s="28"/>
      <c r="AB31" s="12"/>
      <c r="AC31" s="26"/>
      <c r="AD31" s="12"/>
      <c r="AE31" s="28"/>
      <c r="AF31" s="12"/>
      <c r="AG31" s="26"/>
      <c r="AH31" s="12"/>
      <c r="AI31" s="28"/>
      <c r="AJ31" s="12"/>
      <c r="AK31" s="26"/>
      <c r="AL31" s="12"/>
      <c r="AM31" s="28"/>
      <c r="AN31" s="12"/>
      <c r="AO31" s="26"/>
      <c r="AP31" s="12"/>
      <c r="AQ31" s="28"/>
      <c r="AR31" s="12"/>
      <c r="AS31" s="26"/>
      <c r="AT31" s="12"/>
      <c r="AU31" s="28"/>
      <c r="AW31" s="18">
        <f t="shared" si="0"/>
        <v>0</v>
      </c>
      <c r="AX31" s="19">
        <f t="shared" si="1"/>
        <v>0</v>
      </c>
      <c r="AY31" s="20"/>
      <c r="AZ31" s="13">
        <f t="shared" si="2"/>
        <v>0</v>
      </c>
      <c r="BA31" s="21">
        <f t="shared" si="3"/>
        <v>0</v>
      </c>
      <c r="BB31" s="20"/>
      <c r="BC31" s="13">
        <f t="shared" si="4"/>
        <v>0</v>
      </c>
      <c r="BD31" s="19">
        <f t="shared" si="5"/>
        <v>0</v>
      </c>
      <c r="BE31" s="20"/>
      <c r="BF31" s="13">
        <f t="shared" si="6"/>
        <v>0</v>
      </c>
      <c r="BG31" s="21">
        <f t="shared" si="7"/>
        <v>0</v>
      </c>
      <c r="BH31" s="20"/>
      <c r="BI31" s="13">
        <f t="shared" si="8"/>
        <v>0</v>
      </c>
      <c r="BJ31" s="19">
        <f t="shared" si="9"/>
        <v>0</v>
      </c>
      <c r="BK31" s="20"/>
      <c r="BL31" s="13">
        <f t="shared" si="10"/>
        <v>0</v>
      </c>
      <c r="BM31" s="21">
        <f t="shared" si="11"/>
        <v>0</v>
      </c>
      <c r="BN31" s="20"/>
      <c r="BO31" s="13">
        <f t="shared" si="12"/>
        <v>1</v>
      </c>
      <c r="BP31" s="19">
        <f t="shared" si="13"/>
        <v>6</v>
      </c>
      <c r="BQ31" s="20"/>
      <c r="BR31" s="13">
        <f t="shared" si="14"/>
        <v>0</v>
      </c>
      <c r="BS31" s="21">
        <f t="shared" si="15"/>
        <v>0</v>
      </c>
      <c r="BT31" s="20"/>
      <c r="BU31" s="13">
        <f t="shared" si="16"/>
        <v>0</v>
      </c>
      <c r="BV31" s="19">
        <f t="shared" si="17"/>
        <v>0</v>
      </c>
      <c r="BW31" s="20"/>
      <c r="BX31" s="13">
        <f t="shared" si="18"/>
        <v>0</v>
      </c>
      <c r="BY31" s="21">
        <f t="shared" si="19"/>
        <v>0</v>
      </c>
      <c r="BZ31" s="20"/>
      <c r="CA31" s="13">
        <f t="shared" si="20"/>
        <v>0</v>
      </c>
      <c r="CB31" s="19">
        <f t="shared" si="21"/>
        <v>0</v>
      </c>
      <c r="CC31" s="20"/>
      <c r="CD31" s="13">
        <f t="shared" si="22"/>
        <v>0</v>
      </c>
      <c r="CE31" s="21">
        <f t="shared" si="23"/>
        <v>0</v>
      </c>
      <c r="CF31" s="20"/>
      <c r="CG31" s="18">
        <f t="shared" si="24"/>
        <v>0</v>
      </c>
      <c r="CH31" s="21">
        <f t="shared" si="45"/>
        <v>0</v>
      </c>
      <c r="CI31" s="20"/>
      <c r="CJ31" s="18">
        <f t="shared" si="25"/>
        <v>0</v>
      </c>
      <c r="CK31" s="21">
        <f t="shared" si="26"/>
        <v>0</v>
      </c>
      <c r="CL31" s="20"/>
      <c r="CM31" s="18">
        <f t="shared" si="27"/>
        <v>0</v>
      </c>
      <c r="CN31" s="21">
        <f t="shared" si="28"/>
        <v>0</v>
      </c>
      <c r="CO31" s="20"/>
      <c r="CP31" s="18">
        <f t="shared" si="29"/>
        <v>0</v>
      </c>
      <c r="CQ31" s="21">
        <f t="shared" si="30"/>
        <v>0</v>
      </c>
      <c r="CR31" s="20"/>
      <c r="CS31" s="18">
        <f t="shared" si="31"/>
        <v>0</v>
      </c>
      <c r="CT31" s="19">
        <f t="shared" si="32"/>
        <v>0</v>
      </c>
      <c r="CU31" s="20"/>
      <c r="CV31" s="13">
        <f t="shared" si="33"/>
        <v>0</v>
      </c>
      <c r="CW31" s="21">
        <f t="shared" si="34"/>
        <v>0</v>
      </c>
      <c r="CX31" s="20"/>
      <c r="CY31" s="13">
        <f t="shared" si="35"/>
        <v>0</v>
      </c>
      <c r="CZ31" s="19">
        <f t="shared" si="36"/>
        <v>0</v>
      </c>
      <c r="DA31" s="20"/>
      <c r="DB31" s="13">
        <f t="shared" si="37"/>
        <v>0</v>
      </c>
      <c r="DC31" s="21">
        <f t="shared" si="38"/>
        <v>0</v>
      </c>
      <c r="DE31" s="97">
        <v>4</v>
      </c>
      <c r="DF31" s="32"/>
      <c r="DG31" s="61">
        <f t="shared" si="39"/>
        <v>0</v>
      </c>
      <c r="DH31" s="32"/>
      <c r="DI31" s="59">
        <f t="shared" si="40"/>
        <v>1</v>
      </c>
      <c r="DJ31" s="32"/>
      <c r="DK31" s="59">
        <f t="shared" si="41"/>
        <v>3</v>
      </c>
      <c r="DL31" s="32"/>
      <c r="DM31" s="96">
        <f t="shared" si="42"/>
        <v>15</v>
      </c>
      <c r="DN31" s="32"/>
      <c r="DO31" s="62">
        <f t="shared" si="43"/>
        <v>3</v>
      </c>
      <c r="DP31" s="32"/>
      <c r="DQ31" s="96">
        <f t="shared" si="44"/>
        <v>18</v>
      </c>
      <c r="DR31" s="32"/>
      <c r="DS31" s="61"/>
      <c r="DT31" s="32"/>
      <c r="DU31" s="63">
        <v>0</v>
      </c>
      <c r="DV31" s="32"/>
      <c r="DW31" s="64">
        <f t="shared" si="46"/>
        <v>0</v>
      </c>
      <c r="DX31" s="32"/>
      <c r="DY31" s="63">
        <f t="shared" si="47"/>
        <v>0</v>
      </c>
    </row>
    <row r="32" spans="1:129" s="8" customFormat="1" ht="12.45" customHeight="1" x14ac:dyDescent="0.3">
      <c r="A32" s="37" t="s">
        <v>35</v>
      </c>
      <c r="B32" s="32"/>
      <c r="C32" s="51"/>
      <c r="D32" s="34"/>
      <c r="E32" s="38">
        <v>30</v>
      </c>
      <c r="F32" s="34"/>
      <c r="G32" s="33">
        <v>36</v>
      </c>
      <c r="H32" s="3"/>
      <c r="I32" s="26"/>
      <c r="J32" s="27"/>
      <c r="K32" s="28"/>
      <c r="L32" s="12"/>
      <c r="M32" s="26"/>
      <c r="N32" s="12"/>
      <c r="O32" s="28"/>
      <c r="P32" s="12"/>
      <c r="Q32" s="26"/>
      <c r="R32" s="12"/>
      <c r="S32" s="28"/>
      <c r="T32" s="12"/>
      <c r="U32" s="26"/>
      <c r="V32" s="12"/>
      <c r="W32" s="28"/>
      <c r="X32" s="12"/>
      <c r="Y32" s="26"/>
      <c r="Z32" s="12"/>
      <c r="AA32" s="28"/>
      <c r="AB32" s="12"/>
      <c r="AC32" s="26"/>
      <c r="AD32" s="12"/>
      <c r="AE32" s="28"/>
      <c r="AF32" s="12"/>
      <c r="AG32" s="26"/>
      <c r="AH32" s="12"/>
      <c r="AI32" s="28"/>
      <c r="AJ32" s="12"/>
      <c r="AK32" s="26"/>
      <c r="AL32" s="12"/>
      <c r="AM32" s="28"/>
      <c r="AN32" s="12"/>
      <c r="AO32" s="26"/>
      <c r="AP32" s="12"/>
      <c r="AQ32" s="28"/>
      <c r="AR32" s="12"/>
      <c r="AS32" s="26"/>
      <c r="AT32" s="12"/>
      <c r="AU32" s="28"/>
      <c r="AV32" s="3"/>
      <c r="AW32" s="18">
        <f t="shared" si="0"/>
        <v>0</v>
      </c>
      <c r="AX32" s="19">
        <f t="shared" si="1"/>
        <v>0</v>
      </c>
      <c r="AY32" s="20"/>
      <c r="AZ32" s="13">
        <f t="shared" si="2"/>
        <v>0</v>
      </c>
      <c r="BA32" s="21">
        <f t="shared" si="3"/>
        <v>0</v>
      </c>
      <c r="BB32" s="20"/>
      <c r="BC32" s="13">
        <f t="shared" si="4"/>
        <v>0</v>
      </c>
      <c r="BD32" s="19">
        <f t="shared" si="5"/>
        <v>0</v>
      </c>
      <c r="BE32" s="20"/>
      <c r="BF32" s="13">
        <f t="shared" si="6"/>
        <v>0</v>
      </c>
      <c r="BG32" s="21">
        <f t="shared" si="7"/>
        <v>0</v>
      </c>
      <c r="BH32" s="20"/>
      <c r="BI32" s="13">
        <f t="shared" si="8"/>
        <v>0</v>
      </c>
      <c r="BJ32" s="19">
        <f t="shared" si="9"/>
        <v>0</v>
      </c>
      <c r="BK32" s="20"/>
      <c r="BL32" s="13">
        <f t="shared" si="10"/>
        <v>0</v>
      </c>
      <c r="BM32" s="21">
        <f t="shared" si="11"/>
        <v>0</v>
      </c>
      <c r="BN32" s="20"/>
      <c r="BO32" s="13">
        <f t="shared" si="12"/>
        <v>0</v>
      </c>
      <c r="BP32" s="19">
        <f t="shared" si="13"/>
        <v>0</v>
      </c>
      <c r="BQ32" s="20"/>
      <c r="BR32" s="13">
        <f t="shared" si="14"/>
        <v>0</v>
      </c>
      <c r="BS32" s="21">
        <f t="shared" si="15"/>
        <v>0</v>
      </c>
      <c r="BT32" s="20"/>
      <c r="BU32" s="13">
        <f t="shared" si="16"/>
        <v>0</v>
      </c>
      <c r="BV32" s="19">
        <f t="shared" si="17"/>
        <v>0</v>
      </c>
      <c r="BW32" s="20"/>
      <c r="BX32" s="13">
        <f t="shared" si="18"/>
        <v>0</v>
      </c>
      <c r="BY32" s="21">
        <f t="shared" si="19"/>
        <v>0</v>
      </c>
      <c r="BZ32" s="20"/>
      <c r="CA32" s="13">
        <f t="shared" si="20"/>
        <v>0</v>
      </c>
      <c r="CB32" s="19">
        <f t="shared" si="21"/>
        <v>0</v>
      </c>
      <c r="CC32" s="20"/>
      <c r="CD32" s="13">
        <f t="shared" si="22"/>
        <v>0</v>
      </c>
      <c r="CE32" s="21">
        <f t="shared" si="23"/>
        <v>0</v>
      </c>
      <c r="CF32" s="20"/>
      <c r="CG32" s="18">
        <f t="shared" si="24"/>
        <v>0</v>
      </c>
      <c r="CH32" s="21">
        <f t="shared" si="45"/>
        <v>0</v>
      </c>
      <c r="CI32" s="20"/>
      <c r="CJ32" s="18">
        <f t="shared" si="25"/>
        <v>0</v>
      </c>
      <c r="CK32" s="21">
        <f t="shared" si="26"/>
        <v>0</v>
      </c>
      <c r="CL32" s="20"/>
      <c r="CM32" s="18">
        <f t="shared" si="27"/>
        <v>0</v>
      </c>
      <c r="CN32" s="21">
        <f t="shared" si="28"/>
        <v>0</v>
      </c>
      <c r="CO32" s="20"/>
      <c r="CP32" s="18">
        <f t="shared" si="29"/>
        <v>0</v>
      </c>
      <c r="CQ32" s="21">
        <f t="shared" si="30"/>
        <v>0</v>
      </c>
      <c r="CR32" s="20"/>
      <c r="CS32" s="18">
        <f t="shared" si="31"/>
        <v>0</v>
      </c>
      <c r="CT32" s="19">
        <f t="shared" si="32"/>
        <v>0</v>
      </c>
      <c r="CU32" s="20"/>
      <c r="CV32" s="13">
        <f t="shared" si="33"/>
        <v>0</v>
      </c>
      <c r="CW32" s="21">
        <f t="shared" si="34"/>
        <v>0</v>
      </c>
      <c r="CX32" s="20"/>
      <c r="CY32" s="13">
        <f t="shared" si="35"/>
        <v>0</v>
      </c>
      <c r="CZ32" s="19">
        <f t="shared" si="36"/>
        <v>0</v>
      </c>
      <c r="DA32" s="20"/>
      <c r="DB32" s="13">
        <f t="shared" si="37"/>
        <v>0</v>
      </c>
      <c r="DC32" s="21">
        <f t="shared" si="38"/>
        <v>0</v>
      </c>
      <c r="DD32" s="3"/>
      <c r="DE32" s="97">
        <v>2</v>
      </c>
      <c r="DF32" s="32"/>
      <c r="DG32" s="61">
        <f t="shared" si="39"/>
        <v>0</v>
      </c>
      <c r="DH32" s="32"/>
      <c r="DI32" s="59">
        <f t="shared" si="40"/>
        <v>0</v>
      </c>
      <c r="DJ32" s="32"/>
      <c r="DK32" s="59">
        <f t="shared" si="41"/>
        <v>2</v>
      </c>
      <c r="DL32" s="32"/>
      <c r="DM32" s="96">
        <f t="shared" si="42"/>
        <v>60</v>
      </c>
      <c r="DN32" s="32"/>
      <c r="DO32" s="62" t="e">
        <f t="shared" si="43"/>
        <v>#DIV/0!</v>
      </c>
      <c r="DP32" s="32"/>
      <c r="DQ32" s="96">
        <f t="shared" si="44"/>
        <v>72</v>
      </c>
      <c r="DR32" s="32"/>
      <c r="DS32" s="61"/>
      <c r="DT32" s="32"/>
      <c r="DU32" s="63">
        <v>0</v>
      </c>
      <c r="DV32" s="32"/>
      <c r="DW32" s="64">
        <f t="shared" si="46"/>
        <v>0</v>
      </c>
      <c r="DX32" s="32"/>
      <c r="DY32" s="63">
        <f t="shared" si="47"/>
        <v>0</v>
      </c>
    </row>
    <row r="33" spans="1:129" ht="12.45" customHeight="1" x14ac:dyDescent="0.3">
      <c r="A33" s="36" t="s">
        <v>36</v>
      </c>
      <c r="B33" s="32"/>
      <c r="C33" s="51"/>
      <c r="D33" s="34"/>
      <c r="E33" s="38">
        <v>5</v>
      </c>
      <c r="F33" s="34"/>
      <c r="G33" s="33">
        <v>6</v>
      </c>
      <c r="I33" s="26"/>
      <c r="J33" s="27"/>
      <c r="K33" s="28"/>
      <c r="L33" s="12"/>
      <c r="M33" s="26"/>
      <c r="N33" s="12"/>
      <c r="O33" s="28">
        <v>1</v>
      </c>
      <c r="P33" s="12"/>
      <c r="Q33" s="26"/>
      <c r="R33" s="12"/>
      <c r="S33" s="28"/>
      <c r="T33" s="12"/>
      <c r="U33" s="26"/>
      <c r="V33" s="12"/>
      <c r="W33" s="28"/>
      <c r="X33" s="12"/>
      <c r="Y33" s="26"/>
      <c r="Z33" s="12"/>
      <c r="AA33" s="28"/>
      <c r="AB33" s="12"/>
      <c r="AC33" s="26"/>
      <c r="AD33" s="12"/>
      <c r="AE33" s="28"/>
      <c r="AF33" s="12"/>
      <c r="AG33" s="26"/>
      <c r="AH33" s="12"/>
      <c r="AI33" s="28"/>
      <c r="AJ33" s="12"/>
      <c r="AK33" s="26"/>
      <c r="AL33" s="12"/>
      <c r="AM33" s="28"/>
      <c r="AN33" s="12"/>
      <c r="AO33" s="26"/>
      <c r="AP33" s="12"/>
      <c r="AQ33" s="28"/>
      <c r="AR33" s="12"/>
      <c r="AS33" s="26"/>
      <c r="AT33" s="12"/>
      <c r="AU33" s="28"/>
      <c r="AW33" s="18">
        <f t="shared" si="0"/>
        <v>0</v>
      </c>
      <c r="AX33" s="19">
        <f t="shared" si="1"/>
        <v>0</v>
      </c>
      <c r="AY33" s="20"/>
      <c r="AZ33" s="13">
        <f t="shared" si="2"/>
        <v>0</v>
      </c>
      <c r="BA33" s="21">
        <f t="shared" si="3"/>
        <v>0</v>
      </c>
      <c r="BB33" s="20"/>
      <c r="BC33" s="13">
        <f t="shared" si="4"/>
        <v>0</v>
      </c>
      <c r="BD33" s="19">
        <f t="shared" si="5"/>
        <v>0</v>
      </c>
      <c r="BE33" s="20"/>
      <c r="BF33" s="13">
        <f t="shared" si="6"/>
        <v>1</v>
      </c>
      <c r="BG33" s="21">
        <f t="shared" si="7"/>
        <v>6</v>
      </c>
      <c r="BH33" s="20"/>
      <c r="BI33" s="13">
        <f t="shared" si="8"/>
        <v>0</v>
      </c>
      <c r="BJ33" s="19">
        <f t="shared" si="9"/>
        <v>0</v>
      </c>
      <c r="BK33" s="20"/>
      <c r="BL33" s="13">
        <f t="shared" si="10"/>
        <v>0</v>
      </c>
      <c r="BM33" s="21">
        <f t="shared" si="11"/>
        <v>0</v>
      </c>
      <c r="BN33" s="20"/>
      <c r="BO33" s="13">
        <f t="shared" si="12"/>
        <v>0</v>
      </c>
      <c r="BP33" s="19">
        <f t="shared" si="13"/>
        <v>0</v>
      </c>
      <c r="BQ33" s="20"/>
      <c r="BR33" s="13">
        <f t="shared" si="14"/>
        <v>0</v>
      </c>
      <c r="BS33" s="21">
        <f t="shared" si="15"/>
        <v>0</v>
      </c>
      <c r="BT33" s="20"/>
      <c r="BU33" s="13">
        <f t="shared" si="16"/>
        <v>0</v>
      </c>
      <c r="BV33" s="19">
        <f t="shared" si="17"/>
        <v>0</v>
      </c>
      <c r="BW33" s="20"/>
      <c r="BX33" s="13">
        <f t="shared" si="18"/>
        <v>0</v>
      </c>
      <c r="BY33" s="21">
        <f t="shared" si="19"/>
        <v>0</v>
      </c>
      <c r="BZ33" s="20"/>
      <c r="CA33" s="13">
        <f t="shared" si="20"/>
        <v>0</v>
      </c>
      <c r="CB33" s="19">
        <f t="shared" si="21"/>
        <v>0</v>
      </c>
      <c r="CC33" s="20"/>
      <c r="CD33" s="13">
        <f t="shared" si="22"/>
        <v>0</v>
      </c>
      <c r="CE33" s="21">
        <f t="shared" si="23"/>
        <v>0</v>
      </c>
      <c r="CF33" s="20"/>
      <c r="CG33" s="18">
        <f t="shared" si="24"/>
        <v>0</v>
      </c>
      <c r="CH33" s="21">
        <f t="shared" si="45"/>
        <v>0</v>
      </c>
      <c r="CI33" s="20"/>
      <c r="CJ33" s="18">
        <f t="shared" si="25"/>
        <v>0</v>
      </c>
      <c r="CK33" s="21">
        <f t="shared" si="26"/>
        <v>0</v>
      </c>
      <c r="CL33" s="20"/>
      <c r="CM33" s="18">
        <f t="shared" si="27"/>
        <v>0</v>
      </c>
      <c r="CN33" s="21">
        <f t="shared" si="28"/>
        <v>0</v>
      </c>
      <c r="CO33" s="20"/>
      <c r="CP33" s="18">
        <f t="shared" si="29"/>
        <v>0</v>
      </c>
      <c r="CQ33" s="21">
        <f t="shared" si="30"/>
        <v>0</v>
      </c>
      <c r="CR33" s="20"/>
      <c r="CS33" s="18">
        <f t="shared" si="31"/>
        <v>0</v>
      </c>
      <c r="CT33" s="19">
        <f t="shared" si="32"/>
        <v>0</v>
      </c>
      <c r="CU33" s="20"/>
      <c r="CV33" s="13">
        <f t="shared" si="33"/>
        <v>0</v>
      </c>
      <c r="CW33" s="21">
        <f t="shared" si="34"/>
        <v>0</v>
      </c>
      <c r="CX33" s="20"/>
      <c r="CY33" s="13">
        <f t="shared" si="35"/>
        <v>0</v>
      </c>
      <c r="CZ33" s="19">
        <f t="shared" si="36"/>
        <v>0</v>
      </c>
      <c r="DA33" s="20"/>
      <c r="DB33" s="13">
        <f t="shared" si="37"/>
        <v>0</v>
      </c>
      <c r="DC33" s="21">
        <f t="shared" si="38"/>
        <v>0</v>
      </c>
      <c r="DE33" s="97">
        <v>15</v>
      </c>
      <c r="DF33" s="32"/>
      <c r="DG33" s="61">
        <f t="shared" si="39"/>
        <v>0</v>
      </c>
      <c r="DH33" s="32"/>
      <c r="DI33" s="59">
        <f t="shared" si="40"/>
        <v>1</v>
      </c>
      <c r="DJ33" s="32"/>
      <c r="DK33" s="59">
        <f t="shared" si="41"/>
        <v>14</v>
      </c>
      <c r="DL33" s="32"/>
      <c r="DM33" s="96">
        <f t="shared" si="42"/>
        <v>70</v>
      </c>
      <c r="DN33" s="32"/>
      <c r="DO33" s="62">
        <f t="shared" si="43"/>
        <v>14</v>
      </c>
      <c r="DP33" s="32"/>
      <c r="DQ33" s="96">
        <f t="shared" si="44"/>
        <v>84</v>
      </c>
      <c r="DR33" s="32"/>
      <c r="DS33" s="61"/>
      <c r="DT33" s="32"/>
      <c r="DU33" s="63">
        <v>0</v>
      </c>
      <c r="DV33" s="32"/>
      <c r="DW33" s="64">
        <f t="shared" si="46"/>
        <v>0</v>
      </c>
      <c r="DX33" s="32"/>
      <c r="DY33" s="63">
        <f t="shared" si="47"/>
        <v>0</v>
      </c>
    </row>
    <row r="34" spans="1:129" ht="12.45" customHeight="1" x14ac:dyDescent="0.3">
      <c r="A34" s="37" t="s">
        <v>37</v>
      </c>
      <c r="B34" s="32"/>
      <c r="C34" s="51"/>
      <c r="D34" s="34"/>
      <c r="E34" s="38">
        <v>5</v>
      </c>
      <c r="F34" s="34"/>
      <c r="G34" s="33">
        <v>6</v>
      </c>
      <c r="I34" s="26"/>
      <c r="J34" s="27"/>
      <c r="K34" s="28"/>
      <c r="L34" s="12"/>
      <c r="M34" s="26"/>
      <c r="N34" s="12"/>
      <c r="O34" s="28"/>
      <c r="P34" s="12"/>
      <c r="Q34" s="26"/>
      <c r="R34" s="12"/>
      <c r="S34" s="28"/>
      <c r="T34" s="12"/>
      <c r="U34" s="26"/>
      <c r="V34" s="12"/>
      <c r="W34" s="28"/>
      <c r="X34" s="12"/>
      <c r="Y34" s="26"/>
      <c r="Z34" s="12"/>
      <c r="AA34" s="28"/>
      <c r="AB34" s="12"/>
      <c r="AC34" s="26"/>
      <c r="AD34" s="12"/>
      <c r="AE34" s="28"/>
      <c r="AF34" s="12"/>
      <c r="AG34" s="26"/>
      <c r="AH34" s="12"/>
      <c r="AI34" s="28"/>
      <c r="AJ34" s="12"/>
      <c r="AK34" s="26"/>
      <c r="AL34" s="12"/>
      <c r="AM34" s="28"/>
      <c r="AN34" s="12"/>
      <c r="AO34" s="26"/>
      <c r="AP34" s="12"/>
      <c r="AQ34" s="28"/>
      <c r="AR34" s="12"/>
      <c r="AS34" s="26"/>
      <c r="AT34" s="12"/>
      <c r="AU34" s="28"/>
      <c r="AW34" s="18">
        <f t="shared" si="0"/>
        <v>0</v>
      </c>
      <c r="AX34" s="19">
        <f t="shared" si="1"/>
        <v>0</v>
      </c>
      <c r="AY34" s="20"/>
      <c r="AZ34" s="13">
        <f t="shared" si="2"/>
        <v>0</v>
      </c>
      <c r="BA34" s="21">
        <f t="shared" si="3"/>
        <v>0</v>
      </c>
      <c r="BB34" s="20"/>
      <c r="BC34" s="13">
        <f t="shared" si="4"/>
        <v>0</v>
      </c>
      <c r="BD34" s="19">
        <f t="shared" si="5"/>
        <v>0</v>
      </c>
      <c r="BE34" s="20"/>
      <c r="BF34" s="13">
        <f t="shared" si="6"/>
        <v>0</v>
      </c>
      <c r="BG34" s="21">
        <f t="shared" si="7"/>
        <v>0</v>
      </c>
      <c r="BH34" s="20"/>
      <c r="BI34" s="13">
        <f t="shared" si="8"/>
        <v>0</v>
      </c>
      <c r="BJ34" s="19">
        <f t="shared" si="9"/>
        <v>0</v>
      </c>
      <c r="BK34" s="20"/>
      <c r="BL34" s="13">
        <f t="shared" si="10"/>
        <v>0</v>
      </c>
      <c r="BM34" s="21">
        <f t="shared" si="11"/>
        <v>0</v>
      </c>
      <c r="BN34" s="20"/>
      <c r="BO34" s="13">
        <f t="shared" si="12"/>
        <v>0</v>
      </c>
      <c r="BP34" s="19">
        <f t="shared" si="13"/>
        <v>0</v>
      </c>
      <c r="BQ34" s="20"/>
      <c r="BR34" s="13">
        <f t="shared" si="14"/>
        <v>0</v>
      </c>
      <c r="BS34" s="21">
        <f t="shared" si="15"/>
        <v>0</v>
      </c>
      <c r="BT34" s="20"/>
      <c r="BU34" s="13">
        <f t="shared" si="16"/>
        <v>0</v>
      </c>
      <c r="BV34" s="19">
        <f t="shared" si="17"/>
        <v>0</v>
      </c>
      <c r="BW34" s="20"/>
      <c r="BX34" s="13">
        <f t="shared" si="18"/>
        <v>0</v>
      </c>
      <c r="BY34" s="21">
        <f t="shared" si="19"/>
        <v>0</v>
      </c>
      <c r="BZ34" s="20"/>
      <c r="CA34" s="13">
        <f t="shared" si="20"/>
        <v>0</v>
      </c>
      <c r="CB34" s="19">
        <f t="shared" si="21"/>
        <v>0</v>
      </c>
      <c r="CC34" s="20"/>
      <c r="CD34" s="13">
        <f t="shared" si="22"/>
        <v>0</v>
      </c>
      <c r="CE34" s="21">
        <f t="shared" si="23"/>
        <v>0</v>
      </c>
      <c r="CF34" s="20"/>
      <c r="CG34" s="18">
        <f t="shared" si="24"/>
        <v>0</v>
      </c>
      <c r="CH34" s="21">
        <f t="shared" si="45"/>
        <v>0</v>
      </c>
      <c r="CI34" s="20"/>
      <c r="CJ34" s="18">
        <f t="shared" si="25"/>
        <v>0</v>
      </c>
      <c r="CK34" s="21">
        <f t="shared" si="26"/>
        <v>0</v>
      </c>
      <c r="CL34" s="20"/>
      <c r="CM34" s="18">
        <f t="shared" si="27"/>
        <v>0</v>
      </c>
      <c r="CN34" s="21">
        <f t="shared" si="28"/>
        <v>0</v>
      </c>
      <c r="CO34" s="20"/>
      <c r="CP34" s="18">
        <f t="shared" si="29"/>
        <v>0</v>
      </c>
      <c r="CQ34" s="21">
        <f t="shared" si="30"/>
        <v>0</v>
      </c>
      <c r="CR34" s="20"/>
      <c r="CS34" s="18">
        <f t="shared" si="31"/>
        <v>0</v>
      </c>
      <c r="CT34" s="19">
        <f t="shared" si="32"/>
        <v>0</v>
      </c>
      <c r="CU34" s="20"/>
      <c r="CV34" s="13">
        <f t="shared" si="33"/>
        <v>0</v>
      </c>
      <c r="CW34" s="21">
        <f t="shared" si="34"/>
        <v>0</v>
      </c>
      <c r="CX34" s="20"/>
      <c r="CY34" s="13">
        <f t="shared" si="35"/>
        <v>0</v>
      </c>
      <c r="CZ34" s="19">
        <f t="shared" si="36"/>
        <v>0</v>
      </c>
      <c r="DA34" s="20"/>
      <c r="DB34" s="13">
        <f t="shared" si="37"/>
        <v>0</v>
      </c>
      <c r="DC34" s="21">
        <f t="shared" si="38"/>
        <v>0</v>
      </c>
      <c r="DE34" s="97">
        <v>8</v>
      </c>
      <c r="DF34" s="32"/>
      <c r="DG34" s="61">
        <f t="shared" si="39"/>
        <v>0</v>
      </c>
      <c r="DH34" s="32"/>
      <c r="DI34" s="59">
        <f t="shared" si="40"/>
        <v>0</v>
      </c>
      <c r="DJ34" s="32"/>
      <c r="DK34" s="59">
        <f t="shared" si="41"/>
        <v>8</v>
      </c>
      <c r="DL34" s="32"/>
      <c r="DM34" s="96">
        <f t="shared" si="42"/>
        <v>40</v>
      </c>
      <c r="DN34" s="32"/>
      <c r="DO34" s="62" t="e">
        <f t="shared" si="43"/>
        <v>#DIV/0!</v>
      </c>
      <c r="DP34" s="32"/>
      <c r="DQ34" s="96">
        <f t="shared" si="44"/>
        <v>48</v>
      </c>
      <c r="DR34" s="32"/>
      <c r="DS34" s="61"/>
      <c r="DT34" s="32"/>
      <c r="DU34" s="63">
        <v>0</v>
      </c>
      <c r="DV34" s="32"/>
      <c r="DW34" s="64">
        <f t="shared" si="46"/>
        <v>0</v>
      </c>
      <c r="DX34" s="32"/>
      <c r="DY34" s="63">
        <f t="shared" si="47"/>
        <v>0</v>
      </c>
    </row>
    <row r="35" spans="1:129" ht="12.45" customHeight="1" x14ac:dyDescent="0.3">
      <c r="A35" s="36" t="s">
        <v>38</v>
      </c>
      <c r="B35" s="32"/>
      <c r="C35" s="51"/>
      <c r="D35" s="34"/>
      <c r="E35" s="38">
        <v>5</v>
      </c>
      <c r="F35" s="34"/>
      <c r="G35" s="33">
        <v>6</v>
      </c>
      <c r="I35" s="26">
        <v>1</v>
      </c>
      <c r="J35" s="27"/>
      <c r="K35" s="28">
        <v>1</v>
      </c>
      <c r="L35" s="12"/>
      <c r="M35" s="26"/>
      <c r="N35" s="12"/>
      <c r="O35" s="28">
        <v>1</v>
      </c>
      <c r="P35" s="12"/>
      <c r="Q35" s="26"/>
      <c r="R35" s="12"/>
      <c r="S35" s="28"/>
      <c r="T35" s="12"/>
      <c r="U35" s="26">
        <v>1</v>
      </c>
      <c r="V35" s="12"/>
      <c r="W35" s="28">
        <v>1</v>
      </c>
      <c r="X35" s="12"/>
      <c r="Y35" s="26"/>
      <c r="Z35" s="12"/>
      <c r="AA35" s="28"/>
      <c r="AB35" s="12"/>
      <c r="AC35" s="26"/>
      <c r="AD35" s="12"/>
      <c r="AE35" s="28"/>
      <c r="AF35" s="12"/>
      <c r="AG35" s="26"/>
      <c r="AH35" s="12"/>
      <c r="AI35" s="28"/>
      <c r="AJ35" s="12"/>
      <c r="AK35" s="26"/>
      <c r="AL35" s="12"/>
      <c r="AM35" s="28"/>
      <c r="AN35" s="12"/>
      <c r="AO35" s="26"/>
      <c r="AP35" s="12"/>
      <c r="AQ35" s="28"/>
      <c r="AR35" s="12"/>
      <c r="AS35" s="26"/>
      <c r="AT35" s="12"/>
      <c r="AU35" s="28"/>
      <c r="AW35" s="18">
        <f t="shared" si="0"/>
        <v>1</v>
      </c>
      <c r="AX35" s="19">
        <f t="shared" si="1"/>
        <v>6</v>
      </c>
      <c r="AY35" s="20"/>
      <c r="AZ35" s="13">
        <f t="shared" si="2"/>
        <v>1</v>
      </c>
      <c r="BA35" s="21">
        <f t="shared" si="3"/>
        <v>6</v>
      </c>
      <c r="BB35" s="20"/>
      <c r="BC35" s="13">
        <f t="shared" si="4"/>
        <v>0</v>
      </c>
      <c r="BD35" s="19">
        <f t="shared" si="5"/>
        <v>0</v>
      </c>
      <c r="BE35" s="20"/>
      <c r="BF35" s="13">
        <f t="shared" si="6"/>
        <v>1</v>
      </c>
      <c r="BG35" s="21">
        <f t="shared" si="7"/>
        <v>6</v>
      </c>
      <c r="BH35" s="20"/>
      <c r="BI35" s="13">
        <f t="shared" si="8"/>
        <v>0</v>
      </c>
      <c r="BJ35" s="19">
        <f t="shared" si="9"/>
        <v>0</v>
      </c>
      <c r="BK35" s="20"/>
      <c r="BL35" s="13">
        <f t="shared" si="10"/>
        <v>0</v>
      </c>
      <c r="BM35" s="21">
        <f t="shared" si="11"/>
        <v>0</v>
      </c>
      <c r="BN35" s="20"/>
      <c r="BO35" s="13">
        <f t="shared" si="12"/>
        <v>1</v>
      </c>
      <c r="BP35" s="19">
        <f t="shared" si="13"/>
        <v>6</v>
      </c>
      <c r="BQ35" s="20"/>
      <c r="BR35" s="13">
        <f t="shared" si="14"/>
        <v>1</v>
      </c>
      <c r="BS35" s="21">
        <f t="shared" si="15"/>
        <v>6</v>
      </c>
      <c r="BT35" s="20"/>
      <c r="BU35" s="13">
        <f t="shared" si="16"/>
        <v>0</v>
      </c>
      <c r="BV35" s="19">
        <f t="shared" si="17"/>
        <v>0</v>
      </c>
      <c r="BW35" s="20"/>
      <c r="BX35" s="13">
        <f t="shared" si="18"/>
        <v>0</v>
      </c>
      <c r="BY35" s="21">
        <f t="shared" si="19"/>
        <v>0</v>
      </c>
      <c r="BZ35" s="20"/>
      <c r="CA35" s="13">
        <f t="shared" si="20"/>
        <v>0</v>
      </c>
      <c r="CB35" s="19">
        <f t="shared" si="21"/>
        <v>0</v>
      </c>
      <c r="CC35" s="20"/>
      <c r="CD35" s="13">
        <f t="shared" si="22"/>
        <v>0</v>
      </c>
      <c r="CE35" s="21">
        <f t="shared" si="23"/>
        <v>0</v>
      </c>
      <c r="CF35" s="20"/>
      <c r="CG35" s="18">
        <f t="shared" si="24"/>
        <v>0</v>
      </c>
      <c r="CH35" s="21">
        <f t="shared" si="45"/>
        <v>0</v>
      </c>
      <c r="CI35" s="20"/>
      <c r="CJ35" s="18">
        <f t="shared" si="25"/>
        <v>0</v>
      </c>
      <c r="CK35" s="21">
        <f t="shared" si="26"/>
        <v>0</v>
      </c>
      <c r="CL35" s="20"/>
      <c r="CM35" s="18">
        <f t="shared" si="27"/>
        <v>0</v>
      </c>
      <c r="CN35" s="21">
        <f t="shared" si="28"/>
        <v>0</v>
      </c>
      <c r="CO35" s="20"/>
      <c r="CP35" s="18">
        <f t="shared" si="29"/>
        <v>0</v>
      </c>
      <c r="CQ35" s="21">
        <f t="shared" si="30"/>
        <v>0</v>
      </c>
      <c r="CR35" s="20"/>
      <c r="CS35" s="18">
        <f t="shared" si="31"/>
        <v>0</v>
      </c>
      <c r="CT35" s="19">
        <f t="shared" si="32"/>
        <v>0</v>
      </c>
      <c r="CU35" s="20"/>
      <c r="CV35" s="13">
        <f t="shared" si="33"/>
        <v>0</v>
      </c>
      <c r="CW35" s="21">
        <f t="shared" si="34"/>
        <v>0</v>
      </c>
      <c r="CX35" s="20"/>
      <c r="CY35" s="13">
        <f t="shared" si="35"/>
        <v>0</v>
      </c>
      <c r="CZ35" s="19">
        <f t="shared" si="36"/>
        <v>0</v>
      </c>
      <c r="DA35" s="20"/>
      <c r="DB35" s="13">
        <f t="shared" si="37"/>
        <v>0</v>
      </c>
      <c r="DC35" s="21">
        <f t="shared" si="38"/>
        <v>0</v>
      </c>
      <c r="DE35" s="97">
        <v>10</v>
      </c>
      <c r="DF35" s="32"/>
      <c r="DG35" s="61">
        <f t="shared" si="39"/>
        <v>0</v>
      </c>
      <c r="DH35" s="32"/>
      <c r="DI35" s="59">
        <f t="shared" si="40"/>
        <v>5</v>
      </c>
      <c r="DJ35" s="32"/>
      <c r="DK35" s="59">
        <f t="shared" si="41"/>
        <v>5</v>
      </c>
      <c r="DL35" s="32"/>
      <c r="DM35" s="96">
        <f t="shared" si="42"/>
        <v>25</v>
      </c>
      <c r="DN35" s="32"/>
      <c r="DO35" s="62">
        <f t="shared" si="43"/>
        <v>1</v>
      </c>
      <c r="DP35" s="32"/>
      <c r="DQ35" s="96">
        <f t="shared" si="44"/>
        <v>30</v>
      </c>
      <c r="DR35" s="32"/>
      <c r="DS35" s="61"/>
      <c r="DT35" s="32"/>
      <c r="DU35" s="63">
        <v>0</v>
      </c>
      <c r="DV35" s="32"/>
      <c r="DW35" s="64">
        <f t="shared" si="46"/>
        <v>0</v>
      </c>
      <c r="DX35" s="32"/>
      <c r="DY35" s="63">
        <f t="shared" si="47"/>
        <v>0</v>
      </c>
    </row>
    <row r="36" spans="1:129" ht="12.45" customHeight="1" x14ac:dyDescent="0.3">
      <c r="A36" s="37" t="s">
        <v>39</v>
      </c>
      <c r="B36" s="32"/>
      <c r="C36" s="51"/>
      <c r="D36" s="34"/>
      <c r="E36" s="38">
        <v>25</v>
      </c>
      <c r="F36" s="34"/>
      <c r="G36" s="33">
        <v>30</v>
      </c>
      <c r="I36" s="26">
        <v>1</v>
      </c>
      <c r="J36" s="27"/>
      <c r="K36" s="28"/>
      <c r="L36" s="12"/>
      <c r="M36" s="26"/>
      <c r="N36" s="12"/>
      <c r="O36" s="28"/>
      <c r="P36" s="12"/>
      <c r="Q36" s="26"/>
      <c r="R36" s="12"/>
      <c r="S36" s="28"/>
      <c r="T36" s="12"/>
      <c r="U36" s="26"/>
      <c r="V36" s="12"/>
      <c r="W36" s="28"/>
      <c r="X36" s="12"/>
      <c r="Y36" s="26"/>
      <c r="Z36" s="12"/>
      <c r="AA36" s="28"/>
      <c r="AB36" s="12"/>
      <c r="AC36" s="26"/>
      <c r="AD36" s="12"/>
      <c r="AE36" s="28"/>
      <c r="AF36" s="12"/>
      <c r="AG36" s="26"/>
      <c r="AH36" s="12"/>
      <c r="AI36" s="28"/>
      <c r="AJ36" s="12"/>
      <c r="AK36" s="26"/>
      <c r="AL36" s="12"/>
      <c r="AM36" s="28"/>
      <c r="AN36" s="12"/>
      <c r="AO36" s="26"/>
      <c r="AP36" s="12"/>
      <c r="AQ36" s="28"/>
      <c r="AR36" s="12"/>
      <c r="AS36" s="26"/>
      <c r="AT36" s="12"/>
      <c r="AU36" s="28"/>
      <c r="AW36" s="18">
        <f t="shared" si="0"/>
        <v>1</v>
      </c>
      <c r="AX36" s="19">
        <f t="shared" si="1"/>
        <v>30</v>
      </c>
      <c r="AY36" s="20"/>
      <c r="AZ36" s="13">
        <f t="shared" si="2"/>
        <v>0</v>
      </c>
      <c r="BA36" s="21">
        <f t="shared" si="3"/>
        <v>0</v>
      </c>
      <c r="BB36" s="20"/>
      <c r="BC36" s="13">
        <f t="shared" si="4"/>
        <v>0</v>
      </c>
      <c r="BD36" s="19">
        <f t="shared" si="5"/>
        <v>0</v>
      </c>
      <c r="BE36" s="20"/>
      <c r="BF36" s="13">
        <f t="shared" si="6"/>
        <v>0</v>
      </c>
      <c r="BG36" s="21">
        <f t="shared" si="7"/>
        <v>0</v>
      </c>
      <c r="BH36" s="20"/>
      <c r="BI36" s="13">
        <f t="shared" si="8"/>
        <v>0</v>
      </c>
      <c r="BJ36" s="19">
        <f t="shared" si="9"/>
        <v>0</v>
      </c>
      <c r="BK36" s="20"/>
      <c r="BL36" s="13">
        <f t="shared" si="10"/>
        <v>0</v>
      </c>
      <c r="BM36" s="21">
        <f t="shared" si="11"/>
        <v>0</v>
      </c>
      <c r="BN36" s="20"/>
      <c r="BO36" s="13">
        <f t="shared" si="12"/>
        <v>0</v>
      </c>
      <c r="BP36" s="19">
        <f t="shared" si="13"/>
        <v>0</v>
      </c>
      <c r="BQ36" s="20"/>
      <c r="BR36" s="13">
        <f t="shared" si="14"/>
        <v>0</v>
      </c>
      <c r="BS36" s="21">
        <f t="shared" si="15"/>
        <v>0</v>
      </c>
      <c r="BT36" s="20"/>
      <c r="BU36" s="13">
        <f t="shared" si="16"/>
        <v>0</v>
      </c>
      <c r="BV36" s="19">
        <f t="shared" si="17"/>
        <v>0</v>
      </c>
      <c r="BW36" s="20"/>
      <c r="BX36" s="13">
        <f t="shared" si="18"/>
        <v>0</v>
      </c>
      <c r="BY36" s="21">
        <f t="shared" si="19"/>
        <v>0</v>
      </c>
      <c r="BZ36" s="20"/>
      <c r="CA36" s="13">
        <f t="shared" si="20"/>
        <v>0</v>
      </c>
      <c r="CB36" s="19">
        <f t="shared" si="21"/>
        <v>0</v>
      </c>
      <c r="CC36" s="20"/>
      <c r="CD36" s="13">
        <f t="shared" si="22"/>
        <v>0</v>
      </c>
      <c r="CE36" s="21">
        <f t="shared" si="23"/>
        <v>0</v>
      </c>
      <c r="CF36" s="20"/>
      <c r="CG36" s="18">
        <f t="shared" si="24"/>
        <v>0</v>
      </c>
      <c r="CH36" s="21">
        <f t="shared" si="45"/>
        <v>0</v>
      </c>
      <c r="CI36" s="20"/>
      <c r="CJ36" s="18">
        <f t="shared" si="25"/>
        <v>0</v>
      </c>
      <c r="CK36" s="21">
        <f t="shared" si="26"/>
        <v>0</v>
      </c>
      <c r="CL36" s="20"/>
      <c r="CM36" s="18">
        <f t="shared" si="27"/>
        <v>0</v>
      </c>
      <c r="CN36" s="21">
        <f t="shared" si="28"/>
        <v>0</v>
      </c>
      <c r="CO36" s="20"/>
      <c r="CP36" s="18">
        <f t="shared" si="29"/>
        <v>0</v>
      </c>
      <c r="CQ36" s="21">
        <f t="shared" si="30"/>
        <v>0</v>
      </c>
      <c r="CR36" s="20"/>
      <c r="CS36" s="18">
        <f t="shared" si="31"/>
        <v>0</v>
      </c>
      <c r="CT36" s="19">
        <f t="shared" si="32"/>
        <v>0</v>
      </c>
      <c r="CU36" s="20"/>
      <c r="CV36" s="13">
        <f t="shared" si="33"/>
        <v>0</v>
      </c>
      <c r="CW36" s="21">
        <f t="shared" si="34"/>
        <v>0</v>
      </c>
      <c r="CX36" s="20"/>
      <c r="CY36" s="13">
        <f t="shared" si="35"/>
        <v>0</v>
      </c>
      <c r="CZ36" s="19">
        <f t="shared" si="36"/>
        <v>0</v>
      </c>
      <c r="DA36" s="20"/>
      <c r="DB36" s="13">
        <f t="shared" si="37"/>
        <v>0</v>
      </c>
      <c r="DC36" s="21">
        <f t="shared" si="38"/>
        <v>0</v>
      </c>
      <c r="DE36" s="97">
        <v>17</v>
      </c>
      <c r="DF36" s="32"/>
      <c r="DG36" s="61">
        <f t="shared" si="39"/>
        <v>0</v>
      </c>
      <c r="DH36" s="32"/>
      <c r="DI36" s="59">
        <f t="shared" si="40"/>
        <v>1</v>
      </c>
      <c r="DJ36" s="32"/>
      <c r="DK36" s="59">
        <f t="shared" si="41"/>
        <v>16</v>
      </c>
      <c r="DL36" s="32"/>
      <c r="DM36" s="96">
        <f t="shared" si="42"/>
        <v>400</v>
      </c>
      <c r="DN36" s="32"/>
      <c r="DO36" s="62">
        <f t="shared" si="43"/>
        <v>16</v>
      </c>
      <c r="DP36" s="32"/>
      <c r="DQ36" s="96">
        <f t="shared" si="44"/>
        <v>480</v>
      </c>
      <c r="DR36" s="32"/>
      <c r="DS36" s="61"/>
      <c r="DT36" s="32"/>
      <c r="DU36" s="63">
        <v>0</v>
      </c>
      <c r="DV36" s="32"/>
      <c r="DW36" s="64">
        <f t="shared" si="46"/>
        <v>0</v>
      </c>
      <c r="DX36" s="32"/>
      <c r="DY36" s="63">
        <f t="shared" si="47"/>
        <v>0</v>
      </c>
    </row>
    <row r="37" spans="1:129" ht="12.45" customHeight="1" x14ac:dyDescent="0.3">
      <c r="A37" s="41" t="s">
        <v>40</v>
      </c>
      <c r="B37" s="32"/>
      <c r="C37" s="51"/>
      <c r="D37" s="34"/>
      <c r="E37" s="38">
        <v>25</v>
      </c>
      <c r="F37" s="34"/>
      <c r="G37" s="33">
        <v>30</v>
      </c>
      <c r="I37" s="26">
        <v>1</v>
      </c>
      <c r="J37" s="27"/>
      <c r="K37" s="28"/>
      <c r="L37" s="12"/>
      <c r="M37" s="26"/>
      <c r="N37" s="12"/>
      <c r="O37" s="28"/>
      <c r="P37" s="12"/>
      <c r="Q37" s="26"/>
      <c r="R37" s="12"/>
      <c r="S37" s="28"/>
      <c r="T37" s="12"/>
      <c r="U37" s="26"/>
      <c r="V37" s="12"/>
      <c r="W37" s="28"/>
      <c r="X37" s="12"/>
      <c r="Y37" s="26"/>
      <c r="Z37" s="12"/>
      <c r="AA37" s="28"/>
      <c r="AB37" s="12"/>
      <c r="AC37" s="26"/>
      <c r="AD37" s="12"/>
      <c r="AE37" s="28"/>
      <c r="AF37" s="12"/>
      <c r="AG37" s="26"/>
      <c r="AH37" s="12"/>
      <c r="AI37" s="28"/>
      <c r="AJ37" s="12"/>
      <c r="AK37" s="26"/>
      <c r="AL37" s="12"/>
      <c r="AM37" s="28"/>
      <c r="AN37" s="12"/>
      <c r="AO37" s="26"/>
      <c r="AP37" s="12"/>
      <c r="AQ37" s="28"/>
      <c r="AR37" s="12"/>
      <c r="AS37" s="26"/>
      <c r="AT37" s="12"/>
      <c r="AU37" s="28"/>
      <c r="AW37" s="18">
        <f t="shared" si="0"/>
        <v>1</v>
      </c>
      <c r="AX37" s="19">
        <f t="shared" si="1"/>
        <v>30</v>
      </c>
      <c r="AY37" s="20"/>
      <c r="AZ37" s="13">
        <f t="shared" si="2"/>
        <v>0</v>
      </c>
      <c r="BA37" s="21">
        <f t="shared" si="3"/>
        <v>0</v>
      </c>
      <c r="BB37" s="20"/>
      <c r="BC37" s="13">
        <f t="shared" si="4"/>
        <v>0</v>
      </c>
      <c r="BD37" s="19">
        <f t="shared" si="5"/>
        <v>0</v>
      </c>
      <c r="BE37" s="20"/>
      <c r="BF37" s="13">
        <f t="shared" si="6"/>
        <v>0</v>
      </c>
      <c r="BG37" s="21">
        <f t="shared" si="7"/>
        <v>0</v>
      </c>
      <c r="BH37" s="20"/>
      <c r="BI37" s="13">
        <f t="shared" si="8"/>
        <v>0</v>
      </c>
      <c r="BJ37" s="19">
        <f t="shared" si="9"/>
        <v>0</v>
      </c>
      <c r="BK37" s="20"/>
      <c r="BL37" s="13">
        <f t="shared" si="10"/>
        <v>0</v>
      </c>
      <c r="BM37" s="21">
        <f t="shared" si="11"/>
        <v>0</v>
      </c>
      <c r="BN37" s="20"/>
      <c r="BO37" s="13">
        <f t="shared" si="12"/>
        <v>0</v>
      </c>
      <c r="BP37" s="19">
        <f t="shared" si="13"/>
        <v>0</v>
      </c>
      <c r="BQ37" s="20"/>
      <c r="BR37" s="13">
        <f t="shared" si="14"/>
        <v>0</v>
      </c>
      <c r="BS37" s="21">
        <f t="shared" si="15"/>
        <v>0</v>
      </c>
      <c r="BT37" s="20"/>
      <c r="BU37" s="13">
        <f t="shared" si="16"/>
        <v>0</v>
      </c>
      <c r="BV37" s="19">
        <f t="shared" si="17"/>
        <v>0</v>
      </c>
      <c r="BW37" s="20"/>
      <c r="BX37" s="13">
        <f t="shared" si="18"/>
        <v>0</v>
      </c>
      <c r="BY37" s="21">
        <f t="shared" si="19"/>
        <v>0</v>
      </c>
      <c r="BZ37" s="20"/>
      <c r="CA37" s="13">
        <f t="shared" si="20"/>
        <v>0</v>
      </c>
      <c r="CB37" s="19">
        <f t="shared" si="21"/>
        <v>0</v>
      </c>
      <c r="CC37" s="20"/>
      <c r="CD37" s="13">
        <f t="shared" si="22"/>
        <v>0</v>
      </c>
      <c r="CE37" s="21">
        <f t="shared" si="23"/>
        <v>0</v>
      </c>
      <c r="CF37" s="20"/>
      <c r="CG37" s="18">
        <f t="shared" si="24"/>
        <v>0</v>
      </c>
      <c r="CH37" s="21">
        <f t="shared" si="45"/>
        <v>0</v>
      </c>
      <c r="CI37" s="20"/>
      <c r="CJ37" s="18">
        <f t="shared" si="25"/>
        <v>0</v>
      </c>
      <c r="CK37" s="21">
        <f t="shared" si="26"/>
        <v>0</v>
      </c>
      <c r="CL37" s="20"/>
      <c r="CM37" s="18">
        <f t="shared" si="27"/>
        <v>0</v>
      </c>
      <c r="CN37" s="21">
        <f t="shared" si="28"/>
        <v>0</v>
      </c>
      <c r="CO37" s="20"/>
      <c r="CP37" s="18">
        <f t="shared" si="29"/>
        <v>0</v>
      </c>
      <c r="CQ37" s="21">
        <f t="shared" si="30"/>
        <v>0</v>
      </c>
      <c r="CR37" s="20"/>
      <c r="CS37" s="18">
        <f t="shared" si="31"/>
        <v>0</v>
      </c>
      <c r="CT37" s="19">
        <f t="shared" si="32"/>
        <v>0</v>
      </c>
      <c r="CU37" s="20"/>
      <c r="CV37" s="13">
        <f t="shared" si="33"/>
        <v>0</v>
      </c>
      <c r="CW37" s="21">
        <f t="shared" si="34"/>
        <v>0</v>
      </c>
      <c r="CX37" s="20"/>
      <c r="CY37" s="13">
        <f t="shared" si="35"/>
        <v>0</v>
      </c>
      <c r="CZ37" s="19">
        <f t="shared" si="36"/>
        <v>0</v>
      </c>
      <c r="DA37" s="20"/>
      <c r="DB37" s="13">
        <f t="shared" si="37"/>
        <v>0</v>
      </c>
      <c r="DC37" s="21">
        <f t="shared" si="38"/>
        <v>0</v>
      </c>
      <c r="DE37" s="97">
        <v>40</v>
      </c>
      <c r="DF37" s="32"/>
      <c r="DG37" s="61">
        <f t="shared" si="39"/>
        <v>0</v>
      </c>
      <c r="DH37" s="32"/>
      <c r="DI37" s="59">
        <f t="shared" si="40"/>
        <v>1</v>
      </c>
      <c r="DJ37" s="32"/>
      <c r="DK37" s="59">
        <f t="shared" si="41"/>
        <v>39</v>
      </c>
      <c r="DL37" s="32"/>
      <c r="DM37" s="96">
        <f t="shared" si="42"/>
        <v>975</v>
      </c>
      <c r="DN37" s="32"/>
      <c r="DO37" s="62">
        <f t="shared" si="43"/>
        <v>39</v>
      </c>
      <c r="DP37" s="32"/>
      <c r="DQ37" s="96">
        <f t="shared" si="44"/>
        <v>1170</v>
      </c>
      <c r="DR37" s="32"/>
      <c r="DS37" s="61"/>
      <c r="DT37" s="32"/>
      <c r="DU37" s="63">
        <v>0</v>
      </c>
      <c r="DV37" s="32"/>
      <c r="DW37" s="64">
        <f t="shared" si="46"/>
        <v>0</v>
      </c>
      <c r="DX37" s="32"/>
      <c r="DY37" s="63">
        <f t="shared" si="47"/>
        <v>0</v>
      </c>
    </row>
    <row r="38" spans="1:129" ht="12.45" customHeight="1" x14ac:dyDescent="0.3">
      <c r="A38" s="37" t="s">
        <v>41</v>
      </c>
      <c r="B38" s="32"/>
      <c r="C38" s="51"/>
      <c r="D38" s="34"/>
      <c r="E38" s="38">
        <v>25</v>
      </c>
      <c r="F38" s="34"/>
      <c r="G38" s="33">
        <v>30</v>
      </c>
      <c r="I38" s="26"/>
      <c r="J38" s="27"/>
      <c r="K38" s="28">
        <v>1</v>
      </c>
      <c r="L38" s="12"/>
      <c r="M38" s="26">
        <v>1</v>
      </c>
      <c r="N38" s="12"/>
      <c r="O38" s="28"/>
      <c r="P38" s="12"/>
      <c r="Q38" s="26"/>
      <c r="R38" s="12"/>
      <c r="S38" s="28"/>
      <c r="T38" s="12"/>
      <c r="U38" s="26"/>
      <c r="V38" s="12"/>
      <c r="W38" s="28"/>
      <c r="X38" s="12"/>
      <c r="Y38" s="26"/>
      <c r="Z38" s="12"/>
      <c r="AA38" s="28"/>
      <c r="AB38" s="12"/>
      <c r="AC38" s="26"/>
      <c r="AD38" s="12"/>
      <c r="AE38" s="28"/>
      <c r="AF38" s="12"/>
      <c r="AG38" s="26"/>
      <c r="AH38" s="12"/>
      <c r="AI38" s="28"/>
      <c r="AJ38" s="12"/>
      <c r="AK38" s="26"/>
      <c r="AL38" s="12"/>
      <c r="AM38" s="28"/>
      <c r="AN38" s="12"/>
      <c r="AO38" s="26"/>
      <c r="AP38" s="12"/>
      <c r="AQ38" s="28"/>
      <c r="AR38" s="12"/>
      <c r="AS38" s="26"/>
      <c r="AT38" s="12"/>
      <c r="AU38" s="28"/>
      <c r="AW38" s="18">
        <f t="shared" si="0"/>
        <v>0</v>
      </c>
      <c r="AX38" s="19">
        <f t="shared" si="1"/>
        <v>0</v>
      </c>
      <c r="AY38" s="20"/>
      <c r="AZ38" s="13">
        <f t="shared" si="2"/>
        <v>1</v>
      </c>
      <c r="BA38" s="21">
        <f t="shared" si="3"/>
        <v>30</v>
      </c>
      <c r="BB38" s="20"/>
      <c r="BC38" s="13">
        <f t="shared" si="4"/>
        <v>1</v>
      </c>
      <c r="BD38" s="19">
        <f t="shared" si="5"/>
        <v>30</v>
      </c>
      <c r="BE38" s="20"/>
      <c r="BF38" s="13">
        <f t="shared" si="6"/>
        <v>0</v>
      </c>
      <c r="BG38" s="21">
        <f t="shared" si="7"/>
        <v>0</v>
      </c>
      <c r="BH38" s="20"/>
      <c r="BI38" s="13">
        <f t="shared" si="8"/>
        <v>0</v>
      </c>
      <c r="BJ38" s="19">
        <f t="shared" si="9"/>
        <v>0</v>
      </c>
      <c r="BK38" s="20"/>
      <c r="BL38" s="13">
        <f t="shared" si="10"/>
        <v>0</v>
      </c>
      <c r="BM38" s="21">
        <f t="shared" si="11"/>
        <v>0</v>
      </c>
      <c r="BN38" s="20"/>
      <c r="BO38" s="13">
        <f t="shared" si="12"/>
        <v>0</v>
      </c>
      <c r="BP38" s="19">
        <f t="shared" si="13"/>
        <v>0</v>
      </c>
      <c r="BQ38" s="20"/>
      <c r="BR38" s="13">
        <f t="shared" si="14"/>
        <v>0</v>
      </c>
      <c r="BS38" s="21">
        <f t="shared" si="15"/>
        <v>0</v>
      </c>
      <c r="BT38" s="20"/>
      <c r="BU38" s="13">
        <f t="shared" si="16"/>
        <v>0</v>
      </c>
      <c r="BV38" s="19">
        <f t="shared" si="17"/>
        <v>0</v>
      </c>
      <c r="BW38" s="20"/>
      <c r="BX38" s="13">
        <f t="shared" si="18"/>
        <v>0</v>
      </c>
      <c r="BY38" s="21">
        <f t="shared" si="19"/>
        <v>0</v>
      </c>
      <c r="BZ38" s="20"/>
      <c r="CA38" s="13">
        <f t="shared" si="20"/>
        <v>0</v>
      </c>
      <c r="CB38" s="19">
        <f t="shared" si="21"/>
        <v>0</v>
      </c>
      <c r="CC38" s="20"/>
      <c r="CD38" s="13">
        <f t="shared" si="22"/>
        <v>0</v>
      </c>
      <c r="CE38" s="21">
        <f t="shared" si="23"/>
        <v>0</v>
      </c>
      <c r="CF38" s="20"/>
      <c r="CG38" s="18">
        <f t="shared" si="24"/>
        <v>0</v>
      </c>
      <c r="CH38" s="21">
        <f t="shared" si="45"/>
        <v>0</v>
      </c>
      <c r="CI38" s="20"/>
      <c r="CJ38" s="18">
        <f t="shared" si="25"/>
        <v>0</v>
      </c>
      <c r="CK38" s="21">
        <f t="shared" si="26"/>
        <v>0</v>
      </c>
      <c r="CL38" s="20"/>
      <c r="CM38" s="18">
        <f t="shared" si="27"/>
        <v>0</v>
      </c>
      <c r="CN38" s="21">
        <f t="shared" si="28"/>
        <v>0</v>
      </c>
      <c r="CO38" s="20"/>
      <c r="CP38" s="18">
        <f t="shared" si="29"/>
        <v>0</v>
      </c>
      <c r="CQ38" s="21">
        <f t="shared" si="30"/>
        <v>0</v>
      </c>
      <c r="CR38" s="20"/>
      <c r="CS38" s="18">
        <f t="shared" si="31"/>
        <v>0</v>
      </c>
      <c r="CT38" s="19">
        <f t="shared" si="32"/>
        <v>0</v>
      </c>
      <c r="CU38" s="20"/>
      <c r="CV38" s="13">
        <f t="shared" si="33"/>
        <v>0</v>
      </c>
      <c r="CW38" s="21">
        <f t="shared" si="34"/>
        <v>0</v>
      </c>
      <c r="CX38" s="20"/>
      <c r="CY38" s="13">
        <f t="shared" si="35"/>
        <v>0</v>
      </c>
      <c r="CZ38" s="19">
        <f t="shared" si="36"/>
        <v>0</v>
      </c>
      <c r="DA38" s="20"/>
      <c r="DB38" s="13">
        <f t="shared" si="37"/>
        <v>0</v>
      </c>
      <c r="DC38" s="21">
        <f t="shared" si="38"/>
        <v>0</v>
      </c>
      <c r="DE38" s="97">
        <v>74</v>
      </c>
      <c r="DF38" s="32"/>
      <c r="DG38" s="61">
        <f t="shared" si="39"/>
        <v>0</v>
      </c>
      <c r="DH38" s="32"/>
      <c r="DI38" s="59">
        <f t="shared" si="40"/>
        <v>2</v>
      </c>
      <c r="DJ38" s="32"/>
      <c r="DK38" s="59">
        <f t="shared" si="41"/>
        <v>72</v>
      </c>
      <c r="DL38" s="32"/>
      <c r="DM38" s="96">
        <f t="shared" si="42"/>
        <v>1800</v>
      </c>
      <c r="DN38" s="32"/>
      <c r="DO38" s="62">
        <f t="shared" si="43"/>
        <v>36</v>
      </c>
      <c r="DP38" s="32"/>
      <c r="DQ38" s="96">
        <f t="shared" si="44"/>
        <v>2160</v>
      </c>
      <c r="DR38" s="32"/>
      <c r="DS38" s="61"/>
      <c r="DT38" s="32"/>
      <c r="DU38" s="63">
        <v>0</v>
      </c>
      <c r="DV38" s="32"/>
      <c r="DW38" s="64">
        <f t="shared" si="46"/>
        <v>0</v>
      </c>
      <c r="DX38" s="32"/>
      <c r="DY38" s="63">
        <f t="shared" si="47"/>
        <v>0</v>
      </c>
    </row>
    <row r="39" spans="1:129" ht="12.45" customHeight="1" x14ac:dyDescent="0.3">
      <c r="A39" s="36" t="s">
        <v>42</v>
      </c>
      <c r="B39" s="32"/>
      <c r="C39" s="51"/>
      <c r="D39" s="34"/>
      <c r="E39" s="38">
        <v>25</v>
      </c>
      <c r="F39" s="34"/>
      <c r="G39" s="33">
        <v>30</v>
      </c>
      <c r="I39" s="26"/>
      <c r="J39" s="27"/>
      <c r="K39" s="28"/>
      <c r="L39" s="12"/>
      <c r="M39" s="26"/>
      <c r="N39" s="12"/>
      <c r="O39" s="28">
        <v>1</v>
      </c>
      <c r="P39" s="12"/>
      <c r="Q39" s="26"/>
      <c r="R39" s="12"/>
      <c r="S39" s="28">
        <v>1</v>
      </c>
      <c r="T39" s="12"/>
      <c r="U39" s="26"/>
      <c r="V39" s="12"/>
      <c r="W39" s="28"/>
      <c r="X39" s="12"/>
      <c r="Y39" s="26"/>
      <c r="Z39" s="12"/>
      <c r="AA39" s="28"/>
      <c r="AB39" s="12"/>
      <c r="AC39" s="26"/>
      <c r="AD39" s="12"/>
      <c r="AE39" s="28"/>
      <c r="AF39" s="12"/>
      <c r="AG39" s="26"/>
      <c r="AH39" s="12"/>
      <c r="AI39" s="28"/>
      <c r="AJ39" s="12"/>
      <c r="AK39" s="26"/>
      <c r="AL39" s="12"/>
      <c r="AM39" s="28"/>
      <c r="AN39" s="12"/>
      <c r="AO39" s="26"/>
      <c r="AP39" s="12"/>
      <c r="AQ39" s="28"/>
      <c r="AR39" s="12"/>
      <c r="AS39" s="26"/>
      <c r="AT39" s="12"/>
      <c r="AU39" s="28"/>
      <c r="AW39" s="18">
        <f t="shared" si="0"/>
        <v>0</v>
      </c>
      <c r="AX39" s="19">
        <f t="shared" si="1"/>
        <v>0</v>
      </c>
      <c r="AY39" s="20"/>
      <c r="AZ39" s="13">
        <f t="shared" si="2"/>
        <v>0</v>
      </c>
      <c r="BA39" s="21">
        <f t="shared" si="3"/>
        <v>0</v>
      </c>
      <c r="BB39" s="20"/>
      <c r="BC39" s="13">
        <f t="shared" si="4"/>
        <v>0</v>
      </c>
      <c r="BD39" s="19">
        <f t="shared" si="5"/>
        <v>0</v>
      </c>
      <c r="BE39" s="20"/>
      <c r="BF39" s="13">
        <f t="shared" si="6"/>
        <v>1</v>
      </c>
      <c r="BG39" s="21">
        <f t="shared" si="7"/>
        <v>30</v>
      </c>
      <c r="BH39" s="20"/>
      <c r="BI39" s="13">
        <f t="shared" si="8"/>
        <v>0</v>
      </c>
      <c r="BJ39" s="19">
        <f t="shared" si="9"/>
        <v>0</v>
      </c>
      <c r="BK39" s="20"/>
      <c r="BL39" s="13">
        <f t="shared" si="10"/>
        <v>1</v>
      </c>
      <c r="BM39" s="21">
        <f t="shared" si="11"/>
        <v>30</v>
      </c>
      <c r="BN39" s="20"/>
      <c r="BO39" s="13">
        <f t="shared" si="12"/>
        <v>0</v>
      </c>
      <c r="BP39" s="19">
        <f t="shared" si="13"/>
        <v>0</v>
      </c>
      <c r="BQ39" s="20"/>
      <c r="BR39" s="13">
        <f t="shared" si="14"/>
        <v>0</v>
      </c>
      <c r="BS39" s="21">
        <f t="shared" si="15"/>
        <v>0</v>
      </c>
      <c r="BT39" s="20"/>
      <c r="BU39" s="13">
        <f t="shared" si="16"/>
        <v>0</v>
      </c>
      <c r="BV39" s="19">
        <f t="shared" si="17"/>
        <v>0</v>
      </c>
      <c r="BW39" s="20"/>
      <c r="BX39" s="13">
        <f t="shared" si="18"/>
        <v>0</v>
      </c>
      <c r="BY39" s="21">
        <f t="shared" si="19"/>
        <v>0</v>
      </c>
      <c r="BZ39" s="20"/>
      <c r="CA39" s="13">
        <f t="shared" si="20"/>
        <v>0</v>
      </c>
      <c r="CB39" s="19">
        <f t="shared" si="21"/>
        <v>0</v>
      </c>
      <c r="CC39" s="20"/>
      <c r="CD39" s="13">
        <f t="shared" si="22"/>
        <v>0</v>
      </c>
      <c r="CE39" s="21">
        <f t="shared" si="23"/>
        <v>0</v>
      </c>
      <c r="CF39" s="20"/>
      <c r="CG39" s="18">
        <f t="shared" si="24"/>
        <v>0</v>
      </c>
      <c r="CH39" s="21">
        <f t="shared" si="45"/>
        <v>0</v>
      </c>
      <c r="CI39" s="20"/>
      <c r="CJ39" s="18">
        <f t="shared" si="25"/>
        <v>0</v>
      </c>
      <c r="CK39" s="21">
        <f t="shared" si="26"/>
        <v>0</v>
      </c>
      <c r="CL39" s="20"/>
      <c r="CM39" s="18">
        <f t="shared" si="27"/>
        <v>0</v>
      </c>
      <c r="CN39" s="21">
        <f t="shared" si="28"/>
        <v>0</v>
      </c>
      <c r="CO39" s="20"/>
      <c r="CP39" s="18">
        <f t="shared" si="29"/>
        <v>0</v>
      </c>
      <c r="CQ39" s="21">
        <f t="shared" si="30"/>
        <v>0</v>
      </c>
      <c r="CR39" s="20"/>
      <c r="CS39" s="18">
        <f t="shared" si="31"/>
        <v>0</v>
      </c>
      <c r="CT39" s="19">
        <f t="shared" si="32"/>
        <v>0</v>
      </c>
      <c r="CU39" s="20"/>
      <c r="CV39" s="13">
        <f t="shared" si="33"/>
        <v>0</v>
      </c>
      <c r="CW39" s="21">
        <f t="shared" si="34"/>
        <v>0</v>
      </c>
      <c r="CX39" s="20"/>
      <c r="CY39" s="13">
        <f t="shared" si="35"/>
        <v>0</v>
      </c>
      <c r="CZ39" s="19">
        <f t="shared" si="36"/>
        <v>0</v>
      </c>
      <c r="DA39" s="20"/>
      <c r="DB39" s="13">
        <f t="shared" si="37"/>
        <v>0</v>
      </c>
      <c r="DC39" s="21">
        <f t="shared" si="38"/>
        <v>0</v>
      </c>
      <c r="DE39" s="97">
        <v>56</v>
      </c>
      <c r="DF39" s="32"/>
      <c r="DG39" s="61">
        <f t="shared" si="39"/>
        <v>0</v>
      </c>
      <c r="DH39" s="32"/>
      <c r="DI39" s="59">
        <f t="shared" si="40"/>
        <v>2</v>
      </c>
      <c r="DJ39" s="32"/>
      <c r="DK39" s="59">
        <f t="shared" si="41"/>
        <v>54</v>
      </c>
      <c r="DL39" s="32"/>
      <c r="DM39" s="96">
        <f t="shared" si="42"/>
        <v>1350</v>
      </c>
      <c r="DN39" s="32"/>
      <c r="DO39" s="62">
        <f t="shared" si="43"/>
        <v>27</v>
      </c>
      <c r="DP39" s="32"/>
      <c r="DQ39" s="96">
        <f t="shared" si="44"/>
        <v>1620</v>
      </c>
      <c r="DR39" s="32"/>
      <c r="DS39" s="61"/>
      <c r="DT39" s="32"/>
      <c r="DU39" s="63">
        <v>0</v>
      </c>
      <c r="DV39" s="32"/>
      <c r="DW39" s="64">
        <f t="shared" si="46"/>
        <v>0</v>
      </c>
      <c r="DX39" s="32"/>
      <c r="DY39" s="63">
        <f t="shared" si="47"/>
        <v>0</v>
      </c>
    </row>
    <row r="40" spans="1:129" s="8" customFormat="1" ht="12.45" customHeight="1" x14ac:dyDescent="0.3">
      <c r="A40" s="37" t="s">
        <v>43</v>
      </c>
      <c r="B40" s="32"/>
      <c r="C40" s="51"/>
      <c r="D40" s="34"/>
      <c r="E40" s="38">
        <v>25</v>
      </c>
      <c r="F40" s="34"/>
      <c r="G40" s="33">
        <v>30</v>
      </c>
      <c r="H40" s="3"/>
      <c r="I40" s="26"/>
      <c r="J40" s="27"/>
      <c r="K40" s="28"/>
      <c r="L40" s="12"/>
      <c r="M40" s="26"/>
      <c r="N40" s="12"/>
      <c r="O40" s="28"/>
      <c r="P40" s="12"/>
      <c r="Q40" s="26"/>
      <c r="R40" s="12"/>
      <c r="S40" s="28"/>
      <c r="T40" s="12"/>
      <c r="U40" s="26"/>
      <c r="V40" s="12"/>
      <c r="W40" s="28"/>
      <c r="X40" s="12"/>
      <c r="Y40" s="26"/>
      <c r="Z40" s="12"/>
      <c r="AA40" s="28">
        <v>1</v>
      </c>
      <c r="AB40" s="12"/>
      <c r="AC40" s="26"/>
      <c r="AD40" s="12"/>
      <c r="AE40" s="28"/>
      <c r="AF40" s="12"/>
      <c r="AG40" s="26"/>
      <c r="AH40" s="12"/>
      <c r="AI40" s="28"/>
      <c r="AJ40" s="12"/>
      <c r="AK40" s="26"/>
      <c r="AL40" s="12"/>
      <c r="AM40" s="28"/>
      <c r="AN40" s="12"/>
      <c r="AO40" s="26"/>
      <c r="AP40" s="12"/>
      <c r="AQ40" s="28"/>
      <c r="AR40" s="12"/>
      <c r="AS40" s="26"/>
      <c r="AT40" s="12"/>
      <c r="AU40" s="28"/>
      <c r="AV40" s="3"/>
      <c r="AW40" s="18">
        <f t="shared" si="0"/>
        <v>0</v>
      </c>
      <c r="AX40" s="19">
        <f t="shared" si="1"/>
        <v>0</v>
      </c>
      <c r="AY40" s="20"/>
      <c r="AZ40" s="13">
        <f t="shared" si="2"/>
        <v>0</v>
      </c>
      <c r="BA40" s="21">
        <f t="shared" si="3"/>
        <v>0</v>
      </c>
      <c r="BB40" s="20"/>
      <c r="BC40" s="13">
        <f t="shared" si="4"/>
        <v>0</v>
      </c>
      <c r="BD40" s="19">
        <f t="shared" si="5"/>
        <v>0</v>
      </c>
      <c r="BE40" s="20"/>
      <c r="BF40" s="13">
        <f t="shared" si="6"/>
        <v>0</v>
      </c>
      <c r="BG40" s="21">
        <f t="shared" si="7"/>
        <v>0</v>
      </c>
      <c r="BH40" s="20"/>
      <c r="BI40" s="13">
        <f t="shared" si="8"/>
        <v>0</v>
      </c>
      <c r="BJ40" s="19">
        <f t="shared" si="9"/>
        <v>0</v>
      </c>
      <c r="BK40" s="20"/>
      <c r="BL40" s="13">
        <f t="shared" si="10"/>
        <v>0</v>
      </c>
      <c r="BM40" s="21">
        <f t="shared" si="11"/>
        <v>0</v>
      </c>
      <c r="BN40" s="20"/>
      <c r="BO40" s="13">
        <f t="shared" si="12"/>
        <v>0</v>
      </c>
      <c r="BP40" s="19">
        <f t="shared" si="13"/>
        <v>0</v>
      </c>
      <c r="BQ40" s="20"/>
      <c r="BR40" s="13">
        <f t="shared" si="14"/>
        <v>0</v>
      </c>
      <c r="BS40" s="21">
        <f t="shared" si="15"/>
        <v>0</v>
      </c>
      <c r="BT40" s="20"/>
      <c r="BU40" s="13">
        <f t="shared" si="16"/>
        <v>0</v>
      </c>
      <c r="BV40" s="19">
        <f t="shared" si="17"/>
        <v>0</v>
      </c>
      <c r="BW40" s="20"/>
      <c r="BX40" s="13">
        <f t="shared" si="18"/>
        <v>1</v>
      </c>
      <c r="BY40" s="21">
        <f t="shared" si="19"/>
        <v>30</v>
      </c>
      <c r="BZ40" s="20"/>
      <c r="CA40" s="13">
        <f t="shared" si="20"/>
        <v>0</v>
      </c>
      <c r="CB40" s="19">
        <f t="shared" si="21"/>
        <v>0</v>
      </c>
      <c r="CC40" s="20"/>
      <c r="CD40" s="13">
        <f t="shared" si="22"/>
        <v>0</v>
      </c>
      <c r="CE40" s="21">
        <f t="shared" si="23"/>
        <v>0</v>
      </c>
      <c r="CF40" s="20"/>
      <c r="CG40" s="18">
        <f t="shared" si="24"/>
        <v>0</v>
      </c>
      <c r="CH40" s="21">
        <f t="shared" si="45"/>
        <v>0</v>
      </c>
      <c r="CI40" s="20"/>
      <c r="CJ40" s="18">
        <f t="shared" si="25"/>
        <v>0</v>
      </c>
      <c r="CK40" s="21">
        <f t="shared" si="26"/>
        <v>0</v>
      </c>
      <c r="CL40" s="20"/>
      <c r="CM40" s="18">
        <f t="shared" si="27"/>
        <v>0</v>
      </c>
      <c r="CN40" s="21">
        <f t="shared" si="28"/>
        <v>0</v>
      </c>
      <c r="CO40" s="20"/>
      <c r="CP40" s="18">
        <f t="shared" si="29"/>
        <v>0</v>
      </c>
      <c r="CQ40" s="21">
        <f t="shared" si="30"/>
        <v>0</v>
      </c>
      <c r="CR40" s="20"/>
      <c r="CS40" s="18">
        <f t="shared" si="31"/>
        <v>0</v>
      </c>
      <c r="CT40" s="19">
        <f t="shared" si="32"/>
        <v>0</v>
      </c>
      <c r="CU40" s="20"/>
      <c r="CV40" s="13">
        <f t="shared" si="33"/>
        <v>0</v>
      </c>
      <c r="CW40" s="21">
        <f t="shared" si="34"/>
        <v>0</v>
      </c>
      <c r="CX40" s="20"/>
      <c r="CY40" s="13">
        <f t="shared" si="35"/>
        <v>0</v>
      </c>
      <c r="CZ40" s="19">
        <f t="shared" si="36"/>
        <v>0</v>
      </c>
      <c r="DA40" s="20"/>
      <c r="DB40" s="13">
        <f t="shared" si="37"/>
        <v>0</v>
      </c>
      <c r="DC40" s="21">
        <f t="shared" si="38"/>
        <v>0</v>
      </c>
      <c r="DD40" s="3"/>
      <c r="DE40" s="97">
        <v>64</v>
      </c>
      <c r="DF40" s="32"/>
      <c r="DG40" s="61">
        <f t="shared" si="39"/>
        <v>0</v>
      </c>
      <c r="DH40" s="32"/>
      <c r="DI40" s="59">
        <f t="shared" si="40"/>
        <v>1</v>
      </c>
      <c r="DJ40" s="32"/>
      <c r="DK40" s="59">
        <f t="shared" si="41"/>
        <v>63</v>
      </c>
      <c r="DL40" s="32"/>
      <c r="DM40" s="96">
        <f t="shared" si="42"/>
        <v>1575</v>
      </c>
      <c r="DN40" s="32"/>
      <c r="DO40" s="62">
        <f t="shared" si="43"/>
        <v>63</v>
      </c>
      <c r="DP40" s="32"/>
      <c r="DQ40" s="96">
        <f t="shared" si="44"/>
        <v>1890</v>
      </c>
      <c r="DR40" s="32"/>
      <c r="DS40" s="61"/>
      <c r="DT40" s="32"/>
      <c r="DU40" s="63">
        <v>0</v>
      </c>
      <c r="DV40" s="32"/>
      <c r="DW40" s="64">
        <f t="shared" si="46"/>
        <v>0</v>
      </c>
      <c r="DX40" s="32"/>
      <c r="DY40" s="63">
        <f t="shared" si="47"/>
        <v>0</v>
      </c>
    </row>
    <row r="41" spans="1:129" ht="12.45" customHeight="1" x14ac:dyDescent="0.3">
      <c r="A41" s="36" t="s">
        <v>44</v>
      </c>
      <c r="B41" s="32"/>
      <c r="C41" s="51"/>
      <c r="D41" s="34"/>
      <c r="E41" s="38">
        <v>25</v>
      </c>
      <c r="F41" s="34"/>
      <c r="G41" s="33">
        <v>30</v>
      </c>
      <c r="I41" s="26"/>
      <c r="J41" s="27"/>
      <c r="K41" s="28"/>
      <c r="L41" s="12"/>
      <c r="M41" s="26"/>
      <c r="N41" s="12"/>
      <c r="O41" s="28"/>
      <c r="P41" s="12"/>
      <c r="Q41" s="26"/>
      <c r="R41" s="12"/>
      <c r="S41" s="28"/>
      <c r="T41" s="12"/>
      <c r="U41" s="26"/>
      <c r="V41" s="12"/>
      <c r="W41" s="28"/>
      <c r="X41" s="12"/>
      <c r="Y41" s="26">
        <v>1</v>
      </c>
      <c r="Z41" s="12"/>
      <c r="AA41" s="28"/>
      <c r="AB41" s="12"/>
      <c r="AC41" s="26"/>
      <c r="AD41" s="12"/>
      <c r="AE41" s="28"/>
      <c r="AF41" s="12"/>
      <c r="AG41" s="26"/>
      <c r="AH41" s="12"/>
      <c r="AI41" s="28"/>
      <c r="AJ41" s="12"/>
      <c r="AK41" s="26"/>
      <c r="AL41" s="12"/>
      <c r="AM41" s="28"/>
      <c r="AN41" s="12"/>
      <c r="AO41" s="26"/>
      <c r="AP41" s="12"/>
      <c r="AQ41" s="28"/>
      <c r="AR41" s="12"/>
      <c r="AS41" s="26"/>
      <c r="AT41" s="12"/>
      <c r="AU41" s="28"/>
      <c r="AW41" s="18">
        <f t="shared" si="0"/>
        <v>0</v>
      </c>
      <c r="AX41" s="19">
        <f t="shared" si="1"/>
        <v>0</v>
      </c>
      <c r="AY41" s="20"/>
      <c r="AZ41" s="13">
        <f t="shared" si="2"/>
        <v>0</v>
      </c>
      <c r="BA41" s="21">
        <f t="shared" si="3"/>
        <v>0</v>
      </c>
      <c r="BB41" s="20"/>
      <c r="BC41" s="13">
        <f t="shared" si="4"/>
        <v>0</v>
      </c>
      <c r="BD41" s="19">
        <f t="shared" si="5"/>
        <v>0</v>
      </c>
      <c r="BE41" s="20"/>
      <c r="BF41" s="13">
        <f t="shared" si="6"/>
        <v>0</v>
      </c>
      <c r="BG41" s="21">
        <f t="shared" si="7"/>
        <v>0</v>
      </c>
      <c r="BH41" s="20"/>
      <c r="BI41" s="13">
        <f t="shared" si="8"/>
        <v>0</v>
      </c>
      <c r="BJ41" s="19">
        <f t="shared" si="9"/>
        <v>0</v>
      </c>
      <c r="BK41" s="20"/>
      <c r="BL41" s="13">
        <f t="shared" si="10"/>
        <v>0</v>
      </c>
      <c r="BM41" s="21">
        <f t="shared" si="11"/>
        <v>0</v>
      </c>
      <c r="BN41" s="20"/>
      <c r="BO41" s="13">
        <f t="shared" si="12"/>
        <v>0</v>
      </c>
      <c r="BP41" s="19">
        <f t="shared" si="13"/>
        <v>0</v>
      </c>
      <c r="BQ41" s="20"/>
      <c r="BR41" s="13">
        <f t="shared" si="14"/>
        <v>0</v>
      </c>
      <c r="BS41" s="21">
        <f t="shared" si="15"/>
        <v>0</v>
      </c>
      <c r="BT41" s="20"/>
      <c r="BU41" s="13">
        <f t="shared" si="16"/>
        <v>1</v>
      </c>
      <c r="BV41" s="19">
        <f t="shared" si="17"/>
        <v>30</v>
      </c>
      <c r="BW41" s="20"/>
      <c r="BX41" s="13">
        <f t="shared" si="18"/>
        <v>0</v>
      </c>
      <c r="BY41" s="21">
        <f t="shared" si="19"/>
        <v>0</v>
      </c>
      <c r="BZ41" s="20"/>
      <c r="CA41" s="13">
        <f t="shared" si="20"/>
        <v>0</v>
      </c>
      <c r="CB41" s="19">
        <f t="shared" si="21"/>
        <v>0</v>
      </c>
      <c r="CC41" s="20"/>
      <c r="CD41" s="13">
        <f t="shared" si="22"/>
        <v>0</v>
      </c>
      <c r="CE41" s="21">
        <f t="shared" si="23"/>
        <v>0</v>
      </c>
      <c r="CF41" s="20"/>
      <c r="CG41" s="18">
        <f t="shared" si="24"/>
        <v>0</v>
      </c>
      <c r="CH41" s="21">
        <f t="shared" si="45"/>
        <v>0</v>
      </c>
      <c r="CI41" s="20"/>
      <c r="CJ41" s="18">
        <f t="shared" si="25"/>
        <v>0</v>
      </c>
      <c r="CK41" s="21">
        <f t="shared" si="26"/>
        <v>0</v>
      </c>
      <c r="CL41" s="20"/>
      <c r="CM41" s="18">
        <f t="shared" si="27"/>
        <v>0</v>
      </c>
      <c r="CN41" s="21">
        <f t="shared" si="28"/>
        <v>0</v>
      </c>
      <c r="CO41" s="20"/>
      <c r="CP41" s="18">
        <f t="shared" si="29"/>
        <v>0</v>
      </c>
      <c r="CQ41" s="21">
        <f t="shared" si="30"/>
        <v>0</v>
      </c>
      <c r="CR41" s="20"/>
      <c r="CS41" s="18">
        <f t="shared" si="31"/>
        <v>0</v>
      </c>
      <c r="CT41" s="19">
        <f t="shared" si="32"/>
        <v>0</v>
      </c>
      <c r="CU41" s="20"/>
      <c r="CV41" s="13">
        <f t="shared" si="33"/>
        <v>0</v>
      </c>
      <c r="CW41" s="21">
        <f t="shared" si="34"/>
        <v>0</v>
      </c>
      <c r="CX41" s="20"/>
      <c r="CY41" s="13">
        <f t="shared" si="35"/>
        <v>0</v>
      </c>
      <c r="CZ41" s="19">
        <f t="shared" si="36"/>
        <v>0</v>
      </c>
      <c r="DA41" s="20"/>
      <c r="DB41" s="13">
        <f t="shared" si="37"/>
        <v>0</v>
      </c>
      <c r="DC41" s="21">
        <f t="shared" si="38"/>
        <v>0</v>
      </c>
      <c r="DE41" s="97">
        <v>47</v>
      </c>
      <c r="DF41" s="32"/>
      <c r="DG41" s="61">
        <f t="shared" si="39"/>
        <v>0</v>
      </c>
      <c r="DH41" s="32"/>
      <c r="DI41" s="59">
        <f t="shared" si="40"/>
        <v>1</v>
      </c>
      <c r="DJ41" s="32"/>
      <c r="DK41" s="59">
        <f t="shared" si="41"/>
        <v>46</v>
      </c>
      <c r="DL41" s="32"/>
      <c r="DM41" s="96">
        <f t="shared" si="42"/>
        <v>1150</v>
      </c>
      <c r="DN41" s="32"/>
      <c r="DO41" s="62">
        <f t="shared" si="43"/>
        <v>46</v>
      </c>
      <c r="DP41" s="32"/>
      <c r="DQ41" s="96">
        <f t="shared" si="44"/>
        <v>1380</v>
      </c>
      <c r="DR41" s="32"/>
      <c r="DS41" s="61"/>
      <c r="DT41" s="32"/>
      <c r="DU41" s="63">
        <v>0</v>
      </c>
      <c r="DV41" s="32"/>
      <c r="DW41" s="64">
        <f t="shared" si="46"/>
        <v>0</v>
      </c>
      <c r="DX41" s="32"/>
      <c r="DY41" s="63">
        <f t="shared" si="47"/>
        <v>0</v>
      </c>
    </row>
    <row r="42" spans="1:129" ht="12.45" customHeight="1" x14ac:dyDescent="0.3">
      <c r="A42" s="37" t="s">
        <v>45</v>
      </c>
      <c r="B42" s="32"/>
      <c r="C42" s="51"/>
      <c r="D42" s="34"/>
      <c r="E42" s="38">
        <v>25</v>
      </c>
      <c r="F42" s="34"/>
      <c r="G42" s="33">
        <v>30</v>
      </c>
      <c r="I42" s="26">
        <v>1</v>
      </c>
      <c r="J42" s="27"/>
      <c r="K42" s="28"/>
      <c r="L42" s="12"/>
      <c r="M42" s="26"/>
      <c r="N42" s="12"/>
      <c r="O42" s="28"/>
      <c r="P42" s="12"/>
      <c r="Q42" s="26"/>
      <c r="R42" s="12"/>
      <c r="S42" s="28"/>
      <c r="T42" s="12"/>
      <c r="U42" s="26"/>
      <c r="V42" s="12"/>
      <c r="W42" s="28"/>
      <c r="X42" s="12"/>
      <c r="Y42" s="26"/>
      <c r="Z42" s="12"/>
      <c r="AA42" s="28"/>
      <c r="AB42" s="12"/>
      <c r="AC42" s="26"/>
      <c r="AD42" s="12"/>
      <c r="AE42" s="28"/>
      <c r="AF42" s="12"/>
      <c r="AG42" s="26"/>
      <c r="AH42" s="12"/>
      <c r="AI42" s="28"/>
      <c r="AJ42" s="12"/>
      <c r="AK42" s="26"/>
      <c r="AL42" s="12"/>
      <c r="AM42" s="28"/>
      <c r="AN42" s="12"/>
      <c r="AO42" s="26"/>
      <c r="AP42" s="12"/>
      <c r="AQ42" s="28"/>
      <c r="AR42" s="12"/>
      <c r="AS42" s="26"/>
      <c r="AT42" s="12"/>
      <c r="AU42" s="28"/>
      <c r="AW42" s="18">
        <f t="shared" si="0"/>
        <v>1</v>
      </c>
      <c r="AX42" s="19">
        <f t="shared" si="1"/>
        <v>30</v>
      </c>
      <c r="AY42" s="20"/>
      <c r="AZ42" s="13">
        <f t="shared" si="2"/>
        <v>0</v>
      </c>
      <c r="BA42" s="21">
        <f t="shared" si="3"/>
        <v>0</v>
      </c>
      <c r="BB42" s="20"/>
      <c r="BC42" s="13">
        <f t="shared" si="4"/>
        <v>0</v>
      </c>
      <c r="BD42" s="19">
        <f t="shared" si="5"/>
        <v>0</v>
      </c>
      <c r="BE42" s="20"/>
      <c r="BF42" s="13">
        <f t="shared" si="6"/>
        <v>0</v>
      </c>
      <c r="BG42" s="21">
        <f t="shared" si="7"/>
        <v>0</v>
      </c>
      <c r="BH42" s="20"/>
      <c r="BI42" s="13">
        <f t="shared" si="8"/>
        <v>0</v>
      </c>
      <c r="BJ42" s="19">
        <f t="shared" si="9"/>
        <v>0</v>
      </c>
      <c r="BK42" s="20"/>
      <c r="BL42" s="13">
        <f t="shared" si="10"/>
        <v>0</v>
      </c>
      <c r="BM42" s="21">
        <f t="shared" si="11"/>
        <v>0</v>
      </c>
      <c r="BN42" s="20"/>
      <c r="BO42" s="13">
        <f t="shared" si="12"/>
        <v>0</v>
      </c>
      <c r="BP42" s="19">
        <f t="shared" si="13"/>
        <v>0</v>
      </c>
      <c r="BQ42" s="20"/>
      <c r="BR42" s="13">
        <f t="shared" si="14"/>
        <v>0</v>
      </c>
      <c r="BS42" s="21">
        <f t="shared" si="15"/>
        <v>0</v>
      </c>
      <c r="BT42" s="20"/>
      <c r="BU42" s="13">
        <f t="shared" si="16"/>
        <v>0</v>
      </c>
      <c r="BV42" s="19">
        <f t="shared" si="17"/>
        <v>0</v>
      </c>
      <c r="BW42" s="20"/>
      <c r="BX42" s="13">
        <f t="shared" si="18"/>
        <v>0</v>
      </c>
      <c r="BY42" s="21">
        <f t="shared" si="19"/>
        <v>0</v>
      </c>
      <c r="BZ42" s="20"/>
      <c r="CA42" s="13">
        <f t="shared" si="20"/>
        <v>0</v>
      </c>
      <c r="CB42" s="19">
        <f t="shared" si="21"/>
        <v>0</v>
      </c>
      <c r="CC42" s="20"/>
      <c r="CD42" s="13">
        <f t="shared" si="22"/>
        <v>0</v>
      </c>
      <c r="CE42" s="21">
        <f t="shared" si="23"/>
        <v>0</v>
      </c>
      <c r="CF42" s="20"/>
      <c r="CG42" s="18">
        <f t="shared" si="24"/>
        <v>0</v>
      </c>
      <c r="CH42" s="21">
        <f t="shared" si="45"/>
        <v>0</v>
      </c>
      <c r="CI42" s="20"/>
      <c r="CJ42" s="18">
        <f t="shared" si="25"/>
        <v>0</v>
      </c>
      <c r="CK42" s="21">
        <f t="shared" si="26"/>
        <v>0</v>
      </c>
      <c r="CL42" s="20"/>
      <c r="CM42" s="18">
        <f t="shared" si="27"/>
        <v>0</v>
      </c>
      <c r="CN42" s="21">
        <f t="shared" si="28"/>
        <v>0</v>
      </c>
      <c r="CO42" s="20"/>
      <c r="CP42" s="18">
        <f t="shared" si="29"/>
        <v>0</v>
      </c>
      <c r="CQ42" s="21">
        <f t="shared" si="30"/>
        <v>0</v>
      </c>
      <c r="CR42" s="20"/>
      <c r="CS42" s="18">
        <f t="shared" si="31"/>
        <v>0</v>
      </c>
      <c r="CT42" s="19">
        <f t="shared" si="32"/>
        <v>0</v>
      </c>
      <c r="CU42" s="20"/>
      <c r="CV42" s="13">
        <f t="shared" si="33"/>
        <v>0</v>
      </c>
      <c r="CW42" s="21">
        <f t="shared" si="34"/>
        <v>0</v>
      </c>
      <c r="CX42" s="20"/>
      <c r="CY42" s="13">
        <f t="shared" si="35"/>
        <v>0</v>
      </c>
      <c r="CZ42" s="19">
        <f t="shared" si="36"/>
        <v>0</v>
      </c>
      <c r="DA42" s="20"/>
      <c r="DB42" s="13">
        <f t="shared" si="37"/>
        <v>0</v>
      </c>
      <c r="DC42" s="21">
        <f t="shared" si="38"/>
        <v>0</v>
      </c>
      <c r="DE42" s="97">
        <v>14</v>
      </c>
      <c r="DF42" s="32"/>
      <c r="DG42" s="61">
        <f t="shared" si="39"/>
        <v>0</v>
      </c>
      <c r="DH42" s="32"/>
      <c r="DI42" s="59">
        <f t="shared" si="40"/>
        <v>1</v>
      </c>
      <c r="DJ42" s="32"/>
      <c r="DK42" s="59">
        <f t="shared" si="41"/>
        <v>13</v>
      </c>
      <c r="DL42" s="32"/>
      <c r="DM42" s="96">
        <f t="shared" si="42"/>
        <v>325</v>
      </c>
      <c r="DN42" s="32"/>
      <c r="DO42" s="62">
        <f t="shared" si="43"/>
        <v>13</v>
      </c>
      <c r="DP42" s="32"/>
      <c r="DQ42" s="96">
        <f t="shared" si="44"/>
        <v>390</v>
      </c>
      <c r="DR42" s="32"/>
      <c r="DS42" s="61"/>
      <c r="DT42" s="32"/>
      <c r="DU42" s="63">
        <v>0</v>
      </c>
      <c r="DV42" s="32"/>
      <c r="DW42" s="64">
        <f t="shared" si="46"/>
        <v>0</v>
      </c>
      <c r="DX42" s="32"/>
      <c r="DY42" s="63">
        <f t="shared" si="47"/>
        <v>0</v>
      </c>
    </row>
    <row r="43" spans="1:129" ht="12.45" customHeight="1" x14ac:dyDescent="0.3">
      <c r="A43" s="36" t="s">
        <v>46</v>
      </c>
      <c r="B43" s="32"/>
      <c r="C43" s="51"/>
      <c r="D43" s="34"/>
      <c r="E43" s="38">
        <v>25</v>
      </c>
      <c r="F43" s="34"/>
      <c r="G43" s="33">
        <v>30</v>
      </c>
      <c r="I43" s="26"/>
      <c r="J43" s="27"/>
      <c r="K43" s="28">
        <v>1</v>
      </c>
      <c r="L43" s="12"/>
      <c r="M43" s="26"/>
      <c r="N43" s="12"/>
      <c r="O43" s="28"/>
      <c r="P43" s="12"/>
      <c r="Q43" s="26"/>
      <c r="R43" s="12"/>
      <c r="S43" s="28">
        <v>1</v>
      </c>
      <c r="T43" s="12"/>
      <c r="U43" s="26"/>
      <c r="V43" s="12"/>
      <c r="W43" s="28"/>
      <c r="X43" s="12"/>
      <c r="Y43" s="26">
        <v>1</v>
      </c>
      <c r="Z43" s="12"/>
      <c r="AA43" s="28">
        <v>1</v>
      </c>
      <c r="AB43" s="12"/>
      <c r="AC43" s="26"/>
      <c r="AD43" s="12"/>
      <c r="AE43" s="28"/>
      <c r="AF43" s="12"/>
      <c r="AG43" s="26"/>
      <c r="AH43" s="12"/>
      <c r="AI43" s="28"/>
      <c r="AJ43" s="12"/>
      <c r="AK43" s="26"/>
      <c r="AL43" s="12"/>
      <c r="AM43" s="28"/>
      <c r="AN43" s="12"/>
      <c r="AO43" s="26"/>
      <c r="AP43" s="12"/>
      <c r="AQ43" s="28"/>
      <c r="AR43" s="12"/>
      <c r="AS43" s="26"/>
      <c r="AT43" s="12"/>
      <c r="AU43" s="28"/>
      <c r="AW43" s="18">
        <f t="shared" si="0"/>
        <v>0</v>
      </c>
      <c r="AX43" s="19">
        <f t="shared" si="1"/>
        <v>0</v>
      </c>
      <c r="AY43" s="20"/>
      <c r="AZ43" s="13">
        <f t="shared" si="2"/>
        <v>1</v>
      </c>
      <c r="BA43" s="21">
        <f t="shared" si="3"/>
        <v>30</v>
      </c>
      <c r="BB43" s="20"/>
      <c r="BC43" s="13">
        <f t="shared" si="4"/>
        <v>0</v>
      </c>
      <c r="BD43" s="19">
        <f t="shared" si="5"/>
        <v>0</v>
      </c>
      <c r="BE43" s="20"/>
      <c r="BF43" s="13">
        <f t="shared" si="6"/>
        <v>0</v>
      </c>
      <c r="BG43" s="21">
        <f t="shared" si="7"/>
        <v>0</v>
      </c>
      <c r="BH43" s="20"/>
      <c r="BI43" s="13">
        <f t="shared" si="8"/>
        <v>0</v>
      </c>
      <c r="BJ43" s="19">
        <f t="shared" si="9"/>
        <v>0</v>
      </c>
      <c r="BK43" s="20"/>
      <c r="BL43" s="13">
        <f t="shared" si="10"/>
        <v>1</v>
      </c>
      <c r="BM43" s="21">
        <f t="shared" si="11"/>
        <v>30</v>
      </c>
      <c r="BN43" s="20"/>
      <c r="BO43" s="13">
        <f t="shared" si="12"/>
        <v>0</v>
      </c>
      <c r="BP43" s="19">
        <f t="shared" si="13"/>
        <v>0</v>
      </c>
      <c r="BQ43" s="20"/>
      <c r="BR43" s="13">
        <f t="shared" si="14"/>
        <v>0</v>
      </c>
      <c r="BS43" s="21">
        <f t="shared" si="15"/>
        <v>0</v>
      </c>
      <c r="BT43" s="20"/>
      <c r="BU43" s="13">
        <f t="shared" si="16"/>
        <v>1</v>
      </c>
      <c r="BV43" s="19">
        <f t="shared" si="17"/>
        <v>30</v>
      </c>
      <c r="BW43" s="20"/>
      <c r="BX43" s="13">
        <f t="shared" si="18"/>
        <v>1</v>
      </c>
      <c r="BY43" s="21">
        <f t="shared" si="19"/>
        <v>30</v>
      </c>
      <c r="BZ43" s="20"/>
      <c r="CA43" s="13">
        <f t="shared" si="20"/>
        <v>0</v>
      </c>
      <c r="CB43" s="19">
        <f t="shared" si="21"/>
        <v>0</v>
      </c>
      <c r="CC43" s="20"/>
      <c r="CD43" s="13">
        <f t="shared" si="22"/>
        <v>0</v>
      </c>
      <c r="CE43" s="21">
        <f t="shared" si="23"/>
        <v>0</v>
      </c>
      <c r="CF43" s="20"/>
      <c r="CG43" s="18">
        <f t="shared" si="24"/>
        <v>0</v>
      </c>
      <c r="CH43" s="21">
        <f t="shared" si="45"/>
        <v>0</v>
      </c>
      <c r="CI43" s="20"/>
      <c r="CJ43" s="18">
        <f t="shared" si="25"/>
        <v>0</v>
      </c>
      <c r="CK43" s="21">
        <f t="shared" si="26"/>
        <v>0</v>
      </c>
      <c r="CL43" s="20"/>
      <c r="CM43" s="18">
        <f t="shared" si="27"/>
        <v>0</v>
      </c>
      <c r="CN43" s="21">
        <f t="shared" si="28"/>
        <v>0</v>
      </c>
      <c r="CO43" s="20"/>
      <c r="CP43" s="18">
        <f t="shared" si="29"/>
        <v>0</v>
      </c>
      <c r="CQ43" s="21">
        <f t="shared" si="30"/>
        <v>0</v>
      </c>
      <c r="CR43" s="20"/>
      <c r="CS43" s="18">
        <f t="shared" si="31"/>
        <v>0</v>
      </c>
      <c r="CT43" s="19">
        <f t="shared" si="32"/>
        <v>0</v>
      </c>
      <c r="CU43" s="20"/>
      <c r="CV43" s="13">
        <f t="shared" si="33"/>
        <v>0</v>
      </c>
      <c r="CW43" s="21">
        <f t="shared" si="34"/>
        <v>0</v>
      </c>
      <c r="CX43" s="20"/>
      <c r="CY43" s="13">
        <f t="shared" si="35"/>
        <v>0</v>
      </c>
      <c r="CZ43" s="19">
        <f t="shared" si="36"/>
        <v>0</v>
      </c>
      <c r="DA43" s="20"/>
      <c r="DB43" s="13">
        <f t="shared" si="37"/>
        <v>0</v>
      </c>
      <c r="DC43" s="21">
        <f t="shared" si="38"/>
        <v>0</v>
      </c>
      <c r="DE43" s="97">
        <v>56</v>
      </c>
      <c r="DF43" s="32"/>
      <c r="DG43" s="61">
        <f t="shared" si="39"/>
        <v>0</v>
      </c>
      <c r="DH43" s="32"/>
      <c r="DI43" s="59">
        <f t="shared" si="40"/>
        <v>4</v>
      </c>
      <c r="DJ43" s="32"/>
      <c r="DK43" s="59">
        <f t="shared" si="41"/>
        <v>52</v>
      </c>
      <c r="DL43" s="32"/>
      <c r="DM43" s="96">
        <f t="shared" si="42"/>
        <v>1300</v>
      </c>
      <c r="DN43" s="32"/>
      <c r="DO43" s="62">
        <f t="shared" si="43"/>
        <v>13</v>
      </c>
      <c r="DP43" s="32"/>
      <c r="DQ43" s="96">
        <f t="shared" si="44"/>
        <v>1560</v>
      </c>
      <c r="DR43" s="32"/>
      <c r="DS43" s="61"/>
      <c r="DT43" s="32"/>
      <c r="DU43" s="63">
        <v>0</v>
      </c>
      <c r="DV43" s="32"/>
      <c r="DW43" s="64">
        <f t="shared" si="46"/>
        <v>0</v>
      </c>
      <c r="DX43" s="32"/>
      <c r="DY43" s="63">
        <f t="shared" si="47"/>
        <v>0</v>
      </c>
    </row>
    <row r="44" spans="1:129" ht="12.45" customHeight="1" x14ac:dyDescent="0.3">
      <c r="A44" s="37" t="s">
        <v>47</v>
      </c>
      <c r="B44" s="32"/>
      <c r="C44" s="51"/>
      <c r="D44" s="34"/>
      <c r="E44" s="38">
        <v>35</v>
      </c>
      <c r="F44" s="34"/>
      <c r="G44" s="33">
        <v>42</v>
      </c>
      <c r="I44" s="26">
        <v>1</v>
      </c>
      <c r="J44" s="27"/>
      <c r="K44" s="28">
        <v>1</v>
      </c>
      <c r="L44" s="12"/>
      <c r="M44" s="26">
        <v>1</v>
      </c>
      <c r="N44" s="12"/>
      <c r="O44" s="28">
        <v>2</v>
      </c>
      <c r="P44" s="12"/>
      <c r="Q44" s="26">
        <v>1</v>
      </c>
      <c r="R44" s="12"/>
      <c r="S44" s="28">
        <v>1</v>
      </c>
      <c r="T44" s="12"/>
      <c r="U44" s="26">
        <v>1</v>
      </c>
      <c r="V44" s="12"/>
      <c r="W44" s="28">
        <v>1</v>
      </c>
      <c r="X44" s="12"/>
      <c r="Y44" s="26">
        <v>1</v>
      </c>
      <c r="Z44" s="12"/>
      <c r="AA44" s="28"/>
      <c r="AB44" s="12"/>
      <c r="AC44" s="26">
        <v>1</v>
      </c>
      <c r="AD44" s="12"/>
      <c r="AE44" s="28"/>
      <c r="AF44" s="12"/>
      <c r="AG44" s="26"/>
      <c r="AH44" s="12"/>
      <c r="AI44" s="28"/>
      <c r="AJ44" s="12"/>
      <c r="AK44" s="26"/>
      <c r="AL44" s="12"/>
      <c r="AM44" s="28"/>
      <c r="AN44" s="12"/>
      <c r="AO44" s="26"/>
      <c r="AP44" s="12"/>
      <c r="AQ44" s="28"/>
      <c r="AR44" s="12"/>
      <c r="AS44" s="26"/>
      <c r="AT44" s="12"/>
      <c r="AU44" s="28"/>
      <c r="AW44" s="18">
        <f t="shared" si="0"/>
        <v>1</v>
      </c>
      <c r="AX44" s="19">
        <f t="shared" si="1"/>
        <v>42</v>
      </c>
      <c r="AY44" s="20"/>
      <c r="AZ44" s="13">
        <f t="shared" si="2"/>
        <v>1</v>
      </c>
      <c r="BA44" s="21">
        <f t="shared" si="3"/>
        <v>42</v>
      </c>
      <c r="BB44" s="20"/>
      <c r="BC44" s="13">
        <f t="shared" si="4"/>
        <v>1</v>
      </c>
      <c r="BD44" s="19">
        <f t="shared" si="5"/>
        <v>42</v>
      </c>
      <c r="BE44" s="20"/>
      <c r="BF44" s="13">
        <f t="shared" si="6"/>
        <v>2</v>
      </c>
      <c r="BG44" s="21">
        <f t="shared" si="7"/>
        <v>84</v>
      </c>
      <c r="BH44" s="20"/>
      <c r="BI44" s="13">
        <f t="shared" si="8"/>
        <v>1</v>
      </c>
      <c r="BJ44" s="19">
        <f t="shared" si="9"/>
        <v>42</v>
      </c>
      <c r="BK44" s="20"/>
      <c r="BL44" s="13">
        <f t="shared" si="10"/>
        <v>1</v>
      </c>
      <c r="BM44" s="21">
        <f t="shared" si="11"/>
        <v>42</v>
      </c>
      <c r="BN44" s="20"/>
      <c r="BO44" s="13">
        <f t="shared" si="12"/>
        <v>1</v>
      </c>
      <c r="BP44" s="19">
        <f t="shared" si="13"/>
        <v>42</v>
      </c>
      <c r="BQ44" s="20"/>
      <c r="BR44" s="13">
        <f t="shared" si="14"/>
        <v>1</v>
      </c>
      <c r="BS44" s="21">
        <f t="shared" si="15"/>
        <v>42</v>
      </c>
      <c r="BT44" s="20"/>
      <c r="BU44" s="13">
        <f t="shared" si="16"/>
        <v>1</v>
      </c>
      <c r="BV44" s="19">
        <f t="shared" si="17"/>
        <v>42</v>
      </c>
      <c r="BW44" s="20"/>
      <c r="BX44" s="13">
        <f t="shared" si="18"/>
        <v>0</v>
      </c>
      <c r="BY44" s="21">
        <f t="shared" si="19"/>
        <v>0</v>
      </c>
      <c r="BZ44" s="20"/>
      <c r="CA44" s="13">
        <f t="shared" si="20"/>
        <v>1</v>
      </c>
      <c r="CB44" s="19">
        <f t="shared" si="21"/>
        <v>42</v>
      </c>
      <c r="CC44" s="20"/>
      <c r="CD44" s="13">
        <f t="shared" si="22"/>
        <v>0</v>
      </c>
      <c r="CE44" s="21">
        <f t="shared" si="23"/>
        <v>0</v>
      </c>
      <c r="CF44" s="20"/>
      <c r="CG44" s="18">
        <f t="shared" si="24"/>
        <v>0</v>
      </c>
      <c r="CH44" s="21">
        <f t="shared" si="45"/>
        <v>0</v>
      </c>
      <c r="CI44" s="20"/>
      <c r="CJ44" s="18">
        <f t="shared" si="25"/>
        <v>0</v>
      </c>
      <c r="CK44" s="21">
        <f t="shared" si="26"/>
        <v>0</v>
      </c>
      <c r="CL44" s="20"/>
      <c r="CM44" s="18">
        <f t="shared" si="27"/>
        <v>0</v>
      </c>
      <c r="CN44" s="21">
        <f t="shared" si="28"/>
        <v>0</v>
      </c>
      <c r="CO44" s="20"/>
      <c r="CP44" s="18">
        <f t="shared" si="29"/>
        <v>0</v>
      </c>
      <c r="CQ44" s="21">
        <f t="shared" si="30"/>
        <v>0</v>
      </c>
      <c r="CR44" s="20"/>
      <c r="CS44" s="18">
        <f t="shared" si="31"/>
        <v>0</v>
      </c>
      <c r="CT44" s="19">
        <f t="shared" si="32"/>
        <v>0</v>
      </c>
      <c r="CU44" s="20"/>
      <c r="CV44" s="13">
        <f t="shared" si="33"/>
        <v>0</v>
      </c>
      <c r="CW44" s="21">
        <f t="shared" si="34"/>
        <v>0</v>
      </c>
      <c r="CX44" s="20"/>
      <c r="CY44" s="13">
        <f t="shared" si="35"/>
        <v>0</v>
      </c>
      <c r="CZ44" s="19">
        <f t="shared" si="36"/>
        <v>0</v>
      </c>
      <c r="DA44" s="20"/>
      <c r="DB44" s="13">
        <f t="shared" si="37"/>
        <v>0</v>
      </c>
      <c r="DC44" s="21">
        <f t="shared" si="38"/>
        <v>0</v>
      </c>
      <c r="DE44" s="97">
        <v>92</v>
      </c>
      <c r="DF44" s="32"/>
      <c r="DG44" s="61">
        <f t="shared" si="39"/>
        <v>0</v>
      </c>
      <c r="DH44" s="32"/>
      <c r="DI44" s="59">
        <f t="shared" si="40"/>
        <v>11</v>
      </c>
      <c r="DJ44" s="32"/>
      <c r="DK44" s="59">
        <f t="shared" si="41"/>
        <v>81</v>
      </c>
      <c r="DL44" s="32"/>
      <c r="DM44" s="96">
        <f t="shared" si="42"/>
        <v>2835</v>
      </c>
      <c r="DN44" s="32"/>
      <c r="DO44" s="62">
        <f t="shared" si="43"/>
        <v>7.3636363636363633</v>
      </c>
      <c r="DP44" s="32"/>
      <c r="DQ44" s="96">
        <f t="shared" si="44"/>
        <v>3402</v>
      </c>
      <c r="DR44" s="32"/>
      <c r="DS44" s="61"/>
      <c r="DT44" s="32"/>
      <c r="DU44" s="63">
        <v>0</v>
      </c>
      <c r="DV44" s="32"/>
      <c r="DW44" s="64">
        <f t="shared" si="46"/>
        <v>0</v>
      </c>
      <c r="DX44" s="32"/>
      <c r="DY44" s="63">
        <f t="shared" si="47"/>
        <v>0</v>
      </c>
    </row>
    <row r="45" spans="1:129" ht="12.45" customHeight="1" x14ac:dyDescent="0.3">
      <c r="A45" s="36" t="s">
        <v>48</v>
      </c>
      <c r="B45" s="32"/>
      <c r="C45" s="51"/>
      <c r="D45" s="34"/>
      <c r="E45" s="38">
        <v>21.5</v>
      </c>
      <c r="F45" s="34"/>
      <c r="G45" s="33">
        <v>25.8</v>
      </c>
      <c r="I45" s="26">
        <v>1</v>
      </c>
      <c r="J45" s="27"/>
      <c r="K45" s="28"/>
      <c r="L45" s="12"/>
      <c r="M45" s="26"/>
      <c r="N45" s="12"/>
      <c r="O45" s="28"/>
      <c r="P45" s="12"/>
      <c r="Q45" s="26"/>
      <c r="R45" s="12"/>
      <c r="S45" s="28"/>
      <c r="T45" s="12"/>
      <c r="U45" s="26">
        <v>1</v>
      </c>
      <c r="V45" s="12"/>
      <c r="W45" s="28">
        <v>1</v>
      </c>
      <c r="X45" s="12"/>
      <c r="Y45" s="26"/>
      <c r="Z45" s="12"/>
      <c r="AA45" s="28">
        <v>1</v>
      </c>
      <c r="AB45" s="12"/>
      <c r="AC45" s="26"/>
      <c r="AD45" s="12"/>
      <c r="AE45" s="28"/>
      <c r="AF45" s="12"/>
      <c r="AG45" s="26"/>
      <c r="AH45" s="12"/>
      <c r="AI45" s="28"/>
      <c r="AJ45" s="12"/>
      <c r="AK45" s="26"/>
      <c r="AL45" s="12"/>
      <c r="AM45" s="28"/>
      <c r="AN45" s="12"/>
      <c r="AO45" s="26"/>
      <c r="AP45" s="12"/>
      <c r="AQ45" s="28"/>
      <c r="AR45" s="12"/>
      <c r="AS45" s="26"/>
      <c r="AT45" s="12"/>
      <c r="AU45" s="28"/>
      <c r="AW45" s="18">
        <f t="shared" si="0"/>
        <v>1</v>
      </c>
      <c r="AX45" s="19">
        <f t="shared" si="1"/>
        <v>25.8</v>
      </c>
      <c r="AY45" s="20"/>
      <c r="AZ45" s="13">
        <f t="shared" si="2"/>
        <v>0</v>
      </c>
      <c r="BA45" s="21">
        <f t="shared" si="3"/>
        <v>0</v>
      </c>
      <c r="BB45" s="20"/>
      <c r="BC45" s="13">
        <f t="shared" si="4"/>
        <v>0</v>
      </c>
      <c r="BD45" s="19">
        <f t="shared" si="5"/>
        <v>0</v>
      </c>
      <c r="BE45" s="20"/>
      <c r="BF45" s="13">
        <f t="shared" si="6"/>
        <v>0</v>
      </c>
      <c r="BG45" s="21">
        <f t="shared" si="7"/>
        <v>0</v>
      </c>
      <c r="BH45" s="20"/>
      <c r="BI45" s="13">
        <f t="shared" si="8"/>
        <v>0</v>
      </c>
      <c r="BJ45" s="19">
        <f t="shared" si="9"/>
        <v>0</v>
      </c>
      <c r="BK45" s="20"/>
      <c r="BL45" s="13">
        <f t="shared" si="10"/>
        <v>0</v>
      </c>
      <c r="BM45" s="21">
        <f t="shared" si="11"/>
        <v>0</v>
      </c>
      <c r="BN45" s="20"/>
      <c r="BO45" s="13">
        <f t="shared" si="12"/>
        <v>1</v>
      </c>
      <c r="BP45" s="19">
        <f t="shared" si="13"/>
        <v>25.8</v>
      </c>
      <c r="BQ45" s="20"/>
      <c r="BR45" s="13">
        <f t="shared" si="14"/>
        <v>1</v>
      </c>
      <c r="BS45" s="21">
        <f t="shared" si="15"/>
        <v>25.8</v>
      </c>
      <c r="BT45" s="20"/>
      <c r="BU45" s="13">
        <f t="shared" si="16"/>
        <v>0</v>
      </c>
      <c r="BV45" s="19">
        <f t="shared" si="17"/>
        <v>0</v>
      </c>
      <c r="BW45" s="20"/>
      <c r="BX45" s="13">
        <f t="shared" si="18"/>
        <v>1</v>
      </c>
      <c r="BY45" s="21">
        <f t="shared" si="19"/>
        <v>25.8</v>
      </c>
      <c r="BZ45" s="20"/>
      <c r="CA45" s="13">
        <f t="shared" si="20"/>
        <v>0</v>
      </c>
      <c r="CB45" s="19">
        <f t="shared" si="21"/>
        <v>0</v>
      </c>
      <c r="CC45" s="20"/>
      <c r="CD45" s="13">
        <f t="shared" si="22"/>
        <v>0</v>
      </c>
      <c r="CE45" s="21">
        <f t="shared" si="23"/>
        <v>0</v>
      </c>
      <c r="CF45" s="20"/>
      <c r="CG45" s="18">
        <f t="shared" si="24"/>
        <v>0</v>
      </c>
      <c r="CH45" s="21">
        <f t="shared" si="45"/>
        <v>0</v>
      </c>
      <c r="CI45" s="20"/>
      <c r="CJ45" s="18">
        <f t="shared" si="25"/>
        <v>0</v>
      </c>
      <c r="CK45" s="21">
        <f t="shared" si="26"/>
        <v>0</v>
      </c>
      <c r="CL45" s="20"/>
      <c r="CM45" s="18">
        <f t="shared" si="27"/>
        <v>0</v>
      </c>
      <c r="CN45" s="21">
        <f t="shared" si="28"/>
        <v>0</v>
      </c>
      <c r="CO45" s="20"/>
      <c r="CP45" s="18">
        <f t="shared" si="29"/>
        <v>0</v>
      </c>
      <c r="CQ45" s="21">
        <f t="shared" si="30"/>
        <v>0</v>
      </c>
      <c r="CR45" s="20"/>
      <c r="CS45" s="18">
        <f t="shared" si="31"/>
        <v>0</v>
      </c>
      <c r="CT45" s="19">
        <f t="shared" si="32"/>
        <v>0</v>
      </c>
      <c r="CU45" s="20"/>
      <c r="CV45" s="13">
        <f t="shared" si="33"/>
        <v>0</v>
      </c>
      <c r="CW45" s="21">
        <f t="shared" si="34"/>
        <v>0</v>
      </c>
      <c r="CX45" s="20"/>
      <c r="CY45" s="13">
        <f t="shared" si="35"/>
        <v>0</v>
      </c>
      <c r="CZ45" s="19">
        <f t="shared" si="36"/>
        <v>0</v>
      </c>
      <c r="DA45" s="20"/>
      <c r="DB45" s="13">
        <f t="shared" si="37"/>
        <v>0</v>
      </c>
      <c r="DC45" s="21">
        <f t="shared" si="38"/>
        <v>0</v>
      </c>
      <c r="DE45" s="97">
        <v>25</v>
      </c>
      <c r="DF45" s="32"/>
      <c r="DG45" s="61">
        <f t="shared" si="39"/>
        <v>0</v>
      </c>
      <c r="DH45" s="32"/>
      <c r="DI45" s="59">
        <f t="shared" si="40"/>
        <v>4</v>
      </c>
      <c r="DJ45" s="32"/>
      <c r="DK45" s="59">
        <f t="shared" si="41"/>
        <v>21</v>
      </c>
      <c r="DL45" s="32"/>
      <c r="DM45" s="96">
        <f t="shared" si="42"/>
        <v>451.5</v>
      </c>
      <c r="DN45" s="32"/>
      <c r="DO45" s="62">
        <f t="shared" si="43"/>
        <v>5.25</v>
      </c>
      <c r="DP45" s="32"/>
      <c r="DQ45" s="96">
        <f t="shared" si="44"/>
        <v>541.80000000000007</v>
      </c>
      <c r="DR45" s="32"/>
      <c r="DS45" s="61"/>
      <c r="DT45" s="32"/>
      <c r="DU45" s="63">
        <v>0</v>
      </c>
      <c r="DV45" s="32"/>
      <c r="DW45" s="64">
        <f t="shared" si="46"/>
        <v>0</v>
      </c>
      <c r="DX45" s="32"/>
      <c r="DY45" s="63">
        <f t="shared" si="47"/>
        <v>0</v>
      </c>
    </row>
    <row r="46" spans="1:129" ht="12.45" customHeight="1" x14ac:dyDescent="0.3">
      <c r="A46" s="37" t="s">
        <v>49</v>
      </c>
      <c r="B46" s="32"/>
      <c r="C46" s="51"/>
      <c r="D46" s="34"/>
      <c r="E46" s="38">
        <v>21.5</v>
      </c>
      <c r="F46" s="34"/>
      <c r="G46" s="33">
        <v>25.8</v>
      </c>
      <c r="I46" s="26"/>
      <c r="J46" s="27"/>
      <c r="K46" s="28"/>
      <c r="L46" s="12"/>
      <c r="M46" s="26"/>
      <c r="N46" s="12"/>
      <c r="O46" s="28"/>
      <c r="P46" s="12"/>
      <c r="Q46" s="26"/>
      <c r="R46" s="12"/>
      <c r="S46" s="28"/>
      <c r="T46" s="12"/>
      <c r="U46" s="26">
        <v>1</v>
      </c>
      <c r="V46" s="12"/>
      <c r="W46" s="28">
        <v>1</v>
      </c>
      <c r="X46" s="12"/>
      <c r="Y46" s="26"/>
      <c r="Z46" s="12"/>
      <c r="AA46" s="28"/>
      <c r="AB46" s="12"/>
      <c r="AC46" s="26"/>
      <c r="AD46" s="12"/>
      <c r="AE46" s="28"/>
      <c r="AF46" s="12"/>
      <c r="AG46" s="26"/>
      <c r="AH46" s="12"/>
      <c r="AI46" s="28"/>
      <c r="AJ46" s="12"/>
      <c r="AK46" s="26"/>
      <c r="AL46" s="12"/>
      <c r="AM46" s="28"/>
      <c r="AN46" s="12"/>
      <c r="AO46" s="26"/>
      <c r="AP46" s="12"/>
      <c r="AQ46" s="28"/>
      <c r="AR46" s="12"/>
      <c r="AS46" s="26"/>
      <c r="AT46" s="12"/>
      <c r="AU46" s="28"/>
      <c r="AW46" s="18">
        <f t="shared" si="0"/>
        <v>0</v>
      </c>
      <c r="AX46" s="19">
        <f t="shared" si="1"/>
        <v>0</v>
      </c>
      <c r="AY46" s="20"/>
      <c r="AZ46" s="13">
        <f t="shared" si="2"/>
        <v>0</v>
      </c>
      <c r="BA46" s="21">
        <f t="shared" si="3"/>
        <v>0</v>
      </c>
      <c r="BB46" s="20"/>
      <c r="BC46" s="13">
        <f t="shared" si="4"/>
        <v>0</v>
      </c>
      <c r="BD46" s="19">
        <f t="shared" si="5"/>
        <v>0</v>
      </c>
      <c r="BE46" s="20"/>
      <c r="BF46" s="13">
        <f t="shared" si="6"/>
        <v>0</v>
      </c>
      <c r="BG46" s="21">
        <f t="shared" si="7"/>
        <v>0</v>
      </c>
      <c r="BH46" s="20"/>
      <c r="BI46" s="13">
        <f t="shared" si="8"/>
        <v>0</v>
      </c>
      <c r="BJ46" s="19">
        <f t="shared" si="9"/>
        <v>0</v>
      </c>
      <c r="BK46" s="20"/>
      <c r="BL46" s="13">
        <f t="shared" si="10"/>
        <v>0</v>
      </c>
      <c r="BM46" s="21">
        <f t="shared" si="11"/>
        <v>0</v>
      </c>
      <c r="BN46" s="20"/>
      <c r="BO46" s="13">
        <f t="shared" si="12"/>
        <v>1</v>
      </c>
      <c r="BP46" s="19">
        <f t="shared" si="13"/>
        <v>25.8</v>
      </c>
      <c r="BQ46" s="20"/>
      <c r="BR46" s="13">
        <f t="shared" si="14"/>
        <v>1</v>
      </c>
      <c r="BS46" s="21">
        <f t="shared" si="15"/>
        <v>25.8</v>
      </c>
      <c r="BT46" s="20"/>
      <c r="BU46" s="13">
        <f t="shared" si="16"/>
        <v>0</v>
      </c>
      <c r="BV46" s="19">
        <f t="shared" si="17"/>
        <v>0</v>
      </c>
      <c r="BW46" s="20"/>
      <c r="BX46" s="13">
        <f t="shared" si="18"/>
        <v>0</v>
      </c>
      <c r="BY46" s="21">
        <f t="shared" si="19"/>
        <v>0</v>
      </c>
      <c r="BZ46" s="20"/>
      <c r="CA46" s="13">
        <f t="shared" si="20"/>
        <v>0</v>
      </c>
      <c r="CB46" s="19">
        <f t="shared" si="21"/>
        <v>0</v>
      </c>
      <c r="CC46" s="20"/>
      <c r="CD46" s="13">
        <f t="shared" si="22"/>
        <v>0</v>
      </c>
      <c r="CE46" s="21">
        <f t="shared" si="23"/>
        <v>0</v>
      </c>
      <c r="CF46" s="20"/>
      <c r="CG46" s="18">
        <f t="shared" si="24"/>
        <v>0</v>
      </c>
      <c r="CH46" s="21">
        <f t="shared" si="45"/>
        <v>0</v>
      </c>
      <c r="CI46" s="20"/>
      <c r="CJ46" s="18">
        <f t="shared" si="25"/>
        <v>0</v>
      </c>
      <c r="CK46" s="21">
        <f t="shared" si="26"/>
        <v>0</v>
      </c>
      <c r="CL46" s="20"/>
      <c r="CM46" s="18">
        <f t="shared" si="27"/>
        <v>0</v>
      </c>
      <c r="CN46" s="21">
        <f t="shared" si="28"/>
        <v>0</v>
      </c>
      <c r="CO46" s="20"/>
      <c r="CP46" s="18">
        <f t="shared" si="29"/>
        <v>0</v>
      </c>
      <c r="CQ46" s="21">
        <f t="shared" si="30"/>
        <v>0</v>
      </c>
      <c r="CR46" s="20"/>
      <c r="CS46" s="18">
        <f t="shared" si="31"/>
        <v>0</v>
      </c>
      <c r="CT46" s="19">
        <f t="shared" si="32"/>
        <v>0</v>
      </c>
      <c r="CU46" s="20"/>
      <c r="CV46" s="13">
        <f t="shared" si="33"/>
        <v>0</v>
      </c>
      <c r="CW46" s="21">
        <f t="shared" si="34"/>
        <v>0</v>
      </c>
      <c r="CX46" s="20"/>
      <c r="CY46" s="13">
        <f t="shared" si="35"/>
        <v>0</v>
      </c>
      <c r="CZ46" s="19">
        <f t="shared" si="36"/>
        <v>0</v>
      </c>
      <c r="DA46" s="20"/>
      <c r="DB46" s="13">
        <f t="shared" si="37"/>
        <v>0</v>
      </c>
      <c r="DC46" s="21">
        <f t="shared" si="38"/>
        <v>0</v>
      </c>
      <c r="DE46" s="97">
        <v>81</v>
      </c>
      <c r="DF46" s="32"/>
      <c r="DG46" s="61">
        <f t="shared" si="39"/>
        <v>0</v>
      </c>
      <c r="DH46" s="32"/>
      <c r="DI46" s="59">
        <f t="shared" si="40"/>
        <v>2</v>
      </c>
      <c r="DJ46" s="32"/>
      <c r="DK46" s="59">
        <f t="shared" si="41"/>
        <v>79</v>
      </c>
      <c r="DL46" s="32"/>
      <c r="DM46" s="96">
        <f t="shared" si="42"/>
        <v>1698.5</v>
      </c>
      <c r="DN46" s="32"/>
      <c r="DO46" s="62">
        <f t="shared" si="43"/>
        <v>39.5</v>
      </c>
      <c r="DP46" s="32"/>
      <c r="DQ46" s="96">
        <f t="shared" si="44"/>
        <v>2038.2</v>
      </c>
      <c r="DR46" s="32"/>
      <c r="DS46" s="61"/>
      <c r="DT46" s="32"/>
      <c r="DU46" s="63">
        <v>0</v>
      </c>
      <c r="DV46" s="32"/>
      <c r="DW46" s="64">
        <f t="shared" si="46"/>
        <v>0</v>
      </c>
      <c r="DX46" s="32"/>
      <c r="DY46" s="63">
        <f t="shared" si="47"/>
        <v>0</v>
      </c>
    </row>
    <row r="47" spans="1:129" ht="12.45" customHeight="1" x14ac:dyDescent="0.3">
      <c r="A47" s="36" t="s">
        <v>50</v>
      </c>
      <c r="B47" s="32"/>
      <c r="C47" s="51"/>
      <c r="D47" s="34"/>
      <c r="E47" s="38">
        <v>21.5</v>
      </c>
      <c r="F47" s="34"/>
      <c r="G47" s="33">
        <v>25.8</v>
      </c>
      <c r="I47" s="26">
        <v>1</v>
      </c>
      <c r="J47" s="27"/>
      <c r="K47" s="28"/>
      <c r="L47" s="12"/>
      <c r="M47" s="26">
        <v>1</v>
      </c>
      <c r="N47" s="12"/>
      <c r="O47" s="28"/>
      <c r="P47" s="12"/>
      <c r="Q47" s="26"/>
      <c r="R47" s="12"/>
      <c r="S47" s="28"/>
      <c r="T47" s="12"/>
      <c r="U47" s="26">
        <v>1</v>
      </c>
      <c r="V47" s="12"/>
      <c r="W47" s="28">
        <v>1</v>
      </c>
      <c r="X47" s="12"/>
      <c r="Y47" s="26"/>
      <c r="Z47" s="12"/>
      <c r="AA47" s="28"/>
      <c r="AB47" s="12"/>
      <c r="AC47" s="26"/>
      <c r="AD47" s="12"/>
      <c r="AE47" s="28"/>
      <c r="AF47" s="12"/>
      <c r="AG47" s="26"/>
      <c r="AH47" s="12"/>
      <c r="AI47" s="28"/>
      <c r="AJ47" s="12"/>
      <c r="AK47" s="26"/>
      <c r="AL47" s="12"/>
      <c r="AM47" s="28"/>
      <c r="AN47" s="12"/>
      <c r="AO47" s="26"/>
      <c r="AP47" s="12"/>
      <c r="AQ47" s="28"/>
      <c r="AR47" s="12"/>
      <c r="AS47" s="26"/>
      <c r="AT47" s="12"/>
      <c r="AU47" s="28"/>
      <c r="AW47" s="18">
        <f t="shared" si="0"/>
        <v>1</v>
      </c>
      <c r="AX47" s="19">
        <f t="shared" si="1"/>
        <v>25.8</v>
      </c>
      <c r="AY47" s="20"/>
      <c r="AZ47" s="13">
        <f t="shared" si="2"/>
        <v>0</v>
      </c>
      <c r="BA47" s="21">
        <f t="shared" si="3"/>
        <v>0</v>
      </c>
      <c r="BB47" s="20"/>
      <c r="BC47" s="13">
        <f t="shared" si="4"/>
        <v>1</v>
      </c>
      <c r="BD47" s="19">
        <f t="shared" si="5"/>
        <v>25.8</v>
      </c>
      <c r="BE47" s="20"/>
      <c r="BF47" s="13">
        <f t="shared" si="6"/>
        <v>0</v>
      </c>
      <c r="BG47" s="21">
        <f t="shared" si="7"/>
        <v>0</v>
      </c>
      <c r="BH47" s="20"/>
      <c r="BI47" s="13">
        <f t="shared" si="8"/>
        <v>0</v>
      </c>
      <c r="BJ47" s="19">
        <f t="shared" si="9"/>
        <v>0</v>
      </c>
      <c r="BK47" s="20"/>
      <c r="BL47" s="13">
        <f t="shared" si="10"/>
        <v>0</v>
      </c>
      <c r="BM47" s="21">
        <f t="shared" si="11"/>
        <v>0</v>
      </c>
      <c r="BN47" s="20"/>
      <c r="BO47" s="13">
        <f t="shared" si="12"/>
        <v>1</v>
      </c>
      <c r="BP47" s="19">
        <f t="shared" si="13"/>
        <v>25.8</v>
      </c>
      <c r="BQ47" s="20"/>
      <c r="BR47" s="13">
        <f t="shared" si="14"/>
        <v>1</v>
      </c>
      <c r="BS47" s="21">
        <f t="shared" si="15"/>
        <v>25.8</v>
      </c>
      <c r="BT47" s="20"/>
      <c r="BU47" s="13">
        <f t="shared" si="16"/>
        <v>0</v>
      </c>
      <c r="BV47" s="19">
        <f t="shared" si="17"/>
        <v>0</v>
      </c>
      <c r="BW47" s="20"/>
      <c r="BX47" s="13">
        <f t="shared" si="18"/>
        <v>0</v>
      </c>
      <c r="BY47" s="21">
        <f t="shared" si="19"/>
        <v>0</v>
      </c>
      <c r="BZ47" s="20"/>
      <c r="CA47" s="13">
        <f t="shared" si="20"/>
        <v>0</v>
      </c>
      <c r="CB47" s="19">
        <f t="shared" si="21"/>
        <v>0</v>
      </c>
      <c r="CC47" s="20"/>
      <c r="CD47" s="13">
        <f t="shared" si="22"/>
        <v>0</v>
      </c>
      <c r="CE47" s="21">
        <f t="shared" si="23"/>
        <v>0</v>
      </c>
      <c r="CF47" s="20"/>
      <c r="CG47" s="18">
        <f t="shared" si="24"/>
        <v>0</v>
      </c>
      <c r="CH47" s="21">
        <f t="shared" si="45"/>
        <v>0</v>
      </c>
      <c r="CI47" s="20"/>
      <c r="CJ47" s="18">
        <f t="shared" si="25"/>
        <v>0</v>
      </c>
      <c r="CK47" s="21">
        <f t="shared" si="26"/>
        <v>0</v>
      </c>
      <c r="CL47" s="20"/>
      <c r="CM47" s="18">
        <f t="shared" si="27"/>
        <v>0</v>
      </c>
      <c r="CN47" s="21">
        <f t="shared" si="28"/>
        <v>0</v>
      </c>
      <c r="CO47" s="20"/>
      <c r="CP47" s="18">
        <f t="shared" si="29"/>
        <v>0</v>
      </c>
      <c r="CQ47" s="21">
        <f t="shared" si="30"/>
        <v>0</v>
      </c>
      <c r="CR47" s="20"/>
      <c r="CS47" s="18">
        <f t="shared" si="31"/>
        <v>0</v>
      </c>
      <c r="CT47" s="19">
        <f t="shared" si="32"/>
        <v>0</v>
      </c>
      <c r="CU47" s="20"/>
      <c r="CV47" s="13">
        <f t="shared" si="33"/>
        <v>0</v>
      </c>
      <c r="CW47" s="21">
        <f t="shared" si="34"/>
        <v>0</v>
      </c>
      <c r="CX47" s="20"/>
      <c r="CY47" s="13">
        <f t="shared" si="35"/>
        <v>0</v>
      </c>
      <c r="CZ47" s="19">
        <f t="shared" si="36"/>
        <v>0</v>
      </c>
      <c r="DA47" s="20"/>
      <c r="DB47" s="13">
        <f t="shared" si="37"/>
        <v>0</v>
      </c>
      <c r="DC47" s="21">
        <f t="shared" si="38"/>
        <v>0</v>
      </c>
      <c r="DE47" s="97">
        <v>22</v>
      </c>
      <c r="DF47" s="32"/>
      <c r="DG47" s="61">
        <f t="shared" si="39"/>
        <v>0</v>
      </c>
      <c r="DH47" s="32"/>
      <c r="DI47" s="59">
        <f t="shared" si="40"/>
        <v>4</v>
      </c>
      <c r="DJ47" s="32"/>
      <c r="DK47" s="59">
        <f t="shared" si="41"/>
        <v>18</v>
      </c>
      <c r="DL47" s="32"/>
      <c r="DM47" s="96">
        <f t="shared" si="42"/>
        <v>387</v>
      </c>
      <c r="DN47" s="32"/>
      <c r="DO47" s="62">
        <f t="shared" si="43"/>
        <v>4.5</v>
      </c>
      <c r="DP47" s="32"/>
      <c r="DQ47" s="96">
        <f t="shared" si="44"/>
        <v>464.40000000000003</v>
      </c>
      <c r="DR47" s="32"/>
      <c r="DS47" s="61"/>
      <c r="DT47" s="32"/>
      <c r="DU47" s="63">
        <v>0</v>
      </c>
      <c r="DV47" s="32"/>
      <c r="DW47" s="64">
        <f t="shared" si="46"/>
        <v>0</v>
      </c>
      <c r="DX47" s="32"/>
      <c r="DY47" s="63">
        <f t="shared" si="47"/>
        <v>0</v>
      </c>
    </row>
    <row r="48" spans="1:129" ht="12.45" customHeight="1" x14ac:dyDescent="0.3">
      <c r="A48" s="43" t="s">
        <v>52</v>
      </c>
      <c r="B48" s="32"/>
      <c r="C48" s="53"/>
      <c r="D48" s="34"/>
      <c r="E48" s="44">
        <v>29.07</v>
      </c>
      <c r="F48" s="34"/>
      <c r="G48" s="45">
        <v>34.880000000000003</v>
      </c>
      <c r="I48" s="26"/>
      <c r="J48" s="27"/>
      <c r="K48" s="28"/>
      <c r="L48" s="12"/>
      <c r="M48" s="26"/>
      <c r="N48" s="12"/>
      <c r="O48" s="28"/>
      <c r="P48" s="12"/>
      <c r="Q48" s="26"/>
      <c r="R48" s="12"/>
      <c r="S48" s="28"/>
      <c r="T48" s="12"/>
      <c r="U48" s="26"/>
      <c r="V48" s="12"/>
      <c r="W48" s="28"/>
      <c r="X48" s="12"/>
      <c r="Y48" s="26"/>
      <c r="Z48" s="12"/>
      <c r="AA48" s="28"/>
      <c r="AB48" s="12"/>
      <c r="AC48" s="26"/>
      <c r="AD48" s="12"/>
      <c r="AE48" s="28"/>
      <c r="AF48" s="12"/>
      <c r="AG48" s="26"/>
      <c r="AH48" s="12"/>
      <c r="AI48" s="28"/>
      <c r="AJ48" s="12"/>
      <c r="AK48" s="26"/>
      <c r="AL48" s="12"/>
      <c r="AM48" s="28"/>
      <c r="AN48" s="12"/>
      <c r="AO48" s="26"/>
      <c r="AP48" s="12"/>
      <c r="AQ48" s="28"/>
      <c r="AR48" s="12"/>
      <c r="AS48" s="26"/>
      <c r="AT48" s="12"/>
      <c r="AU48" s="28"/>
      <c r="AW48" s="18">
        <f t="shared" si="0"/>
        <v>0</v>
      </c>
      <c r="AX48" s="19">
        <f t="shared" si="1"/>
        <v>0</v>
      </c>
      <c r="AY48" s="20"/>
      <c r="AZ48" s="13">
        <f t="shared" si="2"/>
        <v>0</v>
      </c>
      <c r="BA48" s="21">
        <f t="shared" si="3"/>
        <v>0</v>
      </c>
      <c r="BB48" s="20"/>
      <c r="BC48" s="13">
        <f t="shared" si="4"/>
        <v>0</v>
      </c>
      <c r="BD48" s="19">
        <f t="shared" si="5"/>
        <v>0</v>
      </c>
      <c r="BE48" s="20"/>
      <c r="BF48" s="13">
        <f t="shared" si="6"/>
        <v>0</v>
      </c>
      <c r="BG48" s="21">
        <f t="shared" si="7"/>
        <v>0</v>
      </c>
      <c r="BH48" s="20"/>
      <c r="BI48" s="13">
        <f t="shared" si="8"/>
        <v>0</v>
      </c>
      <c r="BJ48" s="19">
        <f t="shared" si="9"/>
        <v>0</v>
      </c>
      <c r="BK48" s="20"/>
      <c r="BL48" s="13">
        <f t="shared" si="10"/>
        <v>0</v>
      </c>
      <c r="BM48" s="21">
        <f t="shared" si="11"/>
        <v>0</v>
      </c>
      <c r="BN48" s="20"/>
      <c r="BO48" s="13">
        <f t="shared" si="12"/>
        <v>0</v>
      </c>
      <c r="BP48" s="19">
        <f t="shared" si="13"/>
        <v>0</v>
      </c>
      <c r="BQ48" s="20"/>
      <c r="BR48" s="13">
        <f t="shared" si="14"/>
        <v>0</v>
      </c>
      <c r="BS48" s="21">
        <f t="shared" si="15"/>
        <v>0</v>
      </c>
      <c r="BT48" s="20"/>
      <c r="BU48" s="13">
        <f t="shared" si="16"/>
        <v>0</v>
      </c>
      <c r="BV48" s="19">
        <f t="shared" si="17"/>
        <v>0</v>
      </c>
      <c r="BW48" s="20"/>
      <c r="BX48" s="13">
        <f t="shared" si="18"/>
        <v>0</v>
      </c>
      <c r="BY48" s="21">
        <f t="shared" si="19"/>
        <v>0</v>
      </c>
      <c r="BZ48" s="20"/>
      <c r="CA48" s="13">
        <f t="shared" si="20"/>
        <v>0</v>
      </c>
      <c r="CB48" s="19">
        <f t="shared" si="21"/>
        <v>0</v>
      </c>
      <c r="CC48" s="20"/>
      <c r="CD48" s="13">
        <f t="shared" si="22"/>
        <v>0</v>
      </c>
      <c r="CE48" s="21">
        <f t="shared" si="23"/>
        <v>0</v>
      </c>
      <c r="CF48" s="20"/>
      <c r="CG48" s="18">
        <f t="shared" si="24"/>
        <v>0</v>
      </c>
      <c r="CH48" s="21">
        <f t="shared" si="45"/>
        <v>0</v>
      </c>
      <c r="CI48" s="20"/>
      <c r="CJ48" s="18">
        <f t="shared" si="25"/>
        <v>0</v>
      </c>
      <c r="CK48" s="21">
        <f t="shared" si="26"/>
        <v>0</v>
      </c>
      <c r="CL48" s="20"/>
      <c r="CM48" s="18">
        <f t="shared" si="27"/>
        <v>0</v>
      </c>
      <c r="CN48" s="21">
        <f t="shared" si="28"/>
        <v>0</v>
      </c>
      <c r="CO48" s="20"/>
      <c r="CP48" s="18">
        <f t="shared" si="29"/>
        <v>0</v>
      </c>
      <c r="CQ48" s="21">
        <f t="shared" si="30"/>
        <v>0</v>
      </c>
      <c r="CR48" s="20"/>
      <c r="CS48" s="18">
        <f t="shared" si="31"/>
        <v>0</v>
      </c>
      <c r="CT48" s="19">
        <f t="shared" si="32"/>
        <v>0</v>
      </c>
      <c r="CU48" s="20"/>
      <c r="CV48" s="13">
        <f t="shared" si="33"/>
        <v>0</v>
      </c>
      <c r="CW48" s="21">
        <f t="shared" si="34"/>
        <v>0</v>
      </c>
      <c r="CX48" s="20"/>
      <c r="CY48" s="13">
        <f t="shared" si="35"/>
        <v>0</v>
      </c>
      <c r="CZ48" s="19">
        <f t="shared" si="36"/>
        <v>0</v>
      </c>
      <c r="DA48" s="20"/>
      <c r="DB48" s="13">
        <f t="shared" si="37"/>
        <v>0</v>
      </c>
      <c r="DC48" s="21">
        <f t="shared" si="38"/>
        <v>0</v>
      </c>
      <c r="DE48" s="97">
        <v>511</v>
      </c>
      <c r="DF48" s="32"/>
      <c r="DG48" s="61">
        <f t="shared" si="39"/>
        <v>0</v>
      </c>
      <c r="DH48" s="32"/>
      <c r="DI48" s="59">
        <f t="shared" si="40"/>
        <v>0</v>
      </c>
      <c r="DJ48" s="32"/>
      <c r="DK48" s="59">
        <f t="shared" si="41"/>
        <v>511</v>
      </c>
      <c r="DL48" s="32"/>
      <c r="DM48" s="96">
        <f t="shared" si="42"/>
        <v>14854.77</v>
      </c>
      <c r="DN48" s="32"/>
      <c r="DO48" s="62" t="e">
        <f t="shared" si="43"/>
        <v>#DIV/0!</v>
      </c>
      <c r="DP48" s="32"/>
      <c r="DQ48" s="96">
        <f t="shared" si="44"/>
        <v>17823.68</v>
      </c>
      <c r="DR48" s="32"/>
      <c r="DS48" s="61"/>
      <c r="DT48" s="32"/>
      <c r="DU48" s="63">
        <v>0</v>
      </c>
      <c r="DV48" s="32"/>
      <c r="DW48" s="64">
        <f t="shared" si="46"/>
        <v>0</v>
      </c>
      <c r="DX48" s="32"/>
      <c r="DY48" s="63">
        <f t="shared" si="47"/>
        <v>0</v>
      </c>
    </row>
    <row r="49" spans="1:129" ht="12.45" customHeight="1" x14ac:dyDescent="0.3">
      <c r="A49" s="46" t="s">
        <v>53</v>
      </c>
      <c r="B49" s="32"/>
      <c r="C49" s="53"/>
      <c r="D49" s="34"/>
      <c r="E49" s="44">
        <v>29.07</v>
      </c>
      <c r="F49" s="34"/>
      <c r="G49" s="45">
        <v>34.880000000000003</v>
      </c>
      <c r="I49" s="26"/>
      <c r="J49" s="27"/>
      <c r="K49" s="28"/>
      <c r="L49" s="12"/>
      <c r="M49" s="26"/>
      <c r="N49" s="12"/>
      <c r="O49" s="28"/>
      <c r="P49" s="12"/>
      <c r="Q49" s="26"/>
      <c r="R49" s="12"/>
      <c r="S49" s="28"/>
      <c r="T49" s="12"/>
      <c r="U49" s="26"/>
      <c r="V49" s="12"/>
      <c r="W49" s="28"/>
      <c r="X49" s="12"/>
      <c r="Y49" s="26"/>
      <c r="Z49" s="12"/>
      <c r="AA49" s="28"/>
      <c r="AB49" s="12"/>
      <c r="AC49" s="26"/>
      <c r="AD49" s="12"/>
      <c r="AE49" s="28"/>
      <c r="AF49" s="12"/>
      <c r="AG49" s="26"/>
      <c r="AH49" s="12"/>
      <c r="AI49" s="28"/>
      <c r="AJ49" s="12"/>
      <c r="AK49" s="26"/>
      <c r="AL49" s="12"/>
      <c r="AM49" s="28"/>
      <c r="AN49" s="12"/>
      <c r="AO49" s="26"/>
      <c r="AP49" s="12"/>
      <c r="AQ49" s="28"/>
      <c r="AR49" s="12"/>
      <c r="AS49" s="26"/>
      <c r="AT49" s="12"/>
      <c r="AU49" s="28"/>
      <c r="AW49" s="18">
        <f t="shared" si="0"/>
        <v>0</v>
      </c>
      <c r="AX49" s="19">
        <f t="shared" si="1"/>
        <v>0</v>
      </c>
      <c r="AY49" s="20"/>
      <c r="AZ49" s="13">
        <f t="shared" si="2"/>
        <v>0</v>
      </c>
      <c r="BA49" s="21">
        <f t="shared" si="3"/>
        <v>0</v>
      </c>
      <c r="BB49" s="20"/>
      <c r="BC49" s="13">
        <f t="shared" si="4"/>
        <v>0</v>
      </c>
      <c r="BD49" s="19">
        <f t="shared" si="5"/>
        <v>0</v>
      </c>
      <c r="BE49" s="20"/>
      <c r="BF49" s="13">
        <f t="shared" si="6"/>
        <v>0</v>
      </c>
      <c r="BG49" s="21">
        <f t="shared" si="7"/>
        <v>0</v>
      </c>
      <c r="BH49" s="20"/>
      <c r="BI49" s="13">
        <f t="shared" si="8"/>
        <v>0</v>
      </c>
      <c r="BJ49" s="19">
        <f t="shared" si="9"/>
        <v>0</v>
      </c>
      <c r="BK49" s="20"/>
      <c r="BL49" s="13">
        <f t="shared" si="10"/>
        <v>0</v>
      </c>
      <c r="BM49" s="21">
        <f t="shared" si="11"/>
        <v>0</v>
      </c>
      <c r="BN49" s="20"/>
      <c r="BO49" s="13">
        <f t="shared" si="12"/>
        <v>0</v>
      </c>
      <c r="BP49" s="19">
        <f t="shared" si="13"/>
        <v>0</v>
      </c>
      <c r="BQ49" s="20"/>
      <c r="BR49" s="13">
        <f t="shared" si="14"/>
        <v>0</v>
      </c>
      <c r="BS49" s="21">
        <f t="shared" si="15"/>
        <v>0</v>
      </c>
      <c r="BT49" s="20"/>
      <c r="BU49" s="13">
        <f t="shared" si="16"/>
        <v>0</v>
      </c>
      <c r="BV49" s="19">
        <f t="shared" si="17"/>
        <v>0</v>
      </c>
      <c r="BW49" s="20"/>
      <c r="BX49" s="13">
        <f t="shared" si="18"/>
        <v>0</v>
      </c>
      <c r="BY49" s="21">
        <f t="shared" si="19"/>
        <v>0</v>
      </c>
      <c r="BZ49" s="20"/>
      <c r="CA49" s="13">
        <f t="shared" si="20"/>
        <v>0</v>
      </c>
      <c r="CB49" s="19">
        <f t="shared" si="21"/>
        <v>0</v>
      </c>
      <c r="CC49" s="20"/>
      <c r="CD49" s="13">
        <f t="shared" si="22"/>
        <v>0</v>
      </c>
      <c r="CE49" s="21">
        <f t="shared" si="23"/>
        <v>0</v>
      </c>
      <c r="CF49" s="20"/>
      <c r="CG49" s="18">
        <f t="shared" si="24"/>
        <v>0</v>
      </c>
      <c r="CH49" s="21">
        <f t="shared" si="45"/>
        <v>0</v>
      </c>
      <c r="CI49" s="20"/>
      <c r="CJ49" s="18">
        <f t="shared" si="25"/>
        <v>0</v>
      </c>
      <c r="CK49" s="21">
        <f t="shared" si="26"/>
        <v>0</v>
      </c>
      <c r="CL49" s="20"/>
      <c r="CM49" s="18">
        <f t="shared" si="27"/>
        <v>0</v>
      </c>
      <c r="CN49" s="21">
        <f t="shared" si="28"/>
        <v>0</v>
      </c>
      <c r="CO49" s="20"/>
      <c r="CP49" s="18">
        <f t="shared" si="29"/>
        <v>0</v>
      </c>
      <c r="CQ49" s="21">
        <f t="shared" si="30"/>
        <v>0</v>
      </c>
      <c r="CR49" s="20"/>
      <c r="CS49" s="18">
        <f t="shared" si="31"/>
        <v>0</v>
      </c>
      <c r="CT49" s="19">
        <f t="shared" si="32"/>
        <v>0</v>
      </c>
      <c r="CU49" s="20"/>
      <c r="CV49" s="13">
        <f t="shared" si="33"/>
        <v>0</v>
      </c>
      <c r="CW49" s="21">
        <f t="shared" si="34"/>
        <v>0</v>
      </c>
      <c r="CX49" s="20"/>
      <c r="CY49" s="13">
        <f t="shared" si="35"/>
        <v>0</v>
      </c>
      <c r="CZ49" s="19">
        <f t="shared" si="36"/>
        <v>0</v>
      </c>
      <c r="DA49" s="20"/>
      <c r="DB49" s="13">
        <f t="shared" si="37"/>
        <v>0</v>
      </c>
      <c r="DC49" s="21">
        <f t="shared" si="38"/>
        <v>0</v>
      </c>
      <c r="DE49" s="97">
        <v>50</v>
      </c>
      <c r="DF49" s="32"/>
      <c r="DG49" s="61">
        <f t="shared" si="39"/>
        <v>0</v>
      </c>
      <c r="DH49" s="32"/>
      <c r="DI49" s="59">
        <f t="shared" si="40"/>
        <v>0</v>
      </c>
      <c r="DJ49" s="32"/>
      <c r="DK49" s="59">
        <f t="shared" si="41"/>
        <v>50</v>
      </c>
      <c r="DL49" s="32"/>
      <c r="DM49" s="96">
        <f t="shared" si="42"/>
        <v>1453.5</v>
      </c>
      <c r="DN49" s="32"/>
      <c r="DO49" s="62" t="e">
        <f t="shared" si="43"/>
        <v>#DIV/0!</v>
      </c>
      <c r="DP49" s="32"/>
      <c r="DQ49" s="96">
        <f t="shared" si="44"/>
        <v>1744.0000000000002</v>
      </c>
      <c r="DR49" s="32"/>
      <c r="DS49" s="61"/>
      <c r="DT49" s="32"/>
      <c r="DU49" s="63">
        <v>0</v>
      </c>
      <c r="DV49" s="32"/>
      <c r="DW49" s="64">
        <f t="shared" si="46"/>
        <v>0</v>
      </c>
      <c r="DX49" s="32"/>
      <c r="DY49" s="63">
        <f t="shared" si="47"/>
        <v>0</v>
      </c>
    </row>
    <row r="50" spans="1:129" ht="12.45" customHeight="1" x14ac:dyDescent="0.3">
      <c r="A50" s="43" t="s">
        <v>54</v>
      </c>
      <c r="B50" s="32"/>
      <c r="C50" s="53"/>
      <c r="D50" s="34"/>
      <c r="E50" s="44">
        <v>23.55</v>
      </c>
      <c r="F50" s="34"/>
      <c r="G50" s="45">
        <v>28.26</v>
      </c>
      <c r="I50" s="26"/>
      <c r="J50" s="27"/>
      <c r="K50" s="28"/>
      <c r="L50" s="12"/>
      <c r="M50" s="26"/>
      <c r="N50" s="12"/>
      <c r="O50" s="28"/>
      <c r="P50" s="12"/>
      <c r="Q50" s="26"/>
      <c r="R50" s="12"/>
      <c r="S50" s="28"/>
      <c r="T50" s="12"/>
      <c r="U50" s="26"/>
      <c r="V50" s="12"/>
      <c r="W50" s="28"/>
      <c r="X50" s="12"/>
      <c r="Y50" s="26"/>
      <c r="Z50" s="12"/>
      <c r="AA50" s="28"/>
      <c r="AB50" s="12"/>
      <c r="AC50" s="26"/>
      <c r="AD50" s="12"/>
      <c r="AE50" s="28"/>
      <c r="AF50" s="12"/>
      <c r="AG50" s="26"/>
      <c r="AH50" s="12"/>
      <c r="AI50" s="28"/>
      <c r="AJ50" s="12"/>
      <c r="AK50" s="26"/>
      <c r="AL50" s="12"/>
      <c r="AM50" s="28"/>
      <c r="AN50" s="12"/>
      <c r="AO50" s="26"/>
      <c r="AP50" s="12"/>
      <c r="AQ50" s="28"/>
      <c r="AR50" s="12"/>
      <c r="AS50" s="26"/>
      <c r="AT50" s="12"/>
      <c r="AU50" s="28"/>
      <c r="AW50" s="18">
        <f t="shared" si="0"/>
        <v>0</v>
      </c>
      <c r="AX50" s="19">
        <f t="shared" si="1"/>
        <v>0</v>
      </c>
      <c r="AY50" s="20"/>
      <c r="AZ50" s="13">
        <f t="shared" si="2"/>
        <v>0</v>
      </c>
      <c r="BA50" s="21">
        <f t="shared" si="3"/>
        <v>0</v>
      </c>
      <c r="BB50" s="20"/>
      <c r="BC50" s="13">
        <f t="shared" si="4"/>
        <v>0</v>
      </c>
      <c r="BD50" s="19">
        <f t="shared" si="5"/>
        <v>0</v>
      </c>
      <c r="BE50" s="20"/>
      <c r="BF50" s="13">
        <f t="shared" si="6"/>
        <v>0</v>
      </c>
      <c r="BG50" s="21">
        <f t="shared" si="7"/>
        <v>0</v>
      </c>
      <c r="BH50" s="20"/>
      <c r="BI50" s="13">
        <f t="shared" si="8"/>
        <v>0</v>
      </c>
      <c r="BJ50" s="19">
        <f t="shared" si="9"/>
        <v>0</v>
      </c>
      <c r="BK50" s="20"/>
      <c r="BL50" s="13">
        <f t="shared" si="10"/>
        <v>0</v>
      </c>
      <c r="BM50" s="21">
        <f t="shared" si="11"/>
        <v>0</v>
      </c>
      <c r="BN50" s="20"/>
      <c r="BO50" s="13">
        <f t="shared" si="12"/>
        <v>0</v>
      </c>
      <c r="BP50" s="19">
        <f t="shared" si="13"/>
        <v>0</v>
      </c>
      <c r="BQ50" s="20"/>
      <c r="BR50" s="13">
        <f t="shared" si="14"/>
        <v>0</v>
      </c>
      <c r="BS50" s="21">
        <f t="shared" si="15"/>
        <v>0</v>
      </c>
      <c r="BT50" s="20"/>
      <c r="BU50" s="13">
        <f t="shared" si="16"/>
        <v>0</v>
      </c>
      <c r="BV50" s="19">
        <f t="shared" si="17"/>
        <v>0</v>
      </c>
      <c r="BW50" s="20"/>
      <c r="BX50" s="13">
        <f t="shared" si="18"/>
        <v>0</v>
      </c>
      <c r="BY50" s="21">
        <f t="shared" si="19"/>
        <v>0</v>
      </c>
      <c r="BZ50" s="20"/>
      <c r="CA50" s="13">
        <f t="shared" si="20"/>
        <v>0</v>
      </c>
      <c r="CB50" s="19">
        <f t="shared" si="21"/>
        <v>0</v>
      </c>
      <c r="CC50" s="20"/>
      <c r="CD50" s="13">
        <f t="shared" si="22"/>
        <v>0</v>
      </c>
      <c r="CE50" s="21">
        <f t="shared" si="23"/>
        <v>0</v>
      </c>
      <c r="CF50" s="20"/>
      <c r="CG50" s="18">
        <f t="shared" si="24"/>
        <v>0</v>
      </c>
      <c r="CH50" s="21">
        <f t="shared" si="45"/>
        <v>0</v>
      </c>
      <c r="CI50" s="20"/>
      <c r="CJ50" s="18">
        <f t="shared" si="25"/>
        <v>0</v>
      </c>
      <c r="CK50" s="21">
        <f t="shared" si="26"/>
        <v>0</v>
      </c>
      <c r="CL50" s="20"/>
      <c r="CM50" s="18">
        <f t="shared" si="27"/>
        <v>0</v>
      </c>
      <c r="CN50" s="21">
        <f t="shared" si="28"/>
        <v>0</v>
      </c>
      <c r="CO50" s="20"/>
      <c r="CP50" s="18">
        <f t="shared" si="29"/>
        <v>0</v>
      </c>
      <c r="CQ50" s="21">
        <f t="shared" si="30"/>
        <v>0</v>
      </c>
      <c r="CR50" s="20"/>
      <c r="CS50" s="18">
        <f t="shared" si="31"/>
        <v>0</v>
      </c>
      <c r="CT50" s="19">
        <f t="shared" si="32"/>
        <v>0</v>
      </c>
      <c r="CU50" s="20"/>
      <c r="CV50" s="13">
        <f t="shared" si="33"/>
        <v>0</v>
      </c>
      <c r="CW50" s="21">
        <f t="shared" si="34"/>
        <v>0</v>
      </c>
      <c r="CX50" s="20"/>
      <c r="CY50" s="13">
        <f t="shared" si="35"/>
        <v>0</v>
      </c>
      <c r="CZ50" s="19">
        <f t="shared" si="36"/>
        <v>0</v>
      </c>
      <c r="DA50" s="20"/>
      <c r="DB50" s="13">
        <f t="shared" si="37"/>
        <v>0</v>
      </c>
      <c r="DC50" s="21">
        <f t="shared" si="38"/>
        <v>0</v>
      </c>
      <c r="DE50" s="97">
        <v>161</v>
      </c>
      <c r="DF50" s="32"/>
      <c r="DG50" s="61">
        <f t="shared" si="39"/>
        <v>0</v>
      </c>
      <c r="DH50" s="32"/>
      <c r="DI50" s="59">
        <f t="shared" si="40"/>
        <v>0</v>
      </c>
      <c r="DJ50" s="32"/>
      <c r="DK50" s="59">
        <f t="shared" si="41"/>
        <v>161</v>
      </c>
      <c r="DL50" s="32"/>
      <c r="DM50" s="96">
        <f t="shared" si="42"/>
        <v>3791.55</v>
      </c>
      <c r="DN50" s="32"/>
      <c r="DO50" s="62" t="e">
        <f t="shared" si="43"/>
        <v>#DIV/0!</v>
      </c>
      <c r="DP50" s="32"/>
      <c r="DQ50" s="96">
        <f t="shared" si="44"/>
        <v>4549.8600000000006</v>
      </c>
      <c r="DR50" s="32"/>
      <c r="DS50" s="61"/>
      <c r="DT50" s="32"/>
      <c r="DU50" s="63">
        <v>0</v>
      </c>
      <c r="DV50" s="32"/>
      <c r="DW50" s="64">
        <f t="shared" si="46"/>
        <v>0</v>
      </c>
      <c r="DX50" s="32"/>
      <c r="DY50" s="63">
        <f t="shared" si="47"/>
        <v>0</v>
      </c>
    </row>
    <row r="51" spans="1:129" ht="12.45" customHeight="1" x14ac:dyDescent="0.3">
      <c r="A51" s="36" t="s">
        <v>99</v>
      </c>
      <c r="B51" s="32"/>
      <c r="C51" s="51"/>
      <c r="D51" s="34"/>
      <c r="E51" s="38">
        <v>27.55</v>
      </c>
      <c r="F51" s="34"/>
      <c r="G51" s="33">
        <v>33.06</v>
      </c>
      <c r="I51" s="26"/>
      <c r="J51" s="27"/>
      <c r="K51" s="28"/>
      <c r="L51" s="12"/>
      <c r="M51" s="26"/>
      <c r="N51" s="12"/>
      <c r="O51" s="28"/>
      <c r="P51" s="12"/>
      <c r="Q51" s="26"/>
      <c r="R51" s="12"/>
      <c r="S51" s="28"/>
      <c r="T51" s="12"/>
      <c r="U51" s="26"/>
      <c r="V51" s="12"/>
      <c r="W51" s="28"/>
      <c r="X51" s="12"/>
      <c r="Y51" s="26"/>
      <c r="Z51" s="12"/>
      <c r="AA51" s="28"/>
      <c r="AB51" s="12"/>
      <c r="AC51" s="26"/>
      <c r="AD51" s="12"/>
      <c r="AE51" s="28"/>
      <c r="AF51" s="12"/>
      <c r="AG51" s="26"/>
      <c r="AH51" s="12"/>
      <c r="AI51" s="28"/>
      <c r="AJ51" s="12"/>
      <c r="AK51" s="26"/>
      <c r="AL51" s="12"/>
      <c r="AM51" s="28"/>
      <c r="AN51" s="12"/>
      <c r="AO51" s="26"/>
      <c r="AP51" s="12"/>
      <c r="AQ51" s="28"/>
      <c r="AR51" s="12"/>
      <c r="AS51" s="26"/>
      <c r="AT51" s="12"/>
      <c r="AU51" s="28"/>
      <c r="AW51" s="18">
        <f t="shared" si="0"/>
        <v>0</v>
      </c>
      <c r="AX51" s="19">
        <f t="shared" si="1"/>
        <v>0</v>
      </c>
      <c r="AY51" s="20"/>
      <c r="AZ51" s="13">
        <f t="shared" si="2"/>
        <v>0</v>
      </c>
      <c r="BA51" s="21">
        <f t="shared" si="3"/>
        <v>0</v>
      </c>
      <c r="BB51" s="20"/>
      <c r="BC51" s="13">
        <f t="shared" si="4"/>
        <v>0</v>
      </c>
      <c r="BD51" s="19">
        <f t="shared" si="5"/>
        <v>0</v>
      </c>
      <c r="BE51" s="20"/>
      <c r="BF51" s="13">
        <f t="shared" si="6"/>
        <v>0</v>
      </c>
      <c r="BG51" s="21">
        <f t="shared" si="7"/>
        <v>0</v>
      </c>
      <c r="BH51" s="20"/>
      <c r="BI51" s="13">
        <f t="shared" si="8"/>
        <v>0</v>
      </c>
      <c r="BJ51" s="19">
        <f t="shared" si="9"/>
        <v>0</v>
      </c>
      <c r="BK51" s="20"/>
      <c r="BL51" s="13">
        <f t="shared" si="10"/>
        <v>0</v>
      </c>
      <c r="BM51" s="21">
        <f t="shared" si="11"/>
        <v>0</v>
      </c>
      <c r="BN51" s="20"/>
      <c r="BO51" s="13">
        <f t="shared" si="12"/>
        <v>0</v>
      </c>
      <c r="BP51" s="19">
        <f t="shared" si="13"/>
        <v>0</v>
      </c>
      <c r="BQ51" s="20"/>
      <c r="BR51" s="13">
        <f t="shared" si="14"/>
        <v>0</v>
      </c>
      <c r="BS51" s="21">
        <f t="shared" si="15"/>
        <v>0</v>
      </c>
      <c r="BT51" s="20"/>
      <c r="BU51" s="13">
        <f t="shared" si="16"/>
        <v>0</v>
      </c>
      <c r="BV51" s="19">
        <f t="shared" si="17"/>
        <v>0</v>
      </c>
      <c r="BW51" s="20"/>
      <c r="BX51" s="13">
        <f t="shared" si="18"/>
        <v>0</v>
      </c>
      <c r="BY51" s="21">
        <f t="shared" si="19"/>
        <v>0</v>
      </c>
      <c r="BZ51" s="20"/>
      <c r="CA51" s="13">
        <f t="shared" si="20"/>
        <v>0</v>
      </c>
      <c r="CB51" s="19">
        <f t="shared" si="21"/>
        <v>0</v>
      </c>
      <c r="CC51" s="20"/>
      <c r="CD51" s="13">
        <f t="shared" si="22"/>
        <v>0</v>
      </c>
      <c r="CE51" s="21">
        <f t="shared" si="23"/>
        <v>0</v>
      </c>
      <c r="CF51" s="20"/>
      <c r="CG51" s="18">
        <f t="shared" si="24"/>
        <v>0</v>
      </c>
      <c r="CH51" s="21">
        <f t="shared" si="45"/>
        <v>0</v>
      </c>
      <c r="CI51" s="20"/>
      <c r="CJ51" s="18">
        <f t="shared" si="25"/>
        <v>0</v>
      </c>
      <c r="CK51" s="21">
        <f t="shared" si="26"/>
        <v>0</v>
      </c>
      <c r="CL51" s="20"/>
      <c r="CM51" s="18">
        <f t="shared" si="27"/>
        <v>0</v>
      </c>
      <c r="CN51" s="21">
        <f t="shared" si="28"/>
        <v>0</v>
      </c>
      <c r="CO51" s="20"/>
      <c r="CP51" s="18">
        <f t="shared" si="29"/>
        <v>0</v>
      </c>
      <c r="CQ51" s="21">
        <f t="shared" si="30"/>
        <v>0</v>
      </c>
      <c r="CR51" s="20"/>
      <c r="CS51" s="18">
        <f t="shared" si="31"/>
        <v>0</v>
      </c>
      <c r="CT51" s="19">
        <f t="shared" si="32"/>
        <v>0</v>
      </c>
      <c r="CU51" s="20"/>
      <c r="CV51" s="13">
        <f t="shared" si="33"/>
        <v>0</v>
      </c>
      <c r="CW51" s="21">
        <f t="shared" si="34"/>
        <v>0</v>
      </c>
      <c r="CX51" s="20"/>
      <c r="CY51" s="13">
        <f t="shared" si="35"/>
        <v>0</v>
      </c>
      <c r="CZ51" s="19">
        <f t="shared" si="36"/>
        <v>0</v>
      </c>
      <c r="DA51" s="20"/>
      <c r="DB51" s="13">
        <f t="shared" si="37"/>
        <v>0</v>
      </c>
      <c r="DC51" s="21">
        <f t="shared" si="38"/>
        <v>0</v>
      </c>
      <c r="DE51" s="97">
        <v>184</v>
      </c>
      <c r="DF51" s="32"/>
      <c r="DG51" s="61">
        <f t="shared" si="39"/>
        <v>0</v>
      </c>
      <c r="DH51" s="32"/>
      <c r="DI51" s="59">
        <f t="shared" si="40"/>
        <v>0</v>
      </c>
      <c r="DJ51" s="32"/>
      <c r="DK51" s="59">
        <f t="shared" si="41"/>
        <v>184</v>
      </c>
      <c r="DL51" s="32"/>
      <c r="DM51" s="96">
        <f t="shared" si="42"/>
        <v>5069.2</v>
      </c>
      <c r="DN51" s="32"/>
      <c r="DO51" s="62" t="e">
        <f t="shared" si="43"/>
        <v>#DIV/0!</v>
      </c>
      <c r="DP51" s="32"/>
      <c r="DQ51" s="96">
        <f t="shared" si="44"/>
        <v>6083.0400000000009</v>
      </c>
      <c r="DR51" s="32"/>
      <c r="DS51" s="61"/>
      <c r="DT51" s="32"/>
      <c r="DU51" s="63">
        <v>0</v>
      </c>
      <c r="DV51" s="32"/>
      <c r="DW51" s="64">
        <f t="shared" si="46"/>
        <v>0</v>
      </c>
      <c r="DX51" s="32"/>
      <c r="DY51" s="63">
        <f t="shared" si="47"/>
        <v>0</v>
      </c>
    </row>
    <row r="52" spans="1:129" ht="12.45" customHeight="1" x14ac:dyDescent="0.3">
      <c r="A52" s="37" t="s">
        <v>98</v>
      </c>
      <c r="B52" s="32"/>
      <c r="C52" s="51"/>
      <c r="D52" s="34"/>
      <c r="E52" s="38">
        <v>20.46</v>
      </c>
      <c r="F52" s="34"/>
      <c r="G52" s="33">
        <v>24.55</v>
      </c>
      <c r="I52" s="26"/>
      <c r="J52" s="27"/>
      <c r="K52" s="28"/>
      <c r="L52" s="12"/>
      <c r="M52" s="26"/>
      <c r="N52" s="12"/>
      <c r="O52" s="28"/>
      <c r="P52" s="12"/>
      <c r="Q52" s="26"/>
      <c r="R52" s="12"/>
      <c r="S52" s="28"/>
      <c r="T52" s="12"/>
      <c r="U52" s="26"/>
      <c r="V52" s="12"/>
      <c r="W52" s="28"/>
      <c r="X52" s="12"/>
      <c r="Y52" s="26"/>
      <c r="Z52" s="12"/>
      <c r="AA52" s="28"/>
      <c r="AB52" s="12"/>
      <c r="AC52" s="26"/>
      <c r="AD52" s="12"/>
      <c r="AE52" s="28"/>
      <c r="AF52" s="12"/>
      <c r="AG52" s="26"/>
      <c r="AH52" s="12"/>
      <c r="AI52" s="28"/>
      <c r="AJ52" s="12"/>
      <c r="AK52" s="26"/>
      <c r="AL52" s="12"/>
      <c r="AM52" s="28"/>
      <c r="AN52" s="12"/>
      <c r="AO52" s="26"/>
      <c r="AP52" s="12"/>
      <c r="AQ52" s="28"/>
      <c r="AR52" s="12"/>
      <c r="AS52" s="26"/>
      <c r="AT52" s="12"/>
      <c r="AU52" s="28"/>
      <c r="AW52" s="18">
        <f t="shared" si="0"/>
        <v>0</v>
      </c>
      <c r="AX52" s="19">
        <f t="shared" si="1"/>
        <v>0</v>
      </c>
      <c r="AY52" s="20"/>
      <c r="AZ52" s="13">
        <f t="shared" si="2"/>
        <v>0</v>
      </c>
      <c r="BA52" s="21">
        <f t="shared" si="3"/>
        <v>0</v>
      </c>
      <c r="BB52" s="20"/>
      <c r="BC52" s="13">
        <f t="shared" si="4"/>
        <v>0</v>
      </c>
      <c r="BD52" s="19">
        <f t="shared" si="5"/>
        <v>0</v>
      </c>
      <c r="BE52" s="20"/>
      <c r="BF52" s="13">
        <f t="shared" si="6"/>
        <v>0</v>
      </c>
      <c r="BG52" s="21">
        <f t="shared" si="7"/>
        <v>0</v>
      </c>
      <c r="BH52" s="20"/>
      <c r="BI52" s="13">
        <f t="shared" si="8"/>
        <v>0</v>
      </c>
      <c r="BJ52" s="19">
        <f t="shared" si="9"/>
        <v>0</v>
      </c>
      <c r="BK52" s="20"/>
      <c r="BL52" s="13">
        <f t="shared" si="10"/>
        <v>0</v>
      </c>
      <c r="BM52" s="21">
        <f t="shared" si="11"/>
        <v>0</v>
      </c>
      <c r="BN52" s="20"/>
      <c r="BO52" s="13">
        <f t="shared" si="12"/>
        <v>0</v>
      </c>
      <c r="BP52" s="19">
        <f t="shared" si="13"/>
        <v>0</v>
      </c>
      <c r="BQ52" s="20"/>
      <c r="BR52" s="13">
        <f t="shared" si="14"/>
        <v>0</v>
      </c>
      <c r="BS52" s="21">
        <f t="shared" si="15"/>
        <v>0</v>
      </c>
      <c r="BT52" s="20"/>
      <c r="BU52" s="13">
        <f t="shared" si="16"/>
        <v>0</v>
      </c>
      <c r="BV52" s="19">
        <f t="shared" si="17"/>
        <v>0</v>
      </c>
      <c r="BW52" s="20"/>
      <c r="BX52" s="13">
        <f t="shared" si="18"/>
        <v>0</v>
      </c>
      <c r="BY52" s="21">
        <f t="shared" si="19"/>
        <v>0</v>
      </c>
      <c r="BZ52" s="20"/>
      <c r="CA52" s="13">
        <f t="shared" si="20"/>
        <v>0</v>
      </c>
      <c r="CB52" s="19">
        <f t="shared" si="21"/>
        <v>0</v>
      </c>
      <c r="CC52" s="20"/>
      <c r="CD52" s="13">
        <f t="shared" si="22"/>
        <v>0</v>
      </c>
      <c r="CE52" s="21">
        <f t="shared" si="23"/>
        <v>0</v>
      </c>
      <c r="CF52" s="20"/>
      <c r="CG52" s="18">
        <f t="shared" si="24"/>
        <v>0</v>
      </c>
      <c r="CH52" s="21">
        <f t="shared" si="45"/>
        <v>0</v>
      </c>
      <c r="CI52" s="20"/>
      <c r="CJ52" s="18">
        <f t="shared" si="25"/>
        <v>0</v>
      </c>
      <c r="CK52" s="21">
        <f t="shared" si="26"/>
        <v>0</v>
      </c>
      <c r="CL52" s="20"/>
      <c r="CM52" s="18">
        <f t="shared" si="27"/>
        <v>0</v>
      </c>
      <c r="CN52" s="21">
        <f t="shared" si="28"/>
        <v>0</v>
      </c>
      <c r="CO52" s="20"/>
      <c r="CP52" s="18">
        <f t="shared" si="29"/>
        <v>0</v>
      </c>
      <c r="CQ52" s="21">
        <f t="shared" si="30"/>
        <v>0</v>
      </c>
      <c r="CR52" s="20"/>
      <c r="CS52" s="18">
        <f t="shared" si="31"/>
        <v>0</v>
      </c>
      <c r="CT52" s="19">
        <f t="shared" si="32"/>
        <v>0</v>
      </c>
      <c r="CU52" s="20"/>
      <c r="CV52" s="13">
        <f t="shared" si="33"/>
        <v>0</v>
      </c>
      <c r="CW52" s="21">
        <f t="shared" si="34"/>
        <v>0</v>
      </c>
      <c r="CX52" s="20"/>
      <c r="CY52" s="13">
        <f t="shared" si="35"/>
        <v>0</v>
      </c>
      <c r="CZ52" s="19">
        <f t="shared" si="36"/>
        <v>0</v>
      </c>
      <c r="DA52" s="20"/>
      <c r="DB52" s="13">
        <f t="shared" si="37"/>
        <v>0</v>
      </c>
      <c r="DC52" s="21">
        <f t="shared" si="38"/>
        <v>0</v>
      </c>
      <c r="DE52" s="97">
        <v>0</v>
      </c>
      <c r="DF52" s="32"/>
      <c r="DG52" s="61">
        <f t="shared" si="39"/>
        <v>0</v>
      </c>
      <c r="DH52" s="32"/>
      <c r="DI52" s="59">
        <f t="shared" si="40"/>
        <v>0</v>
      </c>
      <c r="DJ52" s="32"/>
      <c r="DK52" s="59">
        <f t="shared" si="41"/>
        <v>0</v>
      </c>
      <c r="DL52" s="32"/>
      <c r="DM52" s="96">
        <f t="shared" si="42"/>
        <v>0</v>
      </c>
      <c r="DN52" s="32"/>
      <c r="DO52" s="62" t="e">
        <f t="shared" si="43"/>
        <v>#DIV/0!</v>
      </c>
      <c r="DP52" s="32"/>
      <c r="DQ52" s="96">
        <f t="shared" si="44"/>
        <v>0</v>
      </c>
      <c r="DR52" s="32"/>
      <c r="DS52" s="61"/>
      <c r="DT52" s="32"/>
      <c r="DU52" s="63">
        <v>0</v>
      </c>
      <c r="DV52" s="32"/>
      <c r="DW52" s="64">
        <f t="shared" si="46"/>
        <v>0</v>
      </c>
      <c r="DX52" s="32"/>
      <c r="DY52" s="63">
        <f t="shared" si="47"/>
        <v>0</v>
      </c>
    </row>
    <row r="53" spans="1:129" ht="12.45" customHeight="1" thickBot="1" x14ac:dyDescent="0.35">
      <c r="A53" s="46" t="s">
        <v>55</v>
      </c>
      <c r="B53" s="32"/>
      <c r="C53" s="53"/>
      <c r="D53" s="34"/>
      <c r="E53" s="44">
        <v>20</v>
      </c>
      <c r="F53" s="34"/>
      <c r="G53" s="45">
        <v>24</v>
      </c>
      <c r="I53" s="26"/>
      <c r="J53" s="27"/>
      <c r="K53" s="28"/>
      <c r="L53" s="12"/>
      <c r="M53" s="26"/>
      <c r="N53" s="12"/>
      <c r="O53" s="28"/>
      <c r="P53" s="12"/>
      <c r="Q53" s="26"/>
      <c r="R53" s="12"/>
      <c r="S53" s="28"/>
      <c r="T53" s="12"/>
      <c r="U53" s="26"/>
      <c r="V53" s="12"/>
      <c r="W53" s="28"/>
      <c r="X53" s="12"/>
      <c r="Y53" s="26"/>
      <c r="Z53" s="12"/>
      <c r="AA53" s="28"/>
      <c r="AB53" s="12"/>
      <c r="AC53" s="26"/>
      <c r="AD53" s="12"/>
      <c r="AE53" s="28"/>
      <c r="AF53" s="12"/>
      <c r="AG53" s="26"/>
      <c r="AH53" s="12"/>
      <c r="AI53" s="28"/>
      <c r="AJ53" s="12"/>
      <c r="AK53" s="26"/>
      <c r="AL53" s="12"/>
      <c r="AM53" s="28"/>
      <c r="AN53" s="12"/>
      <c r="AO53" s="26"/>
      <c r="AP53" s="12"/>
      <c r="AQ53" s="28"/>
      <c r="AR53" s="12"/>
      <c r="AS53" s="26"/>
      <c r="AT53" s="12"/>
      <c r="AU53" s="28"/>
      <c r="AW53" s="18">
        <f t="shared" si="0"/>
        <v>0</v>
      </c>
      <c r="AX53" s="19">
        <f t="shared" si="1"/>
        <v>0</v>
      </c>
      <c r="AY53" s="20"/>
      <c r="AZ53" s="13">
        <f t="shared" si="2"/>
        <v>0</v>
      </c>
      <c r="BA53" s="21">
        <f t="shared" si="3"/>
        <v>0</v>
      </c>
      <c r="BB53" s="20"/>
      <c r="BC53" s="13">
        <f t="shared" si="4"/>
        <v>0</v>
      </c>
      <c r="BD53" s="19">
        <f t="shared" si="5"/>
        <v>0</v>
      </c>
      <c r="BE53" s="20"/>
      <c r="BF53" s="13">
        <f t="shared" si="6"/>
        <v>0</v>
      </c>
      <c r="BG53" s="21">
        <f t="shared" si="7"/>
        <v>0</v>
      </c>
      <c r="BH53" s="20"/>
      <c r="BI53" s="13">
        <f t="shared" si="8"/>
        <v>0</v>
      </c>
      <c r="BJ53" s="19">
        <f t="shared" si="9"/>
        <v>0</v>
      </c>
      <c r="BK53" s="20"/>
      <c r="BL53" s="13">
        <f t="shared" si="10"/>
        <v>0</v>
      </c>
      <c r="BM53" s="21">
        <f t="shared" si="11"/>
        <v>0</v>
      </c>
      <c r="BN53" s="20"/>
      <c r="BO53" s="13">
        <f t="shared" si="12"/>
        <v>0</v>
      </c>
      <c r="BP53" s="19">
        <f t="shared" si="13"/>
        <v>0</v>
      </c>
      <c r="BQ53" s="20"/>
      <c r="BR53" s="13">
        <f t="shared" si="14"/>
        <v>0</v>
      </c>
      <c r="BS53" s="21">
        <f t="shared" si="15"/>
        <v>0</v>
      </c>
      <c r="BT53" s="20"/>
      <c r="BU53" s="13">
        <f t="shared" si="16"/>
        <v>0</v>
      </c>
      <c r="BV53" s="19">
        <f t="shared" si="17"/>
        <v>0</v>
      </c>
      <c r="BW53" s="20"/>
      <c r="BX53" s="13">
        <f t="shared" si="18"/>
        <v>0</v>
      </c>
      <c r="BY53" s="21">
        <f t="shared" si="19"/>
        <v>0</v>
      </c>
      <c r="BZ53" s="20"/>
      <c r="CA53" s="13">
        <f t="shared" si="20"/>
        <v>0</v>
      </c>
      <c r="CB53" s="19">
        <f t="shared" si="21"/>
        <v>0</v>
      </c>
      <c r="CC53" s="20"/>
      <c r="CD53" s="13">
        <f t="shared" si="22"/>
        <v>0</v>
      </c>
      <c r="CE53" s="21">
        <f t="shared" si="23"/>
        <v>0</v>
      </c>
      <c r="CF53" s="20"/>
      <c r="CG53" s="18">
        <f t="shared" si="24"/>
        <v>0</v>
      </c>
      <c r="CH53" s="21">
        <f t="shared" si="45"/>
        <v>0</v>
      </c>
      <c r="CI53" s="20"/>
      <c r="CJ53" s="18">
        <f t="shared" si="25"/>
        <v>0</v>
      </c>
      <c r="CK53" s="21">
        <f t="shared" si="26"/>
        <v>0</v>
      </c>
      <c r="CL53" s="20"/>
      <c r="CM53" s="18">
        <f t="shared" si="27"/>
        <v>0</v>
      </c>
      <c r="CN53" s="21">
        <f t="shared" si="28"/>
        <v>0</v>
      </c>
      <c r="CO53" s="20"/>
      <c r="CP53" s="18">
        <f t="shared" si="29"/>
        <v>0</v>
      </c>
      <c r="CQ53" s="21">
        <f t="shared" si="30"/>
        <v>0</v>
      </c>
      <c r="CR53" s="20"/>
      <c r="CS53" s="18">
        <f t="shared" si="31"/>
        <v>0</v>
      </c>
      <c r="CT53" s="19">
        <f t="shared" si="32"/>
        <v>0</v>
      </c>
      <c r="CU53" s="20"/>
      <c r="CV53" s="13">
        <f t="shared" si="33"/>
        <v>0</v>
      </c>
      <c r="CW53" s="21">
        <f t="shared" si="34"/>
        <v>0</v>
      </c>
      <c r="CX53" s="20"/>
      <c r="CY53" s="13">
        <f t="shared" si="35"/>
        <v>0</v>
      </c>
      <c r="CZ53" s="19">
        <f t="shared" si="36"/>
        <v>0</v>
      </c>
      <c r="DA53" s="20"/>
      <c r="DB53" s="13">
        <f t="shared" si="37"/>
        <v>0</v>
      </c>
      <c r="DC53" s="21">
        <f t="shared" si="38"/>
        <v>0</v>
      </c>
      <c r="DE53" s="97">
        <v>18</v>
      </c>
      <c r="DF53" s="32"/>
      <c r="DG53" s="61">
        <f t="shared" si="39"/>
        <v>0</v>
      </c>
      <c r="DH53" s="32"/>
      <c r="DI53" s="59">
        <f t="shared" si="40"/>
        <v>0</v>
      </c>
      <c r="DJ53" s="32"/>
      <c r="DK53" s="59">
        <f t="shared" si="41"/>
        <v>18</v>
      </c>
      <c r="DL53" s="32"/>
      <c r="DM53" s="96">
        <f t="shared" si="42"/>
        <v>360</v>
      </c>
      <c r="DN53" s="32"/>
      <c r="DO53" s="62" t="e">
        <f t="shared" si="43"/>
        <v>#DIV/0!</v>
      </c>
      <c r="DP53" s="32"/>
      <c r="DQ53" s="96">
        <f t="shared" si="44"/>
        <v>432</v>
      </c>
      <c r="DR53" s="32"/>
      <c r="DS53" s="61"/>
      <c r="DT53" s="32"/>
      <c r="DU53" s="63">
        <v>0</v>
      </c>
      <c r="DV53" s="32"/>
      <c r="DW53" s="64">
        <f t="shared" si="46"/>
        <v>0</v>
      </c>
      <c r="DX53" s="32"/>
      <c r="DY53" s="63">
        <f t="shared" si="47"/>
        <v>0</v>
      </c>
    </row>
    <row r="54" spans="1:129" ht="12.45" customHeight="1" thickTop="1" thickBot="1" x14ac:dyDescent="0.35">
      <c r="A54" s="47" t="s">
        <v>56</v>
      </c>
      <c r="B54" s="48"/>
      <c r="C54" s="54"/>
      <c r="D54" s="55"/>
      <c r="E54" s="56"/>
      <c r="F54" s="55"/>
      <c r="G54" s="54"/>
      <c r="H54" s="9"/>
      <c r="I54" s="87">
        <f>SUM(I2:I53)</f>
        <v>20</v>
      </c>
      <c r="J54" s="9"/>
      <c r="K54" s="88">
        <f>SUM(K2:L53)</f>
        <v>41</v>
      </c>
      <c r="L54" s="9"/>
      <c r="M54" s="87">
        <f>SUM(M2:M53)</f>
        <v>28</v>
      </c>
      <c r="N54" s="9"/>
      <c r="O54" s="88">
        <f>SUM(O2:P53)</f>
        <v>42</v>
      </c>
      <c r="P54" s="9"/>
      <c r="Q54" s="87">
        <f>SUM(Q2:Q53)</f>
        <v>20</v>
      </c>
      <c r="R54" s="9"/>
      <c r="S54" s="88">
        <f>SUM(S2:T53)</f>
        <v>21</v>
      </c>
      <c r="T54" s="9"/>
      <c r="U54" s="87">
        <f>SUM(U2:U53)</f>
        <v>24</v>
      </c>
      <c r="V54" s="9"/>
      <c r="W54" s="88">
        <f>SUM(W2:X53)</f>
        <v>36</v>
      </c>
      <c r="X54" s="9"/>
      <c r="Y54" s="87">
        <f>SUM(Y2:Y53)</f>
        <v>26</v>
      </c>
      <c r="Z54" s="9"/>
      <c r="AA54" s="88">
        <f>SUM(AA2:AB53)</f>
        <v>21</v>
      </c>
      <c r="AB54" s="9"/>
      <c r="AC54" s="87">
        <f>SUM(AC2:AC53)</f>
        <v>19</v>
      </c>
      <c r="AD54" s="9"/>
      <c r="AE54" s="88">
        <f>SUM(AE2:AF53)</f>
        <v>0</v>
      </c>
      <c r="AF54" s="9"/>
      <c r="AG54" s="87">
        <f>SUM(AG2:AG53)</f>
        <v>0</v>
      </c>
      <c r="AH54" s="9"/>
      <c r="AI54" s="88">
        <f>SUM(AI2:AJ53)</f>
        <v>0</v>
      </c>
      <c r="AJ54" s="9"/>
      <c r="AK54" s="87">
        <f>SUM(AK2:AK53)</f>
        <v>0</v>
      </c>
      <c r="AL54" s="9"/>
      <c r="AM54" s="88">
        <f>SUM(AM2:AM53)</f>
        <v>0</v>
      </c>
      <c r="AN54" s="9"/>
      <c r="AO54" s="87">
        <f>SUM(AO2:AO53)</f>
        <v>0</v>
      </c>
      <c r="AP54" s="9"/>
      <c r="AQ54" s="88">
        <f>SUM(AQ2:AQ53)</f>
        <v>0</v>
      </c>
      <c r="AR54" s="9"/>
      <c r="AS54" s="87">
        <f>SUM(AS2:AS53)</f>
        <v>0</v>
      </c>
      <c r="AT54" s="9"/>
      <c r="AU54" s="88">
        <f>SUM(AU2:AU53)</f>
        <v>0</v>
      </c>
      <c r="AV54" s="9"/>
      <c r="AW54" s="22">
        <f>SUM(AW1:AW39)</f>
        <v>16</v>
      </c>
      <c r="AX54" s="23">
        <f>SUM(AX2:AX53)</f>
        <v>576.95999999999981</v>
      </c>
      <c r="AY54" s="24"/>
      <c r="AZ54" s="22">
        <f>SUM(AZ1:AZ53)</f>
        <v>41</v>
      </c>
      <c r="BA54" s="23">
        <f>SUM(BA2:BA53)</f>
        <v>1262.5</v>
      </c>
      <c r="BB54" s="24"/>
      <c r="BC54" s="22">
        <f>SUM(BC1:BC53)</f>
        <v>28</v>
      </c>
      <c r="BD54" s="23">
        <f>SUM(BD2:BD53)</f>
        <v>950.67</v>
      </c>
      <c r="BE54" s="24"/>
      <c r="BF54" s="22">
        <f>SUM(BF1:BF53)</f>
        <v>42</v>
      </c>
      <c r="BG54" s="23">
        <f>SUM(BG2:BG53)</f>
        <v>1299.25</v>
      </c>
      <c r="BH54" s="24"/>
      <c r="BI54" s="22">
        <f>SUM(BI1:BI53)</f>
        <v>20</v>
      </c>
      <c r="BJ54" s="23">
        <f>SUM(BJ2:BJ53)</f>
        <v>665.97</v>
      </c>
      <c r="BK54" s="24"/>
      <c r="BL54" s="22">
        <f>SUM(BL1:BL53)</f>
        <v>21</v>
      </c>
      <c r="BM54" s="23">
        <f>SUM(BM2:BM53)</f>
        <v>644.55999999999995</v>
      </c>
      <c r="BN54" s="24"/>
      <c r="BO54" s="22">
        <f>SUM(BO1:BO53)</f>
        <v>24</v>
      </c>
      <c r="BP54" s="25">
        <f>SUM(BP2:BP53)</f>
        <v>692.86999999999989</v>
      </c>
      <c r="BQ54" s="24"/>
      <c r="BR54" s="22">
        <f>SUM(BR1:BR53)</f>
        <v>36</v>
      </c>
      <c r="BS54" s="23">
        <f>SUM(BS2:BS53)</f>
        <v>1101.5599999999997</v>
      </c>
      <c r="BT54" s="24"/>
      <c r="BU54" s="22">
        <f>SUM(BU1:BU53)</f>
        <v>26</v>
      </c>
      <c r="BV54" s="23">
        <f>SUM(BV2:BV53)</f>
        <v>898.56000000000006</v>
      </c>
      <c r="BW54" s="24"/>
      <c r="BX54" s="22">
        <f>SUM(BX1:BX53)</f>
        <v>21</v>
      </c>
      <c r="BY54" s="23">
        <f>SUM(BY2:BY53)</f>
        <v>630.82000000000005</v>
      </c>
      <c r="BZ54" s="24"/>
      <c r="CA54" s="22">
        <f>SUM(CA1:CA53)</f>
        <v>19</v>
      </c>
      <c r="CB54" s="23">
        <f>SUM(CB2:CB53)</f>
        <v>610.35</v>
      </c>
      <c r="CC54" s="24"/>
      <c r="CD54" s="22">
        <f>SUM(CD1:CD53)</f>
        <v>0</v>
      </c>
      <c r="CE54" s="23">
        <f>SUM(CE2:CE53)</f>
        <v>0</v>
      </c>
      <c r="CF54" s="24"/>
      <c r="CG54" s="22">
        <f>SUM(CG1:CG53)</f>
        <v>0</v>
      </c>
      <c r="CH54" s="23">
        <f>SUM(CH2:CH53)</f>
        <v>0</v>
      </c>
      <c r="CI54" s="24"/>
      <c r="CJ54" s="22">
        <f>SUM(CJ1:CJ53)</f>
        <v>0</v>
      </c>
      <c r="CK54" s="23">
        <f>SUM(CK2:CK53)</f>
        <v>0</v>
      </c>
      <c r="CL54" s="24"/>
      <c r="CM54" s="22">
        <f>SUM(CM1:CM53)</f>
        <v>0</v>
      </c>
      <c r="CN54" s="23">
        <f>SUM(CN2:CN53)</f>
        <v>0</v>
      </c>
      <c r="CO54" s="24"/>
      <c r="CP54" s="22">
        <f>SUM(CP1:CP53)</f>
        <v>0</v>
      </c>
      <c r="CQ54" s="23">
        <f>SUM(CQ2:CQ53)</f>
        <v>0</v>
      </c>
      <c r="CR54" s="24"/>
      <c r="CS54" s="22">
        <f>SUM(CS1:CS53)</f>
        <v>0</v>
      </c>
      <c r="CT54" s="23">
        <f>SUM(CT2:CT53)</f>
        <v>0</v>
      </c>
      <c r="CU54" s="24"/>
      <c r="CV54" s="22">
        <f>SUM(CV1:CV53)</f>
        <v>0</v>
      </c>
      <c r="CW54" s="23">
        <f>SUM(CW2:CW53)</f>
        <v>0</v>
      </c>
      <c r="CX54" s="24"/>
      <c r="CY54" s="22">
        <f>SUM(CY1:CY53)</f>
        <v>0</v>
      </c>
      <c r="CZ54" s="23">
        <f>SUM(CZ2:CZ53)</f>
        <v>0</v>
      </c>
      <c r="DA54" s="24"/>
      <c r="DB54" s="22">
        <f>SUM(DB1:DB53)</f>
        <v>0</v>
      </c>
      <c r="DC54" s="23">
        <f>SUM(DC2:DC53)</f>
        <v>0</v>
      </c>
      <c r="DD54" s="9"/>
      <c r="DE54" s="95">
        <f>SUM(DE2:DE53)</f>
        <v>8820</v>
      </c>
      <c r="DF54" s="48"/>
      <c r="DG54" s="86">
        <f>SUM(DG2:DG53)</f>
        <v>0</v>
      </c>
      <c r="DH54" s="48"/>
      <c r="DI54" s="86">
        <f>SUM(DI2:DI53)</f>
        <v>298</v>
      </c>
      <c r="DJ54" s="48"/>
      <c r="DK54" s="86">
        <f>SUM(DK2:DK53)</f>
        <v>8522</v>
      </c>
      <c r="DL54" s="48"/>
      <c r="DM54" s="66">
        <f>SUM(DM2:DM53)</f>
        <v>224360.63</v>
      </c>
      <c r="DN54" s="48"/>
      <c r="DO54" s="94">
        <f>DM54+DY54</f>
        <v>256845.83000000002</v>
      </c>
      <c r="DP54" s="48"/>
      <c r="DQ54" s="66">
        <f>SUM(DQ2:DQ53)</f>
        <v>269005.87999999995</v>
      </c>
      <c r="DR54" s="48"/>
      <c r="DS54" s="65"/>
      <c r="DT54" s="48"/>
      <c r="DU54" s="67"/>
      <c r="DV54" s="48"/>
      <c r="DW54" s="68"/>
      <c r="DX54" s="48"/>
      <c r="DY54" s="93">
        <f>SUM(DY4:DY53)</f>
        <v>32485.199999999997</v>
      </c>
    </row>
    <row r="55" spans="1:129" ht="12.45" customHeight="1" thickTop="1" x14ac:dyDescent="0.3">
      <c r="C55" s="57"/>
      <c r="E55" s="58"/>
      <c r="DM55" s="8"/>
      <c r="DN55" s="149">
        <f>AX54+BA54+BD54+BG54+BJ54+BM54+BP54+BS54+BV54+BY54+CB54+CT54+CW54+CZ54+DC54</f>
        <v>9334.07</v>
      </c>
      <c r="DO55" s="149"/>
      <c r="DP55" s="8"/>
      <c r="DQ55" s="8"/>
      <c r="DR55" s="8"/>
      <c r="DT55" s="8"/>
      <c r="DV55" s="8"/>
      <c r="DX55" s="8"/>
    </row>
  </sheetData>
  <mergeCells count="22">
    <mergeCell ref="CY1:CZ1"/>
    <mergeCell ref="DB1:DC1"/>
    <mergeCell ref="DS1:DY3"/>
    <mergeCell ref="DN55:DO55"/>
    <mergeCell ref="CG1:CH1"/>
    <mergeCell ref="CJ1:CK1"/>
    <mergeCell ref="CM1:CN1"/>
    <mergeCell ref="CP1:CQ1"/>
    <mergeCell ref="CS1:CT1"/>
    <mergeCell ref="CV1:CW1"/>
    <mergeCell ref="CD1:CE1"/>
    <mergeCell ref="AW1:AX1"/>
    <mergeCell ref="AZ1:BA1"/>
    <mergeCell ref="BC1:BD1"/>
    <mergeCell ref="BF1:BG1"/>
    <mergeCell ref="BI1:BJ1"/>
    <mergeCell ref="BL1:BM1"/>
    <mergeCell ref="BO1:BP1"/>
    <mergeCell ref="BR1:BS1"/>
    <mergeCell ref="BU1:BV1"/>
    <mergeCell ref="BX1:BY1"/>
    <mergeCell ref="CA1:C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F71C-3CDB-4668-B5AE-3F8203180EEE}">
  <dimension ref="A1:BN48"/>
  <sheetViews>
    <sheetView tabSelected="1" zoomScale="19" zoomScaleNormal="19" zoomScaleSheetLayoutView="40" workbookViewId="0">
      <selection activeCell="K38" sqref="K38"/>
    </sheetView>
  </sheetViews>
  <sheetFormatPr defaultColWidth="9.109375" defaultRowHeight="33.6" x14ac:dyDescent="0.3"/>
  <cols>
    <col min="1" max="1" width="95.109375" style="109" customWidth="1"/>
    <col min="2" max="2" width="2.6640625" style="108" customWidth="1"/>
    <col min="3" max="3" width="19.33203125" style="107" customWidth="1"/>
    <col min="4" max="4" width="2.6640625" style="108" customWidth="1"/>
    <col min="5" max="5" width="19.6640625" style="107" customWidth="1"/>
    <col min="6" max="6" width="2.6640625" style="108" customWidth="1"/>
    <col min="7" max="7" width="19.6640625" style="107" customWidth="1"/>
    <col min="8" max="8" width="2.6640625" style="108" customWidth="1"/>
    <col min="9" max="9" width="19.6640625" style="107" customWidth="1"/>
    <col min="10" max="10" width="2.6640625" style="108" customWidth="1"/>
    <col min="11" max="11" width="19.6640625" style="107" customWidth="1"/>
    <col min="12" max="12" width="2.6640625" style="108" customWidth="1"/>
    <col min="13" max="13" width="19.6640625" style="107" customWidth="1"/>
    <col min="14" max="14" width="2.6640625" style="108" customWidth="1"/>
    <col min="15" max="15" width="19.6640625" style="107" customWidth="1"/>
    <col min="16" max="16" width="2.6640625" style="108" customWidth="1"/>
    <col min="17" max="17" width="19.6640625" style="107" customWidth="1"/>
    <col min="18" max="18" width="2.6640625" style="108" customWidth="1"/>
    <col min="19" max="19" width="19.6640625" style="107" customWidth="1"/>
    <col min="20" max="20" width="2.6640625" style="108" customWidth="1"/>
    <col min="21" max="21" width="19.6640625" style="107" customWidth="1"/>
    <col min="22" max="22" width="2.6640625" style="108" customWidth="1"/>
    <col min="23" max="23" width="19.6640625" style="107" customWidth="1"/>
    <col min="24" max="24" width="2.6640625" style="108" customWidth="1"/>
    <col min="25" max="25" width="19.6640625" style="107" customWidth="1"/>
    <col min="26" max="26" width="8.77734375" style="104" customWidth="1"/>
    <col min="27" max="27" width="145.6640625" style="106" customWidth="1"/>
    <col min="28" max="28" width="24.6640625" style="105" customWidth="1"/>
    <col min="29" max="29" width="8.77734375" style="104" customWidth="1"/>
    <col min="30" max="30" width="145.6640625" style="106" customWidth="1"/>
    <col min="31" max="31" width="24.6640625" style="105" customWidth="1"/>
    <col min="32" max="32" width="8.77734375" style="104" customWidth="1"/>
    <col min="33" max="33" width="145.6640625" style="106" customWidth="1"/>
    <col min="34" max="34" width="24.6640625" style="105" customWidth="1"/>
    <col min="35" max="35" width="8.77734375" style="104" customWidth="1"/>
    <col min="36" max="36" width="145.6640625" style="106" customWidth="1"/>
    <col min="37" max="37" width="24.6640625" style="105" customWidth="1"/>
    <col min="38" max="38" width="8.77734375" style="104" customWidth="1"/>
    <col min="39" max="39" width="145.6640625" style="106" customWidth="1"/>
    <col min="40" max="40" width="24.6640625" style="105" customWidth="1"/>
    <col min="41" max="41" width="8.77734375" style="104" customWidth="1"/>
    <col min="42" max="42" width="145.6640625" style="106" customWidth="1"/>
    <col min="43" max="43" width="24.6640625" style="105" customWidth="1"/>
    <col min="44" max="44" width="8.77734375" style="104" customWidth="1"/>
    <col min="45" max="45" width="145.6640625" style="106" customWidth="1"/>
    <col min="46" max="46" width="24.6640625" style="105" customWidth="1"/>
    <col min="47" max="47" width="8.77734375" style="104" customWidth="1"/>
    <col min="48" max="48" width="145.6640625" style="106" customWidth="1"/>
    <col min="49" max="49" width="24.6640625" style="105" customWidth="1"/>
    <col min="50" max="50" width="8.77734375" style="104" hidden="1" customWidth="1"/>
    <col min="51" max="51" width="145.6640625" style="106" hidden="1" customWidth="1"/>
    <col min="52" max="52" width="24.6640625" style="105" hidden="1" customWidth="1"/>
    <col min="53" max="53" width="8.77734375" style="104" hidden="1" customWidth="1"/>
    <col min="54" max="54" width="145.6640625" style="106" hidden="1" customWidth="1"/>
    <col min="55" max="55" width="24.6640625" style="105" hidden="1" customWidth="1"/>
    <col min="56" max="56" width="8.77734375" style="104" hidden="1" customWidth="1"/>
    <col min="57" max="57" width="145.6640625" style="106" hidden="1" customWidth="1"/>
    <col min="58" max="58" width="24.6640625" style="105" hidden="1" customWidth="1"/>
    <col min="59" max="59" width="8.77734375" style="104" customWidth="1"/>
    <col min="60" max="60" width="145.6640625" style="106" hidden="1" customWidth="1"/>
    <col min="61" max="61" width="24.6640625" style="105" hidden="1" customWidth="1"/>
    <col min="62" max="62" width="145.6640625" style="106" customWidth="1"/>
    <col min="63" max="63" width="24.6640625" style="105" customWidth="1"/>
    <col min="64" max="64" width="8.77734375" style="104" customWidth="1"/>
    <col min="65" max="65" width="145.6640625" style="106" customWidth="1"/>
    <col min="66" max="66" width="24.6640625" style="105" customWidth="1"/>
    <col min="67" max="67" width="8.77734375" style="104" customWidth="1"/>
    <col min="68" max="68" width="5.6640625" style="104" customWidth="1"/>
    <col min="69" max="16384" width="9.109375" style="104"/>
  </cols>
  <sheetData>
    <row r="1" spans="1:66" s="131" customFormat="1" ht="54" customHeight="1" thickBot="1" x14ac:dyDescent="1.1499999999999999">
      <c r="A1" s="141" t="s">
        <v>112</v>
      </c>
      <c r="B1" s="140"/>
      <c r="C1" s="139" t="s">
        <v>111</v>
      </c>
      <c r="D1" s="138"/>
      <c r="E1" s="135" t="s">
        <v>110</v>
      </c>
      <c r="F1" s="136"/>
      <c r="G1" s="137" t="s">
        <v>109</v>
      </c>
      <c r="H1" s="136"/>
      <c r="I1" s="135" t="s">
        <v>82</v>
      </c>
      <c r="J1" s="136"/>
      <c r="K1" s="137" t="s">
        <v>83</v>
      </c>
      <c r="L1" s="136"/>
      <c r="M1" s="135" t="s">
        <v>108</v>
      </c>
      <c r="N1" s="136"/>
      <c r="O1" s="137" t="s">
        <v>107</v>
      </c>
      <c r="P1" s="136"/>
      <c r="Q1" s="135" t="s">
        <v>86</v>
      </c>
      <c r="R1" s="136"/>
      <c r="S1" s="137" t="s">
        <v>106</v>
      </c>
      <c r="T1" s="136"/>
      <c r="U1" s="135" t="s">
        <v>105</v>
      </c>
      <c r="V1" s="136"/>
      <c r="W1" s="137" t="s">
        <v>104</v>
      </c>
      <c r="X1" s="136"/>
      <c r="Y1" s="135" t="s">
        <v>90</v>
      </c>
      <c r="Z1" s="134"/>
      <c r="AA1" s="150" t="str">
        <f>K1</f>
        <v>LISLE</v>
      </c>
      <c r="AB1" s="151"/>
      <c r="AC1" s="134"/>
      <c r="AD1" s="150" t="s">
        <v>80</v>
      </c>
      <c r="AE1" s="151"/>
      <c r="AF1" s="134"/>
      <c r="AG1" s="150" t="s">
        <v>103</v>
      </c>
      <c r="AH1" s="151"/>
      <c r="AI1" s="134"/>
      <c r="AJ1" s="150" t="s">
        <v>102</v>
      </c>
      <c r="AK1" s="151"/>
      <c r="AL1" s="134"/>
      <c r="AM1" s="150" t="s">
        <v>85</v>
      </c>
      <c r="AN1" s="151"/>
      <c r="AO1" s="134"/>
      <c r="AP1" s="150" t="s">
        <v>86</v>
      </c>
      <c r="AQ1" s="151"/>
      <c r="AR1" s="134"/>
      <c r="AS1" s="150" t="s">
        <v>101</v>
      </c>
      <c r="AT1" s="151"/>
      <c r="AU1" s="134"/>
      <c r="AV1" s="150" t="s">
        <v>82</v>
      </c>
      <c r="AW1" s="151"/>
      <c r="AX1" s="134"/>
      <c r="AY1" s="150" t="s">
        <v>100</v>
      </c>
      <c r="AZ1" s="151"/>
      <c r="BA1" s="134"/>
      <c r="BB1" s="150"/>
      <c r="BC1" s="151"/>
      <c r="BD1" s="134"/>
      <c r="BE1" s="150" t="s">
        <v>90</v>
      </c>
      <c r="BF1" s="151"/>
      <c r="BG1" s="134"/>
      <c r="BH1" s="152"/>
      <c r="BI1" s="153"/>
      <c r="BJ1" s="150" t="s">
        <v>87</v>
      </c>
      <c r="BK1" s="151"/>
      <c r="BM1" s="152"/>
      <c r="BN1" s="153"/>
    </row>
    <row r="2" spans="1:66" s="131" customFormat="1" ht="25.05" customHeight="1" thickTop="1" thickBot="1" x14ac:dyDescent="0.7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AA2" s="132"/>
      <c r="AB2" s="132"/>
      <c r="AD2" s="132"/>
      <c r="AE2" s="132"/>
      <c r="AG2" s="132"/>
      <c r="AH2" s="132"/>
      <c r="AJ2" s="132"/>
      <c r="AK2" s="132"/>
      <c r="AM2" s="132"/>
      <c r="AN2" s="132"/>
      <c r="AP2" s="132"/>
      <c r="AQ2" s="132"/>
      <c r="AS2" s="132"/>
      <c r="AT2" s="132"/>
      <c r="AV2" s="132"/>
      <c r="AW2" s="132"/>
      <c r="AY2" s="132"/>
      <c r="AZ2" s="132"/>
      <c r="BB2" s="132"/>
      <c r="BC2" s="132"/>
      <c r="BE2" s="132"/>
      <c r="BF2" s="132"/>
      <c r="BH2" s="132"/>
      <c r="BI2" s="132"/>
      <c r="BJ2" s="132"/>
      <c r="BK2" s="132"/>
      <c r="BM2" s="132"/>
      <c r="BN2" s="132"/>
    </row>
    <row r="3" spans="1:66" s="111" customFormat="1" ht="52.95" customHeight="1" thickTop="1" x14ac:dyDescent="0.85">
      <c r="A3" s="122" t="s">
        <v>20</v>
      </c>
      <c r="B3" s="120"/>
      <c r="C3" s="122">
        <f t="shared" ref="C3:C46" si="0">SUM(E3:Y3)</f>
        <v>18</v>
      </c>
      <c r="D3" s="126"/>
      <c r="E3" s="123">
        <v>2</v>
      </c>
      <c r="F3" s="120"/>
      <c r="G3" s="122">
        <v>3</v>
      </c>
      <c r="H3" s="120"/>
      <c r="I3" s="123">
        <v>1</v>
      </c>
      <c r="J3" s="120"/>
      <c r="K3" s="122">
        <v>3</v>
      </c>
      <c r="L3" s="120"/>
      <c r="M3" s="123">
        <v>2</v>
      </c>
      <c r="N3" s="120"/>
      <c r="O3" s="122">
        <v>1</v>
      </c>
      <c r="P3" s="120"/>
      <c r="Q3" s="123">
        <v>1</v>
      </c>
      <c r="R3" s="120"/>
      <c r="S3" s="122">
        <v>3</v>
      </c>
      <c r="T3" s="120"/>
      <c r="U3" s="123">
        <v>2</v>
      </c>
      <c r="V3" s="120"/>
      <c r="W3" s="130"/>
      <c r="X3" s="129"/>
      <c r="Y3" s="128"/>
      <c r="Z3" s="116"/>
      <c r="AA3" s="115" t="str">
        <f t="shared" ref="AA3:AA46" si="1">A3</f>
        <v>DINNER NAPKIN</v>
      </c>
      <c r="AB3" s="114">
        <f t="shared" ref="AB3:AB46" si="2">K3</f>
        <v>3</v>
      </c>
      <c r="AC3" s="116"/>
      <c r="AD3" s="115" t="str">
        <f t="shared" ref="AD3:AD46" si="3">A3</f>
        <v>DINNER NAPKIN</v>
      </c>
      <c r="AE3" s="114">
        <f t="shared" ref="AE3:AE46" si="4">E3</f>
        <v>2</v>
      </c>
      <c r="AF3" s="116"/>
      <c r="AG3" s="115" t="str">
        <f t="shared" ref="AG3:AG46" si="5">A3</f>
        <v>DINNER NAPKIN</v>
      </c>
      <c r="AH3" s="114">
        <f t="shared" ref="AH3:AH46" si="6">G3</f>
        <v>3</v>
      </c>
      <c r="AI3" s="116"/>
      <c r="AJ3" s="115" t="str">
        <f t="shared" ref="AJ3:AJ46" si="7">A3</f>
        <v>DINNER NAPKIN</v>
      </c>
      <c r="AK3" s="114">
        <f t="shared" ref="AK3:AK46" si="8">U3</f>
        <v>2</v>
      </c>
      <c r="AL3" s="116"/>
      <c r="AM3" s="115" t="str">
        <f t="shared" ref="AM3:AM46" si="9">A3</f>
        <v>DINNER NAPKIN</v>
      </c>
      <c r="AN3" s="114">
        <f t="shared" ref="AN3:AN46" si="10">O3</f>
        <v>1</v>
      </c>
      <c r="AO3" s="116"/>
      <c r="AP3" s="115" t="str">
        <f t="shared" ref="AP3:AP46" si="11">A3</f>
        <v>DINNER NAPKIN</v>
      </c>
      <c r="AQ3" s="114">
        <f t="shared" ref="AQ3:AQ46" si="12">Q3</f>
        <v>1</v>
      </c>
      <c r="AR3" s="116"/>
      <c r="AS3" s="115" t="str">
        <f t="shared" ref="AS3:AS46" si="13">A3</f>
        <v>DINNER NAPKIN</v>
      </c>
      <c r="AT3" s="114">
        <f t="shared" ref="AT3:AT46" si="14">M3</f>
        <v>2</v>
      </c>
      <c r="AU3" s="116"/>
      <c r="AV3" s="115" t="str">
        <f t="shared" ref="AV3:AV46" si="15">A3</f>
        <v>DINNER NAPKIN</v>
      </c>
      <c r="AW3" s="114">
        <f t="shared" ref="AW3:AW46" si="16">I3</f>
        <v>1</v>
      </c>
      <c r="AX3" s="116"/>
      <c r="AY3" s="115" t="str">
        <f t="shared" ref="AY3:AY46" si="17">A3</f>
        <v>DINNER NAPKIN</v>
      </c>
      <c r="AZ3" s="114">
        <f t="shared" ref="AZ3:AZ46" si="18">W3</f>
        <v>0</v>
      </c>
      <c r="BA3" s="116"/>
      <c r="BB3" s="115"/>
      <c r="BC3" s="114"/>
      <c r="BD3" s="116"/>
      <c r="BE3" s="115" t="str">
        <f t="shared" ref="BE3:BE46" si="19">A3</f>
        <v>DINNER NAPKIN</v>
      </c>
      <c r="BF3" s="114">
        <f t="shared" ref="BF3:BF46" si="20">Y3</f>
        <v>0</v>
      </c>
      <c r="BG3" s="116"/>
      <c r="BH3" s="113"/>
      <c r="BI3" s="112"/>
      <c r="BJ3" s="115" t="str">
        <f t="shared" ref="BJ3:BJ46" si="21">A3</f>
        <v>DINNER NAPKIN</v>
      </c>
      <c r="BK3" s="114">
        <f t="shared" ref="BK3:BK46" si="22">S3</f>
        <v>3</v>
      </c>
      <c r="BM3" s="113"/>
      <c r="BN3" s="112"/>
    </row>
    <row r="4" spans="1:66" s="111" customFormat="1" ht="52.95" customHeight="1" x14ac:dyDescent="0.85">
      <c r="A4" s="122" t="s">
        <v>67</v>
      </c>
      <c r="B4" s="120"/>
      <c r="C4" s="122">
        <f t="shared" si="0"/>
        <v>37</v>
      </c>
      <c r="D4" s="126"/>
      <c r="E4" s="123">
        <v>2</v>
      </c>
      <c r="F4" s="120"/>
      <c r="G4" s="122">
        <v>6</v>
      </c>
      <c r="H4" s="120"/>
      <c r="I4" s="123">
        <v>5</v>
      </c>
      <c r="J4" s="120"/>
      <c r="K4" s="122">
        <v>5</v>
      </c>
      <c r="L4" s="120"/>
      <c r="M4" s="123">
        <v>3</v>
      </c>
      <c r="N4" s="120"/>
      <c r="O4" s="122">
        <v>3</v>
      </c>
      <c r="P4" s="120"/>
      <c r="Q4" s="123">
        <v>4</v>
      </c>
      <c r="R4" s="120"/>
      <c r="S4" s="122">
        <v>6</v>
      </c>
      <c r="T4" s="120"/>
      <c r="U4" s="123">
        <v>3</v>
      </c>
      <c r="V4" s="120"/>
      <c r="W4" s="122"/>
      <c r="X4" s="120"/>
      <c r="Y4" s="123"/>
      <c r="Z4" s="116"/>
      <c r="AA4" s="115" t="str">
        <f t="shared" si="1"/>
        <v>TORTA - 8X6 32oz</v>
      </c>
      <c r="AB4" s="114">
        <f t="shared" si="2"/>
        <v>5</v>
      </c>
      <c r="AC4" s="116"/>
      <c r="AD4" s="115" t="str">
        <f t="shared" si="3"/>
        <v>TORTA - 8X6 32oz</v>
      </c>
      <c r="AE4" s="114">
        <f t="shared" si="4"/>
        <v>2</v>
      </c>
      <c r="AF4" s="116"/>
      <c r="AG4" s="115" t="str">
        <f t="shared" si="5"/>
        <v>TORTA - 8X6 32oz</v>
      </c>
      <c r="AH4" s="114">
        <f t="shared" si="6"/>
        <v>6</v>
      </c>
      <c r="AI4" s="116"/>
      <c r="AJ4" s="115" t="str">
        <f t="shared" si="7"/>
        <v>TORTA - 8X6 32oz</v>
      </c>
      <c r="AK4" s="114">
        <f t="shared" si="8"/>
        <v>3</v>
      </c>
      <c r="AL4" s="116"/>
      <c r="AM4" s="115" t="str">
        <f t="shared" si="9"/>
        <v>TORTA - 8X6 32oz</v>
      </c>
      <c r="AN4" s="114">
        <f t="shared" si="10"/>
        <v>3</v>
      </c>
      <c r="AO4" s="116"/>
      <c r="AP4" s="115" t="str">
        <f t="shared" si="11"/>
        <v>TORTA - 8X6 32oz</v>
      </c>
      <c r="AQ4" s="114">
        <f t="shared" si="12"/>
        <v>4</v>
      </c>
      <c r="AR4" s="116"/>
      <c r="AS4" s="115" t="str">
        <f t="shared" si="13"/>
        <v>TORTA - 8X6 32oz</v>
      </c>
      <c r="AT4" s="114">
        <f t="shared" si="14"/>
        <v>3</v>
      </c>
      <c r="AU4" s="116"/>
      <c r="AV4" s="115" t="str">
        <f t="shared" si="15"/>
        <v>TORTA - 8X6 32oz</v>
      </c>
      <c r="AW4" s="114">
        <f t="shared" si="16"/>
        <v>5</v>
      </c>
      <c r="AX4" s="116"/>
      <c r="AY4" s="115" t="str">
        <f t="shared" si="17"/>
        <v>TORTA - 8X6 32oz</v>
      </c>
      <c r="AZ4" s="114">
        <f t="shared" si="18"/>
        <v>0</v>
      </c>
      <c r="BA4" s="116"/>
      <c r="BB4" s="115"/>
      <c r="BC4" s="114"/>
      <c r="BD4" s="116"/>
      <c r="BE4" s="115" t="str">
        <f t="shared" si="19"/>
        <v>TORTA - 8X6 32oz</v>
      </c>
      <c r="BF4" s="114">
        <f t="shared" si="20"/>
        <v>0</v>
      </c>
      <c r="BG4" s="116"/>
      <c r="BH4" s="113"/>
      <c r="BI4" s="112"/>
      <c r="BJ4" s="115" t="str">
        <f t="shared" si="21"/>
        <v>TORTA - 8X6 32oz</v>
      </c>
      <c r="BK4" s="114">
        <f t="shared" si="22"/>
        <v>6</v>
      </c>
      <c r="BM4" s="113"/>
      <c r="BN4" s="112"/>
    </row>
    <row r="5" spans="1:66" s="111" customFormat="1" ht="52.95" customHeight="1" x14ac:dyDescent="0.85">
      <c r="A5" s="122" t="s">
        <v>21</v>
      </c>
      <c r="B5" s="120"/>
      <c r="C5" s="122">
        <f t="shared" si="0"/>
        <v>11</v>
      </c>
      <c r="D5" s="126"/>
      <c r="E5" s="117">
        <v>1</v>
      </c>
      <c r="F5" s="120"/>
      <c r="G5" s="119">
        <v>1</v>
      </c>
      <c r="H5" s="120"/>
      <c r="I5" s="117">
        <v>2</v>
      </c>
      <c r="J5" s="120"/>
      <c r="K5" s="119">
        <v>2</v>
      </c>
      <c r="L5" s="120"/>
      <c r="M5" s="117">
        <v>1</v>
      </c>
      <c r="N5" s="120"/>
      <c r="O5" s="119">
        <v>1</v>
      </c>
      <c r="P5" s="120"/>
      <c r="Q5" s="117">
        <v>1</v>
      </c>
      <c r="R5" s="120"/>
      <c r="S5" s="119">
        <v>1</v>
      </c>
      <c r="T5" s="120"/>
      <c r="U5" s="117">
        <v>1</v>
      </c>
      <c r="V5" s="120"/>
      <c r="W5" s="119"/>
      <c r="X5" s="120"/>
      <c r="Y5" s="117"/>
      <c r="Z5" s="116"/>
      <c r="AA5" s="115" t="str">
        <f t="shared" si="1"/>
        <v>CLEAR CUP 24oz</v>
      </c>
      <c r="AB5" s="114">
        <f t="shared" si="2"/>
        <v>2</v>
      </c>
      <c r="AC5" s="116"/>
      <c r="AD5" s="115" t="str">
        <f t="shared" si="3"/>
        <v>CLEAR CUP 24oz</v>
      </c>
      <c r="AE5" s="114">
        <f t="shared" si="4"/>
        <v>1</v>
      </c>
      <c r="AF5" s="116"/>
      <c r="AG5" s="115" t="str">
        <f t="shared" si="5"/>
        <v>CLEAR CUP 24oz</v>
      </c>
      <c r="AH5" s="114">
        <f t="shared" si="6"/>
        <v>1</v>
      </c>
      <c r="AI5" s="116"/>
      <c r="AJ5" s="115" t="str">
        <f t="shared" si="7"/>
        <v>CLEAR CUP 24oz</v>
      </c>
      <c r="AK5" s="114">
        <f t="shared" si="8"/>
        <v>1</v>
      </c>
      <c r="AL5" s="116"/>
      <c r="AM5" s="115" t="str">
        <f t="shared" si="9"/>
        <v>CLEAR CUP 24oz</v>
      </c>
      <c r="AN5" s="114">
        <f t="shared" si="10"/>
        <v>1</v>
      </c>
      <c r="AO5" s="116"/>
      <c r="AP5" s="115" t="str">
        <f t="shared" si="11"/>
        <v>CLEAR CUP 24oz</v>
      </c>
      <c r="AQ5" s="114">
        <f t="shared" si="12"/>
        <v>1</v>
      </c>
      <c r="AR5" s="116"/>
      <c r="AS5" s="115" t="str">
        <f t="shared" si="13"/>
        <v>CLEAR CUP 24oz</v>
      </c>
      <c r="AT5" s="114">
        <f t="shared" si="14"/>
        <v>1</v>
      </c>
      <c r="AU5" s="116"/>
      <c r="AV5" s="115" t="str">
        <f t="shared" si="15"/>
        <v>CLEAR CUP 24oz</v>
      </c>
      <c r="AW5" s="114">
        <f t="shared" si="16"/>
        <v>2</v>
      </c>
      <c r="AX5" s="116"/>
      <c r="AY5" s="115" t="str">
        <f t="shared" si="17"/>
        <v>CLEAR CUP 24oz</v>
      </c>
      <c r="AZ5" s="114">
        <f t="shared" si="18"/>
        <v>0</v>
      </c>
      <c r="BA5" s="116"/>
      <c r="BB5" s="115"/>
      <c r="BC5" s="114"/>
      <c r="BD5" s="116"/>
      <c r="BE5" s="115" t="str">
        <f t="shared" si="19"/>
        <v>CLEAR CUP 24oz</v>
      </c>
      <c r="BF5" s="114">
        <f t="shared" si="20"/>
        <v>0</v>
      </c>
      <c r="BG5" s="116"/>
      <c r="BH5" s="113"/>
      <c r="BI5" s="112"/>
      <c r="BJ5" s="115" t="str">
        <f t="shared" si="21"/>
        <v>CLEAR CUP 24oz</v>
      </c>
      <c r="BK5" s="114">
        <f t="shared" si="22"/>
        <v>1</v>
      </c>
      <c r="BM5" s="113"/>
      <c r="BN5" s="112"/>
    </row>
    <row r="6" spans="1:66" s="111" customFormat="1" ht="52.95" customHeight="1" x14ac:dyDescent="0.85">
      <c r="A6" s="122" t="s">
        <v>22</v>
      </c>
      <c r="B6" s="120"/>
      <c r="C6" s="122">
        <f t="shared" si="0"/>
        <v>4</v>
      </c>
      <c r="D6" s="126"/>
      <c r="E6" s="117"/>
      <c r="F6" s="120"/>
      <c r="G6" s="119">
        <v>1</v>
      </c>
      <c r="H6" s="120"/>
      <c r="I6" s="117">
        <v>1</v>
      </c>
      <c r="J6" s="120"/>
      <c r="K6" s="119">
        <v>1</v>
      </c>
      <c r="L6" s="120"/>
      <c r="M6" s="117"/>
      <c r="N6" s="120"/>
      <c r="O6" s="119"/>
      <c r="P6" s="120"/>
      <c r="Q6" s="117"/>
      <c r="R6" s="120"/>
      <c r="S6" s="119"/>
      <c r="T6" s="120"/>
      <c r="U6" s="117">
        <v>1</v>
      </c>
      <c r="V6" s="120"/>
      <c r="W6" s="119"/>
      <c r="X6" s="120"/>
      <c r="Y6" s="117"/>
      <c r="Z6" s="116"/>
      <c r="AA6" s="115" t="str">
        <f t="shared" si="1"/>
        <v>CLEAR CUP 12oz</v>
      </c>
      <c r="AB6" s="114">
        <f t="shared" si="2"/>
        <v>1</v>
      </c>
      <c r="AC6" s="116"/>
      <c r="AD6" s="115" t="str">
        <f t="shared" si="3"/>
        <v>CLEAR CUP 12oz</v>
      </c>
      <c r="AE6" s="114">
        <f t="shared" si="4"/>
        <v>0</v>
      </c>
      <c r="AF6" s="116"/>
      <c r="AG6" s="115" t="str">
        <f t="shared" si="5"/>
        <v>CLEAR CUP 12oz</v>
      </c>
      <c r="AH6" s="114">
        <f t="shared" si="6"/>
        <v>1</v>
      </c>
      <c r="AI6" s="116"/>
      <c r="AJ6" s="115" t="str">
        <f t="shared" si="7"/>
        <v>CLEAR CUP 12oz</v>
      </c>
      <c r="AK6" s="114">
        <f t="shared" si="8"/>
        <v>1</v>
      </c>
      <c r="AL6" s="116"/>
      <c r="AM6" s="115" t="str">
        <f t="shared" si="9"/>
        <v>CLEAR CUP 12oz</v>
      </c>
      <c r="AN6" s="114">
        <f t="shared" si="10"/>
        <v>0</v>
      </c>
      <c r="AO6" s="116"/>
      <c r="AP6" s="115" t="str">
        <f t="shared" si="11"/>
        <v>CLEAR CUP 12oz</v>
      </c>
      <c r="AQ6" s="114">
        <f t="shared" si="12"/>
        <v>0</v>
      </c>
      <c r="AR6" s="116"/>
      <c r="AS6" s="115" t="str">
        <f t="shared" si="13"/>
        <v>CLEAR CUP 12oz</v>
      </c>
      <c r="AT6" s="114">
        <f t="shared" si="14"/>
        <v>0</v>
      </c>
      <c r="AU6" s="116"/>
      <c r="AV6" s="115" t="str">
        <f t="shared" si="15"/>
        <v>CLEAR CUP 12oz</v>
      </c>
      <c r="AW6" s="114">
        <f t="shared" si="16"/>
        <v>1</v>
      </c>
      <c r="AX6" s="116"/>
      <c r="AY6" s="115" t="str">
        <f t="shared" si="17"/>
        <v>CLEAR CUP 12oz</v>
      </c>
      <c r="AZ6" s="114">
        <f t="shared" si="18"/>
        <v>0</v>
      </c>
      <c r="BA6" s="116"/>
      <c r="BB6" s="115"/>
      <c r="BC6" s="114"/>
      <c r="BD6" s="116"/>
      <c r="BE6" s="115" t="str">
        <f t="shared" si="19"/>
        <v>CLEAR CUP 12oz</v>
      </c>
      <c r="BF6" s="114">
        <f t="shared" si="20"/>
        <v>0</v>
      </c>
      <c r="BG6" s="116"/>
      <c r="BH6" s="113"/>
      <c r="BI6" s="112"/>
      <c r="BJ6" s="115" t="str">
        <f t="shared" si="21"/>
        <v>CLEAR CUP 12oz</v>
      </c>
      <c r="BK6" s="114">
        <f t="shared" si="22"/>
        <v>0</v>
      </c>
      <c r="BM6" s="113"/>
      <c r="BN6" s="112"/>
    </row>
    <row r="7" spans="1:66" s="111" customFormat="1" ht="52.95" customHeight="1" x14ac:dyDescent="0.85">
      <c r="A7" s="122" t="s">
        <v>23</v>
      </c>
      <c r="B7" s="120"/>
      <c r="C7" s="122">
        <f t="shared" si="0"/>
        <v>4</v>
      </c>
      <c r="D7" s="126"/>
      <c r="E7" s="117"/>
      <c r="F7" s="120"/>
      <c r="G7" s="119"/>
      <c r="H7" s="120"/>
      <c r="I7" s="117"/>
      <c r="J7" s="120"/>
      <c r="K7" s="119">
        <v>1</v>
      </c>
      <c r="L7" s="120"/>
      <c r="M7" s="117">
        <v>1</v>
      </c>
      <c r="N7" s="120"/>
      <c r="O7" s="119"/>
      <c r="P7" s="120"/>
      <c r="Q7" s="117"/>
      <c r="R7" s="120"/>
      <c r="S7" s="119">
        <v>1</v>
      </c>
      <c r="T7" s="120"/>
      <c r="U7" s="117">
        <v>1</v>
      </c>
      <c r="V7" s="120"/>
      <c r="W7" s="119"/>
      <c r="X7" s="120"/>
      <c r="Y7" s="117"/>
      <c r="Z7" s="116"/>
      <c r="AA7" s="115" t="str">
        <f t="shared" si="1"/>
        <v>LIDS 16oz 24oz</v>
      </c>
      <c r="AB7" s="114">
        <f t="shared" si="2"/>
        <v>1</v>
      </c>
      <c r="AC7" s="116"/>
      <c r="AD7" s="115" t="str">
        <f t="shared" si="3"/>
        <v>LIDS 16oz 24oz</v>
      </c>
      <c r="AE7" s="114">
        <f t="shared" si="4"/>
        <v>0</v>
      </c>
      <c r="AF7" s="116"/>
      <c r="AG7" s="115" t="str">
        <f t="shared" si="5"/>
        <v>LIDS 16oz 24oz</v>
      </c>
      <c r="AH7" s="114">
        <f t="shared" si="6"/>
        <v>0</v>
      </c>
      <c r="AI7" s="116"/>
      <c r="AJ7" s="115" t="str">
        <f t="shared" si="7"/>
        <v>LIDS 16oz 24oz</v>
      </c>
      <c r="AK7" s="114">
        <f t="shared" si="8"/>
        <v>1</v>
      </c>
      <c r="AL7" s="116"/>
      <c r="AM7" s="115" t="str">
        <f t="shared" si="9"/>
        <v>LIDS 16oz 24oz</v>
      </c>
      <c r="AN7" s="114">
        <f t="shared" si="10"/>
        <v>0</v>
      </c>
      <c r="AO7" s="116"/>
      <c r="AP7" s="115" t="str">
        <f t="shared" si="11"/>
        <v>LIDS 16oz 24oz</v>
      </c>
      <c r="AQ7" s="114">
        <f t="shared" si="12"/>
        <v>0</v>
      </c>
      <c r="AR7" s="116"/>
      <c r="AS7" s="115" t="str">
        <f t="shared" si="13"/>
        <v>LIDS 16oz 24oz</v>
      </c>
      <c r="AT7" s="114">
        <f t="shared" si="14"/>
        <v>1</v>
      </c>
      <c r="AU7" s="116"/>
      <c r="AV7" s="115" t="str">
        <f t="shared" si="15"/>
        <v>LIDS 16oz 24oz</v>
      </c>
      <c r="AW7" s="114">
        <f t="shared" si="16"/>
        <v>0</v>
      </c>
      <c r="AX7" s="116"/>
      <c r="AY7" s="115" t="str">
        <f t="shared" si="17"/>
        <v>LIDS 16oz 24oz</v>
      </c>
      <c r="AZ7" s="114">
        <f t="shared" si="18"/>
        <v>0</v>
      </c>
      <c r="BA7" s="116"/>
      <c r="BB7" s="115"/>
      <c r="BC7" s="114"/>
      <c r="BD7" s="116"/>
      <c r="BE7" s="115" t="str">
        <f t="shared" si="19"/>
        <v>LIDS 16oz 24oz</v>
      </c>
      <c r="BF7" s="114">
        <f t="shared" si="20"/>
        <v>0</v>
      </c>
      <c r="BG7" s="116"/>
      <c r="BH7" s="113"/>
      <c r="BI7" s="112"/>
      <c r="BJ7" s="115" t="str">
        <f t="shared" si="21"/>
        <v>LIDS 16oz 24oz</v>
      </c>
      <c r="BK7" s="114">
        <f t="shared" si="22"/>
        <v>1</v>
      </c>
      <c r="BM7" s="113"/>
      <c r="BN7" s="112"/>
    </row>
    <row r="8" spans="1:66" s="111" customFormat="1" ht="52.95" customHeight="1" x14ac:dyDescent="0.85">
      <c r="A8" s="122" t="s">
        <v>24</v>
      </c>
      <c r="B8" s="120"/>
      <c r="C8" s="122">
        <f t="shared" si="0"/>
        <v>1</v>
      </c>
      <c r="D8" s="126"/>
      <c r="E8" s="117"/>
      <c r="F8" s="120"/>
      <c r="G8" s="119"/>
      <c r="H8" s="120"/>
      <c r="I8" s="117"/>
      <c r="J8" s="120"/>
      <c r="K8" s="119">
        <v>1</v>
      </c>
      <c r="L8" s="120"/>
      <c r="M8" s="117"/>
      <c r="N8" s="120"/>
      <c r="O8" s="119"/>
      <c r="P8" s="120"/>
      <c r="Q8" s="117"/>
      <c r="R8" s="120"/>
      <c r="S8" s="119"/>
      <c r="T8" s="120"/>
      <c r="U8" s="117"/>
      <c r="V8" s="120"/>
      <c r="W8" s="119"/>
      <c r="X8" s="120"/>
      <c r="Y8" s="117"/>
      <c r="Z8" s="116"/>
      <c r="AA8" s="115" t="str">
        <f t="shared" si="1"/>
        <v>CUP HOLDER</v>
      </c>
      <c r="AB8" s="114">
        <f t="shared" si="2"/>
        <v>1</v>
      </c>
      <c r="AC8" s="116"/>
      <c r="AD8" s="115" t="str">
        <f t="shared" si="3"/>
        <v>CUP HOLDER</v>
      </c>
      <c r="AE8" s="114">
        <f t="shared" si="4"/>
        <v>0</v>
      </c>
      <c r="AF8" s="116"/>
      <c r="AG8" s="115" t="str">
        <f t="shared" si="5"/>
        <v>CUP HOLDER</v>
      </c>
      <c r="AH8" s="114">
        <f t="shared" si="6"/>
        <v>0</v>
      </c>
      <c r="AI8" s="116"/>
      <c r="AJ8" s="115" t="str">
        <f t="shared" si="7"/>
        <v>CUP HOLDER</v>
      </c>
      <c r="AK8" s="114">
        <f t="shared" si="8"/>
        <v>0</v>
      </c>
      <c r="AL8" s="116"/>
      <c r="AM8" s="115" t="str">
        <f t="shared" si="9"/>
        <v>CUP HOLDER</v>
      </c>
      <c r="AN8" s="114">
        <f t="shared" si="10"/>
        <v>0</v>
      </c>
      <c r="AO8" s="116"/>
      <c r="AP8" s="115" t="str">
        <f t="shared" si="11"/>
        <v>CUP HOLDER</v>
      </c>
      <c r="AQ8" s="114">
        <f t="shared" si="12"/>
        <v>0</v>
      </c>
      <c r="AR8" s="116"/>
      <c r="AS8" s="115" t="str">
        <f t="shared" si="13"/>
        <v>CUP HOLDER</v>
      </c>
      <c r="AT8" s="114">
        <f t="shared" si="14"/>
        <v>0</v>
      </c>
      <c r="AU8" s="116"/>
      <c r="AV8" s="115" t="str">
        <f t="shared" si="15"/>
        <v>CUP HOLDER</v>
      </c>
      <c r="AW8" s="114">
        <f t="shared" si="16"/>
        <v>0</v>
      </c>
      <c r="AX8" s="116"/>
      <c r="AY8" s="115" t="str">
        <f t="shared" si="17"/>
        <v>CUP HOLDER</v>
      </c>
      <c r="AZ8" s="114">
        <f t="shared" si="18"/>
        <v>0</v>
      </c>
      <c r="BA8" s="116"/>
      <c r="BB8" s="115"/>
      <c r="BC8" s="114"/>
      <c r="BD8" s="116"/>
      <c r="BE8" s="115" t="str">
        <f t="shared" si="19"/>
        <v>CUP HOLDER</v>
      </c>
      <c r="BF8" s="114">
        <f t="shared" si="20"/>
        <v>0</v>
      </c>
      <c r="BG8" s="116"/>
      <c r="BH8" s="113"/>
      <c r="BI8" s="112"/>
      <c r="BJ8" s="115" t="str">
        <f t="shared" si="21"/>
        <v>CUP HOLDER</v>
      </c>
      <c r="BK8" s="114">
        <f t="shared" si="22"/>
        <v>0</v>
      </c>
      <c r="BM8" s="113"/>
      <c r="BN8" s="112"/>
    </row>
    <row r="9" spans="1:66" s="111" customFormat="1" ht="52.95" customHeight="1" x14ac:dyDescent="0.85">
      <c r="A9" s="122" t="s">
        <v>73</v>
      </c>
      <c r="B9" s="120"/>
      <c r="C9" s="122">
        <f t="shared" si="0"/>
        <v>3</v>
      </c>
      <c r="D9" s="126"/>
      <c r="E9" s="117"/>
      <c r="F9" s="120"/>
      <c r="G9" s="119">
        <v>1</v>
      </c>
      <c r="H9" s="120"/>
      <c r="I9" s="117"/>
      <c r="J9" s="120"/>
      <c r="K9" s="119">
        <v>1</v>
      </c>
      <c r="L9" s="120"/>
      <c r="M9" s="117"/>
      <c r="N9" s="120"/>
      <c r="O9" s="119"/>
      <c r="P9" s="120"/>
      <c r="Q9" s="117"/>
      <c r="R9" s="120"/>
      <c r="S9" s="119">
        <v>1</v>
      </c>
      <c r="T9" s="120"/>
      <c r="U9" s="117"/>
      <c r="V9" s="120"/>
      <c r="W9" s="119"/>
      <c r="X9" s="120"/>
      <c r="Y9" s="117"/>
      <c r="Z9" s="116"/>
      <c r="AA9" s="115" t="str">
        <f t="shared" si="1"/>
        <v>STRAWS WRAPPED BLACK</v>
      </c>
      <c r="AB9" s="114">
        <f t="shared" si="2"/>
        <v>1</v>
      </c>
      <c r="AC9" s="116"/>
      <c r="AD9" s="115" t="str">
        <f t="shared" si="3"/>
        <v>STRAWS WRAPPED BLACK</v>
      </c>
      <c r="AE9" s="114">
        <f t="shared" si="4"/>
        <v>0</v>
      </c>
      <c r="AF9" s="116"/>
      <c r="AG9" s="115" t="str">
        <f t="shared" si="5"/>
        <v>STRAWS WRAPPED BLACK</v>
      </c>
      <c r="AH9" s="114">
        <f t="shared" si="6"/>
        <v>1</v>
      </c>
      <c r="AI9" s="116"/>
      <c r="AJ9" s="115" t="str">
        <f t="shared" si="7"/>
        <v>STRAWS WRAPPED BLACK</v>
      </c>
      <c r="AK9" s="114">
        <f t="shared" si="8"/>
        <v>0</v>
      </c>
      <c r="AL9" s="116"/>
      <c r="AM9" s="115" t="str">
        <f t="shared" si="9"/>
        <v>STRAWS WRAPPED BLACK</v>
      </c>
      <c r="AN9" s="114">
        <f t="shared" si="10"/>
        <v>0</v>
      </c>
      <c r="AO9" s="116"/>
      <c r="AP9" s="115" t="str">
        <f t="shared" si="11"/>
        <v>STRAWS WRAPPED BLACK</v>
      </c>
      <c r="AQ9" s="114">
        <f t="shared" si="12"/>
        <v>0</v>
      </c>
      <c r="AR9" s="116"/>
      <c r="AS9" s="115" t="str">
        <f t="shared" si="13"/>
        <v>STRAWS WRAPPED BLACK</v>
      </c>
      <c r="AT9" s="114">
        <f t="shared" si="14"/>
        <v>0</v>
      </c>
      <c r="AU9" s="116"/>
      <c r="AV9" s="115" t="str">
        <f t="shared" si="15"/>
        <v>STRAWS WRAPPED BLACK</v>
      </c>
      <c r="AW9" s="114">
        <f t="shared" si="16"/>
        <v>0</v>
      </c>
      <c r="AX9" s="116"/>
      <c r="AY9" s="115" t="str">
        <f t="shared" si="17"/>
        <v>STRAWS WRAPPED BLACK</v>
      </c>
      <c r="AZ9" s="114">
        <f t="shared" si="18"/>
        <v>0</v>
      </c>
      <c r="BA9" s="116"/>
      <c r="BB9" s="115"/>
      <c r="BC9" s="114"/>
      <c r="BD9" s="116"/>
      <c r="BE9" s="115" t="str">
        <f t="shared" si="19"/>
        <v>STRAWS WRAPPED BLACK</v>
      </c>
      <c r="BF9" s="114">
        <f t="shared" si="20"/>
        <v>0</v>
      </c>
      <c r="BG9" s="116"/>
      <c r="BH9" s="113"/>
      <c r="BI9" s="112"/>
      <c r="BJ9" s="115" t="str">
        <f t="shared" si="21"/>
        <v>STRAWS WRAPPED BLACK</v>
      </c>
      <c r="BK9" s="114">
        <f t="shared" si="22"/>
        <v>1</v>
      </c>
      <c r="BM9" s="113"/>
      <c r="BN9" s="112"/>
    </row>
    <row r="10" spans="1:66" s="111" customFormat="1" ht="52.95" customHeight="1" x14ac:dyDescent="0.85">
      <c r="A10" s="125" t="s">
        <v>68</v>
      </c>
      <c r="B10" s="120"/>
      <c r="C10" s="122">
        <f t="shared" si="0"/>
        <v>13</v>
      </c>
      <c r="D10" s="126"/>
      <c r="E10" s="123">
        <v>1</v>
      </c>
      <c r="F10" s="120"/>
      <c r="G10" s="122">
        <v>2</v>
      </c>
      <c r="H10" s="120"/>
      <c r="I10" s="123">
        <v>1</v>
      </c>
      <c r="J10" s="120"/>
      <c r="K10" s="122">
        <v>2</v>
      </c>
      <c r="L10" s="120"/>
      <c r="M10" s="123">
        <v>1</v>
      </c>
      <c r="N10" s="120"/>
      <c r="O10" s="122">
        <v>1</v>
      </c>
      <c r="P10" s="120"/>
      <c r="Q10" s="123">
        <v>1</v>
      </c>
      <c r="R10" s="120"/>
      <c r="S10" s="122">
        <v>2</v>
      </c>
      <c r="T10" s="120"/>
      <c r="U10" s="123">
        <v>2</v>
      </c>
      <c r="V10" s="120"/>
      <c r="W10" s="122"/>
      <c r="X10" s="120"/>
      <c r="Y10" s="123"/>
      <c r="Z10" s="116"/>
      <c r="AA10" s="115" t="str">
        <f t="shared" si="1"/>
        <v>PORTION CUP 1.5oz</v>
      </c>
      <c r="AB10" s="114">
        <f t="shared" si="2"/>
        <v>2</v>
      </c>
      <c r="AC10" s="116"/>
      <c r="AD10" s="115" t="str">
        <f t="shared" si="3"/>
        <v>PORTION CUP 1.5oz</v>
      </c>
      <c r="AE10" s="114">
        <f t="shared" si="4"/>
        <v>1</v>
      </c>
      <c r="AF10" s="116"/>
      <c r="AG10" s="115" t="str">
        <f t="shared" si="5"/>
        <v>PORTION CUP 1.5oz</v>
      </c>
      <c r="AH10" s="114">
        <f t="shared" si="6"/>
        <v>2</v>
      </c>
      <c r="AI10" s="116"/>
      <c r="AJ10" s="115" t="str">
        <f t="shared" si="7"/>
        <v>PORTION CUP 1.5oz</v>
      </c>
      <c r="AK10" s="114">
        <f t="shared" si="8"/>
        <v>2</v>
      </c>
      <c r="AL10" s="116"/>
      <c r="AM10" s="115" t="str">
        <f t="shared" si="9"/>
        <v>PORTION CUP 1.5oz</v>
      </c>
      <c r="AN10" s="114">
        <f t="shared" si="10"/>
        <v>1</v>
      </c>
      <c r="AO10" s="116"/>
      <c r="AP10" s="115" t="str">
        <f t="shared" si="11"/>
        <v>PORTION CUP 1.5oz</v>
      </c>
      <c r="AQ10" s="114">
        <f t="shared" si="12"/>
        <v>1</v>
      </c>
      <c r="AR10" s="116"/>
      <c r="AS10" s="115" t="str">
        <f t="shared" si="13"/>
        <v>PORTION CUP 1.5oz</v>
      </c>
      <c r="AT10" s="114">
        <f t="shared" si="14"/>
        <v>1</v>
      </c>
      <c r="AU10" s="116"/>
      <c r="AV10" s="115" t="str">
        <f t="shared" si="15"/>
        <v>PORTION CUP 1.5oz</v>
      </c>
      <c r="AW10" s="114">
        <f t="shared" si="16"/>
        <v>1</v>
      </c>
      <c r="AX10" s="116"/>
      <c r="AY10" s="115" t="str">
        <f t="shared" si="17"/>
        <v>PORTION CUP 1.5oz</v>
      </c>
      <c r="AZ10" s="114">
        <f t="shared" si="18"/>
        <v>0</v>
      </c>
      <c r="BA10" s="116"/>
      <c r="BB10" s="115"/>
      <c r="BC10" s="114"/>
      <c r="BD10" s="116"/>
      <c r="BE10" s="115" t="str">
        <f t="shared" si="19"/>
        <v>PORTION CUP 1.5oz</v>
      </c>
      <c r="BF10" s="114">
        <f t="shared" si="20"/>
        <v>0</v>
      </c>
      <c r="BG10" s="116"/>
      <c r="BH10" s="113"/>
      <c r="BI10" s="112"/>
      <c r="BJ10" s="115" t="str">
        <f t="shared" si="21"/>
        <v>PORTION CUP 1.5oz</v>
      </c>
      <c r="BK10" s="114">
        <f t="shared" si="22"/>
        <v>2</v>
      </c>
      <c r="BM10" s="113"/>
      <c r="BN10" s="112"/>
    </row>
    <row r="11" spans="1:66" s="111" customFormat="1" ht="52.95" customHeight="1" x14ac:dyDescent="0.85">
      <c r="A11" s="122" t="s">
        <v>69</v>
      </c>
      <c r="B11" s="120"/>
      <c r="C11" s="122">
        <f t="shared" si="0"/>
        <v>13</v>
      </c>
      <c r="D11" s="127"/>
      <c r="E11" s="117">
        <v>1</v>
      </c>
      <c r="F11" s="120"/>
      <c r="G11" s="119">
        <v>2</v>
      </c>
      <c r="H11" s="120"/>
      <c r="I11" s="117">
        <v>1</v>
      </c>
      <c r="J11" s="120"/>
      <c r="K11" s="119">
        <v>2</v>
      </c>
      <c r="L11" s="120"/>
      <c r="M11" s="117">
        <v>1</v>
      </c>
      <c r="N11" s="120"/>
      <c r="O11" s="119">
        <v>1</v>
      </c>
      <c r="P11" s="120"/>
      <c r="Q11" s="117">
        <v>1</v>
      </c>
      <c r="R11" s="120"/>
      <c r="S11" s="119">
        <v>2</v>
      </c>
      <c r="T11" s="120"/>
      <c r="U11" s="117">
        <v>2</v>
      </c>
      <c r="V11" s="120"/>
      <c r="W11" s="119"/>
      <c r="X11" s="120"/>
      <c r="Y11" s="117"/>
      <c r="Z11" s="116"/>
      <c r="AA11" s="115" t="str">
        <f t="shared" si="1"/>
        <v>PORTION LID 2oz</v>
      </c>
      <c r="AB11" s="114">
        <f t="shared" si="2"/>
        <v>2</v>
      </c>
      <c r="AC11" s="116"/>
      <c r="AD11" s="115" t="str">
        <f t="shared" si="3"/>
        <v>PORTION LID 2oz</v>
      </c>
      <c r="AE11" s="114">
        <f t="shared" si="4"/>
        <v>1</v>
      </c>
      <c r="AF11" s="116"/>
      <c r="AG11" s="115" t="str">
        <f t="shared" si="5"/>
        <v>PORTION LID 2oz</v>
      </c>
      <c r="AH11" s="114">
        <f t="shared" si="6"/>
        <v>2</v>
      </c>
      <c r="AI11" s="116"/>
      <c r="AJ11" s="115" t="str">
        <f t="shared" si="7"/>
        <v>PORTION LID 2oz</v>
      </c>
      <c r="AK11" s="114">
        <f t="shared" si="8"/>
        <v>2</v>
      </c>
      <c r="AL11" s="116"/>
      <c r="AM11" s="115" t="str">
        <f t="shared" si="9"/>
        <v>PORTION LID 2oz</v>
      </c>
      <c r="AN11" s="114">
        <f t="shared" si="10"/>
        <v>1</v>
      </c>
      <c r="AO11" s="116"/>
      <c r="AP11" s="115" t="str">
        <f t="shared" si="11"/>
        <v>PORTION LID 2oz</v>
      </c>
      <c r="AQ11" s="114">
        <f t="shared" si="12"/>
        <v>1</v>
      </c>
      <c r="AR11" s="116"/>
      <c r="AS11" s="115" t="str">
        <f t="shared" si="13"/>
        <v>PORTION LID 2oz</v>
      </c>
      <c r="AT11" s="114">
        <f t="shared" si="14"/>
        <v>1</v>
      </c>
      <c r="AU11" s="116"/>
      <c r="AV11" s="115" t="str">
        <f t="shared" si="15"/>
        <v>PORTION LID 2oz</v>
      </c>
      <c r="AW11" s="114">
        <f t="shared" si="16"/>
        <v>1</v>
      </c>
      <c r="AX11" s="116"/>
      <c r="AY11" s="115" t="str">
        <f t="shared" si="17"/>
        <v>PORTION LID 2oz</v>
      </c>
      <c r="AZ11" s="114">
        <f t="shared" si="18"/>
        <v>0</v>
      </c>
      <c r="BA11" s="116"/>
      <c r="BB11" s="115"/>
      <c r="BC11" s="114"/>
      <c r="BD11" s="116"/>
      <c r="BE11" s="115" t="str">
        <f t="shared" si="19"/>
        <v>PORTION LID 2oz</v>
      </c>
      <c r="BF11" s="114">
        <f t="shared" si="20"/>
        <v>0</v>
      </c>
      <c r="BG11" s="116"/>
      <c r="BH11" s="113"/>
      <c r="BI11" s="112"/>
      <c r="BJ11" s="115" t="str">
        <f t="shared" si="21"/>
        <v>PORTION LID 2oz</v>
      </c>
      <c r="BK11" s="114">
        <f t="shared" si="22"/>
        <v>2</v>
      </c>
      <c r="BM11" s="113"/>
      <c r="BN11" s="112"/>
    </row>
    <row r="12" spans="1:66" s="111" customFormat="1" ht="52.95" customHeight="1" x14ac:dyDescent="0.85">
      <c r="A12" s="122" t="s">
        <v>78</v>
      </c>
      <c r="B12" s="120"/>
      <c r="C12" s="115">
        <f t="shared" si="0"/>
        <v>8</v>
      </c>
      <c r="D12" s="126"/>
      <c r="E12" s="123"/>
      <c r="F12" s="120"/>
      <c r="G12" s="122">
        <v>1</v>
      </c>
      <c r="H12" s="120"/>
      <c r="I12" s="123">
        <v>1</v>
      </c>
      <c r="J12" s="120"/>
      <c r="K12" s="122">
        <v>2</v>
      </c>
      <c r="L12" s="120"/>
      <c r="M12" s="123">
        <v>1</v>
      </c>
      <c r="N12" s="120"/>
      <c r="O12" s="122">
        <v>1</v>
      </c>
      <c r="P12" s="120"/>
      <c r="Q12" s="123"/>
      <c r="R12" s="120"/>
      <c r="S12" s="122">
        <v>1</v>
      </c>
      <c r="T12" s="120"/>
      <c r="U12" s="123">
        <v>1</v>
      </c>
      <c r="V12" s="120"/>
      <c r="W12" s="122"/>
      <c r="X12" s="120"/>
      <c r="Y12" s="123"/>
      <c r="Z12" s="116"/>
      <c r="AA12" s="115" t="str">
        <f t="shared" si="1"/>
        <v>KIT FORK &amp; KNIFE HVY</v>
      </c>
      <c r="AB12" s="114">
        <f t="shared" si="2"/>
        <v>2</v>
      </c>
      <c r="AC12" s="116"/>
      <c r="AD12" s="115" t="str">
        <f t="shared" si="3"/>
        <v>KIT FORK &amp; KNIFE HVY</v>
      </c>
      <c r="AE12" s="114">
        <f t="shared" si="4"/>
        <v>0</v>
      </c>
      <c r="AF12" s="116"/>
      <c r="AG12" s="115" t="str">
        <f t="shared" si="5"/>
        <v>KIT FORK &amp; KNIFE HVY</v>
      </c>
      <c r="AH12" s="114">
        <f t="shared" si="6"/>
        <v>1</v>
      </c>
      <c r="AI12" s="116"/>
      <c r="AJ12" s="115" t="str">
        <f t="shared" si="7"/>
        <v>KIT FORK &amp; KNIFE HVY</v>
      </c>
      <c r="AK12" s="114">
        <f t="shared" si="8"/>
        <v>1</v>
      </c>
      <c r="AL12" s="116"/>
      <c r="AM12" s="115" t="str">
        <f t="shared" si="9"/>
        <v>KIT FORK &amp; KNIFE HVY</v>
      </c>
      <c r="AN12" s="114">
        <f t="shared" si="10"/>
        <v>1</v>
      </c>
      <c r="AO12" s="116"/>
      <c r="AP12" s="115" t="str">
        <f t="shared" si="11"/>
        <v>KIT FORK &amp; KNIFE HVY</v>
      </c>
      <c r="AQ12" s="114">
        <f t="shared" si="12"/>
        <v>0</v>
      </c>
      <c r="AR12" s="116"/>
      <c r="AS12" s="115" t="str">
        <f t="shared" si="13"/>
        <v>KIT FORK &amp; KNIFE HVY</v>
      </c>
      <c r="AT12" s="114">
        <f t="shared" si="14"/>
        <v>1</v>
      </c>
      <c r="AU12" s="116"/>
      <c r="AV12" s="115" t="str">
        <f t="shared" si="15"/>
        <v>KIT FORK &amp; KNIFE HVY</v>
      </c>
      <c r="AW12" s="114">
        <f t="shared" si="16"/>
        <v>1</v>
      </c>
      <c r="AX12" s="116"/>
      <c r="AY12" s="115" t="str">
        <f t="shared" si="17"/>
        <v>KIT FORK &amp; KNIFE HVY</v>
      </c>
      <c r="AZ12" s="114">
        <f t="shared" si="18"/>
        <v>0</v>
      </c>
      <c r="BA12" s="116"/>
      <c r="BB12" s="115"/>
      <c r="BC12" s="114"/>
      <c r="BD12" s="116"/>
      <c r="BE12" s="115" t="str">
        <f t="shared" si="19"/>
        <v>KIT FORK &amp; KNIFE HVY</v>
      </c>
      <c r="BF12" s="114">
        <f t="shared" si="20"/>
        <v>0</v>
      </c>
      <c r="BG12" s="116"/>
      <c r="BH12" s="113"/>
      <c r="BI12" s="112"/>
      <c r="BJ12" s="115" t="str">
        <f t="shared" si="21"/>
        <v>KIT FORK &amp; KNIFE HVY</v>
      </c>
      <c r="BK12" s="114">
        <f t="shared" si="22"/>
        <v>1</v>
      </c>
      <c r="BM12" s="113"/>
      <c r="BN12" s="112"/>
    </row>
    <row r="13" spans="1:66" s="111" customFormat="1" ht="52.95" customHeight="1" x14ac:dyDescent="0.85">
      <c r="A13" s="122" t="s">
        <v>77</v>
      </c>
      <c r="B13" s="120"/>
      <c r="C13" s="122">
        <f t="shared" si="0"/>
        <v>8</v>
      </c>
      <c r="D13" s="126"/>
      <c r="E13" s="117">
        <v>2</v>
      </c>
      <c r="F13" s="120"/>
      <c r="G13" s="119">
        <v>1</v>
      </c>
      <c r="H13" s="120"/>
      <c r="I13" s="117">
        <v>1</v>
      </c>
      <c r="J13" s="120"/>
      <c r="K13" s="119">
        <v>1</v>
      </c>
      <c r="L13" s="120"/>
      <c r="M13" s="117"/>
      <c r="N13" s="120"/>
      <c r="O13" s="119">
        <v>1</v>
      </c>
      <c r="P13" s="120"/>
      <c r="Q13" s="117">
        <v>1</v>
      </c>
      <c r="R13" s="120"/>
      <c r="S13" s="119">
        <v>1</v>
      </c>
      <c r="T13" s="120"/>
      <c r="U13" s="117"/>
      <c r="V13" s="120"/>
      <c r="W13" s="119"/>
      <c r="X13" s="120"/>
      <c r="Y13" s="117"/>
      <c r="Z13" s="116"/>
      <c r="AA13" s="115" t="str">
        <f t="shared" si="1"/>
        <v>FORK HD PLASTIC</v>
      </c>
      <c r="AB13" s="114">
        <f t="shared" si="2"/>
        <v>1</v>
      </c>
      <c r="AC13" s="116"/>
      <c r="AD13" s="115" t="str">
        <f t="shared" si="3"/>
        <v>FORK HD PLASTIC</v>
      </c>
      <c r="AE13" s="114">
        <f t="shared" si="4"/>
        <v>2</v>
      </c>
      <c r="AF13" s="116"/>
      <c r="AG13" s="115" t="str">
        <f t="shared" si="5"/>
        <v>FORK HD PLASTIC</v>
      </c>
      <c r="AH13" s="114">
        <f t="shared" si="6"/>
        <v>1</v>
      </c>
      <c r="AI13" s="116"/>
      <c r="AJ13" s="115" t="str">
        <f t="shared" si="7"/>
        <v>FORK HD PLASTIC</v>
      </c>
      <c r="AK13" s="114">
        <f t="shared" si="8"/>
        <v>0</v>
      </c>
      <c r="AL13" s="116"/>
      <c r="AM13" s="115" t="str">
        <f t="shared" si="9"/>
        <v>FORK HD PLASTIC</v>
      </c>
      <c r="AN13" s="114">
        <f t="shared" si="10"/>
        <v>1</v>
      </c>
      <c r="AO13" s="116"/>
      <c r="AP13" s="115" t="str">
        <f t="shared" si="11"/>
        <v>FORK HD PLASTIC</v>
      </c>
      <c r="AQ13" s="114">
        <f t="shared" si="12"/>
        <v>1</v>
      </c>
      <c r="AR13" s="116"/>
      <c r="AS13" s="115" t="str">
        <f t="shared" si="13"/>
        <v>FORK HD PLASTIC</v>
      </c>
      <c r="AT13" s="114">
        <f t="shared" si="14"/>
        <v>0</v>
      </c>
      <c r="AU13" s="116"/>
      <c r="AV13" s="115" t="str">
        <f t="shared" si="15"/>
        <v>FORK HD PLASTIC</v>
      </c>
      <c r="AW13" s="114">
        <f t="shared" si="16"/>
        <v>1</v>
      </c>
      <c r="AX13" s="116"/>
      <c r="AY13" s="115" t="str">
        <f t="shared" si="17"/>
        <v>FORK HD PLASTIC</v>
      </c>
      <c r="AZ13" s="114">
        <f t="shared" si="18"/>
        <v>0</v>
      </c>
      <c r="BA13" s="116"/>
      <c r="BB13" s="115"/>
      <c r="BC13" s="114"/>
      <c r="BD13" s="116"/>
      <c r="BE13" s="115" t="str">
        <f t="shared" si="19"/>
        <v>FORK HD PLASTIC</v>
      </c>
      <c r="BF13" s="114">
        <f t="shared" si="20"/>
        <v>0</v>
      </c>
      <c r="BG13" s="116"/>
      <c r="BH13" s="113"/>
      <c r="BI13" s="112"/>
      <c r="BJ13" s="115" t="str">
        <f t="shared" si="21"/>
        <v>FORK HD PLASTIC</v>
      </c>
      <c r="BK13" s="114">
        <f t="shared" si="22"/>
        <v>1</v>
      </c>
      <c r="BM13" s="113"/>
      <c r="BN13" s="112"/>
    </row>
    <row r="14" spans="1:66" s="111" customFormat="1" ht="52.95" customHeight="1" x14ac:dyDescent="0.85">
      <c r="A14" s="122" t="s">
        <v>79</v>
      </c>
      <c r="B14" s="120"/>
      <c r="C14" s="122">
        <f t="shared" si="0"/>
        <v>2</v>
      </c>
      <c r="D14" s="126"/>
      <c r="E14" s="117"/>
      <c r="F14" s="120"/>
      <c r="G14" s="119">
        <v>1</v>
      </c>
      <c r="H14" s="120"/>
      <c r="I14" s="117"/>
      <c r="J14" s="120"/>
      <c r="K14" s="119">
        <v>1</v>
      </c>
      <c r="L14" s="120"/>
      <c r="M14" s="117"/>
      <c r="N14" s="120"/>
      <c r="O14" s="119"/>
      <c r="P14" s="120"/>
      <c r="Q14" s="117"/>
      <c r="R14" s="120"/>
      <c r="S14" s="119"/>
      <c r="T14" s="120"/>
      <c r="U14" s="117"/>
      <c r="V14" s="120"/>
      <c r="W14" s="119"/>
      <c r="X14" s="120"/>
      <c r="Y14" s="117"/>
      <c r="Z14" s="116"/>
      <c r="AA14" s="115" t="str">
        <f t="shared" si="1"/>
        <v>SPOON PLASTIC</v>
      </c>
      <c r="AB14" s="114">
        <f t="shared" si="2"/>
        <v>1</v>
      </c>
      <c r="AC14" s="116"/>
      <c r="AD14" s="115" t="str">
        <f t="shared" si="3"/>
        <v>SPOON PLASTIC</v>
      </c>
      <c r="AE14" s="114">
        <f t="shared" si="4"/>
        <v>0</v>
      </c>
      <c r="AF14" s="116"/>
      <c r="AG14" s="115" t="str">
        <f t="shared" si="5"/>
        <v>SPOON PLASTIC</v>
      </c>
      <c r="AH14" s="114">
        <f t="shared" si="6"/>
        <v>1</v>
      </c>
      <c r="AI14" s="116"/>
      <c r="AJ14" s="115" t="str">
        <f t="shared" si="7"/>
        <v>SPOON PLASTIC</v>
      </c>
      <c r="AK14" s="114">
        <f t="shared" si="8"/>
        <v>0</v>
      </c>
      <c r="AL14" s="116"/>
      <c r="AM14" s="115" t="str">
        <f t="shared" si="9"/>
        <v>SPOON PLASTIC</v>
      </c>
      <c r="AN14" s="114">
        <f t="shared" si="10"/>
        <v>0</v>
      </c>
      <c r="AO14" s="116"/>
      <c r="AP14" s="115" t="str">
        <f t="shared" si="11"/>
        <v>SPOON PLASTIC</v>
      </c>
      <c r="AQ14" s="114">
        <f t="shared" si="12"/>
        <v>0</v>
      </c>
      <c r="AR14" s="116"/>
      <c r="AS14" s="115" t="str">
        <f t="shared" si="13"/>
        <v>SPOON PLASTIC</v>
      </c>
      <c r="AT14" s="114">
        <f t="shared" si="14"/>
        <v>0</v>
      </c>
      <c r="AU14" s="116"/>
      <c r="AV14" s="115" t="str">
        <f t="shared" si="15"/>
        <v>SPOON PLASTIC</v>
      </c>
      <c r="AW14" s="114">
        <f t="shared" si="16"/>
        <v>0</v>
      </c>
      <c r="AX14" s="116"/>
      <c r="AY14" s="115" t="str">
        <f t="shared" si="17"/>
        <v>SPOON PLASTIC</v>
      </c>
      <c r="AZ14" s="114">
        <f t="shared" si="18"/>
        <v>0</v>
      </c>
      <c r="BA14" s="116"/>
      <c r="BB14" s="115"/>
      <c r="BC14" s="114"/>
      <c r="BD14" s="116"/>
      <c r="BE14" s="115" t="str">
        <f t="shared" si="19"/>
        <v>SPOON PLASTIC</v>
      </c>
      <c r="BF14" s="114">
        <f t="shared" si="20"/>
        <v>0</v>
      </c>
      <c r="BG14" s="116"/>
      <c r="BH14" s="113"/>
      <c r="BI14" s="112"/>
      <c r="BJ14" s="115" t="str">
        <f t="shared" si="21"/>
        <v>SPOON PLASTIC</v>
      </c>
      <c r="BK14" s="114">
        <f t="shared" si="22"/>
        <v>0</v>
      </c>
      <c r="BM14" s="113"/>
      <c r="BN14" s="112"/>
    </row>
    <row r="15" spans="1:66" s="111" customFormat="1" ht="52.95" customHeight="1" x14ac:dyDescent="0.85">
      <c r="A15" s="122" t="s">
        <v>76</v>
      </c>
      <c r="B15" s="120"/>
      <c r="C15" s="122">
        <f t="shared" si="0"/>
        <v>5</v>
      </c>
      <c r="D15" s="126"/>
      <c r="E15" s="123"/>
      <c r="F15" s="120"/>
      <c r="G15" s="122">
        <v>1</v>
      </c>
      <c r="H15" s="120"/>
      <c r="I15" s="123">
        <v>1</v>
      </c>
      <c r="J15" s="120"/>
      <c r="K15" s="122">
        <v>1</v>
      </c>
      <c r="L15" s="120"/>
      <c r="M15" s="123"/>
      <c r="N15" s="120"/>
      <c r="O15" s="122">
        <v>1</v>
      </c>
      <c r="P15" s="120"/>
      <c r="Q15" s="123">
        <v>1</v>
      </c>
      <c r="R15" s="120"/>
      <c r="S15" s="122"/>
      <c r="T15" s="120"/>
      <c r="U15" s="123"/>
      <c r="V15" s="120"/>
      <c r="W15" s="122"/>
      <c r="X15" s="120"/>
      <c r="Y15" s="123"/>
      <c r="Z15" s="116"/>
      <c r="AA15" s="115" t="str">
        <f t="shared" si="1"/>
        <v>T-SHIRT BAG</v>
      </c>
      <c r="AB15" s="114">
        <f t="shared" si="2"/>
        <v>1</v>
      </c>
      <c r="AC15" s="116"/>
      <c r="AD15" s="115" t="str">
        <f t="shared" si="3"/>
        <v>T-SHIRT BAG</v>
      </c>
      <c r="AE15" s="114">
        <f t="shared" si="4"/>
        <v>0</v>
      </c>
      <c r="AF15" s="116"/>
      <c r="AG15" s="115" t="str">
        <f t="shared" si="5"/>
        <v>T-SHIRT BAG</v>
      </c>
      <c r="AH15" s="114">
        <f t="shared" si="6"/>
        <v>1</v>
      </c>
      <c r="AI15" s="116"/>
      <c r="AJ15" s="115" t="str">
        <f t="shared" si="7"/>
        <v>T-SHIRT BAG</v>
      </c>
      <c r="AK15" s="114">
        <f t="shared" si="8"/>
        <v>0</v>
      </c>
      <c r="AL15" s="116"/>
      <c r="AM15" s="115" t="str">
        <f t="shared" si="9"/>
        <v>T-SHIRT BAG</v>
      </c>
      <c r="AN15" s="114">
        <f t="shared" si="10"/>
        <v>1</v>
      </c>
      <c r="AO15" s="116"/>
      <c r="AP15" s="115" t="str">
        <f t="shared" si="11"/>
        <v>T-SHIRT BAG</v>
      </c>
      <c r="AQ15" s="114">
        <f t="shared" si="12"/>
        <v>1</v>
      </c>
      <c r="AR15" s="116"/>
      <c r="AS15" s="115" t="str">
        <f t="shared" si="13"/>
        <v>T-SHIRT BAG</v>
      </c>
      <c r="AT15" s="114">
        <f t="shared" si="14"/>
        <v>0</v>
      </c>
      <c r="AU15" s="116"/>
      <c r="AV15" s="115" t="str">
        <f t="shared" si="15"/>
        <v>T-SHIRT BAG</v>
      </c>
      <c r="AW15" s="114">
        <f t="shared" si="16"/>
        <v>1</v>
      </c>
      <c r="AX15" s="116"/>
      <c r="AY15" s="115" t="str">
        <f t="shared" si="17"/>
        <v>T-SHIRT BAG</v>
      </c>
      <c r="AZ15" s="114">
        <f t="shared" si="18"/>
        <v>0</v>
      </c>
      <c r="BA15" s="116"/>
      <c r="BB15" s="115"/>
      <c r="BC15" s="114"/>
      <c r="BD15" s="116"/>
      <c r="BE15" s="115" t="str">
        <f t="shared" si="19"/>
        <v>T-SHIRT BAG</v>
      </c>
      <c r="BF15" s="114">
        <f t="shared" si="20"/>
        <v>0</v>
      </c>
      <c r="BG15" s="116"/>
      <c r="BH15" s="113"/>
      <c r="BI15" s="112"/>
      <c r="BJ15" s="115" t="str">
        <f t="shared" si="21"/>
        <v>T-SHIRT BAG</v>
      </c>
      <c r="BK15" s="114">
        <f t="shared" si="22"/>
        <v>0</v>
      </c>
      <c r="BM15" s="113"/>
      <c r="BN15" s="112"/>
    </row>
    <row r="16" spans="1:66" s="111" customFormat="1" ht="52.95" customHeight="1" x14ac:dyDescent="0.85">
      <c r="A16" s="122" t="s">
        <v>25</v>
      </c>
      <c r="B16" s="120"/>
      <c r="C16" s="122">
        <f t="shared" si="0"/>
        <v>2</v>
      </c>
      <c r="D16" s="126"/>
      <c r="E16" s="117"/>
      <c r="F16" s="120"/>
      <c r="G16" s="119"/>
      <c r="H16" s="120"/>
      <c r="I16" s="117"/>
      <c r="J16" s="120"/>
      <c r="K16" s="119"/>
      <c r="L16" s="120"/>
      <c r="M16" s="117"/>
      <c r="N16" s="120"/>
      <c r="O16" s="119"/>
      <c r="P16" s="120"/>
      <c r="Q16" s="117">
        <v>1</v>
      </c>
      <c r="R16" s="120"/>
      <c r="S16" s="119"/>
      <c r="T16" s="120"/>
      <c r="U16" s="117">
        <v>1</v>
      </c>
      <c r="V16" s="120"/>
      <c r="W16" s="119"/>
      <c r="X16" s="120"/>
      <c r="Y16" s="117"/>
      <c r="Z16" s="116"/>
      <c r="AA16" s="115" t="str">
        <f t="shared" si="1"/>
        <v>2oz PORTION CUP</v>
      </c>
      <c r="AB16" s="114">
        <f t="shared" si="2"/>
        <v>0</v>
      </c>
      <c r="AC16" s="116"/>
      <c r="AD16" s="115" t="str">
        <f t="shared" si="3"/>
        <v>2oz PORTION CUP</v>
      </c>
      <c r="AE16" s="114">
        <f t="shared" si="4"/>
        <v>0</v>
      </c>
      <c r="AF16" s="116"/>
      <c r="AG16" s="115" t="str">
        <f t="shared" si="5"/>
        <v>2oz PORTION CUP</v>
      </c>
      <c r="AH16" s="114">
        <f t="shared" si="6"/>
        <v>0</v>
      </c>
      <c r="AI16" s="116"/>
      <c r="AJ16" s="115" t="str">
        <f t="shared" si="7"/>
        <v>2oz PORTION CUP</v>
      </c>
      <c r="AK16" s="114">
        <f t="shared" si="8"/>
        <v>1</v>
      </c>
      <c r="AL16" s="116"/>
      <c r="AM16" s="115" t="str">
        <f t="shared" si="9"/>
        <v>2oz PORTION CUP</v>
      </c>
      <c r="AN16" s="114">
        <f t="shared" si="10"/>
        <v>0</v>
      </c>
      <c r="AO16" s="116"/>
      <c r="AP16" s="115" t="str">
        <f t="shared" si="11"/>
        <v>2oz PORTION CUP</v>
      </c>
      <c r="AQ16" s="114">
        <f t="shared" si="12"/>
        <v>1</v>
      </c>
      <c r="AR16" s="116"/>
      <c r="AS16" s="115" t="str">
        <f t="shared" si="13"/>
        <v>2oz PORTION CUP</v>
      </c>
      <c r="AT16" s="114">
        <f t="shared" si="14"/>
        <v>0</v>
      </c>
      <c r="AU16" s="116"/>
      <c r="AV16" s="115" t="str">
        <f t="shared" si="15"/>
        <v>2oz PORTION CUP</v>
      </c>
      <c r="AW16" s="114">
        <f t="shared" si="16"/>
        <v>0</v>
      </c>
      <c r="AX16" s="116"/>
      <c r="AY16" s="115" t="str">
        <f t="shared" si="17"/>
        <v>2oz PORTION CUP</v>
      </c>
      <c r="AZ16" s="114">
        <f t="shared" si="18"/>
        <v>0</v>
      </c>
      <c r="BA16" s="116"/>
      <c r="BB16" s="115"/>
      <c r="BC16" s="114"/>
      <c r="BD16" s="116"/>
      <c r="BE16" s="115" t="str">
        <f t="shared" si="19"/>
        <v>2oz PORTION CUP</v>
      </c>
      <c r="BF16" s="114">
        <f t="shared" si="20"/>
        <v>0</v>
      </c>
      <c r="BG16" s="116"/>
      <c r="BH16" s="113"/>
      <c r="BI16" s="112"/>
      <c r="BJ16" s="115" t="str">
        <f t="shared" si="21"/>
        <v>2oz PORTION CUP</v>
      </c>
      <c r="BK16" s="114">
        <f t="shared" si="22"/>
        <v>0</v>
      </c>
      <c r="BM16" s="113"/>
      <c r="BN16" s="112"/>
    </row>
    <row r="17" spans="1:66" s="111" customFormat="1" ht="52.95" customHeight="1" x14ac:dyDescent="0.85">
      <c r="A17" s="122" t="s">
        <v>26</v>
      </c>
      <c r="B17" s="120"/>
      <c r="C17" s="122">
        <f t="shared" si="0"/>
        <v>11</v>
      </c>
      <c r="D17" s="126"/>
      <c r="E17" s="117"/>
      <c r="F17" s="120"/>
      <c r="G17" s="119">
        <v>1</v>
      </c>
      <c r="H17" s="120"/>
      <c r="I17" s="117">
        <v>1</v>
      </c>
      <c r="J17" s="120"/>
      <c r="K17" s="119">
        <v>2</v>
      </c>
      <c r="L17" s="120"/>
      <c r="M17" s="117">
        <v>2</v>
      </c>
      <c r="N17" s="120"/>
      <c r="O17" s="119">
        <v>1</v>
      </c>
      <c r="P17" s="120"/>
      <c r="Q17" s="117">
        <v>1</v>
      </c>
      <c r="R17" s="120"/>
      <c r="S17" s="119">
        <v>2</v>
      </c>
      <c r="T17" s="120"/>
      <c r="U17" s="117">
        <v>1</v>
      </c>
      <c r="V17" s="120"/>
      <c r="W17" s="119"/>
      <c r="X17" s="120"/>
      <c r="Y17" s="117"/>
      <c r="Z17" s="116"/>
      <c r="AA17" s="115" t="str">
        <f t="shared" si="1"/>
        <v>XL NITRILE GLOVES</v>
      </c>
      <c r="AB17" s="114">
        <f t="shared" si="2"/>
        <v>2</v>
      </c>
      <c r="AC17" s="116"/>
      <c r="AD17" s="115" t="str">
        <f t="shared" si="3"/>
        <v>XL NITRILE GLOVES</v>
      </c>
      <c r="AE17" s="114">
        <f t="shared" si="4"/>
        <v>0</v>
      </c>
      <c r="AF17" s="116"/>
      <c r="AG17" s="115" t="str">
        <f t="shared" si="5"/>
        <v>XL NITRILE GLOVES</v>
      </c>
      <c r="AH17" s="114">
        <f t="shared" si="6"/>
        <v>1</v>
      </c>
      <c r="AI17" s="116"/>
      <c r="AJ17" s="115" t="str">
        <f t="shared" si="7"/>
        <v>XL NITRILE GLOVES</v>
      </c>
      <c r="AK17" s="114">
        <f t="shared" si="8"/>
        <v>1</v>
      </c>
      <c r="AL17" s="116"/>
      <c r="AM17" s="115" t="str">
        <f t="shared" si="9"/>
        <v>XL NITRILE GLOVES</v>
      </c>
      <c r="AN17" s="114">
        <f t="shared" si="10"/>
        <v>1</v>
      </c>
      <c r="AO17" s="116"/>
      <c r="AP17" s="115" t="str">
        <f t="shared" si="11"/>
        <v>XL NITRILE GLOVES</v>
      </c>
      <c r="AQ17" s="114">
        <f t="shared" si="12"/>
        <v>1</v>
      </c>
      <c r="AR17" s="116"/>
      <c r="AS17" s="115" t="str">
        <f t="shared" si="13"/>
        <v>XL NITRILE GLOVES</v>
      </c>
      <c r="AT17" s="114">
        <f t="shared" si="14"/>
        <v>2</v>
      </c>
      <c r="AU17" s="116"/>
      <c r="AV17" s="115" t="str">
        <f t="shared" si="15"/>
        <v>XL NITRILE GLOVES</v>
      </c>
      <c r="AW17" s="114">
        <f t="shared" si="16"/>
        <v>1</v>
      </c>
      <c r="AX17" s="116"/>
      <c r="AY17" s="115" t="str">
        <f t="shared" si="17"/>
        <v>XL NITRILE GLOVES</v>
      </c>
      <c r="AZ17" s="114">
        <f t="shared" si="18"/>
        <v>0</v>
      </c>
      <c r="BA17" s="116"/>
      <c r="BB17" s="115"/>
      <c r="BC17" s="114"/>
      <c r="BD17" s="116"/>
      <c r="BE17" s="115" t="str">
        <f t="shared" si="19"/>
        <v>XL NITRILE GLOVES</v>
      </c>
      <c r="BF17" s="114">
        <f t="shared" si="20"/>
        <v>0</v>
      </c>
      <c r="BG17" s="116"/>
      <c r="BH17" s="113"/>
      <c r="BI17" s="112"/>
      <c r="BJ17" s="115" t="str">
        <f t="shared" si="21"/>
        <v>XL NITRILE GLOVES</v>
      </c>
      <c r="BK17" s="114">
        <f t="shared" si="22"/>
        <v>2</v>
      </c>
      <c r="BM17" s="113"/>
      <c r="BN17" s="112"/>
    </row>
    <row r="18" spans="1:66" s="111" customFormat="1" ht="52.95" customHeight="1" x14ac:dyDescent="0.85">
      <c r="A18" s="122" t="s">
        <v>27</v>
      </c>
      <c r="B18" s="120"/>
      <c r="C18" s="122">
        <f t="shared" si="0"/>
        <v>3</v>
      </c>
      <c r="D18" s="126"/>
      <c r="E18" s="117"/>
      <c r="F18" s="120"/>
      <c r="G18" s="119"/>
      <c r="H18" s="120"/>
      <c r="I18" s="117">
        <v>1</v>
      </c>
      <c r="J18" s="120"/>
      <c r="K18" s="119">
        <v>1</v>
      </c>
      <c r="L18" s="120"/>
      <c r="M18" s="117"/>
      <c r="N18" s="120"/>
      <c r="O18" s="119">
        <v>1</v>
      </c>
      <c r="P18" s="120"/>
      <c r="Q18" s="117"/>
      <c r="R18" s="120"/>
      <c r="S18" s="119"/>
      <c r="T18" s="120"/>
      <c r="U18" s="117"/>
      <c r="V18" s="120"/>
      <c r="W18" s="119"/>
      <c r="X18" s="120"/>
      <c r="Y18" s="117"/>
      <c r="Z18" s="116"/>
      <c r="AA18" s="115" t="str">
        <f t="shared" si="1"/>
        <v>MD VINYL GLOVES</v>
      </c>
      <c r="AB18" s="114">
        <f t="shared" si="2"/>
        <v>1</v>
      </c>
      <c r="AC18" s="116"/>
      <c r="AD18" s="115" t="str">
        <f t="shared" si="3"/>
        <v>MD VINYL GLOVES</v>
      </c>
      <c r="AE18" s="114">
        <f t="shared" si="4"/>
        <v>0</v>
      </c>
      <c r="AF18" s="116"/>
      <c r="AG18" s="115" t="str">
        <f t="shared" si="5"/>
        <v>MD VINYL GLOVES</v>
      </c>
      <c r="AH18" s="114">
        <f t="shared" si="6"/>
        <v>0</v>
      </c>
      <c r="AI18" s="116"/>
      <c r="AJ18" s="115" t="str">
        <f t="shared" si="7"/>
        <v>MD VINYL GLOVES</v>
      </c>
      <c r="AK18" s="114">
        <f t="shared" si="8"/>
        <v>0</v>
      </c>
      <c r="AL18" s="116"/>
      <c r="AM18" s="115" t="str">
        <f t="shared" si="9"/>
        <v>MD VINYL GLOVES</v>
      </c>
      <c r="AN18" s="114">
        <f t="shared" si="10"/>
        <v>1</v>
      </c>
      <c r="AO18" s="116"/>
      <c r="AP18" s="115" t="str">
        <f t="shared" si="11"/>
        <v>MD VINYL GLOVES</v>
      </c>
      <c r="AQ18" s="114">
        <f t="shared" si="12"/>
        <v>0</v>
      </c>
      <c r="AR18" s="116"/>
      <c r="AS18" s="115" t="str">
        <f t="shared" si="13"/>
        <v>MD VINYL GLOVES</v>
      </c>
      <c r="AT18" s="114">
        <f t="shared" si="14"/>
        <v>0</v>
      </c>
      <c r="AU18" s="116"/>
      <c r="AV18" s="115" t="str">
        <f t="shared" si="15"/>
        <v>MD VINYL GLOVES</v>
      </c>
      <c r="AW18" s="114">
        <f t="shared" si="16"/>
        <v>1</v>
      </c>
      <c r="AX18" s="116"/>
      <c r="AY18" s="115" t="str">
        <f t="shared" si="17"/>
        <v>MD VINYL GLOVES</v>
      </c>
      <c r="AZ18" s="114">
        <f t="shared" si="18"/>
        <v>0</v>
      </c>
      <c r="BA18" s="116"/>
      <c r="BB18" s="115"/>
      <c r="BC18" s="114"/>
      <c r="BD18" s="116"/>
      <c r="BE18" s="115" t="str">
        <f t="shared" si="19"/>
        <v>MD VINYL GLOVES</v>
      </c>
      <c r="BF18" s="114">
        <f t="shared" si="20"/>
        <v>0</v>
      </c>
      <c r="BG18" s="116"/>
      <c r="BH18" s="113"/>
      <c r="BI18" s="112"/>
      <c r="BJ18" s="115" t="str">
        <f t="shared" si="21"/>
        <v>MD VINYL GLOVES</v>
      </c>
      <c r="BK18" s="114">
        <f t="shared" si="22"/>
        <v>0</v>
      </c>
      <c r="BM18" s="113"/>
      <c r="BN18" s="112"/>
    </row>
    <row r="19" spans="1:66" s="111" customFormat="1" ht="52.95" customHeight="1" x14ac:dyDescent="0.85">
      <c r="A19" s="122" t="s">
        <v>75</v>
      </c>
      <c r="B19" s="120"/>
      <c r="C19" s="122">
        <f t="shared" si="0"/>
        <v>6</v>
      </c>
      <c r="D19" s="126"/>
      <c r="E19" s="117"/>
      <c r="F19" s="120"/>
      <c r="G19" s="119">
        <v>1</v>
      </c>
      <c r="H19" s="120"/>
      <c r="I19" s="117">
        <v>1</v>
      </c>
      <c r="J19" s="120"/>
      <c r="K19" s="119">
        <v>1</v>
      </c>
      <c r="L19" s="120"/>
      <c r="M19" s="117"/>
      <c r="N19" s="120"/>
      <c r="O19" s="119"/>
      <c r="P19" s="120"/>
      <c r="Q19" s="117">
        <v>1</v>
      </c>
      <c r="R19" s="120"/>
      <c r="S19" s="119">
        <v>1</v>
      </c>
      <c r="T19" s="120"/>
      <c r="U19" s="117">
        <v>1</v>
      </c>
      <c r="V19" s="120"/>
      <c r="W19" s="119"/>
      <c r="X19" s="120"/>
      <c r="Y19" s="117"/>
      <c r="Z19" s="116"/>
      <c r="AA19" s="115" t="str">
        <f t="shared" si="1"/>
        <v>FOIL STD 12X1000</v>
      </c>
      <c r="AB19" s="114">
        <f t="shared" si="2"/>
        <v>1</v>
      </c>
      <c r="AC19" s="116"/>
      <c r="AD19" s="115" t="str">
        <f t="shared" si="3"/>
        <v>FOIL STD 12X1000</v>
      </c>
      <c r="AE19" s="114">
        <f t="shared" si="4"/>
        <v>0</v>
      </c>
      <c r="AF19" s="116"/>
      <c r="AG19" s="115" t="str">
        <f t="shared" si="5"/>
        <v>FOIL STD 12X1000</v>
      </c>
      <c r="AH19" s="114">
        <f t="shared" si="6"/>
        <v>1</v>
      </c>
      <c r="AI19" s="116"/>
      <c r="AJ19" s="115" t="str">
        <f t="shared" si="7"/>
        <v>FOIL STD 12X1000</v>
      </c>
      <c r="AK19" s="114">
        <f t="shared" si="8"/>
        <v>1</v>
      </c>
      <c r="AL19" s="116"/>
      <c r="AM19" s="115" t="str">
        <f t="shared" si="9"/>
        <v>FOIL STD 12X1000</v>
      </c>
      <c r="AN19" s="114">
        <f t="shared" si="10"/>
        <v>0</v>
      </c>
      <c r="AO19" s="116"/>
      <c r="AP19" s="115" t="str">
        <f t="shared" si="11"/>
        <v>FOIL STD 12X1000</v>
      </c>
      <c r="AQ19" s="114">
        <f t="shared" si="12"/>
        <v>1</v>
      </c>
      <c r="AR19" s="116"/>
      <c r="AS19" s="115" t="str">
        <f t="shared" si="13"/>
        <v>FOIL STD 12X1000</v>
      </c>
      <c r="AT19" s="114">
        <f t="shared" si="14"/>
        <v>0</v>
      </c>
      <c r="AU19" s="116"/>
      <c r="AV19" s="115" t="str">
        <f t="shared" si="15"/>
        <v>FOIL STD 12X1000</v>
      </c>
      <c r="AW19" s="114">
        <f t="shared" si="16"/>
        <v>1</v>
      </c>
      <c r="AX19" s="116"/>
      <c r="AY19" s="115" t="str">
        <f t="shared" si="17"/>
        <v>FOIL STD 12X1000</v>
      </c>
      <c r="AZ19" s="114">
        <f t="shared" si="18"/>
        <v>0</v>
      </c>
      <c r="BA19" s="116"/>
      <c r="BB19" s="115"/>
      <c r="BC19" s="114"/>
      <c r="BD19" s="116"/>
      <c r="BE19" s="115" t="str">
        <f t="shared" si="19"/>
        <v>FOIL STD 12X1000</v>
      </c>
      <c r="BF19" s="114">
        <f t="shared" si="20"/>
        <v>0</v>
      </c>
      <c r="BG19" s="116"/>
      <c r="BH19" s="113"/>
      <c r="BI19" s="112"/>
      <c r="BJ19" s="115" t="str">
        <f t="shared" si="21"/>
        <v>FOIL STD 12X1000</v>
      </c>
      <c r="BK19" s="114">
        <f t="shared" si="22"/>
        <v>1</v>
      </c>
      <c r="BM19" s="113"/>
      <c r="BN19" s="112"/>
    </row>
    <row r="20" spans="1:66" s="111" customFormat="1" ht="52.95" customHeight="1" x14ac:dyDescent="0.85">
      <c r="A20" s="122" t="s">
        <v>28</v>
      </c>
      <c r="B20" s="120"/>
      <c r="C20" s="122">
        <f t="shared" si="0"/>
        <v>1</v>
      </c>
      <c r="D20" s="126"/>
      <c r="E20" s="117"/>
      <c r="F20" s="120"/>
      <c r="G20" s="119"/>
      <c r="H20" s="120"/>
      <c r="I20" s="117"/>
      <c r="J20" s="120"/>
      <c r="K20" s="119"/>
      <c r="L20" s="120"/>
      <c r="M20" s="117">
        <v>1</v>
      </c>
      <c r="N20" s="120"/>
      <c r="O20" s="119"/>
      <c r="P20" s="120"/>
      <c r="Q20" s="117"/>
      <c r="R20" s="120"/>
      <c r="S20" s="119"/>
      <c r="T20" s="120"/>
      <c r="U20" s="117"/>
      <c r="V20" s="120"/>
      <c r="W20" s="119"/>
      <c r="X20" s="120"/>
      <c r="Y20" s="117"/>
      <c r="Z20" s="116"/>
      <c r="AA20" s="115" t="str">
        <f t="shared" si="1"/>
        <v>THERMAL PAPER ROLL 3 1/8"</v>
      </c>
      <c r="AB20" s="114">
        <f t="shared" si="2"/>
        <v>0</v>
      </c>
      <c r="AC20" s="116"/>
      <c r="AD20" s="115" t="str">
        <f t="shared" si="3"/>
        <v>THERMAL PAPER ROLL 3 1/8"</v>
      </c>
      <c r="AE20" s="114">
        <f t="shared" si="4"/>
        <v>0</v>
      </c>
      <c r="AF20" s="116"/>
      <c r="AG20" s="115" t="str">
        <f t="shared" si="5"/>
        <v>THERMAL PAPER ROLL 3 1/8"</v>
      </c>
      <c r="AH20" s="114">
        <f t="shared" si="6"/>
        <v>0</v>
      </c>
      <c r="AI20" s="116"/>
      <c r="AJ20" s="115" t="str">
        <f t="shared" si="7"/>
        <v>THERMAL PAPER ROLL 3 1/8"</v>
      </c>
      <c r="AK20" s="114">
        <f t="shared" si="8"/>
        <v>0</v>
      </c>
      <c r="AL20" s="116"/>
      <c r="AM20" s="115" t="str">
        <f t="shared" si="9"/>
        <v>THERMAL PAPER ROLL 3 1/8"</v>
      </c>
      <c r="AN20" s="114">
        <f t="shared" si="10"/>
        <v>0</v>
      </c>
      <c r="AO20" s="116"/>
      <c r="AP20" s="115" t="str">
        <f t="shared" si="11"/>
        <v>THERMAL PAPER ROLL 3 1/8"</v>
      </c>
      <c r="AQ20" s="114">
        <f t="shared" si="12"/>
        <v>0</v>
      </c>
      <c r="AR20" s="116"/>
      <c r="AS20" s="115" t="str">
        <f t="shared" si="13"/>
        <v>THERMAL PAPER ROLL 3 1/8"</v>
      </c>
      <c r="AT20" s="114">
        <f t="shared" si="14"/>
        <v>1</v>
      </c>
      <c r="AU20" s="116"/>
      <c r="AV20" s="115" t="str">
        <f t="shared" si="15"/>
        <v>THERMAL PAPER ROLL 3 1/8"</v>
      </c>
      <c r="AW20" s="114">
        <f t="shared" si="16"/>
        <v>0</v>
      </c>
      <c r="AX20" s="116"/>
      <c r="AY20" s="115" t="str">
        <f t="shared" si="17"/>
        <v>THERMAL PAPER ROLL 3 1/8"</v>
      </c>
      <c r="AZ20" s="114">
        <f t="shared" si="18"/>
        <v>0</v>
      </c>
      <c r="BA20" s="116"/>
      <c r="BB20" s="115"/>
      <c r="BC20" s="114"/>
      <c r="BD20" s="116"/>
      <c r="BE20" s="115" t="str">
        <f t="shared" si="19"/>
        <v>THERMAL PAPER ROLL 3 1/8"</v>
      </c>
      <c r="BF20" s="114">
        <f t="shared" si="20"/>
        <v>0</v>
      </c>
      <c r="BG20" s="116"/>
      <c r="BH20" s="113"/>
      <c r="BI20" s="112"/>
      <c r="BJ20" s="115" t="str">
        <f t="shared" si="21"/>
        <v>THERMAL PAPER ROLL 3 1/8"</v>
      </c>
      <c r="BK20" s="114">
        <f t="shared" si="22"/>
        <v>0</v>
      </c>
      <c r="BM20" s="113"/>
      <c r="BN20" s="112"/>
    </row>
    <row r="21" spans="1:66" s="111" customFormat="1" ht="52.95" customHeight="1" x14ac:dyDescent="0.85">
      <c r="A21" s="122" t="s">
        <v>29</v>
      </c>
      <c r="B21" s="120"/>
      <c r="C21" s="122">
        <f t="shared" si="0"/>
        <v>0</v>
      </c>
      <c r="D21" s="126"/>
      <c r="E21" s="117"/>
      <c r="F21" s="120"/>
      <c r="G21" s="119"/>
      <c r="H21" s="120"/>
      <c r="I21" s="117"/>
      <c r="J21" s="120"/>
      <c r="K21" s="119"/>
      <c r="L21" s="120"/>
      <c r="M21" s="117"/>
      <c r="N21" s="120"/>
      <c r="O21" s="119"/>
      <c r="P21" s="120"/>
      <c r="Q21" s="117"/>
      <c r="R21" s="120"/>
      <c r="S21" s="119"/>
      <c r="T21" s="120"/>
      <c r="U21" s="117"/>
      <c r="V21" s="120"/>
      <c r="W21" s="119"/>
      <c r="X21" s="120"/>
      <c r="Y21" s="117"/>
      <c r="Z21" s="116"/>
      <c r="AA21" s="115" t="str">
        <f t="shared" si="1"/>
        <v>DELI CONTAINER 32OZ CLEAR</v>
      </c>
      <c r="AB21" s="114">
        <f t="shared" si="2"/>
        <v>0</v>
      </c>
      <c r="AC21" s="116"/>
      <c r="AD21" s="115" t="str">
        <f t="shared" si="3"/>
        <v>DELI CONTAINER 32OZ CLEAR</v>
      </c>
      <c r="AE21" s="114">
        <f t="shared" si="4"/>
        <v>0</v>
      </c>
      <c r="AF21" s="116"/>
      <c r="AG21" s="115" t="str">
        <f t="shared" si="5"/>
        <v>DELI CONTAINER 32OZ CLEAR</v>
      </c>
      <c r="AH21" s="114">
        <f t="shared" si="6"/>
        <v>0</v>
      </c>
      <c r="AI21" s="116"/>
      <c r="AJ21" s="115" t="str">
        <f t="shared" si="7"/>
        <v>DELI CONTAINER 32OZ CLEAR</v>
      </c>
      <c r="AK21" s="114">
        <f t="shared" si="8"/>
        <v>0</v>
      </c>
      <c r="AL21" s="116"/>
      <c r="AM21" s="115" t="str">
        <f t="shared" si="9"/>
        <v>DELI CONTAINER 32OZ CLEAR</v>
      </c>
      <c r="AN21" s="114">
        <f t="shared" si="10"/>
        <v>0</v>
      </c>
      <c r="AO21" s="116"/>
      <c r="AP21" s="115" t="str">
        <f t="shared" si="11"/>
        <v>DELI CONTAINER 32OZ CLEAR</v>
      </c>
      <c r="AQ21" s="114">
        <f t="shared" si="12"/>
        <v>0</v>
      </c>
      <c r="AR21" s="116"/>
      <c r="AS21" s="115" t="str">
        <f t="shared" si="13"/>
        <v>DELI CONTAINER 32OZ CLEAR</v>
      </c>
      <c r="AT21" s="114">
        <f t="shared" si="14"/>
        <v>0</v>
      </c>
      <c r="AU21" s="116"/>
      <c r="AV21" s="115" t="str">
        <f t="shared" si="15"/>
        <v>DELI CONTAINER 32OZ CLEAR</v>
      </c>
      <c r="AW21" s="114">
        <f t="shared" si="16"/>
        <v>0</v>
      </c>
      <c r="AX21" s="116"/>
      <c r="AY21" s="115" t="str">
        <f t="shared" si="17"/>
        <v>DELI CONTAINER 32OZ CLEAR</v>
      </c>
      <c r="AZ21" s="114">
        <f t="shared" si="18"/>
        <v>0</v>
      </c>
      <c r="BA21" s="116"/>
      <c r="BB21" s="115"/>
      <c r="BC21" s="114"/>
      <c r="BD21" s="116"/>
      <c r="BE21" s="115" t="str">
        <f t="shared" si="19"/>
        <v>DELI CONTAINER 32OZ CLEAR</v>
      </c>
      <c r="BF21" s="114">
        <f t="shared" si="20"/>
        <v>0</v>
      </c>
      <c r="BG21" s="116"/>
      <c r="BH21" s="113"/>
      <c r="BI21" s="112"/>
      <c r="BJ21" s="115" t="str">
        <f t="shared" si="21"/>
        <v>DELI CONTAINER 32OZ CLEAR</v>
      </c>
      <c r="BK21" s="114">
        <f t="shared" si="22"/>
        <v>0</v>
      </c>
      <c r="BM21" s="113"/>
      <c r="BN21" s="112"/>
    </row>
    <row r="22" spans="1:66" s="111" customFormat="1" ht="52.95" customHeight="1" x14ac:dyDescent="0.85">
      <c r="A22" s="122" t="s">
        <v>51</v>
      </c>
      <c r="B22" s="120"/>
      <c r="C22" s="122">
        <f t="shared" si="0"/>
        <v>0</v>
      </c>
      <c r="D22" s="126"/>
      <c r="E22" s="117"/>
      <c r="F22" s="120"/>
      <c r="G22" s="119"/>
      <c r="H22" s="120"/>
      <c r="I22" s="117"/>
      <c r="J22" s="120"/>
      <c r="K22" s="119"/>
      <c r="L22" s="120"/>
      <c r="M22" s="117"/>
      <c r="N22" s="120"/>
      <c r="O22" s="119"/>
      <c r="P22" s="120"/>
      <c r="Q22" s="117"/>
      <c r="R22" s="120"/>
      <c r="S22" s="119"/>
      <c r="T22" s="120"/>
      <c r="U22" s="117"/>
      <c r="V22" s="120"/>
      <c r="W22" s="119"/>
      <c r="X22" s="120"/>
      <c r="Y22" s="117"/>
      <c r="Z22" s="116"/>
      <c r="AA22" s="115" t="str">
        <f t="shared" si="1"/>
        <v>WAX PAPER 10X10</v>
      </c>
      <c r="AB22" s="114">
        <f t="shared" si="2"/>
        <v>0</v>
      </c>
      <c r="AC22" s="116"/>
      <c r="AD22" s="115" t="str">
        <f t="shared" si="3"/>
        <v>WAX PAPER 10X10</v>
      </c>
      <c r="AE22" s="114">
        <f t="shared" si="4"/>
        <v>0</v>
      </c>
      <c r="AF22" s="116"/>
      <c r="AG22" s="115" t="str">
        <f t="shared" si="5"/>
        <v>WAX PAPER 10X10</v>
      </c>
      <c r="AH22" s="114">
        <f t="shared" si="6"/>
        <v>0</v>
      </c>
      <c r="AI22" s="116"/>
      <c r="AJ22" s="115" t="str">
        <f t="shared" si="7"/>
        <v>WAX PAPER 10X10</v>
      </c>
      <c r="AK22" s="114">
        <f t="shared" si="8"/>
        <v>0</v>
      </c>
      <c r="AL22" s="116"/>
      <c r="AM22" s="115" t="str">
        <f t="shared" si="9"/>
        <v>WAX PAPER 10X10</v>
      </c>
      <c r="AN22" s="114">
        <f t="shared" si="10"/>
        <v>0</v>
      </c>
      <c r="AO22" s="116"/>
      <c r="AP22" s="115" t="str">
        <f t="shared" si="11"/>
        <v>WAX PAPER 10X10</v>
      </c>
      <c r="AQ22" s="114">
        <f t="shared" si="12"/>
        <v>0</v>
      </c>
      <c r="AR22" s="116"/>
      <c r="AS22" s="115" t="str">
        <f t="shared" si="13"/>
        <v>WAX PAPER 10X10</v>
      </c>
      <c r="AT22" s="114">
        <f t="shared" si="14"/>
        <v>0</v>
      </c>
      <c r="AU22" s="116"/>
      <c r="AV22" s="115" t="str">
        <f t="shared" si="15"/>
        <v>WAX PAPER 10X10</v>
      </c>
      <c r="AW22" s="114">
        <f t="shared" si="16"/>
        <v>0</v>
      </c>
      <c r="AX22" s="116"/>
      <c r="AY22" s="115" t="str">
        <f t="shared" si="17"/>
        <v>WAX PAPER 10X10</v>
      </c>
      <c r="AZ22" s="114">
        <f t="shared" si="18"/>
        <v>0</v>
      </c>
      <c r="BA22" s="116"/>
      <c r="BB22" s="115"/>
      <c r="BC22" s="114"/>
      <c r="BD22" s="116"/>
      <c r="BE22" s="115" t="str">
        <f t="shared" si="19"/>
        <v>WAX PAPER 10X10</v>
      </c>
      <c r="BF22" s="114">
        <f t="shared" si="20"/>
        <v>0</v>
      </c>
      <c r="BG22" s="116"/>
      <c r="BH22" s="113"/>
      <c r="BI22" s="112"/>
      <c r="BJ22" s="115" t="str">
        <f t="shared" si="21"/>
        <v>WAX PAPER 10X10</v>
      </c>
      <c r="BK22" s="114">
        <f t="shared" si="22"/>
        <v>0</v>
      </c>
      <c r="BM22" s="113"/>
      <c r="BN22" s="112"/>
    </row>
    <row r="23" spans="1:66" s="111" customFormat="1" ht="52.95" customHeight="1" x14ac:dyDescent="0.85">
      <c r="A23" s="122" t="s">
        <v>74</v>
      </c>
      <c r="B23" s="120"/>
      <c r="C23" s="122">
        <f t="shared" si="0"/>
        <v>15</v>
      </c>
      <c r="D23" s="126"/>
      <c r="E23" s="117"/>
      <c r="F23" s="120"/>
      <c r="G23" s="119">
        <v>4</v>
      </c>
      <c r="H23" s="120"/>
      <c r="I23" s="117">
        <v>1</v>
      </c>
      <c r="J23" s="120"/>
      <c r="K23" s="119">
        <v>2</v>
      </c>
      <c r="L23" s="120"/>
      <c r="M23" s="117">
        <v>1</v>
      </c>
      <c r="N23" s="120"/>
      <c r="O23" s="119">
        <v>1</v>
      </c>
      <c r="P23" s="120"/>
      <c r="Q23" s="117">
        <v>2</v>
      </c>
      <c r="R23" s="120"/>
      <c r="S23" s="119">
        <v>3</v>
      </c>
      <c r="T23" s="120"/>
      <c r="U23" s="117">
        <v>1</v>
      </c>
      <c r="V23" s="120"/>
      <c r="W23" s="119"/>
      <c r="X23" s="120"/>
      <c r="Y23" s="117"/>
      <c r="Z23" s="116"/>
      <c r="AA23" s="115" t="str">
        <f t="shared" si="1"/>
        <v>BAGS #8 CRAFT PAPER</v>
      </c>
      <c r="AB23" s="114">
        <f t="shared" si="2"/>
        <v>2</v>
      </c>
      <c r="AC23" s="116"/>
      <c r="AD23" s="115" t="str">
        <f t="shared" si="3"/>
        <v>BAGS #8 CRAFT PAPER</v>
      </c>
      <c r="AE23" s="114">
        <f t="shared" si="4"/>
        <v>0</v>
      </c>
      <c r="AF23" s="116"/>
      <c r="AG23" s="115" t="str">
        <f t="shared" si="5"/>
        <v>BAGS #8 CRAFT PAPER</v>
      </c>
      <c r="AH23" s="114">
        <f t="shared" si="6"/>
        <v>4</v>
      </c>
      <c r="AI23" s="116"/>
      <c r="AJ23" s="115" t="str">
        <f t="shared" si="7"/>
        <v>BAGS #8 CRAFT PAPER</v>
      </c>
      <c r="AK23" s="114">
        <f t="shared" si="8"/>
        <v>1</v>
      </c>
      <c r="AL23" s="116"/>
      <c r="AM23" s="115" t="str">
        <f t="shared" si="9"/>
        <v>BAGS #8 CRAFT PAPER</v>
      </c>
      <c r="AN23" s="114">
        <f t="shared" si="10"/>
        <v>1</v>
      </c>
      <c r="AO23" s="116"/>
      <c r="AP23" s="115" t="str">
        <f t="shared" si="11"/>
        <v>BAGS #8 CRAFT PAPER</v>
      </c>
      <c r="AQ23" s="114">
        <f t="shared" si="12"/>
        <v>2</v>
      </c>
      <c r="AR23" s="116"/>
      <c r="AS23" s="115" t="str">
        <f t="shared" si="13"/>
        <v>BAGS #8 CRAFT PAPER</v>
      </c>
      <c r="AT23" s="114">
        <f t="shared" si="14"/>
        <v>1</v>
      </c>
      <c r="AU23" s="116"/>
      <c r="AV23" s="115" t="str">
        <f t="shared" si="15"/>
        <v>BAGS #8 CRAFT PAPER</v>
      </c>
      <c r="AW23" s="114">
        <f t="shared" si="16"/>
        <v>1</v>
      </c>
      <c r="AX23" s="116"/>
      <c r="AY23" s="115" t="str">
        <f t="shared" si="17"/>
        <v>BAGS #8 CRAFT PAPER</v>
      </c>
      <c r="AZ23" s="114">
        <f t="shared" si="18"/>
        <v>0</v>
      </c>
      <c r="BA23" s="116"/>
      <c r="BB23" s="115"/>
      <c r="BC23" s="114"/>
      <c r="BD23" s="116"/>
      <c r="BE23" s="115" t="str">
        <f t="shared" si="19"/>
        <v>BAGS #8 CRAFT PAPER</v>
      </c>
      <c r="BF23" s="114">
        <f t="shared" si="20"/>
        <v>0</v>
      </c>
      <c r="BG23" s="116"/>
      <c r="BH23" s="113"/>
      <c r="BI23" s="112"/>
      <c r="BJ23" s="115" t="str">
        <f t="shared" si="21"/>
        <v>BAGS #8 CRAFT PAPER</v>
      </c>
      <c r="BK23" s="114">
        <f t="shared" si="22"/>
        <v>3</v>
      </c>
      <c r="BM23" s="113"/>
      <c r="BN23" s="112"/>
    </row>
    <row r="24" spans="1:66" s="111" customFormat="1" ht="52.95" customHeight="1" x14ac:dyDescent="0.85">
      <c r="A24" s="122" t="s">
        <v>70</v>
      </c>
      <c r="B24" s="120"/>
      <c r="C24" s="122">
        <f t="shared" si="0"/>
        <v>16</v>
      </c>
      <c r="D24" s="126"/>
      <c r="E24" s="117">
        <v>2</v>
      </c>
      <c r="F24" s="120"/>
      <c r="G24" s="119">
        <v>4</v>
      </c>
      <c r="H24" s="120"/>
      <c r="I24" s="117">
        <v>2</v>
      </c>
      <c r="J24" s="120"/>
      <c r="K24" s="119">
        <v>2</v>
      </c>
      <c r="L24" s="120"/>
      <c r="M24" s="117">
        <v>2</v>
      </c>
      <c r="N24" s="120"/>
      <c r="O24" s="119">
        <v>1</v>
      </c>
      <c r="P24" s="120"/>
      <c r="Q24" s="117">
        <v>1</v>
      </c>
      <c r="R24" s="120"/>
      <c r="S24" s="119">
        <v>1</v>
      </c>
      <c r="T24" s="120"/>
      <c r="U24" s="117">
        <v>1</v>
      </c>
      <c r="V24" s="120"/>
      <c r="W24" s="119"/>
      <c r="X24" s="120"/>
      <c r="Y24" s="117"/>
      <c r="Z24" s="116"/>
      <c r="AA24" s="115" t="str">
        <f t="shared" si="1"/>
        <v>SOAP 4-1</v>
      </c>
      <c r="AB24" s="114">
        <f t="shared" si="2"/>
        <v>2</v>
      </c>
      <c r="AC24" s="116"/>
      <c r="AD24" s="115" t="str">
        <f t="shared" si="3"/>
        <v>SOAP 4-1</v>
      </c>
      <c r="AE24" s="114">
        <f t="shared" si="4"/>
        <v>2</v>
      </c>
      <c r="AF24" s="116"/>
      <c r="AG24" s="115" t="str">
        <f t="shared" si="5"/>
        <v>SOAP 4-1</v>
      </c>
      <c r="AH24" s="114">
        <f t="shared" si="6"/>
        <v>4</v>
      </c>
      <c r="AI24" s="116"/>
      <c r="AJ24" s="115" t="str">
        <f t="shared" si="7"/>
        <v>SOAP 4-1</v>
      </c>
      <c r="AK24" s="114">
        <f t="shared" si="8"/>
        <v>1</v>
      </c>
      <c r="AL24" s="116"/>
      <c r="AM24" s="115" t="str">
        <f t="shared" si="9"/>
        <v>SOAP 4-1</v>
      </c>
      <c r="AN24" s="114">
        <f t="shared" si="10"/>
        <v>1</v>
      </c>
      <c r="AO24" s="116"/>
      <c r="AP24" s="115" t="str">
        <f t="shared" si="11"/>
        <v>SOAP 4-1</v>
      </c>
      <c r="AQ24" s="114">
        <f t="shared" si="12"/>
        <v>1</v>
      </c>
      <c r="AR24" s="116"/>
      <c r="AS24" s="115" t="str">
        <f t="shared" si="13"/>
        <v>SOAP 4-1</v>
      </c>
      <c r="AT24" s="114">
        <f t="shared" si="14"/>
        <v>2</v>
      </c>
      <c r="AU24" s="116"/>
      <c r="AV24" s="115" t="str">
        <f t="shared" si="15"/>
        <v>SOAP 4-1</v>
      </c>
      <c r="AW24" s="114">
        <f t="shared" si="16"/>
        <v>2</v>
      </c>
      <c r="AX24" s="116"/>
      <c r="AY24" s="115" t="str">
        <f t="shared" si="17"/>
        <v>SOAP 4-1</v>
      </c>
      <c r="AZ24" s="114">
        <f t="shared" si="18"/>
        <v>0</v>
      </c>
      <c r="BA24" s="116"/>
      <c r="BB24" s="115"/>
      <c r="BC24" s="114"/>
      <c r="BD24" s="116"/>
      <c r="BE24" s="115" t="str">
        <f t="shared" si="19"/>
        <v>SOAP 4-1</v>
      </c>
      <c r="BF24" s="114">
        <f t="shared" si="20"/>
        <v>0</v>
      </c>
      <c r="BG24" s="116"/>
      <c r="BH24" s="113"/>
      <c r="BI24" s="112"/>
      <c r="BJ24" s="115" t="str">
        <f t="shared" si="21"/>
        <v>SOAP 4-1</v>
      </c>
      <c r="BK24" s="114">
        <f t="shared" si="22"/>
        <v>1</v>
      </c>
      <c r="BM24" s="113"/>
      <c r="BN24" s="112"/>
    </row>
    <row r="25" spans="1:66" s="111" customFormat="1" ht="52.95" customHeight="1" x14ac:dyDescent="0.85">
      <c r="A25" s="122" t="s">
        <v>71</v>
      </c>
      <c r="B25" s="120"/>
      <c r="C25" s="122">
        <f t="shared" si="0"/>
        <v>7</v>
      </c>
      <c r="D25" s="126"/>
      <c r="E25" s="117">
        <v>1</v>
      </c>
      <c r="F25" s="120"/>
      <c r="G25" s="119">
        <v>1</v>
      </c>
      <c r="H25" s="120"/>
      <c r="I25" s="117">
        <v>1</v>
      </c>
      <c r="J25" s="120"/>
      <c r="K25" s="119">
        <v>1</v>
      </c>
      <c r="L25" s="120"/>
      <c r="M25" s="117"/>
      <c r="N25" s="120"/>
      <c r="O25" s="119">
        <v>1</v>
      </c>
      <c r="P25" s="120"/>
      <c r="Q25" s="117"/>
      <c r="R25" s="120"/>
      <c r="S25" s="119">
        <v>1</v>
      </c>
      <c r="T25" s="120"/>
      <c r="U25" s="117">
        <v>1</v>
      </c>
      <c r="V25" s="120"/>
      <c r="W25" s="119"/>
      <c r="X25" s="120"/>
      <c r="Y25" s="117"/>
      <c r="Z25" s="116"/>
      <c r="AA25" s="115" t="str">
        <f t="shared" si="1"/>
        <v>OVEN &amp; GRILL 4-1</v>
      </c>
      <c r="AB25" s="114">
        <f t="shared" si="2"/>
        <v>1</v>
      </c>
      <c r="AC25" s="116"/>
      <c r="AD25" s="115" t="str">
        <f t="shared" si="3"/>
        <v>OVEN &amp; GRILL 4-1</v>
      </c>
      <c r="AE25" s="114">
        <f t="shared" si="4"/>
        <v>1</v>
      </c>
      <c r="AF25" s="116"/>
      <c r="AG25" s="115" t="str">
        <f t="shared" si="5"/>
        <v>OVEN &amp; GRILL 4-1</v>
      </c>
      <c r="AH25" s="114">
        <f t="shared" si="6"/>
        <v>1</v>
      </c>
      <c r="AI25" s="116"/>
      <c r="AJ25" s="115" t="str">
        <f t="shared" si="7"/>
        <v>OVEN &amp; GRILL 4-1</v>
      </c>
      <c r="AK25" s="114">
        <f t="shared" si="8"/>
        <v>1</v>
      </c>
      <c r="AL25" s="116"/>
      <c r="AM25" s="115" t="str">
        <f t="shared" si="9"/>
        <v>OVEN &amp; GRILL 4-1</v>
      </c>
      <c r="AN25" s="114">
        <f t="shared" si="10"/>
        <v>1</v>
      </c>
      <c r="AO25" s="116"/>
      <c r="AP25" s="115" t="str">
        <f t="shared" si="11"/>
        <v>OVEN &amp; GRILL 4-1</v>
      </c>
      <c r="AQ25" s="114">
        <f t="shared" si="12"/>
        <v>0</v>
      </c>
      <c r="AR25" s="116"/>
      <c r="AS25" s="115" t="str">
        <f t="shared" si="13"/>
        <v>OVEN &amp; GRILL 4-1</v>
      </c>
      <c r="AT25" s="114">
        <f t="shared" si="14"/>
        <v>0</v>
      </c>
      <c r="AU25" s="116"/>
      <c r="AV25" s="115" t="str">
        <f t="shared" si="15"/>
        <v>OVEN &amp; GRILL 4-1</v>
      </c>
      <c r="AW25" s="114">
        <f t="shared" si="16"/>
        <v>1</v>
      </c>
      <c r="AX25" s="116"/>
      <c r="AY25" s="115" t="str">
        <f t="shared" si="17"/>
        <v>OVEN &amp; GRILL 4-1</v>
      </c>
      <c r="AZ25" s="114">
        <f t="shared" si="18"/>
        <v>0</v>
      </c>
      <c r="BA25" s="116"/>
      <c r="BB25" s="115"/>
      <c r="BC25" s="114"/>
      <c r="BD25" s="116"/>
      <c r="BE25" s="115" t="str">
        <f t="shared" si="19"/>
        <v>OVEN &amp; GRILL 4-1</v>
      </c>
      <c r="BF25" s="114">
        <f t="shared" si="20"/>
        <v>0</v>
      </c>
      <c r="BG25" s="116"/>
      <c r="BH25" s="113"/>
      <c r="BI25" s="112"/>
      <c r="BJ25" s="115" t="str">
        <f t="shared" si="21"/>
        <v>OVEN &amp; GRILL 4-1</v>
      </c>
      <c r="BK25" s="114">
        <f t="shared" si="22"/>
        <v>1</v>
      </c>
      <c r="BM25" s="113"/>
      <c r="BN25" s="112"/>
    </row>
    <row r="26" spans="1:66" s="111" customFormat="1" ht="52.95" customHeight="1" x14ac:dyDescent="0.85">
      <c r="A26" s="122" t="s">
        <v>30</v>
      </c>
      <c r="B26" s="120"/>
      <c r="C26" s="122">
        <f t="shared" si="0"/>
        <v>4</v>
      </c>
      <c r="D26" s="126"/>
      <c r="E26" s="117"/>
      <c r="F26" s="120"/>
      <c r="G26" s="119">
        <v>1</v>
      </c>
      <c r="H26" s="120"/>
      <c r="I26" s="117"/>
      <c r="J26" s="120"/>
      <c r="K26" s="119">
        <v>1</v>
      </c>
      <c r="L26" s="120"/>
      <c r="M26" s="117"/>
      <c r="N26" s="120"/>
      <c r="O26" s="119">
        <v>1</v>
      </c>
      <c r="P26" s="120"/>
      <c r="Q26" s="117"/>
      <c r="R26" s="120"/>
      <c r="S26" s="119">
        <v>1</v>
      </c>
      <c r="T26" s="120"/>
      <c r="U26" s="117"/>
      <c r="V26" s="120"/>
      <c r="W26" s="119"/>
      <c r="X26" s="120"/>
      <c r="Y26" s="117"/>
      <c r="Z26" s="116"/>
      <c r="AA26" s="115" t="str">
        <f t="shared" si="1"/>
        <v>BAGS TRASH</v>
      </c>
      <c r="AB26" s="114">
        <f t="shared" si="2"/>
        <v>1</v>
      </c>
      <c r="AC26" s="116"/>
      <c r="AD26" s="115" t="str">
        <f t="shared" si="3"/>
        <v>BAGS TRASH</v>
      </c>
      <c r="AE26" s="114">
        <f t="shared" si="4"/>
        <v>0</v>
      </c>
      <c r="AF26" s="116"/>
      <c r="AG26" s="115" t="str">
        <f t="shared" si="5"/>
        <v>BAGS TRASH</v>
      </c>
      <c r="AH26" s="114">
        <f t="shared" si="6"/>
        <v>1</v>
      </c>
      <c r="AI26" s="116"/>
      <c r="AJ26" s="115" t="str">
        <f t="shared" si="7"/>
        <v>BAGS TRASH</v>
      </c>
      <c r="AK26" s="114">
        <f t="shared" si="8"/>
        <v>0</v>
      </c>
      <c r="AL26" s="116"/>
      <c r="AM26" s="115" t="str">
        <f t="shared" si="9"/>
        <v>BAGS TRASH</v>
      </c>
      <c r="AN26" s="114">
        <f t="shared" si="10"/>
        <v>1</v>
      </c>
      <c r="AO26" s="116"/>
      <c r="AP26" s="115" t="str">
        <f t="shared" si="11"/>
        <v>BAGS TRASH</v>
      </c>
      <c r="AQ26" s="114">
        <f t="shared" si="12"/>
        <v>0</v>
      </c>
      <c r="AR26" s="116"/>
      <c r="AS26" s="115" t="str">
        <f t="shared" si="13"/>
        <v>BAGS TRASH</v>
      </c>
      <c r="AT26" s="114">
        <f t="shared" si="14"/>
        <v>0</v>
      </c>
      <c r="AU26" s="116"/>
      <c r="AV26" s="115" t="str">
        <f t="shared" si="15"/>
        <v>BAGS TRASH</v>
      </c>
      <c r="AW26" s="114">
        <f t="shared" si="16"/>
        <v>0</v>
      </c>
      <c r="AX26" s="116"/>
      <c r="AY26" s="115" t="str">
        <f t="shared" si="17"/>
        <v>BAGS TRASH</v>
      </c>
      <c r="AZ26" s="114">
        <f t="shared" si="18"/>
        <v>0</v>
      </c>
      <c r="BA26" s="116"/>
      <c r="BB26" s="115"/>
      <c r="BC26" s="114"/>
      <c r="BD26" s="116"/>
      <c r="BE26" s="115" t="str">
        <f t="shared" si="19"/>
        <v>BAGS TRASH</v>
      </c>
      <c r="BF26" s="114">
        <f t="shared" si="20"/>
        <v>0</v>
      </c>
      <c r="BG26" s="116"/>
      <c r="BH26" s="113"/>
      <c r="BI26" s="112"/>
      <c r="BJ26" s="115" t="str">
        <f t="shared" si="21"/>
        <v>BAGS TRASH</v>
      </c>
      <c r="BK26" s="114">
        <f t="shared" si="22"/>
        <v>1</v>
      </c>
      <c r="BM26" s="113"/>
      <c r="BN26" s="112"/>
    </row>
    <row r="27" spans="1:66" s="111" customFormat="1" ht="52.95" customHeight="1" x14ac:dyDescent="0.85">
      <c r="A27" s="122" t="s">
        <v>31</v>
      </c>
      <c r="B27" s="120"/>
      <c r="C27" s="122">
        <f t="shared" si="0"/>
        <v>17</v>
      </c>
      <c r="D27" s="126"/>
      <c r="E27" s="117">
        <v>1</v>
      </c>
      <c r="F27" s="120"/>
      <c r="G27" s="119">
        <v>3</v>
      </c>
      <c r="H27" s="120"/>
      <c r="I27" s="117">
        <v>2</v>
      </c>
      <c r="J27" s="120"/>
      <c r="K27" s="119">
        <v>3</v>
      </c>
      <c r="L27" s="120"/>
      <c r="M27" s="117">
        <v>2</v>
      </c>
      <c r="N27" s="120"/>
      <c r="O27" s="119">
        <v>1</v>
      </c>
      <c r="P27" s="120"/>
      <c r="Q27" s="117">
        <v>1</v>
      </c>
      <c r="R27" s="120"/>
      <c r="S27" s="119">
        <v>2</v>
      </c>
      <c r="T27" s="120"/>
      <c r="U27" s="117">
        <v>2</v>
      </c>
      <c r="V27" s="120"/>
      <c r="W27" s="119"/>
      <c r="X27" s="120"/>
      <c r="Y27" s="117"/>
      <c r="Z27" s="116"/>
      <c r="AA27" s="115" t="str">
        <f t="shared" si="1"/>
        <v>EVAPORATED MILK</v>
      </c>
      <c r="AB27" s="114">
        <f t="shared" si="2"/>
        <v>3</v>
      </c>
      <c r="AC27" s="116"/>
      <c r="AD27" s="115" t="str">
        <f t="shared" si="3"/>
        <v>EVAPORATED MILK</v>
      </c>
      <c r="AE27" s="114">
        <f t="shared" si="4"/>
        <v>1</v>
      </c>
      <c r="AF27" s="116"/>
      <c r="AG27" s="115" t="str">
        <f t="shared" si="5"/>
        <v>EVAPORATED MILK</v>
      </c>
      <c r="AH27" s="114">
        <f t="shared" si="6"/>
        <v>3</v>
      </c>
      <c r="AI27" s="116"/>
      <c r="AJ27" s="115" t="str">
        <f t="shared" si="7"/>
        <v>EVAPORATED MILK</v>
      </c>
      <c r="AK27" s="114">
        <f t="shared" si="8"/>
        <v>2</v>
      </c>
      <c r="AL27" s="116"/>
      <c r="AM27" s="115" t="str">
        <f t="shared" si="9"/>
        <v>EVAPORATED MILK</v>
      </c>
      <c r="AN27" s="114">
        <f t="shared" si="10"/>
        <v>1</v>
      </c>
      <c r="AO27" s="116"/>
      <c r="AP27" s="115" t="str">
        <f t="shared" si="11"/>
        <v>EVAPORATED MILK</v>
      </c>
      <c r="AQ27" s="114">
        <f t="shared" si="12"/>
        <v>1</v>
      </c>
      <c r="AR27" s="116"/>
      <c r="AS27" s="115" t="str">
        <f t="shared" si="13"/>
        <v>EVAPORATED MILK</v>
      </c>
      <c r="AT27" s="114">
        <f t="shared" si="14"/>
        <v>2</v>
      </c>
      <c r="AU27" s="116"/>
      <c r="AV27" s="115" t="str">
        <f t="shared" si="15"/>
        <v>EVAPORATED MILK</v>
      </c>
      <c r="AW27" s="114">
        <f t="shared" si="16"/>
        <v>2</v>
      </c>
      <c r="AX27" s="116"/>
      <c r="AY27" s="115" t="str">
        <f t="shared" si="17"/>
        <v>EVAPORATED MILK</v>
      </c>
      <c r="AZ27" s="114">
        <f t="shared" si="18"/>
        <v>0</v>
      </c>
      <c r="BA27" s="116"/>
      <c r="BB27" s="115"/>
      <c r="BC27" s="114"/>
      <c r="BD27" s="116"/>
      <c r="BE27" s="115" t="str">
        <f t="shared" si="19"/>
        <v>EVAPORATED MILK</v>
      </c>
      <c r="BF27" s="114">
        <f t="shared" si="20"/>
        <v>0</v>
      </c>
      <c r="BG27" s="116"/>
      <c r="BH27" s="113"/>
      <c r="BI27" s="112"/>
      <c r="BJ27" s="115" t="str">
        <f t="shared" si="21"/>
        <v>EVAPORATED MILK</v>
      </c>
      <c r="BK27" s="114">
        <f t="shared" si="22"/>
        <v>2</v>
      </c>
      <c r="BM27" s="113"/>
      <c r="BN27" s="112"/>
    </row>
    <row r="28" spans="1:66" s="111" customFormat="1" ht="52.95" customHeight="1" x14ac:dyDescent="0.85">
      <c r="A28" s="122" t="s">
        <v>32</v>
      </c>
      <c r="B28" s="120"/>
      <c r="C28" s="122">
        <f t="shared" si="0"/>
        <v>6</v>
      </c>
      <c r="D28" s="126"/>
      <c r="E28" s="117"/>
      <c r="F28" s="120"/>
      <c r="G28" s="119">
        <v>1</v>
      </c>
      <c r="H28" s="120"/>
      <c r="I28" s="117">
        <v>1</v>
      </c>
      <c r="J28" s="120"/>
      <c r="K28" s="119"/>
      <c r="L28" s="120"/>
      <c r="M28" s="117">
        <v>1</v>
      </c>
      <c r="N28" s="120"/>
      <c r="O28" s="119">
        <v>1</v>
      </c>
      <c r="P28" s="120"/>
      <c r="Q28" s="117"/>
      <c r="R28" s="120"/>
      <c r="S28" s="119">
        <v>1</v>
      </c>
      <c r="T28" s="120"/>
      <c r="U28" s="117">
        <v>1</v>
      </c>
      <c r="V28" s="120"/>
      <c r="W28" s="119"/>
      <c r="X28" s="120"/>
      <c r="Y28" s="117"/>
      <c r="Z28" s="116"/>
      <c r="AA28" s="115" t="str">
        <f t="shared" si="1"/>
        <v>CONDENSED MILK</v>
      </c>
      <c r="AB28" s="114">
        <f t="shared" si="2"/>
        <v>0</v>
      </c>
      <c r="AC28" s="116"/>
      <c r="AD28" s="115" t="str">
        <f t="shared" si="3"/>
        <v>CONDENSED MILK</v>
      </c>
      <c r="AE28" s="114">
        <f t="shared" si="4"/>
        <v>0</v>
      </c>
      <c r="AF28" s="116"/>
      <c r="AG28" s="115" t="str">
        <f t="shared" si="5"/>
        <v>CONDENSED MILK</v>
      </c>
      <c r="AH28" s="114">
        <f t="shared" si="6"/>
        <v>1</v>
      </c>
      <c r="AI28" s="116"/>
      <c r="AJ28" s="115" t="str">
        <f t="shared" si="7"/>
        <v>CONDENSED MILK</v>
      </c>
      <c r="AK28" s="114">
        <f t="shared" si="8"/>
        <v>1</v>
      </c>
      <c r="AL28" s="116"/>
      <c r="AM28" s="115" t="str">
        <f t="shared" si="9"/>
        <v>CONDENSED MILK</v>
      </c>
      <c r="AN28" s="114">
        <f t="shared" si="10"/>
        <v>1</v>
      </c>
      <c r="AO28" s="116"/>
      <c r="AP28" s="115" t="str">
        <f t="shared" si="11"/>
        <v>CONDENSED MILK</v>
      </c>
      <c r="AQ28" s="114">
        <f t="shared" si="12"/>
        <v>0</v>
      </c>
      <c r="AR28" s="116"/>
      <c r="AS28" s="115" t="str">
        <f t="shared" si="13"/>
        <v>CONDENSED MILK</v>
      </c>
      <c r="AT28" s="114">
        <f t="shared" si="14"/>
        <v>1</v>
      </c>
      <c r="AU28" s="116"/>
      <c r="AV28" s="115" t="str">
        <f t="shared" si="15"/>
        <v>CONDENSED MILK</v>
      </c>
      <c r="AW28" s="114">
        <f t="shared" si="16"/>
        <v>1</v>
      </c>
      <c r="AX28" s="116"/>
      <c r="AY28" s="115" t="str">
        <f t="shared" si="17"/>
        <v>CONDENSED MILK</v>
      </c>
      <c r="AZ28" s="114">
        <f t="shared" si="18"/>
        <v>0</v>
      </c>
      <c r="BA28" s="116"/>
      <c r="BB28" s="115"/>
      <c r="BC28" s="114"/>
      <c r="BD28" s="116"/>
      <c r="BE28" s="115" t="str">
        <f t="shared" si="19"/>
        <v>CONDENSED MILK</v>
      </c>
      <c r="BF28" s="114">
        <f t="shared" si="20"/>
        <v>0</v>
      </c>
      <c r="BG28" s="116"/>
      <c r="BH28" s="113"/>
      <c r="BI28" s="112"/>
      <c r="BJ28" s="115" t="str">
        <f t="shared" si="21"/>
        <v>CONDENSED MILK</v>
      </c>
      <c r="BK28" s="114">
        <f t="shared" si="22"/>
        <v>1</v>
      </c>
      <c r="BM28" s="113"/>
      <c r="BN28" s="112"/>
    </row>
    <row r="29" spans="1:66" s="111" customFormat="1" ht="52.95" customHeight="1" x14ac:dyDescent="0.85">
      <c r="A29" s="122" t="s">
        <v>33</v>
      </c>
      <c r="B29" s="120"/>
      <c r="C29" s="122">
        <f t="shared" si="0"/>
        <v>6</v>
      </c>
      <c r="D29" s="121"/>
      <c r="E29" s="117"/>
      <c r="F29" s="120"/>
      <c r="G29" s="119">
        <v>1</v>
      </c>
      <c r="H29" s="120"/>
      <c r="I29" s="117">
        <v>1</v>
      </c>
      <c r="J29" s="120"/>
      <c r="K29" s="119">
        <v>1</v>
      </c>
      <c r="L29" s="120"/>
      <c r="M29" s="117"/>
      <c r="N29" s="120"/>
      <c r="O29" s="119"/>
      <c r="P29" s="120"/>
      <c r="Q29" s="117">
        <v>1</v>
      </c>
      <c r="R29" s="120"/>
      <c r="S29" s="119">
        <v>1</v>
      </c>
      <c r="T29" s="120"/>
      <c r="U29" s="117">
        <v>1</v>
      </c>
      <c r="V29" s="120"/>
      <c r="W29" s="119"/>
      <c r="X29" s="120"/>
      <c r="Y29" s="117"/>
      <c r="Z29" s="116"/>
      <c r="AA29" s="115" t="str">
        <f t="shared" si="1"/>
        <v>COCO LOPEZ</v>
      </c>
      <c r="AB29" s="114">
        <f t="shared" si="2"/>
        <v>1</v>
      </c>
      <c r="AC29" s="116"/>
      <c r="AD29" s="115" t="str">
        <f t="shared" si="3"/>
        <v>COCO LOPEZ</v>
      </c>
      <c r="AE29" s="114">
        <f t="shared" si="4"/>
        <v>0</v>
      </c>
      <c r="AF29" s="116"/>
      <c r="AG29" s="115" t="str">
        <f t="shared" si="5"/>
        <v>COCO LOPEZ</v>
      </c>
      <c r="AH29" s="114">
        <f t="shared" si="6"/>
        <v>1</v>
      </c>
      <c r="AI29" s="116"/>
      <c r="AJ29" s="115" t="str">
        <f t="shared" si="7"/>
        <v>COCO LOPEZ</v>
      </c>
      <c r="AK29" s="114">
        <f t="shared" si="8"/>
        <v>1</v>
      </c>
      <c r="AL29" s="116"/>
      <c r="AM29" s="115" t="str">
        <f t="shared" si="9"/>
        <v>COCO LOPEZ</v>
      </c>
      <c r="AN29" s="114">
        <f t="shared" si="10"/>
        <v>0</v>
      </c>
      <c r="AO29" s="116"/>
      <c r="AP29" s="115" t="str">
        <f t="shared" si="11"/>
        <v>COCO LOPEZ</v>
      </c>
      <c r="AQ29" s="114">
        <f t="shared" si="12"/>
        <v>1</v>
      </c>
      <c r="AR29" s="116"/>
      <c r="AS29" s="115" t="str">
        <f t="shared" si="13"/>
        <v>COCO LOPEZ</v>
      </c>
      <c r="AT29" s="114">
        <f t="shared" si="14"/>
        <v>0</v>
      </c>
      <c r="AU29" s="116"/>
      <c r="AV29" s="115" t="str">
        <f t="shared" si="15"/>
        <v>COCO LOPEZ</v>
      </c>
      <c r="AW29" s="114">
        <f t="shared" si="16"/>
        <v>1</v>
      </c>
      <c r="AX29" s="116"/>
      <c r="AY29" s="115" t="str">
        <f t="shared" si="17"/>
        <v>COCO LOPEZ</v>
      </c>
      <c r="AZ29" s="114">
        <f t="shared" si="18"/>
        <v>0</v>
      </c>
      <c r="BA29" s="116"/>
      <c r="BB29" s="115"/>
      <c r="BC29" s="114"/>
      <c r="BD29" s="116"/>
      <c r="BE29" s="115" t="str">
        <f t="shared" si="19"/>
        <v>COCO LOPEZ</v>
      </c>
      <c r="BF29" s="114">
        <f t="shared" si="20"/>
        <v>0</v>
      </c>
      <c r="BG29" s="116"/>
      <c r="BH29" s="113"/>
      <c r="BI29" s="112"/>
      <c r="BJ29" s="115" t="str">
        <f t="shared" si="21"/>
        <v>COCO LOPEZ</v>
      </c>
      <c r="BK29" s="114">
        <f t="shared" si="22"/>
        <v>1</v>
      </c>
      <c r="BM29" s="113"/>
      <c r="BN29" s="112"/>
    </row>
    <row r="30" spans="1:66" s="111" customFormat="1" ht="52.95" customHeight="1" x14ac:dyDescent="0.85">
      <c r="A30" s="122" t="s">
        <v>34</v>
      </c>
      <c r="B30" s="120"/>
      <c r="C30" s="122">
        <f t="shared" si="0"/>
        <v>1</v>
      </c>
      <c r="D30" s="121"/>
      <c r="E30" s="117"/>
      <c r="F30" s="120"/>
      <c r="G30" s="119"/>
      <c r="H30" s="120"/>
      <c r="I30" s="117"/>
      <c r="J30" s="120"/>
      <c r="K30" s="119"/>
      <c r="L30" s="120"/>
      <c r="M30" s="117"/>
      <c r="N30" s="120"/>
      <c r="O30" s="119"/>
      <c r="P30" s="120"/>
      <c r="Q30" s="117">
        <v>1</v>
      </c>
      <c r="R30" s="120"/>
      <c r="S30" s="119"/>
      <c r="T30" s="120"/>
      <c r="U30" s="117"/>
      <c r="V30" s="120"/>
      <c r="W30" s="119"/>
      <c r="X30" s="120"/>
      <c r="Y30" s="117"/>
      <c r="Z30" s="116"/>
      <c r="AA30" s="115" t="str">
        <f t="shared" si="1"/>
        <v>GARLIC SALT</v>
      </c>
      <c r="AB30" s="114">
        <f t="shared" si="2"/>
        <v>0</v>
      </c>
      <c r="AC30" s="116"/>
      <c r="AD30" s="115" t="str">
        <f t="shared" si="3"/>
        <v>GARLIC SALT</v>
      </c>
      <c r="AE30" s="114">
        <f t="shared" si="4"/>
        <v>0</v>
      </c>
      <c r="AF30" s="116"/>
      <c r="AG30" s="115" t="str">
        <f t="shared" si="5"/>
        <v>GARLIC SALT</v>
      </c>
      <c r="AH30" s="114">
        <f t="shared" si="6"/>
        <v>0</v>
      </c>
      <c r="AI30" s="116"/>
      <c r="AJ30" s="115" t="str">
        <f t="shared" si="7"/>
        <v>GARLIC SALT</v>
      </c>
      <c r="AK30" s="114">
        <f t="shared" si="8"/>
        <v>0</v>
      </c>
      <c r="AL30" s="116"/>
      <c r="AM30" s="115" t="str">
        <f t="shared" si="9"/>
        <v>GARLIC SALT</v>
      </c>
      <c r="AN30" s="114">
        <f t="shared" si="10"/>
        <v>0</v>
      </c>
      <c r="AO30" s="116"/>
      <c r="AP30" s="115" t="str">
        <f t="shared" si="11"/>
        <v>GARLIC SALT</v>
      </c>
      <c r="AQ30" s="114">
        <f t="shared" si="12"/>
        <v>1</v>
      </c>
      <c r="AR30" s="116"/>
      <c r="AS30" s="115" t="str">
        <f t="shared" si="13"/>
        <v>GARLIC SALT</v>
      </c>
      <c r="AT30" s="114">
        <f t="shared" si="14"/>
        <v>0</v>
      </c>
      <c r="AU30" s="116"/>
      <c r="AV30" s="115" t="str">
        <f t="shared" si="15"/>
        <v>GARLIC SALT</v>
      </c>
      <c r="AW30" s="114">
        <f t="shared" si="16"/>
        <v>0</v>
      </c>
      <c r="AX30" s="116"/>
      <c r="AY30" s="115" t="str">
        <f t="shared" si="17"/>
        <v>GARLIC SALT</v>
      </c>
      <c r="AZ30" s="114">
        <f t="shared" si="18"/>
        <v>0</v>
      </c>
      <c r="BA30" s="116"/>
      <c r="BB30" s="115"/>
      <c r="BC30" s="114"/>
      <c r="BD30" s="116"/>
      <c r="BE30" s="115" t="str">
        <f t="shared" si="19"/>
        <v>GARLIC SALT</v>
      </c>
      <c r="BF30" s="114">
        <f t="shared" si="20"/>
        <v>0</v>
      </c>
      <c r="BG30" s="116"/>
      <c r="BH30" s="113"/>
      <c r="BI30" s="112"/>
      <c r="BJ30" s="115" t="str">
        <f t="shared" si="21"/>
        <v>GARLIC SALT</v>
      </c>
      <c r="BK30" s="114">
        <f t="shared" si="22"/>
        <v>0</v>
      </c>
      <c r="BM30" s="113"/>
      <c r="BN30" s="112"/>
    </row>
    <row r="31" spans="1:66" s="111" customFormat="1" ht="52.95" customHeight="1" x14ac:dyDescent="0.85">
      <c r="A31" s="122" t="s">
        <v>35</v>
      </c>
      <c r="B31" s="120"/>
      <c r="C31" s="122">
        <f t="shared" si="0"/>
        <v>0</v>
      </c>
      <c r="D31" s="121"/>
      <c r="E31" s="117"/>
      <c r="F31" s="120"/>
      <c r="G31" s="119"/>
      <c r="H31" s="120"/>
      <c r="I31" s="117"/>
      <c r="J31" s="120"/>
      <c r="K31" s="119"/>
      <c r="L31" s="120"/>
      <c r="M31" s="117"/>
      <c r="N31" s="120"/>
      <c r="O31" s="119"/>
      <c r="P31" s="120"/>
      <c r="Q31" s="117"/>
      <c r="R31" s="120"/>
      <c r="S31" s="119"/>
      <c r="T31" s="120"/>
      <c r="U31" s="117"/>
      <c r="V31" s="120"/>
      <c r="W31" s="119"/>
      <c r="X31" s="120"/>
      <c r="Y31" s="117"/>
      <c r="Z31" s="116"/>
      <c r="AA31" s="115" t="str">
        <f t="shared" si="1"/>
        <v>BLUE TAPE</v>
      </c>
      <c r="AB31" s="114">
        <f t="shared" si="2"/>
        <v>0</v>
      </c>
      <c r="AC31" s="116"/>
      <c r="AD31" s="115" t="str">
        <f t="shared" si="3"/>
        <v>BLUE TAPE</v>
      </c>
      <c r="AE31" s="114">
        <f t="shared" si="4"/>
        <v>0</v>
      </c>
      <c r="AF31" s="116"/>
      <c r="AG31" s="115" t="str">
        <f t="shared" si="5"/>
        <v>BLUE TAPE</v>
      </c>
      <c r="AH31" s="114">
        <f t="shared" si="6"/>
        <v>0</v>
      </c>
      <c r="AI31" s="116"/>
      <c r="AJ31" s="115" t="str">
        <f t="shared" si="7"/>
        <v>BLUE TAPE</v>
      </c>
      <c r="AK31" s="114">
        <f t="shared" si="8"/>
        <v>0</v>
      </c>
      <c r="AL31" s="116"/>
      <c r="AM31" s="115" t="str">
        <f t="shared" si="9"/>
        <v>BLUE TAPE</v>
      </c>
      <c r="AN31" s="114">
        <f t="shared" si="10"/>
        <v>0</v>
      </c>
      <c r="AO31" s="116"/>
      <c r="AP31" s="115" t="str">
        <f t="shared" si="11"/>
        <v>BLUE TAPE</v>
      </c>
      <c r="AQ31" s="114">
        <f t="shared" si="12"/>
        <v>0</v>
      </c>
      <c r="AR31" s="116"/>
      <c r="AS31" s="115" t="str">
        <f t="shared" si="13"/>
        <v>BLUE TAPE</v>
      </c>
      <c r="AT31" s="114">
        <f t="shared" si="14"/>
        <v>0</v>
      </c>
      <c r="AU31" s="116"/>
      <c r="AV31" s="115" t="str">
        <f t="shared" si="15"/>
        <v>BLUE TAPE</v>
      </c>
      <c r="AW31" s="114">
        <f t="shared" si="16"/>
        <v>0</v>
      </c>
      <c r="AX31" s="116"/>
      <c r="AY31" s="115" t="str">
        <f t="shared" si="17"/>
        <v>BLUE TAPE</v>
      </c>
      <c r="AZ31" s="114">
        <f t="shared" si="18"/>
        <v>0</v>
      </c>
      <c r="BA31" s="116"/>
      <c r="BB31" s="115"/>
      <c r="BC31" s="114"/>
      <c r="BD31" s="116"/>
      <c r="BE31" s="115" t="str">
        <f t="shared" si="19"/>
        <v>BLUE TAPE</v>
      </c>
      <c r="BF31" s="114">
        <f t="shared" si="20"/>
        <v>0</v>
      </c>
      <c r="BG31" s="116"/>
      <c r="BH31" s="113"/>
      <c r="BI31" s="112"/>
      <c r="BJ31" s="115" t="str">
        <f t="shared" si="21"/>
        <v>BLUE TAPE</v>
      </c>
      <c r="BK31" s="114">
        <f t="shared" si="22"/>
        <v>0</v>
      </c>
      <c r="BM31" s="113"/>
      <c r="BN31" s="112"/>
    </row>
    <row r="32" spans="1:66" s="111" customFormat="1" ht="52.95" customHeight="1" x14ac:dyDescent="0.85">
      <c r="A32" s="122" t="s">
        <v>36</v>
      </c>
      <c r="B32" s="120"/>
      <c r="C32" s="122">
        <f t="shared" si="0"/>
        <v>1</v>
      </c>
      <c r="D32" s="121"/>
      <c r="E32" s="117"/>
      <c r="F32" s="120"/>
      <c r="G32" s="119"/>
      <c r="H32" s="120"/>
      <c r="I32" s="117"/>
      <c r="J32" s="120"/>
      <c r="K32" s="119">
        <v>1</v>
      </c>
      <c r="L32" s="120"/>
      <c r="M32" s="117"/>
      <c r="N32" s="120"/>
      <c r="O32" s="119"/>
      <c r="P32" s="120"/>
      <c r="Q32" s="117"/>
      <c r="R32" s="120"/>
      <c r="S32" s="119"/>
      <c r="T32" s="120"/>
      <c r="U32" s="117"/>
      <c r="V32" s="120"/>
      <c r="W32" s="119"/>
      <c r="X32" s="120"/>
      <c r="Y32" s="117"/>
      <c r="Z32" s="116"/>
      <c r="AA32" s="115" t="str">
        <f t="shared" si="1"/>
        <v>MARKERS</v>
      </c>
      <c r="AB32" s="114">
        <f t="shared" si="2"/>
        <v>1</v>
      </c>
      <c r="AC32" s="116"/>
      <c r="AD32" s="115" t="str">
        <f t="shared" si="3"/>
        <v>MARKERS</v>
      </c>
      <c r="AE32" s="114">
        <f t="shared" si="4"/>
        <v>0</v>
      </c>
      <c r="AF32" s="116"/>
      <c r="AG32" s="115" t="str">
        <f t="shared" si="5"/>
        <v>MARKERS</v>
      </c>
      <c r="AH32" s="114">
        <f t="shared" si="6"/>
        <v>0</v>
      </c>
      <c r="AI32" s="116"/>
      <c r="AJ32" s="115" t="str">
        <f t="shared" si="7"/>
        <v>MARKERS</v>
      </c>
      <c r="AK32" s="114">
        <f t="shared" si="8"/>
        <v>0</v>
      </c>
      <c r="AL32" s="116"/>
      <c r="AM32" s="115" t="str">
        <f t="shared" si="9"/>
        <v>MARKERS</v>
      </c>
      <c r="AN32" s="114">
        <f t="shared" si="10"/>
        <v>0</v>
      </c>
      <c r="AO32" s="116"/>
      <c r="AP32" s="115" t="str">
        <f t="shared" si="11"/>
        <v>MARKERS</v>
      </c>
      <c r="AQ32" s="114">
        <f t="shared" si="12"/>
        <v>0</v>
      </c>
      <c r="AR32" s="116"/>
      <c r="AS32" s="115" t="str">
        <f t="shared" si="13"/>
        <v>MARKERS</v>
      </c>
      <c r="AT32" s="114">
        <f t="shared" si="14"/>
        <v>0</v>
      </c>
      <c r="AU32" s="116"/>
      <c r="AV32" s="115" t="str">
        <f t="shared" si="15"/>
        <v>MARKERS</v>
      </c>
      <c r="AW32" s="114">
        <f t="shared" si="16"/>
        <v>0</v>
      </c>
      <c r="AX32" s="116"/>
      <c r="AY32" s="115" t="str">
        <f t="shared" si="17"/>
        <v>MARKERS</v>
      </c>
      <c r="AZ32" s="114">
        <f t="shared" si="18"/>
        <v>0</v>
      </c>
      <c r="BA32" s="116"/>
      <c r="BB32" s="115"/>
      <c r="BC32" s="114"/>
      <c r="BD32" s="116"/>
      <c r="BE32" s="115" t="str">
        <f t="shared" si="19"/>
        <v>MARKERS</v>
      </c>
      <c r="BF32" s="114">
        <f t="shared" si="20"/>
        <v>0</v>
      </c>
      <c r="BG32" s="116"/>
      <c r="BH32" s="113"/>
      <c r="BI32" s="112"/>
      <c r="BJ32" s="115" t="str">
        <f t="shared" si="21"/>
        <v>MARKERS</v>
      </c>
      <c r="BK32" s="114">
        <f t="shared" si="22"/>
        <v>0</v>
      </c>
      <c r="BM32" s="113"/>
      <c r="BN32" s="112"/>
    </row>
    <row r="33" spans="1:66" s="111" customFormat="1" ht="52.95" customHeight="1" x14ac:dyDescent="0.85">
      <c r="A33" s="122" t="s">
        <v>37</v>
      </c>
      <c r="B33" s="120"/>
      <c r="C33" s="122">
        <f t="shared" si="0"/>
        <v>0</v>
      </c>
      <c r="D33" s="121"/>
      <c r="E33" s="117"/>
      <c r="F33" s="120"/>
      <c r="G33" s="119"/>
      <c r="H33" s="120"/>
      <c r="I33" s="117"/>
      <c r="J33" s="120"/>
      <c r="K33" s="119"/>
      <c r="L33" s="120"/>
      <c r="M33" s="117"/>
      <c r="N33" s="120"/>
      <c r="O33" s="119"/>
      <c r="P33" s="120"/>
      <c r="Q33" s="117"/>
      <c r="R33" s="120"/>
      <c r="S33" s="119"/>
      <c r="T33" s="120"/>
      <c r="U33" s="117"/>
      <c r="V33" s="120"/>
      <c r="W33" s="119"/>
      <c r="X33" s="120"/>
      <c r="Y33" s="117"/>
      <c r="Z33" s="116"/>
      <c r="AA33" s="115" t="str">
        <f t="shared" si="1"/>
        <v>CLEAR TAPE</v>
      </c>
      <c r="AB33" s="114">
        <f t="shared" si="2"/>
        <v>0</v>
      </c>
      <c r="AC33" s="116"/>
      <c r="AD33" s="115" t="str">
        <f t="shared" si="3"/>
        <v>CLEAR TAPE</v>
      </c>
      <c r="AE33" s="114">
        <f t="shared" si="4"/>
        <v>0</v>
      </c>
      <c r="AF33" s="116"/>
      <c r="AG33" s="115" t="str">
        <f t="shared" si="5"/>
        <v>CLEAR TAPE</v>
      </c>
      <c r="AH33" s="114">
        <f t="shared" si="6"/>
        <v>0</v>
      </c>
      <c r="AI33" s="116"/>
      <c r="AJ33" s="115" t="str">
        <f t="shared" si="7"/>
        <v>CLEAR TAPE</v>
      </c>
      <c r="AK33" s="114">
        <f t="shared" si="8"/>
        <v>0</v>
      </c>
      <c r="AL33" s="116"/>
      <c r="AM33" s="115" t="str">
        <f t="shared" si="9"/>
        <v>CLEAR TAPE</v>
      </c>
      <c r="AN33" s="114">
        <f t="shared" si="10"/>
        <v>0</v>
      </c>
      <c r="AO33" s="116"/>
      <c r="AP33" s="115" t="str">
        <f t="shared" si="11"/>
        <v>CLEAR TAPE</v>
      </c>
      <c r="AQ33" s="114">
        <f t="shared" si="12"/>
        <v>0</v>
      </c>
      <c r="AR33" s="116"/>
      <c r="AS33" s="115" t="str">
        <f t="shared" si="13"/>
        <v>CLEAR TAPE</v>
      </c>
      <c r="AT33" s="114">
        <f t="shared" si="14"/>
        <v>0</v>
      </c>
      <c r="AU33" s="116"/>
      <c r="AV33" s="115" t="str">
        <f t="shared" si="15"/>
        <v>CLEAR TAPE</v>
      </c>
      <c r="AW33" s="114">
        <f t="shared" si="16"/>
        <v>0</v>
      </c>
      <c r="AX33" s="116"/>
      <c r="AY33" s="115" t="str">
        <f t="shared" si="17"/>
        <v>CLEAR TAPE</v>
      </c>
      <c r="AZ33" s="114">
        <f t="shared" si="18"/>
        <v>0</v>
      </c>
      <c r="BA33" s="116"/>
      <c r="BB33" s="115"/>
      <c r="BC33" s="114"/>
      <c r="BD33" s="116"/>
      <c r="BE33" s="115" t="str">
        <f t="shared" si="19"/>
        <v>CLEAR TAPE</v>
      </c>
      <c r="BF33" s="114">
        <f t="shared" si="20"/>
        <v>0</v>
      </c>
      <c r="BG33" s="116"/>
      <c r="BH33" s="113"/>
      <c r="BI33" s="112"/>
      <c r="BJ33" s="115" t="str">
        <f t="shared" si="21"/>
        <v>CLEAR TAPE</v>
      </c>
      <c r="BK33" s="114">
        <f t="shared" si="22"/>
        <v>0</v>
      </c>
      <c r="BM33" s="113"/>
      <c r="BN33" s="112"/>
    </row>
    <row r="34" spans="1:66" s="111" customFormat="1" ht="52.95" customHeight="1" x14ac:dyDescent="0.85">
      <c r="A34" s="122" t="s">
        <v>38</v>
      </c>
      <c r="B34" s="120"/>
      <c r="C34" s="122">
        <f t="shared" si="0"/>
        <v>5</v>
      </c>
      <c r="D34" s="124"/>
      <c r="E34" s="117">
        <v>1</v>
      </c>
      <c r="F34" s="120"/>
      <c r="G34" s="119">
        <v>1</v>
      </c>
      <c r="H34" s="120"/>
      <c r="I34" s="117"/>
      <c r="J34" s="120"/>
      <c r="K34" s="119">
        <v>1</v>
      </c>
      <c r="L34" s="120"/>
      <c r="M34" s="117"/>
      <c r="N34" s="120"/>
      <c r="O34" s="119"/>
      <c r="P34" s="120"/>
      <c r="Q34" s="117">
        <v>1</v>
      </c>
      <c r="R34" s="120"/>
      <c r="S34" s="119">
        <v>1</v>
      </c>
      <c r="T34" s="120"/>
      <c r="U34" s="117"/>
      <c r="V34" s="120"/>
      <c r="W34" s="119"/>
      <c r="X34" s="120"/>
      <c r="Y34" s="117"/>
      <c r="Z34" s="116"/>
      <c r="AA34" s="115" t="str">
        <f t="shared" si="1"/>
        <v>TRAPOS AMARILLOS</v>
      </c>
      <c r="AB34" s="114">
        <f t="shared" si="2"/>
        <v>1</v>
      </c>
      <c r="AC34" s="116"/>
      <c r="AD34" s="115" t="str">
        <f t="shared" si="3"/>
        <v>TRAPOS AMARILLOS</v>
      </c>
      <c r="AE34" s="114">
        <f t="shared" si="4"/>
        <v>1</v>
      </c>
      <c r="AF34" s="116"/>
      <c r="AG34" s="115" t="str">
        <f t="shared" si="5"/>
        <v>TRAPOS AMARILLOS</v>
      </c>
      <c r="AH34" s="114">
        <f t="shared" si="6"/>
        <v>1</v>
      </c>
      <c r="AI34" s="116"/>
      <c r="AJ34" s="115" t="str">
        <f t="shared" si="7"/>
        <v>TRAPOS AMARILLOS</v>
      </c>
      <c r="AK34" s="114">
        <f t="shared" si="8"/>
        <v>0</v>
      </c>
      <c r="AL34" s="116"/>
      <c r="AM34" s="115" t="str">
        <f t="shared" si="9"/>
        <v>TRAPOS AMARILLOS</v>
      </c>
      <c r="AN34" s="114">
        <f t="shared" si="10"/>
        <v>0</v>
      </c>
      <c r="AO34" s="116"/>
      <c r="AP34" s="115" t="str">
        <f t="shared" si="11"/>
        <v>TRAPOS AMARILLOS</v>
      </c>
      <c r="AQ34" s="114">
        <f t="shared" si="12"/>
        <v>1</v>
      </c>
      <c r="AR34" s="116"/>
      <c r="AS34" s="115" t="str">
        <f t="shared" si="13"/>
        <v>TRAPOS AMARILLOS</v>
      </c>
      <c r="AT34" s="114">
        <f t="shared" si="14"/>
        <v>0</v>
      </c>
      <c r="AU34" s="116"/>
      <c r="AV34" s="115" t="str">
        <f t="shared" si="15"/>
        <v>TRAPOS AMARILLOS</v>
      </c>
      <c r="AW34" s="114">
        <f t="shared" si="16"/>
        <v>0</v>
      </c>
      <c r="AX34" s="116"/>
      <c r="AY34" s="115" t="str">
        <f t="shared" si="17"/>
        <v>TRAPOS AMARILLOS</v>
      </c>
      <c r="AZ34" s="114">
        <f t="shared" si="18"/>
        <v>0</v>
      </c>
      <c r="BA34" s="116"/>
      <c r="BB34" s="115"/>
      <c r="BC34" s="114"/>
      <c r="BD34" s="116"/>
      <c r="BE34" s="115" t="str">
        <f t="shared" si="19"/>
        <v>TRAPOS AMARILLOS</v>
      </c>
      <c r="BF34" s="114">
        <f t="shared" si="20"/>
        <v>0</v>
      </c>
      <c r="BG34" s="116"/>
      <c r="BH34" s="113"/>
      <c r="BI34" s="112"/>
      <c r="BJ34" s="115" t="str">
        <f t="shared" si="21"/>
        <v>TRAPOS AMARILLOS</v>
      </c>
      <c r="BK34" s="114">
        <f t="shared" si="22"/>
        <v>1</v>
      </c>
      <c r="BM34" s="113"/>
      <c r="BN34" s="112"/>
    </row>
    <row r="35" spans="1:66" s="111" customFormat="1" ht="52.95" customHeight="1" x14ac:dyDescent="0.85">
      <c r="A35" s="122" t="s">
        <v>39</v>
      </c>
      <c r="B35" s="120"/>
      <c r="C35" s="122">
        <f t="shared" si="0"/>
        <v>1</v>
      </c>
      <c r="D35" s="124"/>
      <c r="E35" s="117">
        <v>1</v>
      </c>
      <c r="F35" s="120"/>
      <c r="G35" s="119"/>
      <c r="H35" s="120"/>
      <c r="I35" s="117"/>
      <c r="J35" s="120"/>
      <c r="K35" s="119"/>
      <c r="L35" s="120"/>
      <c r="M35" s="117"/>
      <c r="N35" s="120"/>
      <c r="O35" s="119"/>
      <c r="P35" s="120"/>
      <c r="Q35" s="117"/>
      <c r="R35" s="120"/>
      <c r="S35" s="119"/>
      <c r="T35" s="120"/>
      <c r="U35" s="117"/>
      <c r="V35" s="120"/>
      <c r="W35" s="119"/>
      <c r="X35" s="120"/>
      <c r="Y35" s="117"/>
      <c r="Z35" s="116"/>
      <c r="AA35" s="115" t="str">
        <f t="shared" si="1"/>
        <v>ARBOL BLEND</v>
      </c>
      <c r="AB35" s="114">
        <f t="shared" si="2"/>
        <v>0</v>
      </c>
      <c r="AC35" s="116"/>
      <c r="AD35" s="115" t="str">
        <f t="shared" si="3"/>
        <v>ARBOL BLEND</v>
      </c>
      <c r="AE35" s="114">
        <f t="shared" si="4"/>
        <v>1</v>
      </c>
      <c r="AF35" s="116"/>
      <c r="AG35" s="115" t="str">
        <f t="shared" si="5"/>
        <v>ARBOL BLEND</v>
      </c>
      <c r="AH35" s="114">
        <f t="shared" si="6"/>
        <v>0</v>
      </c>
      <c r="AI35" s="116"/>
      <c r="AJ35" s="115" t="str">
        <f t="shared" si="7"/>
        <v>ARBOL BLEND</v>
      </c>
      <c r="AK35" s="114">
        <f t="shared" si="8"/>
        <v>0</v>
      </c>
      <c r="AL35" s="116"/>
      <c r="AM35" s="115" t="str">
        <f t="shared" si="9"/>
        <v>ARBOL BLEND</v>
      </c>
      <c r="AN35" s="114">
        <f t="shared" si="10"/>
        <v>0</v>
      </c>
      <c r="AO35" s="116"/>
      <c r="AP35" s="115" t="str">
        <f t="shared" si="11"/>
        <v>ARBOL BLEND</v>
      </c>
      <c r="AQ35" s="114">
        <f t="shared" si="12"/>
        <v>0</v>
      </c>
      <c r="AR35" s="116"/>
      <c r="AS35" s="115" t="str">
        <f t="shared" si="13"/>
        <v>ARBOL BLEND</v>
      </c>
      <c r="AT35" s="114">
        <f t="shared" si="14"/>
        <v>0</v>
      </c>
      <c r="AU35" s="116"/>
      <c r="AV35" s="115" t="str">
        <f t="shared" si="15"/>
        <v>ARBOL BLEND</v>
      </c>
      <c r="AW35" s="114">
        <f t="shared" si="16"/>
        <v>0</v>
      </c>
      <c r="AX35" s="116"/>
      <c r="AY35" s="115" t="str">
        <f t="shared" si="17"/>
        <v>ARBOL BLEND</v>
      </c>
      <c r="AZ35" s="114">
        <f t="shared" si="18"/>
        <v>0</v>
      </c>
      <c r="BA35" s="116"/>
      <c r="BB35" s="115"/>
      <c r="BC35" s="114"/>
      <c r="BD35" s="116"/>
      <c r="BE35" s="115" t="str">
        <f t="shared" si="19"/>
        <v>ARBOL BLEND</v>
      </c>
      <c r="BF35" s="114">
        <f t="shared" si="20"/>
        <v>0</v>
      </c>
      <c r="BG35" s="116"/>
      <c r="BH35" s="113"/>
      <c r="BI35" s="112"/>
      <c r="BJ35" s="115" t="str">
        <f t="shared" si="21"/>
        <v>ARBOL BLEND</v>
      </c>
      <c r="BK35" s="114">
        <f t="shared" si="22"/>
        <v>0</v>
      </c>
      <c r="BM35" s="113"/>
      <c r="BN35" s="112"/>
    </row>
    <row r="36" spans="1:66" s="111" customFormat="1" ht="52.95" customHeight="1" x14ac:dyDescent="0.85">
      <c r="A36" s="122" t="s">
        <v>40</v>
      </c>
      <c r="B36" s="120"/>
      <c r="C36" s="122">
        <f t="shared" si="0"/>
        <v>1</v>
      </c>
      <c r="D36" s="124"/>
      <c r="E36" s="117">
        <v>1</v>
      </c>
      <c r="F36" s="120"/>
      <c r="G36" s="119"/>
      <c r="H36" s="120"/>
      <c r="I36" s="117"/>
      <c r="J36" s="120"/>
      <c r="K36" s="119"/>
      <c r="L36" s="120"/>
      <c r="M36" s="117"/>
      <c r="N36" s="120"/>
      <c r="O36" s="119"/>
      <c r="P36" s="120"/>
      <c r="Q36" s="117"/>
      <c r="R36" s="120"/>
      <c r="S36" s="119"/>
      <c r="T36" s="120"/>
      <c r="U36" s="117"/>
      <c r="V36" s="120"/>
      <c r="W36" s="119"/>
      <c r="X36" s="120"/>
      <c r="Y36" s="117"/>
      <c r="Z36" s="116"/>
      <c r="AA36" s="115" t="str">
        <f t="shared" si="1"/>
        <v>RED SAUCE BLEND</v>
      </c>
      <c r="AB36" s="114">
        <f t="shared" si="2"/>
        <v>0</v>
      </c>
      <c r="AC36" s="116"/>
      <c r="AD36" s="115" t="str">
        <f t="shared" si="3"/>
        <v>RED SAUCE BLEND</v>
      </c>
      <c r="AE36" s="114">
        <f t="shared" si="4"/>
        <v>1</v>
      </c>
      <c r="AF36" s="116"/>
      <c r="AG36" s="115" t="str">
        <f t="shared" si="5"/>
        <v>RED SAUCE BLEND</v>
      </c>
      <c r="AH36" s="114">
        <f t="shared" si="6"/>
        <v>0</v>
      </c>
      <c r="AI36" s="116"/>
      <c r="AJ36" s="115" t="str">
        <f t="shared" si="7"/>
        <v>RED SAUCE BLEND</v>
      </c>
      <c r="AK36" s="114">
        <f t="shared" si="8"/>
        <v>0</v>
      </c>
      <c r="AL36" s="116"/>
      <c r="AM36" s="115" t="str">
        <f t="shared" si="9"/>
        <v>RED SAUCE BLEND</v>
      </c>
      <c r="AN36" s="114">
        <f t="shared" si="10"/>
        <v>0</v>
      </c>
      <c r="AO36" s="116"/>
      <c r="AP36" s="115" t="str">
        <f t="shared" si="11"/>
        <v>RED SAUCE BLEND</v>
      </c>
      <c r="AQ36" s="114">
        <f t="shared" si="12"/>
        <v>0</v>
      </c>
      <c r="AR36" s="116"/>
      <c r="AS36" s="115" t="str">
        <f t="shared" si="13"/>
        <v>RED SAUCE BLEND</v>
      </c>
      <c r="AT36" s="114">
        <f t="shared" si="14"/>
        <v>0</v>
      </c>
      <c r="AU36" s="116"/>
      <c r="AV36" s="115" t="str">
        <f t="shared" si="15"/>
        <v>RED SAUCE BLEND</v>
      </c>
      <c r="AW36" s="114">
        <f t="shared" si="16"/>
        <v>0</v>
      </c>
      <c r="AX36" s="116"/>
      <c r="AY36" s="115" t="str">
        <f t="shared" si="17"/>
        <v>RED SAUCE BLEND</v>
      </c>
      <c r="AZ36" s="114">
        <f t="shared" si="18"/>
        <v>0</v>
      </c>
      <c r="BA36" s="116"/>
      <c r="BB36" s="115"/>
      <c r="BC36" s="114"/>
      <c r="BD36" s="116"/>
      <c r="BE36" s="115" t="str">
        <f t="shared" si="19"/>
        <v>RED SAUCE BLEND</v>
      </c>
      <c r="BF36" s="114">
        <f t="shared" si="20"/>
        <v>0</v>
      </c>
      <c r="BG36" s="116"/>
      <c r="BH36" s="113"/>
      <c r="BI36" s="112"/>
      <c r="BJ36" s="115" t="str">
        <f t="shared" si="21"/>
        <v>RED SAUCE BLEND</v>
      </c>
      <c r="BK36" s="114">
        <f t="shared" si="22"/>
        <v>0</v>
      </c>
      <c r="BM36" s="113"/>
      <c r="BN36" s="112"/>
    </row>
    <row r="37" spans="1:66" s="111" customFormat="1" ht="52.95" customHeight="1" x14ac:dyDescent="0.85">
      <c r="A37" s="125" t="s">
        <v>41</v>
      </c>
      <c r="B37" s="120"/>
      <c r="C37" s="122">
        <f t="shared" si="0"/>
        <v>2</v>
      </c>
      <c r="D37" s="124"/>
      <c r="E37" s="123"/>
      <c r="F37" s="120"/>
      <c r="G37" s="122">
        <v>1</v>
      </c>
      <c r="H37" s="120"/>
      <c r="I37" s="123">
        <v>1</v>
      </c>
      <c r="J37" s="120"/>
      <c r="K37" s="122"/>
      <c r="L37" s="120"/>
      <c r="M37" s="123"/>
      <c r="N37" s="120"/>
      <c r="O37" s="122"/>
      <c r="P37" s="120"/>
      <c r="Q37" s="123"/>
      <c r="R37" s="120"/>
      <c r="S37" s="122"/>
      <c r="T37" s="120"/>
      <c r="U37" s="123"/>
      <c r="V37" s="120"/>
      <c r="W37" s="119"/>
      <c r="X37" s="120"/>
      <c r="Y37" s="117"/>
      <c r="Z37" s="116"/>
      <c r="AA37" s="115" t="str">
        <f t="shared" si="1"/>
        <v>GREEN SAUCE BLEND</v>
      </c>
      <c r="AB37" s="114">
        <f t="shared" si="2"/>
        <v>0</v>
      </c>
      <c r="AC37" s="116"/>
      <c r="AD37" s="115" t="str">
        <f t="shared" si="3"/>
        <v>GREEN SAUCE BLEND</v>
      </c>
      <c r="AE37" s="114">
        <f t="shared" si="4"/>
        <v>0</v>
      </c>
      <c r="AF37" s="116"/>
      <c r="AG37" s="115" t="str">
        <f t="shared" si="5"/>
        <v>GREEN SAUCE BLEND</v>
      </c>
      <c r="AH37" s="114">
        <f t="shared" si="6"/>
        <v>1</v>
      </c>
      <c r="AI37" s="116"/>
      <c r="AJ37" s="115" t="str">
        <f t="shared" si="7"/>
        <v>GREEN SAUCE BLEND</v>
      </c>
      <c r="AK37" s="114">
        <f t="shared" si="8"/>
        <v>0</v>
      </c>
      <c r="AL37" s="116"/>
      <c r="AM37" s="115" t="str">
        <f t="shared" si="9"/>
        <v>GREEN SAUCE BLEND</v>
      </c>
      <c r="AN37" s="114">
        <f t="shared" si="10"/>
        <v>0</v>
      </c>
      <c r="AO37" s="116"/>
      <c r="AP37" s="115" t="str">
        <f t="shared" si="11"/>
        <v>GREEN SAUCE BLEND</v>
      </c>
      <c r="AQ37" s="114">
        <f t="shared" si="12"/>
        <v>0</v>
      </c>
      <c r="AR37" s="116"/>
      <c r="AS37" s="115" t="str">
        <f t="shared" si="13"/>
        <v>GREEN SAUCE BLEND</v>
      </c>
      <c r="AT37" s="114">
        <f t="shared" si="14"/>
        <v>0</v>
      </c>
      <c r="AU37" s="116"/>
      <c r="AV37" s="115" t="str">
        <f t="shared" si="15"/>
        <v>GREEN SAUCE BLEND</v>
      </c>
      <c r="AW37" s="114">
        <f t="shared" si="16"/>
        <v>1</v>
      </c>
      <c r="AX37" s="116"/>
      <c r="AY37" s="115" t="str">
        <f t="shared" si="17"/>
        <v>GREEN SAUCE BLEND</v>
      </c>
      <c r="AZ37" s="114">
        <f t="shared" si="18"/>
        <v>0</v>
      </c>
      <c r="BA37" s="116"/>
      <c r="BB37" s="115"/>
      <c r="BC37" s="114"/>
      <c r="BD37" s="116"/>
      <c r="BE37" s="115" t="str">
        <f t="shared" si="19"/>
        <v>GREEN SAUCE BLEND</v>
      </c>
      <c r="BF37" s="114">
        <f t="shared" si="20"/>
        <v>0</v>
      </c>
      <c r="BG37" s="116"/>
      <c r="BH37" s="113"/>
      <c r="BI37" s="112"/>
      <c r="BJ37" s="115" t="str">
        <f t="shared" si="21"/>
        <v>GREEN SAUCE BLEND</v>
      </c>
      <c r="BK37" s="114">
        <f t="shared" si="22"/>
        <v>0</v>
      </c>
      <c r="BM37" s="113"/>
      <c r="BN37" s="112"/>
    </row>
    <row r="38" spans="1:66" s="111" customFormat="1" ht="52.95" customHeight="1" x14ac:dyDescent="0.85">
      <c r="A38" s="122" t="s">
        <v>42</v>
      </c>
      <c r="B38" s="120"/>
      <c r="C38" s="122">
        <f t="shared" si="0"/>
        <v>2</v>
      </c>
      <c r="D38" s="121"/>
      <c r="E38" s="117"/>
      <c r="F38" s="120"/>
      <c r="G38" s="119"/>
      <c r="H38" s="120"/>
      <c r="I38" s="117"/>
      <c r="J38" s="120"/>
      <c r="K38" s="119">
        <v>1</v>
      </c>
      <c r="L38" s="120"/>
      <c r="M38" s="117"/>
      <c r="N38" s="120"/>
      <c r="O38" s="119">
        <v>1</v>
      </c>
      <c r="P38" s="120"/>
      <c r="Q38" s="117"/>
      <c r="R38" s="120"/>
      <c r="S38" s="119"/>
      <c r="T38" s="120"/>
      <c r="U38" s="117"/>
      <c r="V38" s="120"/>
      <c r="W38" s="122"/>
      <c r="X38" s="120"/>
      <c r="Y38" s="123"/>
      <c r="Z38" s="116"/>
      <c r="AA38" s="115" t="str">
        <f t="shared" si="1"/>
        <v>HABANERO BLEND</v>
      </c>
      <c r="AB38" s="114">
        <f t="shared" si="2"/>
        <v>1</v>
      </c>
      <c r="AC38" s="116"/>
      <c r="AD38" s="115" t="str">
        <f t="shared" si="3"/>
        <v>HABANERO BLEND</v>
      </c>
      <c r="AE38" s="114">
        <f t="shared" si="4"/>
        <v>0</v>
      </c>
      <c r="AF38" s="116"/>
      <c r="AG38" s="115" t="str">
        <f t="shared" si="5"/>
        <v>HABANERO BLEND</v>
      </c>
      <c r="AH38" s="114">
        <f t="shared" si="6"/>
        <v>0</v>
      </c>
      <c r="AI38" s="116"/>
      <c r="AJ38" s="115" t="str">
        <f t="shared" si="7"/>
        <v>HABANERO BLEND</v>
      </c>
      <c r="AK38" s="114">
        <f t="shared" si="8"/>
        <v>0</v>
      </c>
      <c r="AL38" s="116"/>
      <c r="AM38" s="115" t="str">
        <f t="shared" si="9"/>
        <v>HABANERO BLEND</v>
      </c>
      <c r="AN38" s="114">
        <f t="shared" si="10"/>
        <v>1</v>
      </c>
      <c r="AO38" s="116"/>
      <c r="AP38" s="115" t="str">
        <f t="shared" si="11"/>
        <v>HABANERO BLEND</v>
      </c>
      <c r="AQ38" s="114">
        <f t="shared" si="12"/>
        <v>0</v>
      </c>
      <c r="AR38" s="116"/>
      <c r="AS38" s="115" t="str">
        <f t="shared" si="13"/>
        <v>HABANERO BLEND</v>
      </c>
      <c r="AT38" s="114">
        <f t="shared" si="14"/>
        <v>0</v>
      </c>
      <c r="AU38" s="116"/>
      <c r="AV38" s="115" t="str">
        <f t="shared" si="15"/>
        <v>HABANERO BLEND</v>
      </c>
      <c r="AW38" s="114">
        <f t="shared" si="16"/>
        <v>0</v>
      </c>
      <c r="AX38" s="116"/>
      <c r="AY38" s="115" t="str">
        <f t="shared" si="17"/>
        <v>HABANERO BLEND</v>
      </c>
      <c r="AZ38" s="114">
        <f t="shared" si="18"/>
        <v>0</v>
      </c>
      <c r="BA38" s="116"/>
      <c r="BB38" s="115"/>
      <c r="BC38" s="114"/>
      <c r="BD38" s="116"/>
      <c r="BE38" s="115" t="str">
        <f t="shared" si="19"/>
        <v>HABANERO BLEND</v>
      </c>
      <c r="BF38" s="114">
        <f t="shared" si="20"/>
        <v>0</v>
      </c>
      <c r="BG38" s="116"/>
      <c r="BH38" s="113"/>
      <c r="BI38" s="112"/>
      <c r="BJ38" s="115" t="str">
        <f t="shared" si="21"/>
        <v>HABANERO BLEND</v>
      </c>
      <c r="BK38" s="114">
        <f t="shared" si="22"/>
        <v>0</v>
      </c>
      <c r="BM38" s="113"/>
      <c r="BN38" s="112"/>
    </row>
    <row r="39" spans="1:66" s="111" customFormat="1" ht="52.95" customHeight="1" x14ac:dyDescent="0.85">
      <c r="A39" s="122" t="s">
        <v>43</v>
      </c>
      <c r="B39" s="120"/>
      <c r="C39" s="122">
        <f t="shared" si="0"/>
        <v>0</v>
      </c>
      <c r="D39" s="121"/>
      <c r="E39" s="117"/>
      <c r="F39" s="120"/>
      <c r="G39" s="119"/>
      <c r="H39" s="120"/>
      <c r="I39" s="117"/>
      <c r="J39" s="120"/>
      <c r="K39" s="119"/>
      <c r="L39" s="120"/>
      <c r="M39" s="117"/>
      <c r="N39" s="120"/>
      <c r="O39" s="119"/>
      <c r="P39" s="120"/>
      <c r="Q39" s="117"/>
      <c r="R39" s="120"/>
      <c r="S39" s="119"/>
      <c r="T39" s="120"/>
      <c r="U39" s="117"/>
      <c r="V39" s="120"/>
      <c r="W39" s="119"/>
      <c r="X39" s="120"/>
      <c r="Y39" s="117"/>
      <c r="Z39" s="116"/>
      <c r="AA39" s="115" t="str">
        <f t="shared" si="1"/>
        <v xml:space="preserve">MOLE BLEND </v>
      </c>
      <c r="AB39" s="114">
        <f t="shared" si="2"/>
        <v>0</v>
      </c>
      <c r="AC39" s="116"/>
      <c r="AD39" s="115" t="str">
        <f t="shared" si="3"/>
        <v xml:space="preserve">MOLE BLEND </v>
      </c>
      <c r="AE39" s="114">
        <f t="shared" si="4"/>
        <v>0</v>
      </c>
      <c r="AF39" s="116"/>
      <c r="AG39" s="115" t="str">
        <f t="shared" si="5"/>
        <v xml:space="preserve">MOLE BLEND </v>
      </c>
      <c r="AH39" s="114">
        <f t="shared" si="6"/>
        <v>0</v>
      </c>
      <c r="AI39" s="116"/>
      <c r="AJ39" s="115" t="str">
        <f t="shared" si="7"/>
        <v xml:space="preserve">MOLE BLEND </v>
      </c>
      <c r="AK39" s="114">
        <f t="shared" si="8"/>
        <v>0</v>
      </c>
      <c r="AL39" s="116"/>
      <c r="AM39" s="115" t="str">
        <f t="shared" si="9"/>
        <v xml:space="preserve">MOLE BLEND </v>
      </c>
      <c r="AN39" s="114">
        <f t="shared" si="10"/>
        <v>0</v>
      </c>
      <c r="AO39" s="116"/>
      <c r="AP39" s="115" t="str">
        <f t="shared" si="11"/>
        <v xml:space="preserve">MOLE BLEND </v>
      </c>
      <c r="AQ39" s="114">
        <f t="shared" si="12"/>
        <v>0</v>
      </c>
      <c r="AR39" s="116"/>
      <c r="AS39" s="115" t="str">
        <f t="shared" si="13"/>
        <v xml:space="preserve">MOLE BLEND </v>
      </c>
      <c r="AT39" s="114">
        <f t="shared" si="14"/>
        <v>0</v>
      </c>
      <c r="AU39" s="116"/>
      <c r="AV39" s="115" t="str">
        <f t="shared" si="15"/>
        <v xml:space="preserve">MOLE BLEND </v>
      </c>
      <c r="AW39" s="114">
        <f t="shared" si="16"/>
        <v>0</v>
      </c>
      <c r="AX39" s="116"/>
      <c r="AY39" s="115" t="str">
        <f t="shared" si="17"/>
        <v xml:space="preserve">MOLE BLEND </v>
      </c>
      <c r="AZ39" s="114">
        <f t="shared" si="18"/>
        <v>0</v>
      </c>
      <c r="BA39" s="116"/>
      <c r="BB39" s="115"/>
      <c r="BC39" s="114"/>
      <c r="BD39" s="116"/>
      <c r="BE39" s="115" t="str">
        <f t="shared" si="19"/>
        <v xml:space="preserve">MOLE BLEND </v>
      </c>
      <c r="BF39" s="114">
        <f t="shared" si="20"/>
        <v>0</v>
      </c>
      <c r="BG39" s="116"/>
      <c r="BH39" s="113"/>
      <c r="BI39" s="112"/>
      <c r="BJ39" s="115" t="str">
        <f t="shared" si="21"/>
        <v xml:space="preserve">MOLE BLEND </v>
      </c>
      <c r="BK39" s="114">
        <f t="shared" si="22"/>
        <v>0</v>
      </c>
      <c r="BM39" s="113"/>
      <c r="BN39" s="112"/>
    </row>
    <row r="40" spans="1:66" s="111" customFormat="1" ht="52.95" customHeight="1" x14ac:dyDescent="0.85">
      <c r="A40" s="122" t="s">
        <v>44</v>
      </c>
      <c r="B40" s="120"/>
      <c r="C40" s="122">
        <f t="shared" si="0"/>
        <v>1</v>
      </c>
      <c r="D40" s="121"/>
      <c r="E40" s="117"/>
      <c r="F40" s="120"/>
      <c r="G40" s="119"/>
      <c r="H40" s="120"/>
      <c r="I40" s="117"/>
      <c r="J40" s="120"/>
      <c r="K40" s="119"/>
      <c r="L40" s="120"/>
      <c r="M40" s="117"/>
      <c r="N40" s="120"/>
      <c r="O40" s="119"/>
      <c r="P40" s="120"/>
      <c r="Q40" s="117"/>
      <c r="R40" s="120"/>
      <c r="S40" s="119"/>
      <c r="T40" s="120"/>
      <c r="U40" s="117">
        <v>1</v>
      </c>
      <c r="V40" s="120"/>
      <c r="W40" s="119"/>
      <c r="X40" s="120"/>
      <c r="Y40" s="117"/>
      <c r="Z40" s="116"/>
      <c r="AA40" s="115" t="str">
        <f t="shared" si="1"/>
        <v>RANCHERO BLEND</v>
      </c>
      <c r="AB40" s="114">
        <f t="shared" si="2"/>
        <v>0</v>
      </c>
      <c r="AC40" s="116"/>
      <c r="AD40" s="115" t="str">
        <f t="shared" si="3"/>
        <v>RANCHERO BLEND</v>
      </c>
      <c r="AE40" s="114">
        <f t="shared" si="4"/>
        <v>0</v>
      </c>
      <c r="AF40" s="116"/>
      <c r="AG40" s="115" t="str">
        <f t="shared" si="5"/>
        <v>RANCHERO BLEND</v>
      </c>
      <c r="AH40" s="114">
        <f t="shared" si="6"/>
        <v>0</v>
      </c>
      <c r="AI40" s="116"/>
      <c r="AJ40" s="115" t="str">
        <f t="shared" si="7"/>
        <v>RANCHERO BLEND</v>
      </c>
      <c r="AK40" s="114">
        <f t="shared" si="8"/>
        <v>1</v>
      </c>
      <c r="AL40" s="116"/>
      <c r="AM40" s="115" t="str">
        <f t="shared" si="9"/>
        <v>RANCHERO BLEND</v>
      </c>
      <c r="AN40" s="114">
        <f t="shared" si="10"/>
        <v>0</v>
      </c>
      <c r="AO40" s="116"/>
      <c r="AP40" s="115" t="str">
        <f t="shared" si="11"/>
        <v>RANCHERO BLEND</v>
      </c>
      <c r="AQ40" s="114">
        <f t="shared" si="12"/>
        <v>0</v>
      </c>
      <c r="AR40" s="116"/>
      <c r="AS40" s="115" t="str">
        <f t="shared" si="13"/>
        <v>RANCHERO BLEND</v>
      </c>
      <c r="AT40" s="114">
        <f t="shared" si="14"/>
        <v>0</v>
      </c>
      <c r="AU40" s="116"/>
      <c r="AV40" s="115" t="str">
        <f t="shared" si="15"/>
        <v>RANCHERO BLEND</v>
      </c>
      <c r="AW40" s="114">
        <f t="shared" si="16"/>
        <v>0</v>
      </c>
      <c r="AX40" s="116"/>
      <c r="AY40" s="115" t="str">
        <f t="shared" si="17"/>
        <v>RANCHERO BLEND</v>
      </c>
      <c r="AZ40" s="114">
        <f t="shared" si="18"/>
        <v>0</v>
      </c>
      <c r="BA40" s="116"/>
      <c r="BB40" s="115"/>
      <c r="BC40" s="114"/>
      <c r="BD40" s="116"/>
      <c r="BE40" s="115" t="str">
        <f t="shared" si="19"/>
        <v>RANCHERO BLEND</v>
      </c>
      <c r="BF40" s="114">
        <f t="shared" si="20"/>
        <v>0</v>
      </c>
      <c r="BG40" s="116"/>
      <c r="BH40" s="113"/>
      <c r="BI40" s="112"/>
      <c r="BJ40" s="115" t="str">
        <f t="shared" si="21"/>
        <v>RANCHERO BLEND</v>
      </c>
      <c r="BK40" s="114">
        <f t="shared" si="22"/>
        <v>0</v>
      </c>
      <c r="BM40" s="113"/>
      <c r="BN40" s="112"/>
    </row>
    <row r="41" spans="1:66" s="111" customFormat="1" ht="52.95" customHeight="1" x14ac:dyDescent="0.85">
      <c r="A41" s="122" t="s">
        <v>45</v>
      </c>
      <c r="B41" s="120"/>
      <c r="C41" s="122">
        <f t="shared" si="0"/>
        <v>1</v>
      </c>
      <c r="D41" s="121"/>
      <c r="E41" s="117">
        <v>1</v>
      </c>
      <c r="F41" s="120"/>
      <c r="G41" s="119"/>
      <c r="H41" s="120"/>
      <c r="I41" s="117"/>
      <c r="J41" s="120"/>
      <c r="K41" s="119"/>
      <c r="L41" s="120"/>
      <c r="M41" s="117"/>
      <c r="N41" s="120"/>
      <c r="O41" s="119"/>
      <c r="P41" s="120"/>
      <c r="Q41" s="117"/>
      <c r="R41" s="120"/>
      <c r="S41" s="119"/>
      <c r="T41" s="120"/>
      <c r="U41" s="117"/>
      <c r="V41" s="120"/>
      <c r="W41" s="119"/>
      <c r="X41" s="120"/>
      <c r="Y41" s="117"/>
      <c r="Z41" s="116"/>
      <c r="AA41" s="115" t="str">
        <f t="shared" si="1"/>
        <v>POBLANO BLEND</v>
      </c>
      <c r="AB41" s="114">
        <f t="shared" si="2"/>
        <v>0</v>
      </c>
      <c r="AC41" s="116"/>
      <c r="AD41" s="115" t="str">
        <f t="shared" si="3"/>
        <v>POBLANO BLEND</v>
      </c>
      <c r="AE41" s="114">
        <f t="shared" si="4"/>
        <v>1</v>
      </c>
      <c r="AF41" s="116"/>
      <c r="AG41" s="115" t="str">
        <f t="shared" si="5"/>
        <v>POBLANO BLEND</v>
      </c>
      <c r="AH41" s="114">
        <f t="shared" si="6"/>
        <v>0</v>
      </c>
      <c r="AI41" s="116"/>
      <c r="AJ41" s="115" t="str">
        <f t="shared" si="7"/>
        <v>POBLANO BLEND</v>
      </c>
      <c r="AK41" s="114">
        <f t="shared" si="8"/>
        <v>0</v>
      </c>
      <c r="AL41" s="116"/>
      <c r="AM41" s="115" t="str">
        <f t="shared" si="9"/>
        <v>POBLANO BLEND</v>
      </c>
      <c r="AN41" s="114">
        <f t="shared" si="10"/>
        <v>0</v>
      </c>
      <c r="AO41" s="116"/>
      <c r="AP41" s="115" t="str">
        <f t="shared" si="11"/>
        <v>POBLANO BLEND</v>
      </c>
      <c r="AQ41" s="114">
        <f t="shared" si="12"/>
        <v>0</v>
      </c>
      <c r="AR41" s="116"/>
      <c r="AS41" s="115" t="str">
        <f t="shared" si="13"/>
        <v>POBLANO BLEND</v>
      </c>
      <c r="AT41" s="114">
        <f t="shared" si="14"/>
        <v>0</v>
      </c>
      <c r="AU41" s="116"/>
      <c r="AV41" s="115" t="str">
        <f t="shared" si="15"/>
        <v>POBLANO BLEND</v>
      </c>
      <c r="AW41" s="114">
        <f t="shared" si="16"/>
        <v>0</v>
      </c>
      <c r="AX41" s="116"/>
      <c r="AY41" s="115" t="str">
        <f t="shared" si="17"/>
        <v>POBLANO BLEND</v>
      </c>
      <c r="AZ41" s="114">
        <f t="shared" si="18"/>
        <v>0</v>
      </c>
      <c r="BA41" s="116"/>
      <c r="BB41" s="115"/>
      <c r="BC41" s="114"/>
      <c r="BD41" s="116"/>
      <c r="BE41" s="115" t="str">
        <f t="shared" si="19"/>
        <v>POBLANO BLEND</v>
      </c>
      <c r="BF41" s="114">
        <f t="shared" si="20"/>
        <v>0</v>
      </c>
      <c r="BG41" s="116"/>
      <c r="BH41" s="113"/>
      <c r="BI41" s="112"/>
      <c r="BJ41" s="115" t="str">
        <f t="shared" si="21"/>
        <v>POBLANO BLEND</v>
      </c>
      <c r="BK41" s="114">
        <f t="shared" si="22"/>
        <v>0</v>
      </c>
      <c r="BM41" s="113"/>
      <c r="BN41" s="112"/>
    </row>
    <row r="42" spans="1:66" s="111" customFormat="1" ht="52.95" customHeight="1" x14ac:dyDescent="0.85">
      <c r="A42" s="122" t="s">
        <v>46</v>
      </c>
      <c r="B42" s="120"/>
      <c r="C42" s="122">
        <f t="shared" si="0"/>
        <v>3</v>
      </c>
      <c r="D42" s="121"/>
      <c r="E42" s="117"/>
      <c r="F42" s="120"/>
      <c r="G42" s="119">
        <v>1</v>
      </c>
      <c r="H42" s="120"/>
      <c r="I42" s="117"/>
      <c r="J42" s="120"/>
      <c r="K42" s="119"/>
      <c r="L42" s="120"/>
      <c r="M42" s="117"/>
      <c r="N42" s="120"/>
      <c r="O42" s="119">
        <v>1</v>
      </c>
      <c r="P42" s="120"/>
      <c r="Q42" s="117"/>
      <c r="R42" s="120"/>
      <c r="S42" s="119"/>
      <c r="T42" s="120"/>
      <c r="U42" s="117">
        <v>1</v>
      </c>
      <c r="V42" s="120"/>
      <c r="W42" s="119"/>
      <c r="X42" s="120"/>
      <c r="Y42" s="117"/>
      <c r="Z42" s="116"/>
      <c r="AA42" s="115" t="str">
        <f t="shared" si="1"/>
        <v>CARNITAS BLEND</v>
      </c>
      <c r="AB42" s="114">
        <f t="shared" si="2"/>
        <v>0</v>
      </c>
      <c r="AC42" s="116"/>
      <c r="AD42" s="115" t="str">
        <f t="shared" si="3"/>
        <v>CARNITAS BLEND</v>
      </c>
      <c r="AE42" s="114">
        <f t="shared" si="4"/>
        <v>0</v>
      </c>
      <c r="AF42" s="116"/>
      <c r="AG42" s="115" t="str">
        <f t="shared" si="5"/>
        <v>CARNITAS BLEND</v>
      </c>
      <c r="AH42" s="114">
        <f t="shared" si="6"/>
        <v>1</v>
      </c>
      <c r="AI42" s="116"/>
      <c r="AJ42" s="115" t="str">
        <f t="shared" si="7"/>
        <v>CARNITAS BLEND</v>
      </c>
      <c r="AK42" s="114">
        <f t="shared" si="8"/>
        <v>1</v>
      </c>
      <c r="AL42" s="116"/>
      <c r="AM42" s="115" t="str">
        <f t="shared" si="9"/>
        <v>CARNITAS BLEND</v>
      </c>
      <c r="AN42" s="114">
        <f t="shared" si="10"/>
        <v>1</v>
      </c>
      <c r="AO42" s="116"/>
      <c r="AP42" s="115" t="str">
        <f t="shared" si="11"/>
        <v>CARNITAS BLEND</v>
      </c>
      <c r="AQ42" s="114">
        <f t="shared" si="12"/>
        <v>0</v>
      </c>
      <c r="AR42" s="116"/>
      <c r="AS42" s="115" t="str">
        <f t="shared" si="13"/>
        <v>CARNITAS BLEND</v>
      </c>
      <c r="AT42" s="114">
        <f t="shared" si="14"/>
        <v>0</v>
      </c>
      <c r="AU42" s="116"/>
      <c r="AV42" s="115" t="str">
        <f t="shared" si="15"/>
        <v>CARNITAS BLEND</v>
      </c>
      <c r="AW42" s="114">
        <f t="shared" si="16"/>
        <v>0</v>
      </c>
      <c r="AX42" s="116"/>
      <c r="AY42" s="115" t="str">
        <f t="shared" si="17"/>
        <v>CARNITAS BLEND</v>
      </c>
      <c r="AZ42" s="114">
        <f t="shared" si="18"/>
        <v>0</v>
      </c>
      <c r="BA42" s="116"/>
      <c r="BB42" s="115"/>
      <c r="BC42" s="114"/>
      <c r="BD42" s="116"/>
      <c r="BE42" s="115" t="str">
        <f t="shared" si="19"/>
        <v>CARNITAS BLEND</v>
      </c>
      <c r="BF42" s="114">
        <f t="shared" si="20"/>
        <v>0</v>
      </c>
      <c r="BG42" s="116"/>
      <c r="BH42" s="113"/>
      <c r="BI42" s="112"/>
      <c r="BJ42" s="115" t="str">
        <f t="shared" si="21"/>
        <v>CARNITAS BLEND</v>
      </c>
      <c r="BK42" s="114">
        <f t="shared" si="22"/>
        <v>0</v>
      </c>
      <c r="BM42" s="113"/>
      <c r="BN42" s="112"/>
    </row>
    <row r="43" spans="1:66" s="111" customFormat="1" ht="52.95" customHeight="1" x14ac:dyDescent="0.85">
      <c r="A43" s="122" t="s">
        <v>47</v>
      </c>
      <c r="B43" s="120"/>
      <c r="C43" s="122">
        <f t="shared" si="0"/>
        <v>10</v>
      </c>
      <c r="D43" s="121"/>
      <c r="E43" s="117">
        <v>1</v>
      </c>
      <c r="F43" s="120"/>
      <c r="G43" s="119">
        <v>1</v>
      </c>
      <c r="H43" s="120"/>
      <c r="I43" s="117">
        <v>1</v>
      </c>
      <c r="J43" s="120"/>
      <c r="K43" s="119">
        <v>2</v>
      </c>
      <c r="L43" s="120"/>
      <c r="M43" s="117">
        <v>1</v>
      </c>
      <c r="N43" s="120"/>
      <c r="O43" s="119">
        <v>1</v>
      </c>
      <c r="P43" s="120"/>
      <c r="Q43" s="117">
        <v>1</v>
      </c>
      <c r="R43" s="120"/>
      <c r="S43" s="119">
        <v>1</v>
      </c>
      <c r="T43" s="120"/>
      <c r="U43" s="117">
        <v>1</v>
      </c>
      <c r="V43" s="120"/>
      <c r="W43" s="119"/>
      <c r="X43" s="120"/>
      <c r="Y43" s="117"/>
      <c r="Z43" s="116"/>
      <c r="AA43" s="115" t="str">
        <f t="shared" si="1"/>
        <v>RICE BLEND</v>
      </c>
      <c r="AB43" s="114">
        <f t="shared" si="2"/>
        <v>2</v>
      </c>
      <c r="AC43" s="116"/>
      <c r="AD43" s="115" t="str">
        <f t="shared" si="3"/>
        <v>RICE BLEND</v>
      </c>
      <c r="AE43" s="114">
        <f t="shared" si="4"/>
        <v>1</v>
      </c>
      <c r="AF43" s="116"/>
      <c r="AG43" s="115" t="str">
        <f t="shared" si="5"/>
        <v>RICE BLEND</v>
      </c>
      <c r="AH43" s="114">
        <f t="shared" si="6"/>
        <v>1</v>
      </c>
      <c r="AI43" s="116"/>
      <c r="AJ43" s="115" t="str">
        <f t="shared" si="7"/>
        <v>RICE BLEND</v>
      </c>
      <c r="AK43" s="114">
        <f t="shared" si="8"/>
        <v>1</v>
      </c>
      <c r="AL43" s="116"/>
      <c r="AM43" s="115" t="str">
        <f t="shared" si="9"/>
        <v>RICE BLEND</v>
      </c>
      <c r="AN43" s="114">
        <f t="shared" si="10"/>
        <v>1</v>
      </c>
      <c r="AO43" s="116"/>
      <c r="AP43" s="115" t="str">
        <f t="shared" si="11"/>
        <v>RICE BLEND</v>
      </c>
      <c r="AQ43" s="114">
        <f t="shared" si="12"/>
        <v>1</v>
      </c>
      <c r="AR43" s="116"/>
      <c r="AS43" s="115" t="str">
        <f t="shared" si="13"/>
        <v>RICE BLEND</v>
      </c>
      <c r="AT43" s="114">
        <f t="shared" si="14"/>
        <v>1</v>
      </c>
      <c r="AU43" s="116"/>
      <c r="AV43" s="115" t="str">
        <f t="shared" si="15"/>
        <v>RICE BLEND</v>
      </c>
      <c r="AW43" s="114">
        <f t="shared" si="16"/>
        <v>1</v>
      </c>
      <c r="AX43" s="116"/>
      <c r="AY43" s="115" t="str">
        <f t="shared" si="17"/>
        <v>RICE BLEND</v>
      </c>
      <c r="AZ43" s="114">
        <f t="shared" si="18"/>
        <v>0</v>
      </c>
      <c r="BA43" s="116"/>
      <c r="BB43" s="115"/>
      <c r="BC43" s="114"/>
      <c r="BD43" s="116"/>
      <c r="BE43" s="115" t="str">
        <f t="shared" si="19"/>
        <v>RICE BLEND</v>
      </c>
      <c r="BF43" s="114">
        <f t="shared" si="20"/>
        <v>0</v>
      </c>
      <c r="BG43" s="116"/>
      <c r="BH43" s="113"/>
      <c r="BI43" s="112"/>
      <c r="BJ43" s="115" t="str">
        <f t="shared" si="21"/>
        <v>RICE BLEND</v>
      </c>
      <c r="BK43" s="114">
        <f t="shared" si="22"/>
        <v>1</v>
      </c>
      <c r="BM43" s="113"/>
      <c r="BN43" s="112"/>
    </row>
    <row r="44" spans="1:66" s="111" customFormat="1" ht="52.95" customHeight="1" x14ac:dyDescent="0.85">
      <c r="A44" s="122" t="s">
        <v>48</v>
      </c>
      <c r="B44" s="120"/>
      <c r="C44" s="122">
        <f t="shared" si="0"/>
        <v>3</v>
      </c>
      <c r="D44" s="121"/>
      <c r="E44" s="117">
        <v>1</v>
      </c>
      <c r="F44" s="120"/>
      <c r="G44" s="119"/>
      <c r="H44" s="120"/>
      <c r="I44" s="117"/>
      <c r="J44" s="120"/>
      <c r="K44" s="119"/>
      <c r="L44" s="120"/>
      <c r="M44" s="117"/>
      <c r="N44" s="120"/>
      <c r="O44" s="119"/>
      <c r="P44" s="120"/>
      <c r="Q44" s="117">
        <v>1</v>
      </c>
      <c r="R44" s="120"/>
      <c r="S44" s="119">
        <v>1</v>
      </c>
      <c r="T44" s="120"/>
      <c r="U44" s="117"/>
      <c r="V44" s="120"/>
      <c r="W44" s="119"/>
      <c r="X44" s="120"/>
      <c r="Y44" s="117"/>
      <c r="Z44" s="116"/>
      <c r="AA44" s="115" t="str">
        <f t="shared" si="1"/>
        <v>MANGO</v>
      </c>
      <c r="AB44" s="114">
        <f t="shared" si="2"/>
        <v>0</v>
      </c>
      <c r="AC44" s="116"/>
      <c r="AD44" s="115" t="str">
        <f t="shared" si="3"/>
        <v>MANGO</v>
      </c>
      <c r="AE44" s="114">
        <f t="shared" si="4"/>
        <v>1</v>
      </c>
      <c r="AF44" s="116"/>
      <c r="AG44" s="115" t="str">
        <f t="shared" si="5"/>
        <v>MANGO</v>
      </c>
      <c r="AH44" s="114">
        <f t="shared" si="6"/>
        <v>0</v>
      </c>
      <c r="AI44" s="116"/>
      <c r="AJ44" s="115" t="str">
        <f t="shared" si="7"/>
        <v>MANGO</v>
      </c>
      <c r="AK44" s="114">
        <f t="shared" si="8"/>
        <v>0</v>
      </c>
      <c r="AL44" s="116"/>
      <c r="AM44" s="115" t="str">
        <f t="shared" si="9"/>
        <v>MANGO</v>
      </c>
      <c r="AN44" s="114">
        <f t="shared" si="10"/>
        <v>0</v>
      </c>
      <c r="AO44" s="116"/>
      <c r="AP44" s="115" t="str">
        <f t="shared" si="11"/>
        <v>MANGO</v>
      </c>
      <c r="AQ44" s="114">
        <f t="shared" si="12"/>
        <v>1</v>
      </c>
      <c r="AR44" s="116"/>
      <c r="AS44" s="115" t="str">
        <f t="shared" si="13"/>
        <v>MANGO</v>
      </c>
      <c r="AT44" s="114">
        <f t="shared" si="14"/>
        <v>0</v>
      </c>
      <c r="AU44" s="116"/>
      <c r="AV44" s="115" t="str">
        <f t="shared" si="15"/>
        <v>MANGO</v>
      </c>
      <c r="AW44" s="114">
        <f t="shared" si="16"/>
        <v>0</v>
      </c>
      <c r="AX44" s="116"/>
      <c r="AY44" s="115" t="str">
        <f t="shared" si="17"/>
        <v>MANGO</v>
      </c>
      <c r="AZ44" s="114">
        <f t="shared" si="18"/>
        <v>0</v>
      </c>
      <c r="BA44" s="116"/>
      <c r="BB44" s="115"/>
      <c r="BC44" s="114"/>
      <c r="BD44" s="116"/>
      <c r="BE44" s="115" t="str">
        <f t="shared" si="19"/>
        <v>MANGO</v>
      </c>
      <c r="BF44" s="114">
        <f t="shared" si="20"/>
        <v>0</v>
      </c>
      <c r="BG44" s="116"/>
      <c r="BH44" s="113"/>
      <c r="BI44" s="112"/>
      <c r="BJ44" s="115" t="str">
        <f t="shared" si="21"/>
        <v>MANGO</v>
      </c>
      <c r="BK44" s="114">
        <f t="shared" si="22"/>
        <v>1</v>
      </c>
      <c r="BM44" s="113"/>
      <c r="BN44" s="112"/>
    </row>
    <row r="45" spans="1:66" s="111" customFormat="1" ht="52.95" customHeight="1" x14ac:dyDescent="0.85">
      <c r="A45" s="122" t="s">
        <v>49</v>
      </c>
      <c r="B45" s="120"/>
      <c r="C45" s="122">
        <f t="shared" si="0"/>
        <v>2</v>
      </c>
      <c r="D45" s="121"/>
      <c r="E45" s="117"/>
      <c r="F45" s="120"/>
      <c r="G45" s="119"/>
      <c r="H45" s="120"/>
      <c r="I45" s="117"/>
      <c r="J45" s="120"/>
      <c r="K45" s="119"/>
      <c r="L45" s="120"/>
      <c r="M45" s="117"/>
      <c r="N45" s="120"/>
      <c r="O45" s="119"/>
      <c r="P45" s="120"/>
      <c r="Q45" s="117">
        <v>1</v>
      </c>
      <c r="R45" s="120"/>
      <c r="S45" s="119">
        <v>1</v>
      </c>
      <c r="T45" s="120"/>
      <c r="U45" s="117"/>
      <c r="V45" s="120"/>
      <c r="W45" s="119"/>
      <c r="X45" s="120"/>
      <c r="Y45" s="117"/>
      <c r="Z45" s="116"/>
      <c r="AA45" s="115" t="str">
        <f t="shared" si="1"/>
        <v>CUCUMBER LEMON</v>
      </c>
      <c r="AB45" s="114">
        <f t="shared" si="2"/>
        <v>0</v>
      </c>
      <c r="AC45" s="116"/>
      <c r="AD45" s="115" t="str">
        <f t="shared" si="3"/>
        <v>CUCUMBER LEMON</v>
      </c>
      <c r="AE45" s="114">
        <f t="shared" si="4"/>
        <v>0</v>
      </c>
      <c r="AF45" s="116"/>
      <c r="AG45" s="115" t="str">
        <f t="shared" si="5"/>
        <v>CUCUMBER LEMON</v>
      </c>
      <c r="AH45" s="114">
        <f t="shared" si="6"/>
        <v>0</v>
      </c>
      <c r="AI45" s="116"/>
      <c r="AJ45" s="115" t="str">
        <f t="shared" si="7"/>
        <v>CUCUMBER LEMON</v>
      </c>
      <c r="AK45" s="114">
        <f t="shared" si="8"/>
        <v>0</v>
      </c>
      <c r="AL45" s="116"/>
      <c r="AM45" s="115" t="str">
        <f t="shared" si="9"/>
        <v>CUCUMBER LEMON</v>
      </c>
      <c r="AN45" s="114">
        <f t="shared" si="10"/>
        <v>0</v>
      </c>
      <c r="AO45" s="116"/>
      <c r="AP45" s="115" t="str">
        <f t="shared" si="11"/>
        <v>CUCUMBER LEMON</v>
      </c>
      <c r="AQ45" s="114">
        <f t="shared" si="12"/>
        <v>1</v>
      </c>
      <c r="AR45" s="116"/>
      <c r="AS45" s="115" t="str">
        <f t="shared" si="13"/>
        <v>CUCUMBER LEMON</v>
      </c>
      <c r="AT45" s="114">
        <f t="shared" si="14"/>
        <v>0</v>
      </c>
      <c r="AU45" s="116"/>
      <c r="AV45" s="115" t="str">
        <f t="shared" si="15"/>
        <v>CUCUMBER LEMON</v>
      </c>
      <c r="AW45" s="114">
        <f t="shared" si="16"/>
        <v>0</v>
      </c>
      <c r="AX45" s="116"/>
      <c r="AY45" s="115" t="str">
        <f t="shared" si="17"/>
        <v>CUCUMBER LEMON</v>
      </c>
      <c r="AZ45" s="114">
        <f t="shared" si="18"/>
        <v>0</v>
      </c>
      <c r="BA45" s="116"/>
      <c r="BB45" s="115"/>
      <c r="BC45" s="114"/>
      <c r="BD45" s="116"/>
      <c r="BE45" s="115" t="str">
        <f t="shared" si="19"/>
        <v>CUCUMBER LEMON</v>
      </c>
      <c r="BF45" s="114">
        <f t="shared" si="20"/>
        <v>0</v>
      </c>
      <c r="BG45" s="116"/>
      <c r="BH45" s="113"/>
      <c r="BI45" s="112"/>
      <c r="BJ45" s="115" t="str">
        <f t="shared" si="21"/>
        <v>CUCUMBER LEMON</v>
      </c>
      <c r="BK45" s="114">
        <f t="shared" si="22"/>
        <v>1</v>
      </c>
      <c r="BM45" s="113"/>
      <c r="BN45" s="112"/>
    </row>
    <row r="46" spans="1:66" s="111" customFormat="1" ht="52.95" customHeight="1" x14ac:dyDescent="0.85">
      <c r="A46" s="122" t="s">
        <v>50</v>
      </c>
      <c r="B46" s="120"/>
      <c r="C46" s="122">
        <f t="shared" si="0"/>
        <v>4</v>
      </c>
      <c r="D46" s="121"/>
      <c r="E46" s="117">
        <v>1</v>
      </c>
      <c r="F46" s="120"/>
      <c r="G46" s="119"/>
      <c r="H46" s="120"/>
      <c r="I46" s="117">
        <v>1</v>
      </c>
      <c r="J46" s="120"/>
      <c r="K46" s="119"/>
      <c r="L46" s="120"/>
      <c r="M46" s="117"/>
      <c r="N46" s="120"/>
      <c r="O46" s="119"/>
      <c r="P46" s="120"/>
      <c r="Q46" s="117">
        <v>1</v>
      </c>
      <c r="R46" s="120"/>
      <c r="S46" s="119">
        <v>1</v>
      </c>
      <c r="T46" s="120"/>
      <c r="U46" s="117"/>
      <c r="V46" s="120"/>
      <c r="W46" s="119"/>
      <c r="X46" s="118"/>
      <c r="Y46" s="117"/>
      <c r="Z46" s="116"/>
      <c r="AA46" s="115" t="str">
        <f t="shared" si="1"/>
        <v>JAMAICA</v>
      </c>
      <c r="AB46" s="114">
        <f t="shared" si="2"/>
        <v>0</v>
      </c>
      <c r="AC46" s="116"/>
      <c r="AD46" s="115" t="str">
        <f t="shared" si="3"/>
        <v>JAMAICA</v>
      </c>
      <c r="AE46" s="114">
        <f t="shared" si="4"/>
        <v>1</v>
      </c>
      <c r="AF46" s="116"/>
      <c r="AG46" s="115" t="str">
        <f t="shared" si="5"/>
        <v>JAMAICA</v>
      </c>
      <c r="AH46" s="114">
        <f t="shared" si="6"/>
        <v>0</v>
      </c>
      <c r="AI46" s="116"/>
      <c r="AJ46" s="115" t="str">
        <f t="shared" si="7"/>
        <v>JAMAICA</v>
      </c>
      <c r="AK46" s="114">
        <f t="shared" si="8"/>
        <v>0</v>
      </c>
      <c r="AL46" s="116"/>
      <c r="AM46" s="115" t="str">
        <f t="shared" si="9"/>
        <v>JAMAICA</v>
      </c>
      <c r="AN46" s="114">
        <f t="shared" si="10"/>
        <v>0</v>
      </c>
      <c r="AO46" s="116"/>
      <c r="AP46" s="115" t="str">
        <f t="shared" si="11"/>
        <v>JAMAICA</v>
      </c>
      <c r="AQ46" s="114">
        <f t="shared" si="12"/>
        <v>1</v>
      </c>
      <c r="AR46" s="116"/>
      <c r="AS46" s="115" t="str">
        <f t="shared" si="13"/>
        <v>JAMAICA</v>
      </c>
      <c r="AT46" s="114">
        <f t="shared" si="14"/>
        <v>0</v>
      </c>
      <c r="AU46" s="116"/>
      <c r="AV46" s="115" t="str">
        <f t="shared" si="15"/>
        <v>JAMAICA</v>
      </c>
      <c r="AW46" s="114">
        <f t="shared" si="16"/>
        <v>1</v>
      </c>
      <c r="AX46" s="116"/>
      <c r="AY46" s="115" t="str">
        <f t="shared" si="17"/>
        <v>JAMAICA</v>
      </c>
      <c r="AZ46" s="114">
        <f t="shared" si="18"/>
        <v>0</v>
      </c>
      <c r="BA46" s="116"/>
      <c r="BB46" s="115"/>
      <c r="BC46" s="114"/>
      <c r="BD46" s="116"/>
      <c r="BE46" s="115" t="str">
        <f t="shared" si="19"/>
        <v>JAMAICA</v>
      </c>
      <c r="BF46" s="114">
        <f t="shared" si="20"/>
        <v>0</v>
      </c>
      <c r="BG46" s="116"/>
      <c r="BH46" s="113"/>
      <c r="BI46" s="112"/>
      <c r="BJ46" s="115" t="str">
        <f t="shared" si="21"/>
        <v>JAMAICA</v>
      </c>
      <c r="BK46" s="114">
        <f t="shared" si="22"/>
        <v>1</v>
      </c>
      <c r="BM46" s="113"/>
      <c r="BN46" s="112"/>
    </row>
    <row r="47" spans="1:66" x14ac:dyDescent="0.65">
      <c r="W47" s="105"/>
      <c r="X47" s="105"/>
      <c r="Y47" s="105"/>
      <c r="Z47" s="110"/>
    </row>
    <row r="48" spans="1:66" x14ac:dyDescent="0.65">
      <c r="W48" s="105"/>
      <c r="X48" s="105"/>
      <c r="Y48" s="105"/>
      <c r="Z48" s="110"/>
    </row>
  </sheetData>
  <mergeCells count="14">
    <mergeCell ref="BE1:BF1"/>
    <mergeCell ref="BJ1:BK1"/>
    <mergeCell ref="BH1:BI1"/>
    <mergeCell ref="BB1:BC1"/>
    <mergeCell ref="BM1:BN1"/>
    <mergeCell ref="AP1:AQ1"/>
    <mergeCell ref="AS1:AT1"/>
    <mergeCell ref="AV1:AW1"/>
    <mergeCell ref="AY1:AZ1"/>
    <mergeCell ref="AA1:AB1"/>
    <mergeCell ref="AD1:AE1"/>
    <mergeCell ref="AG1:AH1"/>
    <mergeCell ref="AJ1:AK1"/>
    <mergeCell ref="AM1:AN1"/>
  </mergeCells>
  <pageMargins left="0.25" right="0.25" top="0.75" bottom="0.75" header="0.3" footer="0.3"/>
  <pageSetup scale="28" fitToHeight="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75A6-6587-4FFC-BC03-CBBFB8189161}">
  <dimension ref="A1:DY55"/>
  <sheetViews>
    <sheetView zoomScale="72" zoomScaleNormal="72" workbookViewId="0">
      <pane xSplit="1" topLeftCell="DD1" activePane="topRight" state="frozen"/>
      <selection pane="topRight" activeCell="DK2" sqref="DK2:DK53"/>
    </sheetView>
  </sheetViews>
  <sheetFormatPr defaultColWidth="9.109375" defaultRowHeight="13.8" x14ac:dyDescent="0.3"/>
  <cols>
    <col min="1" max="1" width="30.77734375" style="50" customWidth="1"/>
    <col min="2" max="2" width="3.33203125" style="3" customWidth="1"/>
    <col min="3" max="3" width="14.77734375" style="50" customWidth="1"/>
    <col min="4" max="4" width="3.33203125" style="12" customWidth="1"/>
    <col min="5" max="5" width="14.77734375" style="57" customWidth="1"/>
    <col min="6" max="6" width="3.33203125" style="12" customWidth="1"/>
    <col min="7" max="7" width="14.77734375" style="57" customWidth="1"/>
    <col min="8" max="8" width="3.33203125" style="3" customWidth="1"/>
    <col min="9" max="9" width="7.77734375" style="6" customWidth="1"/>
    <col min="10" max="10" width="3.33203125" style="3" customWidth="1"/>
    <col min="11" max="11" width="7.77734375" style="6" customWidth="1"/>
    <col min="12" max="12" width="3.33203125" style="3" customWidth="1"/>
    <col min="13" max="13" width="7.77734375" style="6" customWidth="1"/>
    <col min="14" max="14" width="3.33203125" style="3" customWidth="1"/>
    <col min="15" max="15" width="7.77734375" style="6" customWidth="1"/>
    <col min="16" max="16" width="3.33203125" style="3" customWidth="1"/>
    <col min="17" max="17" width="7.77734375" style="6" customWidth="1"/>
    <col min="18" max="18" width="3.33203125" style="3" customWidth="1"/>
    <col min="19" max="19" width="7.77734375" style="6" customWidth="1"/>
    <col min="20" max="20" width="3.33203125" style="3" customWidth="1"/>
    <col min="21" max="21" width="7.77734375" style="6" customWidth="1"/>
    <col min="22" max="22" width="3.33203125" style="3" customWidth="1"/>
    <col min="23" max="23" width="7.77734375" style="6" customWidth="1"/>
    <col min="24" max="24" width="3.33203125" style="3" customWidth="1"/>
    <col min="25" max="25" width="7.77734375" style="6" customWidth="1"/>
    <col min="26" max="26" width="3.33203125" style="3" customWidth="1"/>
    <col min="27" max="27" width="7.77734375" style="6" customWidth="1"/>
    <col min="28" max="28" width="3.33203125" style="3" customWidth="1"/>
    <col min="29" max="29" width="7.77734375" style="6" customWidth="1"/>
    <col min="30" max="30" width="3.33203125" style="3" hidden="1" customWidth="1"/>
    <col min="31" max="31" width="7.77734375" style="6" hidden="1" customWidth="1"/>
    <col min="32" max="32" width="3.33203125" style="3" hidden="1" customWidth="1"/>
    <col min="33" max="33" width="7.77734375" style="6" hidden="1" customWidth="1"/>
    <col min="34" max="34" width="3.33203125" style="3" hidden="1" customWidth="1"/>
    <col min="35" max="35" width="7.77734375" style="6" hidden="1" customWidth="1"/>
    <col min="36" max="36" width="3.33203125" style="3" hidden="1" customWidth="1"/>
    <col min="37" max="37" width="7.77734375" style="6" hidden="1" customWidth="1"/>
    <col min="38" max="38" width="3.33203125" style="3" hidden="1" customWidth="1"/>
    <col min="39" max="39" width="7.77734375" style="6" hidden="1" customWidth="1"/>
    <col min="40" max="40" width="3.33203125" style="3" customWidth="1"/>
    <col min="41" max="41" width="7.77734375" style="6" customWidth="1"/>
    <col min="42" max="42" width="3.33203125" style="3" customWidth="1"/>
    <col min="43" max="43" width="7.77734375" style="6" customWidth="1"/>
    <col min="44" max="44" width="3.33203125" style="3" customWidth="1"/>
    <col min="45" max="45" width="7.77734375" style="6" customWidth="1"/>
    <col min="46" max="46" width="3.33203125" style="3" customWidth="1"/>
    <col min="47" max="47" width="7.77734375" style="6" customWidth="1"/>
    <col min="48" max="48" width="3.33203125" style="3" customWidth="1"/>
    <col min="49" max="49" width="3.77734375" style="3" customWidth="1"/>
    <col min="50" max="50" width="8.77734375" style="6" customWidth="1"/>
    <col min="51" max="51" width="3.33203125" style="3" customWidth="1"/>
    <col min="52" max="52" width="3.77734375" style="3" customWidth="1"/>
    <col min="53" max="53" width="8.77734375" style="6" customWidth="1"/>
    <col min="54" max="54" width="3.33203125" style="3" customWidth="1"/>
    <col min="55" max="55" width="3.77734375" style="3" customWidth="1"/>
    <col min="56" max="56" width="8.77734375" style="6" customWidth="1"/>
    <col min="57" max="57" width="3.33203125" style="3" customWidth="1"/>
    <col min="58" max="58" width="3.77734375" style="3" customWidth="1"/>
    <col min="59" max="59" width="8.77734375" style="6" customWidth="1"/>
    <col min="60" max="60" width="3.33203125" style="3" customWidth="1"/>
    <col min="61" max="61" width="3.77734375" style="3" customWidth="1"/>
    <col min="62" max="62" width="8.77734375" style="6" customWidth="1"/>
    <col min="63" max="63" width="3.33203125" style="3" customWidth="1"/>
    <col min="64" max="64" width="3.77734375" style="3" customWidth="1"/>
    <col min="65" max="65" width="8.77734375" style="6" customWidth="1"/>
    <col min="66" max="66" width="3.33203125" style="3" customWidth="1"/>
    <col min="67" max="67" width="3.77734375" style="3" customWidth="1"/>
    <col min="68" max="68" width="8.77734375" style="6" customWidth="1"/>
    <col min="69" max="69" width="3.33203125" style="3" customWidth="1"/>
    <col min="70" max="70" width="3.77734375" style="3" customWidth="1"/>
    <col min="71" max="71" width="8.77734375" style="6" customWidth="1"/>
    <col min="72" max="72" width="3.33203125" style="3" customWidth="1"/>
    <col min="73" max="73" width="3.77734375" style="3" customWidth="1"/>
    <col min="74" max="74" width="8.77734375" style="6" customWidth="1"/>
    <col min="75" max="75" width="3.33203125" style="3" customWidth="1"/>
    <col min="76" max="76" width="3.77734375" style="3" customWidth="1"/>
    <col min="77" max="77" width="8.77734375" style="6" customWidth="1"/>
    <col min="78" max="78" width="3.33203125" style="3" customWidth="1"/>
    <col min="79" max="79" width="3.77734375" style="3" customWidth="1"/>
    <col min="80" max="80" width="8.77734375" style="6" customWidth="1"/>
    <col min="81" max="81" width="3.33203125" style="3" hidden="1" customWidth="1"/>
    <col min="82" max="82" width="3.77734375" style="3" hidden="1" customWidth="1"/>
    <col min="83" max="83" width="8.77734375" style="6" hidden="1" customWidth="1"/>
    <col min="84" max="84" width="3.33203125" style="3" hidden="1" customWidth="1"/>
    <col min="85" max="85" width="3.77734375" style="3" hidden="1" customWidth="1"/>
    <col min="86" max="86" width="8.77734375" style="6" hidden="1" customWidth="1"/>
    <col min="87" max="87" width="3.33203125" style="3" hidden="1" customWidth="1"/>
    <col min="88" max="88" width="3.77734375" style="3" hidden="1" customWidth="1"/>
    <col min="89" max="89" width="8.77734375" style="6" hidden="1" customWidth="1"/>
    <col min="90" max="90" width="3.33203125" style="3" hidden="1" customWidth="1"/>
    <col min="91" max="91" width="3.77734375" style="3" hidden="1" customWidth="1"/>
    <col min="92" max="92" width="8.77734375" style="6" hidden="1" customWidth="1"/>
    <col min="93" max="93" width="3.33203125" style="3" hidden="1" customWidth="1"/>
    <col min="94" max="94" width="3.77734375" style="3" hidden="1" customWidth="1"/>
    <col min="95" max="95" width="8.77734375" style="6" hidden="1" customWidth="1"/>
    <col min="96" max="96" width="3.33203125" style="3" customWidth="1"/>
    <col min="97" max="97" width="3.77734375" style="3" customWidth="1"/>
    <col min="98" max="98" width="8.77734375" style="6" customWidth="1"/>
    <col min="99" max="99" width="3.33203125" style="3" customWidth="1"/>
    <col min="100" max="100" width="3.77734375" style="3" customWidth="1"/>
    <col min="101" max="101" width="8.77734375" style="6" customWidth="1"/>
    <col min="102" max="102" width="3.33203125" style="3" customWidth="1"/>
    <col min="103" max="103" width="3.77734375" style="3" customWidth="1"/>
    <col min="104" max="104" width="8.77734375" style="6" customWidth="1"/>
    <col min="105" max="105" width="3.33203125" style="3" customWidth="1"/>
    <col min="106" max="106" width="3.77734375" style="3" customWidth="1"/>
    <col min="107" max="107" width="8.77734375" style="6" customWidth="1"/>
    <col min="108" max="108" width="3.33203125" style="3" customWidth="1"/>
    <col min="109" max="109" width="11.77734375" style="8" customWidth="1"/>
    <col min="110" max="110" width="3.33203125" style="3" customWidth="1"/>
    <col min="111" max="111" width="11.77734375" style="8" customWidth="1"/>
    <col min="112" max="112" width="3.33203125" style="3" customWidth="1"/>
    <col min="113" max="113" width="11.77734375" style="8" customWidth="1"/>
    <col min="114" max="114" width="3.33203125" style="3" customWidth="1"/>
    <col min="115" max="115" width="11.77734375" style="8" customWidth="1"/>
    <col min="116" max="116" width="3.33203125" style="3" customWidth="1"/>
    <col min="117" max="117" width="13.77734375" style="10" customWidth="1"/>
    <col min="118" max="118" width="3.33203125" style="3" customWidth="1"/>
    <col min="119" max="119" width="13.77734375" style="5" customWidth="1"/>
    <col min="120" max="120" width="3.33203125" style="3" customWidth="1"/>
    <col min="121" max="121" width="13.77734375" style="10" customWidth="1"/>
    <col min="122" max="122" width="3.33203125" style="3" customWidth="1"/>
    <col min="123" max="123" width="7.88671875" style="8" customWidth="1"/>
    <col min="124" max="124" width="3.33203125" style="3" customWidth="1"/>
    <col min="125" max="125" width="7.88671875" style="8" customWidth="1"/>
    <col min="126" max="126" width="3.33203125" style="3" customWidth="1"/>
    <col min="127" max="127" width="13.77734375" style="8" customWidth="1"/>
    <col min="128" max="128" width="3.33203125" style="3" customWidth="1"/>
    <col min="129" max="129" width="13.77734375" style="8" customWidth="1"/>
    <col min="130" max="16384" width="9.109375" style="3"/>
  </cols>
  <sheetData>
    <row r="1" spans="1:129" s="50" customFormat="1" ht="18" customHeight="1" thickTop="1" thickBot="1" x14ac:dyDescent="0.35">
      <c r="A1" s="89" t="s">
        <v>0</v>
      </c>
      <c r="B1" s="60"/>
      <c r="C1" s="72" t="s">
        <v>1</v>
      </c>
      <c r="D1" s="90"/>
      <c r="E1" s="74" t="s">
        <v>2</v>
      </c>
      <c r="F1" s="90"/>
      <c r="G1" s="77" t="s">
        <v>3</v>
      </c>
      <c r="H1" s="91"/>
      <c r="I1" s="11" t="s">
        <v>4</v>
      </c>
      <c r="J1" s="90"/>
      <c r="K1" s="11" t="s">
        <v>5</v>
      </c>
      <c r="L1" s="90"/>
      <c r="M1" s="11" t="s">
        <v>6</v>
      </c>
      <c r="N1" s="90"/>
      <c r="O1" s="11" t="s">
        <v>7</v>
      </c>
      <c r="P1" s="90"/>
      <c r="Q1" s="11" t="s">
        <v>8</v>
      </c>
      <c r="R1" s="90"/>
      <c r="S1" s="11" t="s">
        <v>9</v>
      </c>
      <c r="T1" s="90"/>
      <c r="U1" s="11" t="s">
        <v>10</v>
      </c>
      <c r="V1" s="90"/>
      <c r="W1" s="11" t="s">
        <v>11</v>
      </c>
      <c r="X1" s="90"/>
      <c r="Y1" s="11" t="s">
        <v>12</v>
      </c>
      <c r="Z1" s="90"/>
      <c r="AA1" s="11" t="s">
        <v>13</v>
      </c>
      <c r="AB1" s="90"/>
      <c r="AC1" s="11" t="s">
        <v>14</v>
      </c>
      <c r="AD1" s="90"/>
      <c r="AE1" s="11" t="s">
        <v>58</v>
      </c>
      <c r="AF1" s="92"/>
      <c r="AG1" s="11" t="s">
        <v>59</v>
      </c>
      <c r="AH1" s="90"/>
      <c r="AI1" s="11" t="s">
        <v>60</v>
      </c>
      <c r="AJ1" s="92"/>
      <c r="AK1" s="11" t="s">
        <v>61</v>
      </c>
      <c r="AL1" s="90"/>
      <c r="AM1" s="11" t="s">
        <v>66</v>
      </c>
      <c r="AN1" s="92"/>
      <c r="AO1" s="11" t="s">
        <v>62</v>
      </c>
      <c r="AP1" s="92"/>
      <c r="AQ1" s="11" t="s">
        <v>63</v>
      </c>
      <c r="AR1" s="92"/>
      <c r="AS1" s="11" t="s">
        <v>64</v>
      </c>
      <c r="AT1" s="92"/>
      <c r="AU1" s="69" t="s">
        <v>65</v>
      </c>
      <c r="AV1" s="92"/>
      <c r="AW1" s="144" t="s">
        <v>80</v>
      </c>
      <c r="AX1" s="145"/>
      <c r="AY1" s="92"/>
      <c r="AZ1" s="144" t="s">
        <v>81</v>
      </c>
      <c r="BA1" s="145"/>
      <c r="BB1" s="92"/>
      <c r="BC1" s="144" t="s">
        <v>82</v>
      </c>
      <c r="BD1" s="145"/>
      <c r="BE1" s="92"/>
      <c r="BF1" s="144" t="s">
        <v>83</v>
      </c>
      <c r="BG1" s="145"/>
      <c r="BH1" s="92"/>
      <c r="BI1" s="144" t="s">
        <v>84</v>
      </c>
      <c r="BJ1" s="145"/>
      <c r="BK1" s="92"/>
      <c r="BL1" s="144" t="s">
        <v>85</v>
      </c>
      <c r="BM1" s="145"/>
      <c r="BN1" s="92"/>
      <c r="BO1" s="144" t="s">
        <v>86</v>
      </c>
      <c r="BP1" s="145"/>
      <c r="BQ1" s="92"/>
      <c r="BR1" s="144" t="s">
        <v>87</v>
      </c>
      <c r="BS1" s="145"/>
      <c r="BT1" s="92"/>
      <c r="BU1" s="144" t="s">
        <v>88</v>
      </c>
      <c r="BV1" s="145"/>
      <c r="BW1" s="92"/>
      <c r="BX1" s="142" t="s">
        <v>89</v>
      </c>
      <c r="BY1" s="143"/>
      <c r="BZ1" s="92"/>
      <c r="CA1" s="144" t="s">
        <v>90</v>
      </c>
      <c r="CB1" s="145"/>
      <c r="CC1" s="92"/>
      <c r="CD1" s="142" t="s">
        <v>91</v>
      </c>
      <c r="CE1" s="143"/>
      <c r="CF1" s="92"/>
      <c r="CG1" s="142" t="s">
        <v>92</v>
      </c>
      <c r="CH1" s="143"/>
      <c r="CI1" s="92"/>
      <c r="CJ1" s="142" t="s">
        <v>93</v>
      </c>
      <c r="CK1" s="143"/>
      <c r="CL1" s="92"/>
      <c r="CM1" s="142" t="s">
        <v>94</v>
      </c>
      <c r="CN1" s="143"/>
      <c r="CO1" s="92"/>
      <c r="CP1" s="142" t="s">
        <v>72</v>
      </c>
      <c r="CQ1" s="143"/>
      <c r="CR1" s="92"/>
      <c r="CS1" s="142" t="s">
        <v>62</v>
      </c>
      <c r="CT1" s="143"/>
      <c r="CU1" s="92"/>
      <c r="CV1" s="142" t="s">
        <v>63</v>
      </c>
      <c r="CW1" s="143"/>
      <c r="CX1" s="92"/>
      <c r="CY1" s="142" t="s">
        <v>64</v>
      </c>
      <c r="CZ1" s="143"/>
      <c r="DA1" s="92"/>
      <c r="DB1" s="142" t="s">
        <v>65</v>
      </c>
      <c r="DC1" s="143"/>
      <c r="DD1" s="92"/>
      <c r="DE1" s="69" t="s">
        <v>95</v>
      </c>
      <c r="DF1" s="92"/>
      <c r="DG1" s="11" t="s">
        <v>15</v>
      </c>
      <c r="DH1" s="92"/>
      <c r="DI1" s="11" t="s">
        <v>16</v>
      </c>
      <c r="DJ1" s="92"/>
      <c r="DK1" s="80" t="s">
        <v>96</v>
      </c>
      <c r="DL1" s="92"/>
      <c r="DM1" s="83" t="s">
        <v>17</v>
      </c>
      <c r="DN1" s="92"/>
      <c r="DO1" s="80" t="s">
        <v>97</v>
      </c>
      <c r="DP1" s="92"/>
      <c r="DQ1" s="83" t="s">
        <v>3</v>
      </c>
      <c r="DR1" s="92"/>
      <c r="DS1" s="146" t="s">
        <v>57</v>
      </c>
      <c r="DT1" s="146"/>
      <c r="DU1" s="146"/>
      <c r="DV1" s="146"/>
      <c r="DW1" s="146"/>
      <c r="DX1" s="146"/>
      <c r="DY1" s="146"/>
    </row>
    <row r="2" spans="1:129" ht="12" customHeight="1" thickTop="1" x14ac:dyDescent="0.3">
      <c r="A2" s="70" t="s">
        <v>18</v>
      </c>
      <c r="B2" s="29"/>
      <c r="C2" s="103"/>
      <c r="D2" s="30"/>
      <c r="E2" s="75">
        <v>54</v>
      </c>
      <c r="F2" s="30"/>
      <c r="G2" s="75">
        <v>62.1</v>
      </c>
      <c r="H2" s="5"/>
      <c r="I2" s="4"/>
      <c r="J2" s="5"/>
      <c r="K2" s="4"/>
      <c r="L2" s="5"/>
      <c r="M2" s="4"/>
      <c r="N2" s="5"/>
      <c r="O2" s="4"/>
      <c r="P2" s="5"/>
      <c r="Q2" s="4"/>
      <c r="R2" s="5"/>
      <c r="S2" s="4"/>
      <c r="T2" s="5"/>
      <c r="U2" s="4"/>
      <c r="V2" s="5"/>
      <c r="W2" s="4"/>
      <c r="X2" s="5"/>
      <c r="Y2" s="4"/>
      <c r="Z2" s="5"/>
      <c r="AA2" s="4"/>
      <c r="AB2" s="5"/>
      <c r="AC2" s="4"/>
      <c r="AD2" s="5"/>
      <c r="AE2" s="4"/>
      <c r="AG2" s="4"/>
      <c r="AH2" s="5"/>
      <c r="AI2" s="4"/>
      <c r="AJ2" s="5"/>
      <c r="AK2" s="4"/>
      <c r="AL2" s="5"/>
      <c r="AM2" s="4"/>
      <c r="AN2" s="5"/>
      <c r="AO2" s="4"/>
      <c r="AP2" s="5"/>
      <c r="AQ2" s="4"/>
      <c r="AR2" s="5"/>
      <c r="AS2" s="4"/>
      <c r="AT2" s="5"/>
      <c r="AU2" s="4"/>
      <c r="AV2" s="5"/>
      <c r="AW2" s="13">
        <f t="shared" ref="AW2:AW33" si="0">I2</f>
        <v>0</v>
      </c>
      <c r="AX2" s="14">
        <f t="shared" ref="AX2:AX33" si="1">AW2*G2</f>
        <v>0</v>
      </c>
      <c r="AY2" s="15"/>
      <c r="AZ2" s="13">
        <f t="shared" ref="AZ2:AZ33" si="2">K2</f>
        <v>0</v>
      </c>
      <c r="BA2" s="14">
        <f t="shared" ref="BA2:BA33" si="3">AZ2*G2</f>
        <v>0</v>
      </c>
      <c r="BB2" s="15"/>
      <c r="BC2" s="13">
        <f t="shared" ref="BC2:BC33" si="4">M2</f>
        <v>0</v>
      </c>
      <c r="BD2" s="14">
        <f t="shared" ref="BD2:BD33" si="5">BC2*G2</f>
        <v>0</v>
      </c>
      <c r="BE2" s="15"/>
      <c r="BF2" s="13">
        <f t="shared" ref="BF2:BF33" si="6">O2</f>
        <v>0</v>
      </c>
      <c r="BG2" s="14">
        <f t="shared" ref="BG2:BG33" si="7">BF2*G2</f>
        <v>0</v>
      </c>
      <c r="BH2" s="15"/>
      <c r="BI2" s="13">
        <f t="shared" ref="BI2:BI33" si="8">Q2</f>
        <v>0</v>
      </c>
      <c r="BJ2" s="14">
        <f t="shared" ref="BJ2:BJ33" si="9">BI2*G2</f>
        <v>0</v>
      </c>
      <c r="BK2" s="15"/>
      <c r="BL2" s="13">
        <f t="shared" ref="BL2:BL33" si="10">S2</f>
        <v>0</v>
      </c>
      <c r="BM2" s="14">
        <f t="shared" ref="BM2:BM33" si="11">BL2*G2</f>
        <v>0</v>
      </c>
      <c r="BN2" s="15"/>
      <c r="BO2" s="13">
        <f t="shared" ref="BO2:BO33" si="12">U2</f>
        <v>0</v>
      </c>
      <c r="BP2" s="14">
        <f t="shared" ref="BP2:BP33" si="13">BO2*G2</f>
        <v>0</v>
      </c>
      <c r="BQ2" s="15"/>
      <c r="BR2" s="13">
        <f t="shared" ref="BR2:BR33" si="14">W2</f>
        <v>0</v>
      </c>
      <c r="BS2" s="14">
        <f t="shared" ref="BS2:BS33" si="15">BR2*G2</f>
        <v>0</v>
      </c>
      <c r="BT2" s="15"/>
      <c r="BU2" s="13">
        <f t="shared" ref="BU2:BU33" si="16">Y2</f>
        <v>0</v>
      </c>
      <c r="BV2" s="14">
        <f t="shared" ref="BV2:BV33" si="17">BU2*G2</f>
        <v>0</v>
      </c>
      <c r="BW2" s="15"/>
      <c r="BX2" s="13">
        <f t="shared" ref="BX2:BX33" si="18">AA2</f>
        <v>0</v>
      </c>
      <c r="BY2" s="14">
        <f t="shared" ref="BY2:BY33" si="19">BX2*G2</f>
        <v>0</v>
      </c>
      <c r="BZ2" s="15"/>
      <c r="CA2" s="13">
        <f t="shared" ref="CA2:CA33" si="20">AC2</f>
        <v>0</v>
      </c>
      <c r="CB2" s="14">
        <f t="shared" ref="CB2:CB33" si="21">CA2*G2</f>
        <v>0</v>
      </c>
      <c r="CC2" s="15"/>
      <c r="CD2" s="13">
        <f t="shared" ref="CD2:CD33" si="22">AE2</f>
        <v>0</v>
      </c>
      <c r="CE2" s="14">
        <f t="shared" ref="CE2:CE33" si="23">CD2*G2</f>
        <v>0</v>
      </c>
      <c r="CF2" s="15"/>
      <c r="CG2" s="18">
        <f t="shared" ref="CG2:CG33" si="24">AG2</f>
        <v>0</v>
      </c>
      <c r="CH2" s="14">
        <f>CG2*JJ2</f>
        <v>0</v>
      </c>
      <c r="CI2" s="15"/>
      <c r="CJ2" s="18">
        <f t="shared" ref="CJ2:CJ33" si="25">AI2</f>
        <v>0</v>
      </c>
      <c r="CK2" s="14">
        <f t="shared" ref="CK2:CK33" si="26">CJ2*G2</f>
        <v>0</v>
      </c>
      <c r="CL2" s="15"/>
      <c r="CM2" s="18">
        <f t="shared" ref="CM2:CM33" si="27">AK2</f>
        <v>0</v>
      </c>
      <c r="CN2" s="14">
        <f t="shared" ref="CN2:CN33" si="28">CM2*G2</f>
        <v>0</v>
      </c>
      <c r="CO2" s="15"/>
      <c r="CP2" s="18">
        <f t="shared" ref="CP2:CP33" si="29">AM2</f>
        <v>0</v>
      </c>
      <c r="CQ2" s="14">
        <f t="shared" ref="CQ2:CQ33" si="30">CP2*G2</f>
        <v>0</v>
      </c>
      <c r="CR2" s="15"/>
      <c r="CS2" s="18">
        <f t="shared" ref="CS2:CS33" si="31">AO2</f>
        <v>0</v>
      </c>
      <c r="CT2" s="14">
        <f t="shared" ref="CT2:CT33" si="32">CS2*G2</f>
        <v>0</v>
      </c>
      <c r="CU2" s="15"/>
      <c r="CV2" s="13">
        <f t="shared" ref="CV2:CV33" si="33">AQ2</f>
        <v>0</v>
      </c>
      <c r="CW2" s="14">
        <f t="shared" ref="CW2:CW33" si="34">CV2*G2</f>
        <v>0</v>
      </c>
      <c r="CX2" s="15"/>
      <c r="CY2" s="13">
        <f t="shared" ref="CY2:CY33" si="35">AS2</f>
        <v>0</v>
      </c>
      <c r="CZ2" s="14">
        <f t="shared" ref="CZ2:CZ33" si="36">CY2*G2</f>
        <v>0</v>
      </c>
      <c r="DA2" s="15"/>
      <c r="DB2" s="13">
        <f t="shared" ref="DB2:DB33" si="37">AU2</f>
        <v>0</v>
      </c>
      <c r="DC2" s="14">
        <f t="shared" ref="DC2:DC33" si="38">DB2*G2</f>
        <v>0</v>
      </c>
      <c r="DD2" s="5"/>
      <c r="DE2" s="102">
        <v>177</v>
      </c>
      <c r="DF2" s="29"/>
      <c r="DG2" s="78">
        <f t="shared" ref="DG2:DG33" si="39">C2</f>
        <v>0</v>
      </c>
      <c r="DH2" s="29"/>
      <c r="DI2" s="78">
        <f t="shared" ref="DI2:DI33" si="40">SUM(I2:AV2)</f>
        <v>0</v>
      </c>
      <c r="DJ2" s="29"/>
      <c r="DK2" s="81">
        <f t="shared" ref="DK2:DK33" si="41">DE2+DG2-DI2</f>
        <v>177</v>
      </c>
      <c r="DL2" s="29"/>
      <c r="DM2" s="100">
        <f t="shared" ref="DM2:DM33" si="42">E2*DK2</f>
        <v>9558</v>
      </c>
      <c r="DN2" s="29"/>
      <c r="DO2" s="101" t="e">
        <f t="shared" ref="DO2:DO33" si="43">DK2/DI2</f>
        <v>#DIV/0!</v>
      </c>
      <c r="DP2" s="29"/>
      <c r="DQ2" s="100">
        <f t="shared" ref="DQ2:DQ33" si="44">G2*DK2</f>
        <v>10991.7</v>
      </c>
      <c r="DR2" s="29"/>
      <c r="DS2" s="147"/>
      <c r="DT2" s="147"/>
      <c r="DU2" s="147"/>
      <c r="DV2" s="147"/>
      <c r="DW2" s="147"/>
      <c r="DX2" s="147"/>
      <c r="DY2" s="147"/>
    </row>
    <row r="3" spans="1:129" ht="12" customHeight="1" thickBot="1" x14ac:dyDescent="0.35">
      <c r="A3" s="71" t="s">
        <v>19</v>
      </c>
      <c r="B3" s="32"/>
      <c r="C3" s="73"/>
      <c r="D3" s="34"/>
      <c r="E3" s="76">
        <v>36.93</v>
      </c>
      <c r="F3" s="34"/>
      <c r="G3" s="76">
        <v>42.47</v>
      </c>
      <c r="I3" s="7"/>
      <c r="J3" s="2"/>
      <c r="K3" s="7"/>
      <c r="L3" s="2"/>
      <c r="M3" s="7"/>
      <c r="N3" s="2"/>
      <c r="O3" s="7"/>
      <c r="P3" s="2"/>
      <c r="Q3" s="7"/>
      <c r="R3" s="2"/>
      <c r="S3" s="7"/>
      <c r="T3" s="2"/>
      <c r="U3" s="7"/>
      <c r="V3" s="2"/>
      <c r="W3" s="7"/>
      <c r="X3" s="2"/>
      <c r="Y3" s="7"/>
      <c r="Z3" s="2"/>
      <c r="AA3" s="7"/>
      <c r="AB3" s="2"/>
      <c r="AC3" s="7"/>
      <c r="AD3" s="2"/>
      <c r="AE3" s="7"/>
      <c r="AF3" s="1"/>
      <c r="AG3" s="7"/>
      <c r="AH3" s="2"/>
      <c r="AI3" s="7"/>
      <c r="AJ3" s="2"/>
      <c r="AK3" s="7"/>
      <c r="AL3" s="2"/>
      <c r="AM3" s="7"/>
      <c r="AN3" s="2"/>
      <c r="AO3" s="7"/>
      <c r="AP3" s="2"/>
      <c r="AQ3" s="7"/>
      <c r="AR3" s="2"/>
      <c r="AS3" s="7"/>
      <c r="AT3" s="2"/>
      <c r="AU3" s="7"/>
      <c r="AV3" s="2"/>
      <c r="AW3" s="13">
        <f t="shared" si="0"/>
        <v>0</v>
      </c>
      <c r="AX3" s="16">
        <f t="shared" si="1"/>
        <v>0</v>
      </c>
      <c r="AY3" s="17"/>
      <c r="AZ3" s="13">
        <f t="shared" si="2"/>
        <v>0</v>
      </c>
      <c r="BA3" s="16">
        <f t="shared" si="3"/>
        <v>0</v>
      </c>
      <c r="BB3" s="17"/>
      <c r="BC3" s="13">
        <f t="shared" si="4"/>
        <v>0</v>
      </c>
      <c r="BD3" s="16">
        <f t="shared" si="5"/>
        <v>0</v>
      </c>
      <c r="BE3" s="17"/>
      <c r="BF3" s="13">
        <f t="shared" si="6"/>
        <v>0</v>
      </c>
      <c r="BG3" s="16">
        <f t="shared" si="7"/>
        <v>0</v>
      </c>
      <c r="BH3" s="17"/>
      <c r="BI3" s="13">
        <f t="shared" si="8"/>
        <v>0</v>
      </c>
      <c r="BJ3" s="16">
        <f t="shared" si="9"/>
        <v>0</v>
      </c>
      <c r="BK3" s="17"/>
      <c r="BL3" s="13">
        <f t="shared" si="10"/>
        <v>0</v>
      </c>
      <c r="BM3" s="16">
        <f t="shared" si="11"/>
        <v>0</v>
      </c>
      <c r="BN3" s="17"/>
      <c r="BO3" s="13">
        <f t="shared" si="12"/>
        <v>0</v>
      </c>
      <c r="BP3" s="16">
        <f t="shared" si="13"/>
        <v>0</v>
      </c>
      <c r="BQ3" s="17"/>
      <c r="BR3" s="13">
        <f t="shared" si="14"/>
        <v>0</v>
      </c>
      <c r="BS3" s="16">
        <f t="shared" si="15"/>
        <v>0</v>
      </c>
      <c r="BT3" s="17"/>
      <c r="BU3" s="13">
        <f t="shared" si="16"/>
        <v>0</v>
      </c>
      <c r="BV3" s="16">
        <f t="shared" si="17"/>
        <v>0</v>
      </c>
      <c r="BW3" s="17"/>
      <c r="BX3" s="13">
        <f t="shared" si="18"/>
        <v>0</v>
      </c>
      <c r="BY3" s="16">
        <f t="shared" si="19"/>
        <v>0</v>
      </c>
      <c r="BZ3" s="17"/>
      <c r="CA3" s="13">
        <f t="shared" si="20"/>
        <v>0</v>
      </c>
      <c r="CB3" s="16">
        <f t="shared" si="21"/>
        <v>0</v>
      </c>
      <c r="CC3" s="17"/>
      <c r="CD3" s="13">
        <f t="shared" si="22"/>
        <v>0</v>
      </c>
      <c r="CE3" s="16">
        <f t="shared" si="23"/>
        <v>0</v>
      </c>
      <c r="CF3" s="17"/>
      <c r="CG3" s="18">
        <f t="shared" si="24"/>
        <v>0</v>
      </c>
      <c r="CH3" s="16">
        <f t="shared" ref="CH3:CH34" si="45">CG3*G3</f>
        <v>0</v>
      </c>
      <c r="CI3" s="17"/>
      <c r="CJ3" s="18">
        <f t="shared" si="25"/>
        <v>0</v>
      </c>
      <c r="CK3" s="16">
        <f t="shared" si="26"/>
        <v>0</v>
      </c>
      <c r="CL3" s="17"/>
      <c r="CM3" s="18">
        <f t="shared" si="27"/>
        <v>0</v>
      </c>
      <c r="CN3" s="16">
        <f t="shared" si="28"/>
        <v>0</v>
      </c>
      <c r="CO3" s="17"/>
      <c r="CP3" s="18">
        <f t="shared" si="29"/>
        <v>0</v>
      </c>
      <c r="CQ3" s="16">
        <f t="shared" si="30"/>
        <v>0</v>
      </c>
      <c r="CR3" s="17"/>
      <c r="CS3" s="18">
        <f t="shared" si="31"/>
        <v>0</v>
      </c>
      <c r="CT3" s="16">
        <f t="shared" si="32"/>
        <v>0</v>
      </c>
      <c r="CU3" s="17"/>
      <c r="CV3" s="13">
        <f t="shared" si="33"/>
        <v>0</v>
      </c>
      <c r="CW3" s="16">
        <f t="shared" si="34"/>
        <v>0</v>
      </c>
      <c r="CX3" s="17"/>
      <c r="CY3" s="13">
        <f t="shared" si="35"/>
        <v>0</v>
      </c>
      <c r="CZ3" s="16">
        <f t="shared" si="36"/>
        <v>0</v>
      </c>
      <c r="DA3" s="17"/>
      <c r="DB3" s="13">
        <f t="shared" si="37"/>
        <v>0</v>
      </c>
      <c r="DC3" s="16">
        <f t="shared" si="38"/>
        <v>0</v>
      </c>
      <c r="DD3" s="2"/>
      <c r="DE3" s="99">
        <v>178</v>
      </c>
      <c r="DF3" s="49"/>
      <c r="DG3" s="79">
        <f t="shared" si="39"/>
        <v>0</v>
      </c>
      <c r="DH3" s="49"/>
      <c r="DI3" s="79">
        <f t="shared" si="40"/>
        <v>0</v>
      </c>
      <c r="DJ3" s="49"/>
      <c r="DK3" s="82">
        <f t="shared" si="41"/>
        <v>178</v>
      </c>
      <c r="DL3" s="49"/>
      <c r="DM3" s="84">
        <f t="shared" si="42"/>
        <v>6573.54</v>
      </c>
      <c r="DN3" s="49"/>
      <c r="DO3" s="85" t="e">
        <f t="shared" si="43"/>
        <v>#DIV/0!</v>
      </c>
      <c r="DP3" s="49"/>
      <c r="DQ3" s="84">
        <f t="shared" si="44"/>
        <v>7559.66</v>
      </c>
      <c r="DR3" s="49"/>
      <c r="DS3" s="148"/>
      <c r="DT3" s="148"/>
      <c r="DU3" s="148"/>
      <c r="DV3" s="148"/>
      <c r="DW3" s="148"/>
      <c r="DX3" s="148"/>
      <c r="DY3" s="148"/>
    </row>
    <row r="4" spans="1:129" ht="12" customHeight="1" thickTop="1" x14ac:dyDescent="0.3">
      <c r="A4" s="31" t="s">
        <v>20</v>
      </c>
      <c r="B4" s="32"/>
      <c r="C4" s="52"/>
      <c r="D4" s="34"/>
      <c r="E4" s="35">
        <v>29.95</v>
      </c>
      <c r="F4" s="34"/>
      <c r="G4" s="33">
        <v>35.94</v>
      </c>
      <c r="I4" s="26">
        <v>1</v>
      </c>
      <c r="J4" s="27"/>
      <c r="K4" s="28">
        <v>4</v>
      </c>
      <c r="L4" s="12"/>
      <c r="M4" s="26">
        <v>1</v>
      </c>
      <c r="N4" s="12"/>
      <c r="O4" s="28">
        <v>2</v>
      </c>
      <c r="P4" s="12"/>
      <c r="Q4" s="26"/>
      <c r="R4" s="12"/>
      <c r="S4" s="28">
        <v>1</v>
      </c>
      <c r="T4" s="12"/>
      <c r="U4" s="26">
        <v>2</v>
      </c>
      <c r="V4" s="12"/>
      <c r="W4" s="28">
        <v>1</v>
      </c>
      <c r="X4" s="12"/>
      <c r="Y4" s="26">
        <v>1</v>
      </c>
      <c r="Z4" s="12"/>
      <c r="AA4" s="28">
        <v>1</v>
      </c>
      <c r="AB4" s="12"/>
      <c r="AC4" s="26">
        <v>1</v>
      </c>
      <c r="AD4" s="12"/>
      <c r="AE4" s="28"/>
      <c r="AF4" s="12"/>
      <c r="AG4" s="26"/>
      <c r="AH4" s="12"/>
      <c r="AI4" s="28"/>
      <c r="AJ4" s="12"/>
      <c r="AK4" s="26"/>
      <c r="AL4" s="12"/>
      <c r="AM4" s="28"/>
      <c r="AN4" s="12"/>
      <c r="AO4" s="26"/>
      <c r="AP4" s="12"/>
      <c r="AQ4" s="28"/>
      <c r="AR4" s="12"/>
      <c r="AS4" s="26"/>
      <c r="AT4" s="12"/>
      <c r="AU4" s="28"/>
      <c r="AW4" s="18">
        <f t="shared" si="0"/>
        <v>1</v>
      </c>
      <c r="AX4" s="19">
        <f t="shared" si="1"/>
        <v>35.94</v>
      </c>
      <c r="AY4" s="20"/>
      <c r="AZ4" s="18">
        <f t="shared" si="2"/>
        <v>4</v>
      </c>
      <c r="BA4" s="21">
        <f t="shared" si="3"/>
        <v>143.76</v>
      </c>
      <c r="BB4" s="20"/>
      <c r="BC4" s="18">
        <f t="shared" si="4"/>
        <v>1</v>
      </c>
      <c r="BD4" s="19">
        <f t="shared" si="5"/>
        <v>35.94</v>
      </c>
      <c r="BE4" s="20"/>
      <c r="BF4" s="18">
        <f t="shared" si="6"/>
        <v>2</v>
      </c>
      <c r="BG4" s="21">
        <f t="shared" si="7"/>
        <v>71.88</v>
      </c>
      <c r="BH4" s="20"/>
      <c r="BI4" s="18">
        <f t="shared" si="8"/>
        <v>0</v>
      </c>
      <c r="BJ4" s="19">
        <f t="shared" si="9"/>
        <v>0</v>
      </c>
      <c r="BK4" s="20"/>
      <c r="BL4" s="18">
        <f t="shared" si="10"/>
        <v>1</v>
      </c>
      <c r="BM4" s="21">
        <f t="shared" si="11"/>
        <v>35.94</v>
      </c>
      <c r="BN4" s="20"/>
      <c r="BO4" s="18">
        <f t="shared" si="12"/>
        <v>2</v>
      </c>
      <c r="BP4" s="19">
        <f t="shared" si="13"/>
        <v>71.88</v>
      </c>
      <c r="BQ4" s="20"/>
      <c r="BR4" s="18">
        <f t="shared" si="14"/>
        <v>1</v>
      </c>
      <c r="BS4" s="21">
        <f t="shared" si="15"/>
        <v>35.94</v>
      </c>
      <c r="BT4" s="20"/>
      <c r="BU4" s="18">
        <f t="shared" si="16"/>
        <v>1</v>
      </c>
      <c r="BV4" s="19">
        <f t="shared" si="17"/>
        <v>35.94</v>
      </c>
      <c r="BW4" s="20"/>
      <c r="BX4" s="18">
        <f t="shared" si="18"/>
        <v>1</v>
      </c>
      <c r="BY4" s="21">
        <f t="shared" si="19"/>
        <v>35.94</v>
      </c>
      <c r="BZ4" s="20"/>
      <c r="CA4" s="18">
        <f t="shared" si="20"/>
        <v>1</v>
      </c>
      <c r="CB4" s="19">
        <f t="shared" si="21"/>
        <v>35.94</v>
      </c>
      <c r="CC4" s="20"/>
      <c r="CD4" s="18">
        <f t="shared" si="22"/>
        <v>0</v>
      </c>
      <c r="CE4" s="21">
        <f t="shared" si="23"/>
        <v>0</v>
      </c>
      <c r="CF4" s="20"/>
      <c r="CG4" s="18">
        <f t="shared" si="24"/>
        <v>0</v>
      </c>
      <c r="CH4" s="21">
        <f t="shared" si="45"/>
        <v>0</v>
      </c>
      <c r="CI4" s="20"/>
      <c r="CJ4" s="18">
        <f t="shared" si="25"/>
        <v>0</v>
      </c>
      <c r="CK4" s="21">
        <f t="shared" si="26"/>
        <v>0</v>
      </c>
      <c r="CL4" s="20"/>
      <c r="CM4" s="18">
        <f t="shared" si="27"/>
        <v>0</v>
      </c>
      <c r="CN4" s="21">
        <f t="shared" si="28"/>
        <v>0</v>
      </c>
      <c r="CO4" s="20"/>
      <c r="CP4" s="18">
        <f t="shared" si="29"/>
        <v>0</v>
      </c>
      <c r="CQ4" s="21">
        <f t="shared" si="30"/>
        <v>0</v>
      </c>
      <c r="CR4" s="20"/>
      <c r="CS4" s="18">
        <f t="shared" si="31"/>
        <v>0</v>
      </c>
      <c r="CT4" s="19">
        <f t="shared" si="32"/>
        <v>0</v>
      </c>
      <c r="CU4" s="20"/>
      <c r="CV4" s="18">
        <f t="shared" si="33"/>
        <v>0</v>
      </c>
      <c r="CW4" s="21">
        <f t="shared" si="34"/>
        <v>0</v>
      </c>
      <c r="CX4" s="20"/>
      <c r="CY4" s="18">
        <f t="shared" si="35"/>
        <v>0</v>
      </c>
      <c r="CZ4" s="19">
        <f t="shared" si="36"/>
        <v>0</v>
      </c>
      <c r="DA4" s="20"/>
      <c r="DB4" s="18">
        <f t="shared" si="37"/>
        <v>0</v>
      </c>
      <c r="DC4" s="21">
        <f t="shared" si="38"/>
        <v>0</v>
      </c>
      <c r="DE4" s="98">
        <v>784</v>
      </c>
      <c r="DF4" s="32"/>
      <c r="DG4" s="61">
        <f t="shared" si="39"/>
        <v>0</v>
      </c>
      <c r="DH4" s="32"/>
      <c r="DI4" s="59">
        <f t="shared" si="40"/>
        <v>15</v>
      </c>
      <c r="DJ4" s="32"/>
      <c r="DK4" s="59">
        <f t="shared" si="41"/>
        <v>769</v>
      </c>
      <c r="DL4" s="32"/>
      <c r="DM4" s="96">
        <f t="shared" si="42"/>
        <v>23031.55</v>
      </c>
      <c r="DN4" s="32"/>
      <c r="DO4" s="62">
        <f t="shared" si="43"/>
        <v>51.266666666666666</v>
      </c>
      <c r="DP4" s="32"/>
      <c r="DQ4" s="96">
        <f t="shared" si="44"/>
        <v>27637.859999999997</v>
      </c>
      <c r="DR4" s="32"/>
      <c r="DS4" s="61"/>
      <c r="DT4" s="32"/>
      <c r="DU4" s="63">
        <v>0</v>
      </c>
      <c r="DV4" s="32"/>
      <c r="DW4" s="64">
        <f t="shared" ref="DW4:DW35" si="46">DU4*1.2</f>
        <v>0</v>
      </c>
      <c r="DX4" s="32"/>
      <c r="DY4" s="63">
        <f t="shared" ref="DY4:DY35" si="47">DU4*DS4</f>
        <v>0</v>
      </c>
    </row>
    <row r="5" spans="1:129" ht="12" customHeight="1" x14ac:dyDescent="0.3">
      <c r="A5" s="36" t="s">
        <v>67</v>
      </c>
      <c r="B5" s="32"/>
      <c r="C5" s="51"/>
      <c r="D5" s="34"/>
      <c r="E5" s="35">
        <v>23</v>
      </c>
      <c r="F5" s="34"/>
      <c r="G5" s="33">
        <v>27.6</v>
      </c>
      <c r="I5" s="26">
        <v>1</v>
      </c>
      <c r="J5" s="27"/>
      <c r="K5" s="28">
        <v>6</v>
      </c>
      <c r="L5" s="12"/>
      <c r="M5" s="26">
        <v>5</v>
      </c>
      <c r="N5" s="12"/>
      <c r="O5" s="28">
        <v>4</v>
      </c>
      <c r="P5" s="12"/>
      <c r="Q5" s="26">
        <v>3</v>
      </c>
      <c r="R5" s="12"/>
      <c r="S5" s="28">
        <v>3</v>
      </c>
      <c r="T5" s="12"/>
      <c r="U5" s="26">
        <v>4</v>
      </c>
      <c r="V5" s="12"/>
      <c r="W5" s="28">
        <v>3</v>
      </c>
      <c r="X5" s="12"/>
      <c r="Y5" s="26">
        <v>3</v>
      </c>
      <c r="Z5" s="12"/>
      <c r="AA5" s="28">
        <v>2</v>
      </c>
      <c r="AB5" s="12"/>
      <c r="AC5" s="26">
        <v>3</v>
      </c>
      <c r="AD5" s="12"/>
      <c r="AE5" s="28"/>
      <c r="AF5" s="12"/>
      <c r="AG5" s="26"/>
      <c r="AH5" s="12"/>
      <c r="AI5" s="28"/>
      <c r="AJ5" s="12"/>
      <c r="AK5" s="26"/>
      <c r="AL5" s="12"/>
      <c r="AM5" s="28"/>
      <c r="AN5" s="12"/>
      <c r="AO5" s="26"/>
      <c r="AP5" s="12"/>
      <c r="AQ5" s="28"/>
      <c r="AR5" s="12"/>
      <c r="AS5" s="26"/>
      <c r="AT5" s="12"/>
      <c r="AU5" s="28"/>
      <c r="AW5" s="18">
        <f t="shared" si="0"/>
        <v>1</v>
      </c>
      <c r="AX5" s="19">
        <f t="shared" si="1"/>
        <v>27.6</v>
      </c>
      <c r="AY5" s="20"/>
      <c r="AZ5" s="13">
        <f t="shared" si="2"/>
        <v>6</v>
      </c>
      <c r="BA5" s="21">
        <f t="shared" si="3"/>
        <v>165.60000000000002</v>
      </c>
      <c r="BB5" s="20"/>
      <c r="BC5" s="13">
        <f t="shared" si="4"/>
        <v>5</v>
      </c>
      <c r="BD5" s="19">
        <f t="shared" si="5"/>
        <v>138</v>
      </c>
      <c r="BE5" s="20"/>
      <c r="BF5" s="13">
        <f t="shared" si="6"/>
        <v>4</v>
      </c>
      <c r="BG5" s="21">
        <f t="shared" si="7"/>
        <v>110.4</v>
      </c>
      <c r="BH5" s="20"/>
      <c r="BI5" s="13">
        <f t="shared" si="8"/>
        <v>3</v>
      </c>
      <c r="BJ5" s="19">
        <f t="shared" si="9"/>
        <v>82.800000000000011</v>
      </c>
      <c r="BK5" s="20"/>
      <c r="BL5" s="13">
        <f t="shared" si="10"/>
        <v>3</v>
      </c>
      <c r="BM5" s="21">
        <f t="shared" si="11"/>
        <v>82.800000000000011</v>
      </c>
      <c r="BN5" s="20"/>
      <c r="BO5" s="13">
        <f t="shared" si="12"/>
        <v>4</v>
      </c>
      <c r="BP5" s="19">
        <f t="shared" si="13"/>
        <v>110.4</v>
      </c>
      <c r="BQ5" s="20"/>
      <c r="BR5" s="13">
        <f t="shared" si="14"/>
        <v>3</v>
      </c>
      <c r="BS5" s="21">
        <f t="shared" si="15"/>
        <v>82.800000000000011</v>
      </c>
      <c r="BT5" s="20"/>
      <c r="BU5" s="13">
        <f t="shared" si="16"/>
        <v>3</v>
      </c>
      <c r="BV5" s="19">
        <f t="shared" si="17"/>
        <v>82.800000000000011</v>
      </c>
      <c r="BW5" s="20"/>
      <c r="BX5" s="13">
        <f t="shared" si="18"/>
        <v>2</v>
      </c>
      <c r="BY5" s="21">
        <f t="shared" si="19"/>
        <v>55.2</v>
      </c>
      <c r="BZ5" s="20"/>
      <c r="CA5" s="13">
        <f t="shared" si="20"/>
        <v>3</v>
      </c>
      <c r="CB5" s="19">
        <f t="shared" si="21"/>
        <v>82.800000000000011</v>
      </c>
      <c r="CC5" s="20"/>
      <c r="CD5" s="13">
        <f t="shared" si="22"/>
        <v>0</v>
      </c>
      <c r="CE5" s="21">
        <f t="shared" si="23"/>
        <v>0</v>
      </c>
      <c r="CF5" s="20"/>
      <c r="CG5" s="18">
        <f t="shared" si="24"/>
        <v>0</v>
      </c>
      <c r="CH5" s="21">
        <f t="shared" si="45"/>
        <v>0</v>
      </c>
      <c r="CI5" s="20"/>
      <c r="CJ5" s="18">
        <f t="shared" si="25"/>
        <v>0</v>
      </c>
      <c r="CK5" s="21">
        <f t="shared" si="26"/>
        <v>0</v>
      </c>
      <c r="CL5" s="20"/>
      <c r="CM5" s="18">
        <f t="shared" si="27"/>
        <v>0</v>
      </c>
      <c r="CN5" s="21">
        <f t="shared" si="28"/>
        <v>0</v>
      </c>
      <c r="CO5" s="20"/>
      <c r="CP5" s="18">
        <f t="shared" si="29"/>
        <v>0</v>
      </c>
      <c r="CQ5" s="21">
        <f t="shared" si="30"/>
        <v>0</v>
      </c>
      <c r="CR5" s="20"/>
      <c r="CS5" s="18">
        <f t="shared" si="31"/>
        <v>0</v>
      </c>
      <c r="CT5" s="19">
        <f t="shared" si="32"/>
        <v>0</v>
      </c>
      <c r="CU5" s="20"/>
      <c r="CV5" s="13">
        <f t="shared" si="33"/>
        <v>0</v>
      </c>
      <c r="CW5" s="21">
        <f t="shared" si="34"/>
        <v>0</v>
      </c>
      <c r="CX5" s="20"/>
      <c r="CY5" s="13">
        <f t="shared" si="35"/>
        <v>0</v>
      </c>
      <c r="CZ5" s="19">
        <f t="shared" si="36"/>
        <v>0</v>
      </c>
      <c r="DA5" s="20"/>
      <c r="DB5" s="13">
        <f t="shared" si="37"/>
        <v>0</v>
      </c>
      <c r="DC5" s="21">
        <f t="shared" si="38"/>
        <v>0</v>
      </c>
      <c r="DE5" s="97">
        <v>771</v>
      </c>
      <c r="DF5" s="32"/>
      <c r="DG5" s="61">
        <f t="shared" si="39"/>
        <v>0</v>
      </c>
      <c r="DH5" s="32"/>
      <c r="DI5" s="59">
        <f t="shared" si="40"/>
        <v>37</v>
      </c>
      <c r="DJ5" s="32"/>
      <c r="DK5" s="59">
        <f t="shared" si="41"/>
        <v>734</v>
      </c>
      <c r="DL5" s="32"/>
      <c r="DM5" s="96">
        <f t="shared" si="42"/>
        <v>16882</v>
      </c>
      <c r="DN5" s="32"/>
      <c r="DO5" s="62">
        <f t="shared" si="43"/>
        <v>19.837837837837839</v>
      </c>
      <c r="DP5" s="32"/>
      <c r="DQ5" s="96">
        <f t="shared" si="44"/>
        <v>20258.400000000001</v>
      </c>
      <c r="DR5" s="32"/>
      <c r="DS5" s="61">
        <v>600</v>
      </c>
      <c r="DT5" s="32"/>
      <c r="DU5" s="63">
        <v>28.75</v>
      </c>
      <c r="DV5" s="32"/>
      <c r="DW5" s="64">
        <f t="shared" si="46"/>
        <v>34.5</v>
      </c>
      <c r="DX5" s="32"/>
      <c r="DY5" s="63">
        <f t="shared" si="47"/>
        <v>17250</v>
      </c>
    </row>
    <row r="6" spans="1:129" ht="12" customHeight="1" x14ac:dyDescent="0.3">
      <c r="A6" s="37" t="s">
        <v>21</v>
      </c>
      <c r="B6" s="32"/>
      <c r="C6" s="51"/>
      <c r="D6" s="34"/>
      <c r="E6" s="35">
        <v>38.950000000000003</v>
      </c>
      <c r="F6" s="34"/>
      <c r="G6" s="33">
        <v>46.74</v>
      </c>
      <c r="I6" s="26">
        <v>1</v>
      </c>
      <c r="J6" s="27"/>
      <c r="K6" s="28">
        <v>2</v>
      </c>
      <c r="L6" s="12"/>
      <c r="M6" s="26">
        <v>1</v>
      </c>
      <c r="N6" s="12"/>
      <c r="O6" s="28">
        <v>1</v>
      </c>
      <c r="P6" s="12"/>
      <c r="Q6" s="26">
        <v>1</v>
      </c>
      <c r="R6" s="12"/>
      <c r="S6" s="28">
        <v>1</v>
      </c>
      <c r="T6" s="12"/>
      <c r="U6" s="26">
        <v>1</v>
      </c>
      <c r="V6" s="12"/>
      <c r="W6" s="28">
        <v>1</v>
      </c>
      <c r="X6" s="12"/>
      <c r="Y6" s="26">
        <v>1</v>
      </c>
      <c r="Z6" s="12"/>
      <c r="AA6" s="28">
        <v>1</v>
      </c>
      <c r="AB6" s="12"/>
      <c r="AC6" s="26">
        <v>1</v>
      </c>
      <c r="AD6" s="12"/>
      <c r="AE6" s="28"/>
      <c r="AF6" s="12"/>
      <c r="AG6" s="26"/>
      <c r="AH6" s="12"/>
      <c r="AI6" s="28"/>
      <c r="AJ6" s="12"/>
      <c r="AK6" s="26"/>
      <c r="AL6" s="12"/>
      <c r="AM6" s="28"/>
      <c r="AN6" s="12"/>
      <c r="AO6" s="26"/>
      <c r="AP6" s="12"/>
      <c r="AQ6" s="28"/>
      <c r="AR6" s="12"/>
      <c r="AS6" s="26"/>
      <c r="AT6" s="12"/>
      <c r="AU6" s="28"/>
      <c r="AW6" s="18">
        <f t="shared" si="0"/>
        <v>1</v>
      </c>
      <c r="AX6" s="19">
        <f t="shared" si="1"/>
        <v>46.74</v>
      </c>
      <c r="AY6" s="20"/>
      <c r="AZ6" s="13">
        <f t="shared" si="2"/>
        <v>2</v>
      </c>
      <c r="BA6" s="21">
        <f t="shared" si="3"/>
        <v>93.48</v>
      </c>
      <c r="BB6" s="20"/>
      <c r="BC6" s="13">
        <f t="shared" si="4"/>
        <v>1</v>
      </c>
      <c r="BD6" s="19">
        <f t="shared" si="5"/>
        <v>46.74</v>
      </c>
      <c r="BE6" s="20"/>
      <c r="BF6" s="13">
        <f t="shared" si="6"/>
        <v>1</v>
      </c>
      <c r="BG6" s="21">
        <f t="shared" si="7"/>
        <v>46.74</v>
      </c>
      <c r="BH6" s="20"/>
      <c r="BI6" s="13">
        <f t="shared" si="8"/>
        <v>1</v>
      </c>
      <c r="BJ6" s="19">
        <f t="shared" si="9"/>
        <v>46.74</v>
      </c>
      <c r="BK6" s="20"/>
      <c r="BL6" s="13">
        <f t="shared" si="10"/>
        <v>1</v>
      </c>
      <c r="BM6" s="21">
        <f t="shared" si="11"/>
        <v>46.74</v>
      </c>
      <c r="BN6" s="20"/>
      <c r="BO6" s="13">
        <f t="shared" si="12"/>
        <v>1</v>
      </c>
      <c r="BP6" s="19">
        <f t="shared" si="13"/>
        <v>46.74</v>
      </c>
      <c r="BQ6" s="20"/>
      <c r="BR6" s="13">
        <f t="shared" si="14"/>
        <v>1</v>
      </c>
      <c r="BS6" s="21">
        <f t="shared" si="15"/>
        <v>46.74</v>
      </c>
      <c r="BT6" s="20"/>
      <c r="BU6" s="13">
        <f t="shared" si="16"/>
        <v>1</v>
      </c>
      <c r="BV6" s="19">
        <f t="shared" si="17"/>
        <v>46.74</v>
      </c>
      <c r="BW6" s="20"/>
      <c r="BX6" s="13">
        <f t="shared" si="18"/>
        <v>1</v>
      </c>
      <c r="BY6" s="21">
        <f t="shared" si="19"/>
        <v>46.74</v>
      </c>
      <c r="BZ6" s="20"/>
      <c r="CA6" s="13">
        <f t="shared" si="20"/>
        <v>1</v>
      </c>
      <c r="CB6" s="19">
        <f t="shared" si="21"/>
        <v>46.74</v>
      </c>
      <c r="CC6" s="20"/>
      <c r="CD6" s="13">
        <f t="shared" si="22"/>
        <v>0</v>
      </c>
      <c r="CE6" s="21">
        <f t="shared" si="23"/>
        <v>0</v>
      </c>
      <c r="CF6" s="20"/>
      <c r="CG6" s="18">
        <f t="shared" si="24"/>
        <v>0</v>
      </c>
      <c r="CH6" s="21">
        <f t="shared" si="45"/>
        <v>0</v>
      </c>
      <c r="CI6" s="20"/>
      <c r="CJ6" s="18">
        <f t="shared" si="25"/>
        <v>0</v>
      </c>
      <c r="CK6" s="21">
        <f t="shared" si="26"/>
        <v>0</v>
      </c>
      <c r="CL6" s="20"/>
      <c r="CM6" s="18">
        <f t="shared" si="27"/>
        <v>0</v>
      </c>
      <c r="CN6" s="21">
        <f t="shared" si="28"/>
        <v>0</v>
      </c>
      <c r="CO6" s="20"/>
      <c r="CP6" s="18">
        <f t="shared" si="29"/>
        <v>0</v>
      </c>
      <c r="CQ6" s="21">
        <f t="shared" si="30"/>
        <v>0</v>
      </c>
      <c r="CR6" s="20"/>
      <c r="CS6" s="18">
        <f t="shared" si="31"/>
        <v>0</v>
      </c>
      <c r="CT6" s="19">
        <f t="shared" si="32"/>
        <v>0</v>
      </c>
      <c r="CU6" s="20"/>
      <c r="CV6" s="13">
        <f t="shared" si="33"/>
        <v>0</v>
      </c>
      <c r="CW6" s="21">
        <f t="shared" si="34"/>
        <v>0</v>
      </c>
      <c r="CX6" s="20"/>
      <c r="CY6" s="13">
        <f t="shared" si="35"/>
        <v>0</v>
      </c>
      <c r="CZ6" s="19">
        <f t="shared" si="36"/>
        <v>0</v>
      </c>
      <c r="DA6" s="20"/>
      <c r="DB6" s="13">
        <f t="shared" si="37"/>
        <v>0</v>
      </c>
      <c r="DC6" s="21">
        <f t="shared" si="38"/>
        <v>0</v>
      </c>
      <c r="DE6" s="97">
        <v>233</v>
      </c>
      <c r="DF6" s="32"/>
      <c r="DG6" s="61">
        <f t="shared" si="39"/>
        <v>0</v>
      </c>
      <c r="DH6" s="32"/>
      <c r="DI6" s="59">
        <f t="shared" si="40"/>
        <v>12</v>
      </c>
      <c r="DJ6" s="32"/>
      <c r="DK6" s="59">
        <f t="shared" si="41"/>
        <v>221</v>
      </c>
      <c r="DL6" s="32"/>
      <c r="DM6" s="96">
        <f t="shared" si="42"/>
        <v>8607.9500000000007</v>
      </c>
      <c r="DN6" s="32"/>
      <c r="DO6" s="62">
        <f t="shared" si="43"/>
        <v>18.416666666666668</v>
      </c>
      <c r="DP6" s="32"/>
      <c r="DQ6" s="96">
        <f t="shared" si="44"/>
        <v>10329.540000000001</v>
      </c>
      <c r="DR6" s="32"/>
      <c r="DS6" s="61"/>
      <c r="DT6" s="32"/>
      <c r="DU6" s="63">
        <v>0</v>
      </c>
      <c r="DV6" s="32"/>
      <c r="DW6" s="64">
        <f t="shared" si="46"/>
        <v>0</v>
      </c>
      <c r="DX6" s="32"/>
      <c r="DY6" s="63">
        <f t="shared" si="47"/>
        <v>0</v>
      </c>
    </row>
    <row r="7" spans="1:129" ht="12" customHeight="1" x14ac:dyDescent="0.3">
      <c r="A7" s="36" t="s">
        <v>22</v>
      </c>
      <c r="B7" s="32"/>
      <c r="C7" s="51"/>
      <c r="D7" s="34"/>
      <c r="E7" s="35">
        <v>44.95</v>
      </c>
      <c r="F7" s="34"/>
      <c r="G7" s="33">
        <v>53.94</v>
      </c>
      <c r="I7" s="26"/>
      <c r="J7" s="27"/>
      <c r="K7" s="28"/>
      <c r="L7" s="12"/>
      <c r="M7" s="26"/>
      <c r="N7" s="12"/>
      <c r="O7" s="28"/>
      <c r="P7" s="12"/>
      <c r="Q7" s="26"/>
      <c r="R7" s="12"/>
      <c r="S7" s="28"/>
      <c r="T7" s="12"/>
      <c r="U7" s="26"/>
      <c r="V7" s="12"/>
      <c r="W7" s="28"/>
      <c r="X7" s="12"/>
      <c r="Y7" s="26"/>
      <c r="Z7" s="12"/>
      <c r="AA7" s="28"/>
      <c r="AB7" s="12"/>
      <c r="AC7" s="26"/>
      <c r="AD7" s="12"/>
      <c r="AE7" s="28"/>
      <c r="AF7" s="12"/>
      <c r="AG7" s="26"/>
      <c r="AH7" s="12"/>
      <c r="AI7" s="28"/>
      <c r="AJ7" s="12"/>
      <c r="AK7" s="26"/>
      <c r="AL7" s="12"/>
      <c r="AM7" s="28"/>
      <c r="AN7" s="12"/>
      <c r="AO7" s="26"/>
      <c r="AP7" s="12"/>
      <c r="AQ7" s="28"/>
      <c r="AR7" s="12"/>
      <c r="AS7" s="26"/>
      <c r="AT7" s="12"/>
      <c r="AU7" s="28"/>
      <c r="AW7" s="18">
        <f t="shared" si="0"/>
        <v>0</v>
      </c>
      <c r="AX7" s="19">
        <f t="shared" si="1"/>
        <v>0</v>
      </c>
      <c r="AY7" s="20"/>
      <c r="AZ7" s="13">
        <f t="shared" si="2"/>
        <v>0</v>
      </c>
      <c r="BA7" s="21">
        <f t="shared" si="3"/>
        <v>0</v>
      </c>
      <c r="BB7" s="20"/>
      <c r="BC7" s="13">
        <f t="shared" si="4"/>
        <v>0</v>
      </c>
      <c r="BD7" s="19">
        <f t="shared" si="5"/>
        <v>0</v>
      </c>
      <c r="BE7" s="20"/>
      <c r="BF7" s="13">
        <f t="shared" si="6"/>
        <v>0</v>
      </c>
      <c r="BG7" s="21">
        <f t="shared" si="7"/>
        <v>0</v>
      </c>
      <c r="BH7" s="20"/>
      <c r="BI7" s="13">
        <f t="shared" si="8"/>
        <v>0</v>
      </c>
      <c r="BJ7" s="19">
        <f t="shared" si="9"/>
        <v>0</v>
      </c>
      <c r="BK7" s="20"/>
      <c r="BL7" s="13">
        <f t="shared" si="10"/>
        <v>0</v>
      </c>
      <c r="BM7" s="21">
        <f t="shared" si="11"/>
        <v>0</v>
      </c>
      <c r="BN7" s="20"/>
      <c r="BO7" s="13">
        <f t="shared" si="12"/>
        <v>0</v>
      </c>
      <c r="BP7" s="19">
        <f t="shared" si="13"/>
        <v>0</v>
      </c>
      <c r="BQ7" s="20"/>
      <c r="BR7" s="13">
        <f t="shared" si="14"/>
        <v>0</v>
      </c>
      <c r="BS7" s="21">
        <f t="shared" si="15"/>
        <v>0</v>
      </c>
      <c r="BT7" s="20"/>
      <c r="BU7" s="13">
        <f t="shared" si="16"/>
        <v>0</v>
      </c>
      <c r="BV7" s="19">
        <f t="shared" si="17"/>
        <v>0</v>
      </c>
      <c r="BW7" s="20"/>
      <c r="BX7" s="13">
        <f t="shared" si="18"/>
        <v>0</v>
      </c>
      <c r="BY7" s="21">
        <f t="shared" si="19"/>
        <v>0</v>
      </c>
      <c r="BZ7" s="20"/>
      <c r="CA7" s="13">
        <f t="shared" si="20"/>
        <v>0</v>
      </c>
      <c r="CB7" s="19">
        <f t="shared" si="21"/>
        <v>0</v>
      </c>
      <c r="CC7" s="20"/>
      <c r="CD7" s="13">
        <f t="shared" si="22"/>
        <v>0</v>
      </c>
      <c r="CE7" s="21">
        <f t="shared" si="23"/>
        <v>0</v>
      </c>
      <c r="CF7" s="20"/>
      <c r="CG7" s="18">
        <f t="shared" si="24"/>
        <v>0</v>
      </c>
      <c r="CH7" s="21">
        <f t="shared" si="45"/>
        <v>0</v>
      </c>
      <c r="CI7" s="20"/>
      <c r="CJ7" s="18">
        <f t="shared" si="25"/>
        <v>0</v>
      </c>
      <c r="CK7" s="21">
        <f t="shared" si="26"/>
        <v>0</v>
      </c>
      <c r="CL7" s="20"/>
      <c r="CM7" s="18">
        <f t="shared" si="27"/>
        <v>0</v>
      </c>
      <c r="CN7" s="21">
        <f t="shared" si="28"/>
        <v>0</v>
      </c>
      <c r="CO7" s="20"/>
      <c r="CP7" s="18">
        <f t="shared" si="29"/>
        <v>0</v>
      </c>
      <c r="CQ7" s="21">
        <f t="shared" si="30"/>
        <v>0</v>
      </c>
      <c r="CR7" s="20"/>
      <c r="CS7" s="18">
        <f t="shared" si="31"/>
        <v>0</v>
      </c>
      <c r="CT7" s="19">
        <f t="shared" si="32"/>
        <v>0</v>
      </c>
      <c r="CU7" s="20"/>
      <c r="CV7" s="13">
        <f t="shared" si="33"/>
        <v>0</v>
      </c>
      <c r="CW7" s="21">
        <f t="shared" si="34"/>
        <v>0</v>
      </c>
      <c r="CX7" s="20"/>
      <c r="CY7" s="13">
        <f t="shared" si="35"/>
        <v>0</v>
      </c>
      <c r="CZ7" s="19">
        <f t="shared" si="36"/>
        <v>0</v>
      </c>
      <c r="DA7" s="20"/>
      <c r="DB7" s="13">
        <f t="shared" si="37"/>
        <v>0</v>
      </c>
      <c r="DC7" s="21">
        <f t="shared" si="38"/>
        <v>0</v>
      </c>
      <c r="DE7" s="97">
        <v>65</v>
      </c>
      <c r="DF7" s="32"/>
      <c r="DG7" s="61">
        <f t="shared" si="39"/>
        <v>0</v>
      </c>
      <c r="DH7" s="32"/>
      <c r="DI7" s="59">
        <f t="shared" si="40"/>
        <v>0</v>
      </c>
      <c r="DJ7" s="32"/>
      <c r="DK7" s="59">
        <f t="shared" si="41"/>
        <v>65</v>
      </c>
      <c r="DL7" s="32"/>
      <c r="DM7" s="96">
        <f t="shared" si="42"/>
        <v>2921.75</v>
      </c>
      <c r="DN7" s="32"/>
      <c r="DO7" s="62" t="e">
        <f t="shared" si="43"/>
        <v>#DIV/0!</v>
      </c>
      <c r="DP7" s="32"/>
      <c r="DQ7" s="96">
        <f t="shared" si="44"/>
        <v>3506.1</v>
      </c>
      <c r="DR7" s="32"/>
      <c r="DS7" s="61"/>
      <c r="DT7" s="32"/>
      <c r="DU7" s="63">
        <v>0</v>
      </c>
      <c r="DV7" s="32"/>
      <c r="DW7" s="64">
        <f t="shared" si="46"/>
        <v>0</v>
      </c>
      <c r="DX7" s="32"/>
      <c r="DY7" s="63">
        <f t="shared" si="47"/>
        <v>0</v>
      </c>
    </row>
    <row r="8" spans="1:129" ht="12" customHeight="1" x14ac:dyDescent="0.3">
      <c r="A8" s="37" t="s">
        <v>23</v>
      </c>
      <c r="B8" s="32"/>
      <c r="C8" s="51"/>
      <c r="D8" s="34"/>
      <c r="E8" s="35">
        <v>18.25</v>
      </c>
      <c r="F8" s="34"/>
      <c r="G8" s="33">
        <v>21.9</v>
      </c>
      <c r="I8" s="26"/>
      <c r="J8" s="27"/>
      <c r="K8" s="28">
        <v>1</v>
      </c>
      <c r="L8" s="12"/>
      <c r="M8" s="26">
        <v>1</v>
      </c>
      <c r="N8" s="12"/>
      <c r="O8" s="28">
        <v>1</v>
      </c>
      <c r="P8" s="12"/>
      <c r="Q8" s="26"/>
      <c r="R8" s="12"/>
      <c r="S8" s="28">
        <v>1</v>
      </c>
      <c r="T8" s="12"/>
      <c r="U8" s="26">
        <v>1</v>
      </c>
      <c r="V8" s="12"/>
      <c r="W8" s="28"/>
      <c r="X8" s="12"/>
      <c r="Y8" s="26"/>
      <c r="Z8" s="12"/>
      <c r="AA8" s="28">
        <v>1</v>
      </c>
      <c r="AB8" s="12"/>
      <c r="AC8" s="26"/>
      <c r="AD8" s="12"/>
      <c r="AE8" s="28"/>
      <c r="AF8" s="12"/>
      <c r="AG8" s="26"/>
      <c r="AH8" s="12"/>
      <c r="AI8" s="28"/>
      <c r="AJ8" s="12"/>
      <c r="AK8" s="26"/>
      <c r="AL8" s="12"/>
      <c r="AM8" s="28"/>
      <c r="AN8" s="12"/>
      <c r="AO8" s="26"/>
      <c r="AP8" s="12"/>
      <c r="AQ8" s="28"/>
      <c r="AR8" s="12"/>
      <c r="AS8" s="26"/>
      <c r="AT8" s="12"/>
      <c r="AU8" s="28"/>
      <c r="AW8" s="18">
        <f t="shared" si="0"/>
        <v>0</v>
      </c>
      <c r="AX8" s="19">
        <f t="shared" si="1"/>
        <v>0</v>
      </c>
      <c r="AY8" s="20"/>
      <c r="AZ8" s="13">
        <f t="shared" si="2"/>
        <v>1</v>
      </c>
      <c r="BA8" s="21">
        <f t="shared" si="3"/>
        <v>21.9</v>
      </c>
      <c r="BB8" s="20"/>
      <c r="BC8" s="13">
        <f t="shared" si="4"/>
        <v>1</v>
      </c>
      <c r="BD8" s="19">
        <f t="shared" si="5"/>
        <v>21.9</v>
      </c>
      <c r="BE8" s="20"/>
      <c r="BF8" s="13">
        <f t="shared" si="6"/>
        <v>1</v>
      </c>
      <c r="BG8" s="21">
        <f t="shared" si="7"/>
        <v>21.9</v>
      </c>
      <c r="BH8" s="20"/>
      <c r="BI8" s="13">
        <f t="shared" si="8"/>
        <v>0</v>
      </c>
      <c r="BJ8" s="19">
        <f t="shared" si="9"/>
        <v>0</v>
      </c>
      <c r="BK8" s="20"/>
      <c r="BL8" s="13">
        <f t="shared" si="10"/>
        <v>1</v>
      </c>
      <c r="BM8" s="21">
        <f t="shared" si="11"/>
        <v>21.9</v>
      </c>
      <c r="BN8" s="20"/>
      <c r="BO8" s="13">
        <f t="shared" si="12"/>
        <v>1</v>
      </c>
      <c r="BP8" s="19">
        <f t="shared" si="13"/>
        <v>21.9</v>
      </c>
      <c r="BQ8" s="20"/>
      <c r="BR8" s="13">
        <f t="shared" si="14"/>
        <v>0</v>
      </c>
      <c r="BS8" s="21">
        <f t="shared" si="15"/>
        <v>0</v>
      </c>
      <c r="BT8" s="20"/>
      <c r="BU8" s="13">
        <f t="shared" si="16"/>
        <v>0</v>
      </c>
      <c r="BV8" s="19">
        <f t="shared" si="17"/>
        <v>0</v>
      </c>
      <c r="BW8" s="20"/>
      <c r="BX8" s="13">
        <f t="shared" si="18"/>
        <v>1</v>
      </c>
      <c r="BY8" s="21">
        <f t="shared" si="19"/>
        <v>21.9</v>
      </c>
      <c r="BZ8" s="20"/>
      <c r="CA8" s="13">
        <f t="shared" si="20"/>
        <v>0</v>
      </c>
      <c r="CB8" s="19">
        <f t="shared" si="21"/>
        <v>0</v>
      </c>
      <c r="CC8" s="20"/>
      <c r="CD8" s="13">
        <f t="shared" si="22"/>
        <v>0</v>
      </c>
      <c r="CE8" s="21">
        <f t="shared" si="23"/>
        <v>0</v>
      </c>
      <c r="CF8" s="20"/>
      <c r="CG8" s="18">
        <f t="shared" si="24"/>
        <v>0</v>
      </c>
      <c r="CH8" s="21">
        <f t="shared" si="45"/>
        <v>0</v>
      </c>
      <c r="CI8" s="20"/>
      <c r="CJ8" s="18">
        <f t="shared" si="25"/>
        <v>0</v>
      </c>
      <c r="CK8" s="21">
        <f t="shared" si="26"/>
        <v>0</v>
      </c>
      <c r="CL8" s="20"/>
      <c r="CM8" s="18">
        <f t="shared" si="27"/>
        <v>0</v>
      </c>
      <c r="CN8" s="21">
        <f t="shared" si="28"/>
        <v>0</v>
      </c>
      <c r="CO8" s="20"/>
      <c r="CP8" s="18">
        <f t="shared" si="29"/>
        <v>0</v>
      </c>
      <c r="CQ8" s="21">
        <f t="shared" si="30"/>
        <v>0</v>
      </c>
      <c r="CR8" s="20"/>
      <c r="CS8" s="18">
        <f t="shared" si="31"/>
        <v>0</v>
      </c>
      <c r="CT8" s="19">
        <f t="shared" si="32"/>
        <v>0</v>
      </c>
      <c r="CU8" s="20"/>
      <c r="CV8" s="13">
        <f t="shared" si="33"/>
        <v>0</v>
      </c>
      <c r="CW8" s="21">
        <f t="shared" si="34"/>
        <v>0</v>
      </c>
      <c r="CX8" s="20"/>
      <c r="CY8" s="13">
        <f t="shared" si="35"/>
        <v>0</v>
      </c>
      <c r="CZ8" s="19">
        <f t="shared" si="36"/>
        <v>0</v>
      </c>
      <c r="DA8" s="20"/>
      <c r="DB8" s="13">
        <f t="shared" si="37"/>
        <v>0</v>
      </c>
      <c r="DC8" s="21">
        <f t="shared" si="38"/>
        <v>0</v>
      </c>
      <c r="DE8" s="97">
        <v>116</v>
      </c>
      <c r="DF8" s="32"/>
      <c r="DG8" s="61">
        <f t="shared" si="39"/>
        <v>0</v>
      </c>
      <c r="DH8" s="32"/>
      <c r="DI8" s="59">
        <f t="shared" si="40"/>
        <v>6</v>
      </c>
      <c r="DJ8" s="32"/>
      <c r="DK8" s="59">
        <f t="shared" si="41"/>
        <v>110</v>
      </c>
      <c r="DL8" s="32"/>
      <c r="DM8" s="96">
        <f t="shared" si="42"/>
        <v>2007.5</v>
      </c>
      <c r="DN8" s="32"/>
      <c r="DO8" s="62">
        <f t="shared" si="43"/>
        <v>18.333333333333332</v>
      </c>
      <c r="DP8" s="32"/>
      <c r="DQ8" s="96">
        <f t="shared" si="44"/>
        <v>2409</v>
      </c>
      <c r="DR8" s="32"/>
      <c r="DS8" s="61"/>
      <c r="DT8" s="32"/>
      <c r="DU8" s="63">
        <v>0</v>
      </c>
      <c r="DV8" s="32"/>
      <c r="DW8" s="64">
        <f t="shared" si="46"/>
        <v>0</v>
      </c>
      <c r="DX8" s="32"/>
      <c r="DY8" s="63">
        <f t="shared" si="47"/>
        <v>0</v>
      </c>
    </row>
    <row r="9" spans="1:129" ht="12" customHeight="1" x14ac:dyDescent="0.3">
      <c r="A9" s="36" t="s">
        <v>24</v>
      </c>
      <c r="B9" s="32"/>
      <c r="C9" s="51"/>
      <c r="D9" s="34"/>
      <c r="E9" s="38">
        <v>29.95</v>
      </c>
      <c r="F9" s="34"/>
      <c r="G9" s="33">
        <v>35.94</v>
      </c>
      <c r="I9" s="26"/>
      <c r="J9" s="27"/>
      <c r="K9" s="28">
        <v>1</v>
      </c>
      <c r="L9" s="12"/>
      <c r="M9" s="26"/>
      <c r="N9" s="12"/>
      <c r="O9" s="28"/>
      <c r="P9" s="12"/>
      <c r="Q9" s="26"/>
      <c r="R9" s="12"/>
      <c r="S9" s="28"/>
      <c r="T9" s="12"/>
      <c r="U9" s="26"/>
      <c r="V9" s="12"/>
      <c r="W9" s="28"/>
      <c r="X9" s="12"/>
      <c r="Y9" s="26"/>
      <c r="Z9" s="12"/>
      <c r="AA9" s="28"/>
      <c r="AB9" s="12"/>
      <c r="AC9" s="26"/>
      <c r="AD9" s="12"/>
      <c r="AE9" s="28"/>
      <c r="AF9" s="12"/>
      <c r="AG9" s="26"/>
      <c r="AH9" s="12"/>
      <c r="AI9" s="28"/>
      <c r="AJ9" s="12"/>
      <c r="AK9" s="26"/>
      <c r="AL9" s="12"/>
      <c r="AM9" s="28"/>
      <c r="AN9" s="12"/>
      <c r="AO9" s="26"/>
      <c r="AP9" s="12"/>
      <c r="AQ9" s="28">
        <v>1</v>
      </c>
      <c r="AR9" s="12"/>
      <c r="AS9" s="26"/>
      <c r="AT9" s="12"/>
      <c r="AU9" s="28"/>
      <c r="AW9" s="18">
        <f t="shared" si="0"/>
        <v>0</v>
      </c>
      <c r="AX9" s="19">
        <f t="shared" si="1"/>
        <v>0</v>
      </c>
      <c r="AY9" s="20"/>
      <c r="AZ9" s="13">
        <f t="shared" si="2"/>
        <v>1</v>
      </c>
      <c r="BA9" s="21">
        <f t="shared" si="3"/>
        <v>35.94</v>
      </c>
      <c r="BB9" s="20"/>
      <c r="BC9" s="13">
        <f t="shared" si="4"/>
        <v>0</v>
      </c>
      <c r="BD9" s="19">
        <f t="shared" si="5"/>
        <v>0</v>
      </c>
      <c r="BE9" s="20"/>
      <c r="BF9" s="13">
        <f t="shared" si="6"/>
        <v>0</v>
      </c>
      <c r="BG9" s="21">
        <f t="shared" si="7"/>
        <v>0</v>
      </c>
      <c r="BH9" s="20"/>
      <c r="BI9" s="13">
        <f t="shared" si="8"/>
        <v>0</v>
      </c>
      <c r="BJ9" s="19">
        <f t="shared" si="9"/>
        <v>0</v>
      </c>
      <c r="BK9" s="20"/>
      <c r="BL9" s="13">
        <f t="shared" si="10"/>
        <v>0</v>
      </c>
      <c r="BM9" s="21">
        <f t="shared" si="11"/>
        <v>0</v>
      </c>
      <c r="BN9" s="20"/>
      <c r="BO9" s="13">
        <f t="shared" si="12"/>
        <v>0</v>
      </c>
      <c r="BP9" s="19">
        <f t="shared" si="13"/>
        <v>0</v>
      </c>
      <c r="BQ9" s="20"/>
      <c r="BR9" s="13">
        <f t="shared" si="14"/>
        <v>0</v>
      </c>
      <c r="BS9" s="21">
        <f t="shared" si="15"/>
        <v>0</v>
      </c>
      <c r="BT9" s="20"/>
      <c r="BU9" s="13">
        <f t="shared" si="16"/>
        <v>0</v>
      </c>
      <c r="BV9" s="19">
        <f t="shared" si="17"/>
        <v>0</v>
      </c>
      <c r="BW9" s="20"/>
      <c r="BX9" s="13">
        <f t="shared" si="18"/>
        <v>0</v>
      </c>
      <c r="BY9" s="21">
        <f t="shared" si="19"/>
        <v>0</v>
      </c>
      <c r="BZ9" s="20"/>
      <c r="CA9" s="13">
        <f t="shared" si="20"/>
        <v>0</v>
      </c>
      <c r="CB9" s="19">
        <f t="shared" si="21"/>
        <v>0</v>
      </c>
      <c r="CC9" s="20"/>
      <c r="CD9" s="13">
        <f t="shared" si="22"/>
        <v>0</v>
      </c>
      <c r="CE9" s="21">
        <f t="shared" si="23"/>
        <v>0</v>
      </c>
      <c r="CF9" s="20"/>
      <c r="CG9" s="18">
        <f t="shared" si="24"/>
        <v>0</v>
      </c>
      <c r="CH9" s="21">
        <f t="shared" si="45"/>
        <v>0</v>
      </c>
      <c r="CI9" s="20"/>
      <c r="CJ9" s="18">
        <f t="shared" si="25"/>
        <v>0</v>
      </c>
      <c r="CK9" s="21">
        <f t="shared" si="26"/>
        <v>0</v>
      </c>
      <c r="CL9" s="20"/>
      <c r="CM9" s="18">
        <f t="shared" si="27"/>
        <v>0</v>
      </c>
      <c r="CN9" s="21">
        <f t="shared" si="28"/>
        <v>0</v>
      </c>
      <c r="CO9" s="20"/>
      <c r="CP9" s="18">
        <f t="shared" si="29"/>
        <v>0</v>
      </c>
      <c r="CQ9" s="21">
        <f t="shared" si="30"/>
        <v>0</v>
      </c>
      <c r="CR9" s="20"/>
      <c r="CS9" s="18">
        <f t="shared" si="31"/>
        <v>0</v>
      </c>
      <c r="CT9" s="19">
        <f t="shared" si="32"/>
        <v>0</v>
      </c>
      <c r="CU9" s="20"/>
      <c r="CV9" s="13">
        <f t="shared" si="33"/>
        <v>1</v>
      </c>
      <c r="CW9" s="21">
        <f t="shared" si="34"/>
        <v>35.94</v>
      </c>
      <c r="CX9" s="20"/>
      <c r="CY9" s="13">
        <f t="shared" si="35"/>
        <v>0</v>
      </c>
      <c r="CZ9" s="19">
        <f t="shared" si="36"/>
        <v>0</v>
      </c>
      <c r="DA9" s="20"/>
      <c r="DB9" s="13">
        <f t="shared" si="37"/>
        <v>0</v>
      </c>
      <c r="DC9" s="21">
        <f t="shared" si="38"/>
        <v>0</v>
      </c>
      <c r="DE9" s="97">
        <v>38</v>
      </c>
      <c r="DF9" s="32"/>
      <c r="DG9" s="61">
        <f t="shared" si="39"/>
        <v>0</v>
      </c>
      <c r="DH9" s="32"/>
      <c r="DI9" s="59">
        <f t="shared" si="40"/>
        <v>2</v>
      </c>
      <c r="DJ9" s="32"/>
      <c r="DK9" s="59">
        <f t="shared" si="41"/>
        <v>36</v>
      </c>
      <c r="DL9" s="32"/>
      <c r="DM9" s="96">
        <f t="shared" si="42"/>
        <v>1078.2</v>
      </c>
      <c r="DN9" s="32"/>
      <c r="DO9" s="62">
        <f t="shared" si="43"/>
        <v>18</v>
      </c>
      <c r="DP9" s="32"/>
      <c r="DQ9" s="96">
        <f t="shared" si="44"/>
        <v>1293.8399999999999</v>
      </c>
      <c r="DR9" s="32"/>
      <c r="DS9" s="61"/>
      <c r="DT9" s="32"/>
      <c r="DU9" s="63">
        <v>0</v>
      </c>
      <c r="DV9" s="32"/>
      <c r="DW9" s="64">
        <f t="shared" si="46"/>
        <v>0</v>
      </c>
      <c r="DX9" s="32"/>
      <c r="DY9" s="63">
        <f t="shared" si="47"/>
        <v>0</v>
      </c>
    </row>
    <row r="10" spans="1:129" ht="12" customHeight="1" x14ac:dyDescent="0.3">
      <c r="A10" s="37" t="s">
        <v>73</v>
      </c>
      <c r="B10" s="32"/>
      <c r="C10" s="51"/>
      <c r="D10" s="34"/>
      <c r="E10" s="38">
        <v>22.95</v>
      </c>
      <c r="F10" s="34"/>
      <c r="G10" s="33">
        <v>27.54</v>
      </c>
      <c r="I10" s="26"/>
      <c r="J10" s="27"/>
      <c r="K10" s="28"/>
      <c r="L10" s="12"/>
      <c r="M10" s="26"/>
      <c r="N10" s="12"/>
      <c r="O10" s="28"/>
      <c r="P10" s="12"/>
      <c r="Q10" s="26"/>
      <c r="R10" s="12"/>
      <c r="S10" s="28"/>
      <c r="T10" s="12"/>
      <c r="U10" s="26"/>
      <c r="V10" s="12"/>
      <c r="W10" s="28"/>
      <c r="X10" s="12"/>
      <c r="Y10" s="26"/>
      <c r="Z10" s="12"/>
      <c r="AA10" s="28"/>
      <c r="AB10" s="12"/>
      <c r="AC10" s="26"/>
      <c r="AD10" s="12"/>
      <c r="AE10" s="28"/>
      <c r="AF10" s="12"/>
      <c r="AG10" s="26"/>
      <c r="AH10" s="12"/>
      <c r="AI10" s="28"/>
      <c r="AJ10" s="12"/>
      <c r="AK10" s="26"/>
      <c r="AL10" s="12"/>
      <c r="AM10" s="28"/>
      <c r="AN10" s="12"/>
      <c r="AO10" s="26"/>
      <c r="AP10" s="12"/>
      <c r="AQ10" s="28"/>
      <c r="AR10" s="12"/>
      <c r="AS10" s="26"/>
      <c r="AT10" s="12"/>
      <c r="AU10" s="28"/>
      <c r="AW10" s="18">
        <f t="shared" si="0"/>
        <v>0</v>
      </c>
      <c r="AX10" s="19">
        <f t="shared" si="1"/>
        <v>0</v>
      </c>
      <c r="AY10" s="20"/>
      <c r="AZ10" s="13">
        <f t="shared" si="2"/>
        <v>0</v>
      </c>
      <c r="BA10" s="21">
        <f t="shared" si="3"/>
        <v>0</v>
      </c>
      <c r="BB10" s="20"/>
      <c r="BC10" s="13">
        <f t="shared" si="4"/>
        <v>0</v>
      </c>
      <c r="BD10" s="19">
        <f t="shared" si="5"/>
        <v>0</v>
      </c>
      <c r="BE10" s="20"/>
      <c r="BF10" s="13">
        <f t="shared" si="6"/>
        <v>0</v>
      </c>
      <c r="BG10" s="21">
        <f t="shared" si="7"/>
        <v>0</v>
      </c>
      <c r="BH10" s="20"/>
      <c r="BI10" s="13">
        <f t="shared" si="8"/>
        <v>0</v>
      </c>
      <c r="BJ10" s="19">
        <f t="shared" si="9"/>
        <v>0</v>
      </c>
      <c r="BK10" s="20"/>
      <c r="BL10" s="13">
        <f t="shared" si="10"/>
        <v>0</v>
      </c>
      <c r="BM10" s="21">
        <f t="shared" si="11"/>
        <v>0</v>
      </c>
      <c r="BN10" s="20"/>
      <c r="BO10" s="13">
        <f t="shared" si="12"/>
        <v>0</v>
      </c>
      <c r="BP10" s="19">
        <f t="shared" si="13"/>
        <v>0</v>
      </c>
      <c r="BQ10" s="20"/>
      <c r="BR10" s="13">
        <f t="shared" si="14"/>
        <v>0</v>
      </c>
      <c r="BS10" s="21">
        <f t="shared" si="15"/>
        <v>0</v>
      </c>
      <c r="BT10" s="20"/>
      <c r="BU10" s="13">
        <f t="shared" si="16"/>
        <v>0</v>
      </c>
      <c r="BV10" s="19">
        <f t="shared" si="17"/>
        <v>0</v>
      </c>
      <c r="BW10" s="20"/>
      <c r="BX10" s="13">
        <f t="shared" si="18"/>
        <v>0</v>
      </c>
      <c r="BY10" s="21">
        <f t="shared" si="19"/>
        <v>0</v>
      </c>
      <c r="BZ10" s="20"/>
      <c r="CA10" s="13">
        <f t="shared" si="20"/>
        <v>0</v>
      </c>
      <c r="CB10" s="19">
        <f t="shared" si="21"/>
        <v>0</v>
      </c>
      <c r="CC10" s="20"/>
      <c r="CD10" s="13">
        <f t="shared" si="22"/>
        <v>0</v>
      </c>
      <c r="CE10" s="21">
        <f t="shared" si="23"/>
        <v>0</v>
      </c>
      <c r="CF10" s="20"/>
      <c r="CG10" s="18">
        <f t="shared" si="24"/>
        <v>0</v>
      </c>
      <c r="CH10" s="21">
        <f t="shared" si="45"/>
        <v>0</v>
      </c>
      <c r="CI10" s="20"/>
      <c r="CJ10" s="18">
        <f t="shared" si="25"/>
        <v>0</v>
      </c>
      <c r="CK10" s="21">
        <f t="shared" si="26"/>
        <v>0</v>
      </c>
      <c r="CL10" s="20"/>
      <c r="CM10" s="18">
        <f t="shared" si="27"/>
        <v>0</v>
      </c>
      <c r="CN10" s="21">
        <f t="shared" si="28"/>
        <v>0</v>
      </c>
      <c r="CO10" s="20"/>
      <c r="CP10" s="18">
        <f t="shared" si="29"/>
        <v>0</v>
      </c>
      <c r="CQ10" s="21">
        <f t="shared" si="30"/>
        <v>0</v>
      </c>
      <c r="CR10" s="20"/>
      <c r="CS10" s="18">
        <f t="shared" si="31"/>
        <v>0</v>
      </c>
      <c r="CT10" s="19">
        <f t="shared" si="32"/>
        <v>0</v>
      </c>
      <c r="CU10" s="20"/>
      <c r="CV10" s="13">
        <f t="shared" si="33"/>
        <v>0</v>
      </c>
      <c r="CW10" s="21">
        <f t="shared" si="34"/>
        <v>0</v>
      </c>
      <c r="CX10" s="20"/>
      <c r="CY10" s="13">
        <f t="shared" si="35"/>
        <v>0</v>
      </c>
      <c r="CZ10" s="19">
        <f t="shared" si="36"/>
        <v>0</v>
      </c>
      <c r="DA10" s="20"/>
      <c r="DB10" s="13">
        <f t="shared" si="37"/>
        <v>0</v>
      </c>
      <c r="DC10" s="21">
        <f t="shared" si="38"/>
        <v>0</v>
      </c>
      <c r="DE10" s="97">
        <v>97</v>
      </c>
      <c r="DF10" s="32"/>
      <c r="DG10" s="61">
        <f t="shared" si="39"/>
        <v>0</v>
      </c>
      <c r="DH10" s="32"/>
      <c r="DI10" s="59">
        <f t="shared" si="40"/>
        <v>0</v>
      </c>
      <c r="DJ10" s="32"/>
      <c r="DK10" s="59">
        <f t="shared" si="41"/>
        <v>97</v>
      </c>
      <c r="DL10" s="32"/>
      <c r="DM10" s="96">
        <f t="shared" si="42"/>
        <v>2226.15</v>
      </c>
      <c r="DN10" s="32"/>
      <c r="DO10" s="62" t="e">
        <f t="shared" si="43"/>
        <v>#DIV/0!</v>
      </c>
      <c r="DP10" s="32"/>
      <c r="DQ10" s="96">
        <f t="shared" si="44"/>
        <v>2671.38</v>
      </c>
      <c r="DR10" s="32"/>
      <c r="DS10" s="61"/>
      <c r="DT10" s="32"/>
      <c r="DU10" s="63">
        <v>0</v>
      </c>
      <c r="DV10" s="32"/>
      <c r="DW10" s="64">
        <f t="shared" si="46"/>
        <v>0</v>
      </c>
      <c r="DX10" s="32"/>
      <c r="DY10" s="63">
        <f t="shared" si="47"/>
        <v>0</v>
      </c>
    </row>
    <row r="11" spans="1:129" ht="12" customHeight="1" x14ac:dyDescent="0.3">
      <c r="A11" s="36" t="s">
        <v>68</v>
      </c>
      <c r="B11" s="32"/>
      <c r="C11" s="51"/>
      <c r="D11" s="34"/>
      <c r="E11" s="38">
        <v>21.99</v>
      </c>
      <c r="F11" s="34"/>
      <c r="G11" s="33">
        <v>26.39</v>
      </c>
      <c r="I11" s="26"/>
      <c r="J11" s="27"/>
      <c r="K11" s="28">
        <v>2</v>
      </c>
      <c r="L11" s="12"/>
      <c r="M11" s="26">
        <v>2</v>
      </c>
      <c r="N11" s="12"/>
      <c r="O11" s="28">
        <v>1</v>
      </c>
      <c r="P11" s="12"/>
      <c r="Q11" s="26">
        <v>1</v>
      </c>
      <c r="R11" s="12"/>
      <c r="S11" s="28">
        <v>1</v>
      </c>
      <c r="T11" s="12"/>
      <c r="U11" s="26">
        <v>2</v>
      </c>
      <c r="V11" s="12"/>
      <c r="W11" s="28">
        <v>1</v>
      </c>
      <c r="X11" s="12"/>
      <c r="Y11" s="26"/>
      <c r="Z11" s="12"/>
      <c r="AA11" s="28">
        <v>1</v>
      </c>
      <c r="AB11" s="12"/>
      <c r="AC11" s="26"/>
      <c r="AD11" s="12"/>
      <c r="AE11" s="28"/>
      <c r="AF11" s="12"/>
      <c r="AG11" s="26"/>
      <c r="AH11" s="12"/>
      <c r="AI11" s="28"/>
      <c r="AJ11" s="12"/>
      <c r="AK11" s="26"/>
      <c r="AL11" s="12"/>
      <c r="AM11" s="28"/>
      <c r="AN11" s="12"/>
      <c r="AO11" s="26"/>
      <c r="AP11" s="12"/>
      <c r="AQ11" s="28"/>
      <c r="AR11" s="12"/>
      <c r="AS11" s="26"/>
      <c r="AT11" s="12"/>
      <c r="AU11" s="28"/>
      <c r="AW11" s="18">
        <f t="shared" si="0"/>
        <v>0</v>
      </c>
      <c r="AX11" s="19">
        <f t="shared" si="1"/>
        <v>0</v>
      </c>
      <c r="AY11" s="20"/>
      <c r="AZ11" s="13">
        <f t="shared" si="2"/>
        <v>2</v>
      </c>
      <c r="BA11" s="21">
        <f t="shared" si="3"/>
        <v>52.78</v>
      </c>
      <c r="BB11" s="20"/>
      <c r="BC11" s="13">
        <f t="shared" si="4"/>
        <v>2</v>
      </c>
      <c r="BD11" s="19">
        <f t="shared" si="5"/>
        <v>52.78</v>
      </c>
      <c r="BE11" s="20"/>
      <c r="BF11" s="13">
        <f t="shared" si="6"/>
        <v>1</v>
      </c>
      <c r="BG11" s="21">
        <f t="shared" si="7"/>
        <v>26.39</v>
      </c>
      <c r="BH11" s="20"/>
      <c r="BI11" s="13">
        <f t="shared" si="8"/>
        <v>1</v>
      </c>
      <c r="BJ11" s="19">
        <f t="shared" si="9"/>
        <v>26.39</v>
      </c>
      <c r="BK11" s="20"/>
      <c r="BL11" s="13">
        <f t="shared" si="10"/>
        <v>1</v>
      </c>
      <c r="BM11" s="21">
        <f t="shared" si="11"/>
        <v>26.39</v>
      </c>
      <c r="BN11" s="20"/>
      <c r="BO11" s="13">
        <f t="shared" si="12"/>
        <v>2</v>
      </c>
      <c r="BP11" s="19">
        <f t="shared" si="13"/>
        <v>52.78</v>
      </c>
      <c r="BQ11" s="20"/>
      <c r="BR11" s="13">
        <f t="shared" si="14"/>
        <v>1</v>
      </c>
      <c r="BS11" s="21">
        <f t="shared" si="15"/>
        <v>26.39</v>
      </c>
      <c r="BT11" s="20"/>
      <c r="BU11" s="13">
        <f t="shared" si="16"/>
        <v>0</v>
      </c>
      <c r="BV11" s="19">
        <f t="shared" si="17"/>
        <v>0</v>
      </c>
      <c r="BW11" s="20"/>
      <c r="BX11" s="13">
        <f t="shared" si="18"/>
        <v>1</v>
      </c>
      <c r="BY11" s="21">
        <f t="shared" si="19"/>
        <v>26.39</v>
      </c>
      <c r="BZ11" s="20"/>
      <c r="CA11" s="13">
        <f t="shared" si="20"/>
        <v>0</v>
      </c>
      <c r="CB11" s="19">
        <f t="shared" si="21"/>
        <v>0</v>
      </c>
      <c r="CC11" s="20"/>
      <c r="CD11" s="13">
        <f t="shared" si="22"/>
        <v>0</v>
      </c>
      <c r="CE11" s="21">
        <f t="shared" si="23"/>
        <v>0</v>
      </c>
      <c r="CF11" s="20"/>
      <c r="CG11" s="18">
        <f t="shared" si="24"/>
        <v>0</v>
      </c>
      <c r="CH11" s="21">
        <f t="shared" si="45"/>
        <v>0</v>
      </c>
      <c r="CI11" s="20"/>
      <c r="CJ11" s="18">
        <f t="shared" si="25"/>
        <v>0</v>
      </c>
      <c r="CK11" s="21">
        <f t="shared" si="26"/>
        <v>0</v>
      </c>
      <c r="CL11" s="20"/>
      <c r="CM11" s="18">
        <f t="shared" si="27"/>
        <v>0</v>
      </c>
      <c r="CN11" s="21">
        <f t="shared" si="28"/>
        <v>0</v>
      </c>
      <c r="CO11" s="20"/>
      <c r="CP11" s="18">
        <f t="shared" si="29"/>
        <v>0</v>
      </c>
      <c r="CQ11" s="21">
        <f t="shared" si="30"/>
        <v>0</v>
      </c>
      <c r="CR11" s="20"/>
      <c r="CS11" s="18">
        <f t="shared" si="31"/>
        <v>0</v>
      </c>
      <c r="CT11" s="19">
        <f t="shared" si="32"/>
        <v>0</v>
      </c>
      <c r="CU11" s="20"/>
      <c r="CV11" s="13">
        <f t="shared" si="33"/>
        <v>0</v>
      </c>
      <c r="CW11" s="21">
        <f t="shared" si="34"/>
        <v>0</v>
      </c>
      <c r="CX11" s="20"/>
      <c r="CY11" s="13">
        <f t="shared" si="35"/>
        <v>0</v>
      </c>
      <c r="CZ11" s="19">
        <f t="shared" si="36"/>
        <v>0</v>
      </c>
      <c r="DA11" s="20"/>
      <c r="DB11" s="13">
        <f t="shared" si="37"/>
        <v>0</v>
      </c>
      <c r="DC11" s="21">
        <f t="shared" si="38"/>
        <v>0</v>
      </c>
      <c r="DE11" s="97">
        <v>368</v>
      </c>
      <c r="DF11" s="32"/>
      <c r="DG11" s="61">
        <f t="shared" si="39"/>
        <v>0</v>
      </c>
      <c r="DH11" s="32"/>
      <c r="DI11" s="59">
        <f t="shared" si="40"/>
        <v>11</v>
      </c>
      <c r="DJ11" s="32"/>
      <c r="DK11" s="59">
        <f t="shared" si="41"/>
        <v>357</v>
      </c>
      <c r="DL11" s="32"/>
      <c r="DM11" s="96">
        <f t="shared" si="42"/>
        <v>7850.4299999999994</v>
      </c>
      <c r="DN11" s="32"/>
      <c r="DO11" s="62">
        <f t="shared" si="43"/>
        <v>32.454545454545453</v>
      </c>
      <c r="DP11" s="32"/>
      <c r="DQ11" s="96">
        <f t="shared" si="44"/>
        <v>9421.23</v>
      </c>
      <c r="DR11" s="32"/>
      <c r="DS11" s="61"/>
      <c r="DT11" s="32"/>
      <c r="DU11" s="63">
        <v>0</v>
      </c>
      <c r="DV11" s="32"/>
      <c r="DW11" s="64">
        <f t="shared" si="46"/>
        <v>0</v>
      </c>
      <c r="DX11" s="32"/>
      <c r="DY11" s="63">
        <f t="shared" si="47"/>
        <v>0</v>
      </c>
    </row>
    <row r="12" spans="1:129" ht="12" customHeight="1" x14ac:dyDescent="0.3">
      <c r="A12" s="37" t="s">
        <v>69</v>
      </c>
      <c r="B12" s="32"/>
      <c r="C12" s="51"/>
      <c r="D12" s="34"/>
      <c r="E12" s="38">
        <v>18.745000000000001</v>
      </c>
      <c r="F12" s="34"/>
      <c r="G12" s="33">
        <v>22.49</v>
      </c>
      <c r="I12" s="26">
        <v>1</v>
      </c>
      <c r="J12" s="27"/>
      <c r="K12" s="28">
        <v>2</v>
      </c>
      <c r="L12" s="12"/>
      <c r="M12" s="26">
        <v>2</v>
      </c>
      <c r="N12" s="12"/>
      <c r="O12" s="28">
        <v>2</v>
      </c>
      <c r="P12" s="12"/>
      <c r="Q12" s="26">
        <v>1</v>
      </c>
      <c r="R12" s="12"/>
      <c r="S12" s="28">
        <v>1</v>
      </c>
      <c r="T12" s="12"/>
      <c r="U12" s="26">
        <v>2</v>
      </c>
      <c r="V12" s="12"/>
      <c r="W12" s="28">
        <v>1</v>
      </c>
      <c r="X12" s="12"/>
      <c r="Y12" s="26"/>
      <c r="Z12" s="12"/>
      <c r="AA12" s="28">
        <v>1</v>
      </c>
      <c r="AB12" s="12"/>
      <c r="AC12" s="26">
        <v>1</v>
      </c>
      <c r="AD12" s="12"/>
      <c r="AE12" s="28"/>
      <c r="AF12" s="12"/>
      <c r="AG12" s="26"/>
      <c r="AH12" s="12"/>
      <c r="AI12" s="28"/>
      <c r="AJ12" s="12"/>
      <c r="AK12" s="26"/>
      <c r="AL12" s="12"/>
      <c r="AM12" s="28"/>
      <c r="AN12" s="12"/>
      <c r="AO12" s="26"/>
      <c r="AP12" s="12"/>
      <c r="AQ12" s="28"/>
      <c r="AR12" s="12"/>
      <c r="AS12" s="26"/>
      <c r="AT12" s="12"/>
      <c r="AU12" s="28"/>
      <c r="AW12" s="18">
        <f t="shared" si="0"/>
        <v>1</v>
      </c>
      <c r="AX12" s="19">
        <f t="shared" si="1"/>
        <v>22.49</v>
      </c>
      <c r="AY12" s="20"/>
      <c r="AZ12" s="13">
        <f t="shared" si="2"/>
        <v>2</v>
      </c>
      <c r="BA12" s="21">
        <f t="shared" si="3"/>
        <v>44.98</v>
      </c>
      <c r="BB12" s="20"/>
      <c r="BC12" s="13">
        <f t="shared" si="4"/>
        <v>2</v>
      </c>
      <c r="BD12" s="19">
        <f t="shared" si="5"/>
        <v>44.98</v>
      </c>
      <c r="BE12" s="20"/>
      <c r="BF12" s="13">
        <f t="shared" si="6"/>
        <v>2</v>
      </c>
      <c r="BG12" s="21">
        <f t="shared" si="7"/>
        <v>44.98</v>
      </c>
      <c r="BH12" s="20"/>
      <c r="BI12" s="13">
        <f t="shared" si="8"/>
        <v>1</v>
      </c>
      <c r="BJ12" s="19">
        <f t="shared" si="9"/>
        <v>22.49</v>
      </c>
      <c r="BK12" s="20"/>
      <c r="BL12" s="13">
        <f t="shared" si="10"/>
        <v>1</v>
      </c>
      <c r="BM12" s="21">
        <f t="shared" si="11"/>
        <v>22.49</v>
      </c>
      <c r="BN12" s="20"/>
      <c r="BO12" s="13">
        <f t="shared" si="12"/>
        <v>2</v>
      </c>
      <c r="BP12" s="19">
        <f t="shared" si="13"/>
        <v>44.98</v>
      </c>
      <c r="BQ12" s="20"/>
      <c r="BR12" s="13">
        <f t="shared" si="14"/>
        <v>1</v>
      </c>
      <c r="BS12" s="21">
        <f t="shared" si="15"/>
        <v>22.49</v>
      </c>
      <c r="BT12" s="20"/>
      <c r="BU12" s="13">
        <f t="shared" si="16"/>
        <v>0</v>
      </c>
      <c r="BV12" s="19">
        <f t="shared" si="17"/>
        <v>0</v>
      </c>
      <c r="BW12" s="20"/>
      <c r="BX12" s="13">
        <f t="shared" si="18"/>
        <v>1</v>
      </c>
      <c r="BY12" s="21">
        <f t="shared" si="19"/>
        <v>22.49</v>
      </c>
      <c r="BZ12" s="20"/>
      <c r="CA12" s="13">
        <f t="shared" si="20"/>
        <v>1</v>
      </c>
      <c r="CB12" s="19">
        <f t="shared" si="21"/>
        <v>22.49</v>
      </c>
      <c r="CC12" s="20"/>
      <c r="CD12" s="13">
        <f t="shared" si="22"/>
        <v>0</v>
      </c>
      <c r="CE12" s="21">
        <f t="shared" si="23"/>
        <v>0</v>
      </c>
      <c r="CF12" s="20"/>
      <c r="CG12" s="18">
        <f t="shared" si="24"/>
        <v>0</v>
      </c>
      <c r="CH12" s="21">
        <f t="shared" si="45"/>
        <v>0</v>
      </c>
      <c r="CI12" s="20"/>
      <c r="CJ12" s="18">
        <f t="shared" si="25"/>
        <v>0</v>
      </c>
      <c r="CK12" s="21">
        <f t="shared" si="26"/>
        <v>0</v>
      </c>
      <c r="CL12" s="20"/>
      <c r="CM12" s="18">
        <f t="shared" si="27"/>
        <v>0</v>
      </c>
      <c r="CN12" s="21">
        <f t="shared" si="28"/>
        <v>0</v>
      </c>
      <c r="CO12" s="20"/>
      <c r="CP12" s="18">
        <f t="shared" si="29"/>
        <v>0</v>
      </c>
      <c r="CQ12" s="21">
        <f t="shared" si="30"/>
        <v>0</v>
      </c>
      <c r="CR12" s="20"/>
      <c r="CS12" s="18">
        <f t="shared" si="31"/>
        <v>0</v>
      </c>
      <c r="CT12" s="19">
        <f t="shared" si="32"/>
        <v>0</v>
      </c>
      <c r="CU12" s="20"/>
      <c r="CV12" s="13">
        <f t="shared" si="33"/>
        <v>0</v>
      </c>
      <c r="CW12" s="21">
        <f t="shared" si="34"/>
        <v>0</v>
      </c>
      <c r="CX12" s="20"/>
      <c r="CY12" s="13">
        <f t="shared" si="35"/>
        <v>0</v>
      </c>
      <c r="CZ12" s="19">
        <f t="shared" si="36"/>
        <v>0</v>
      </c>
      <c r="DA12" s="20"/>
      <c r="DB12" s="13">
        <f t="shared" si="37"/>
        <v>0</v>
      </c>
      <c r="DC12" s="21">
        <f t="shared" si="38"/>
        <v>0</v>
      </c>
      <c r="DE12" s="97">
        <v>505</v>
      </c>
      <c r="DF12" s="32"/>
      <c r="DG12" s="61">
        <f t="shared" si="39"/>
        <v>0</v>
      </c>
      <c r="DH12" s="32"/>
      <c r="DI12" s="59">
        <f t="shared" si="40"/>
        <v>14</v>
      </c>
      <c r="DJ12" s="32"/>
      <c r="DK12" s="59">
        <f t="shared" si="41"/>
        <v>491</v>
      </c>
      <c r="DL12" s="32"/>
      <c r="DM12" s="96">
        <f t="shared" si="42"/>
        <v>9203.7950000000001</v>
      </c>
      <c r="DN12" s="32"/>
      <c r="DO12" s="62">
        <f t="shared" si="43"/>
        <v>35.071428571428569</v>
      </c>
      <c r="DP12" s="32"/>
      <c r="DQ12" s="96">
        <f t="shared" si="44"/>
        <v>11042.589999999998</v>
      </c>
      <c r="DR12" s="32"/>
      <c r="DS12" s="61"/>
      <c r="DT12" s="32"/>
      <c r="DU12" s="63">
        <v>0</v>
      </c>
      <c r="DV12" s="32"/>
      <c r="DW12" s="64">
        <f t="shared" si="46"/>
        <v>0</v>
      </c>
      <c r="DX12" s="32"/>
      <c r="DY12" s="63">
        <f t="shared" si="47"/>
        <v>0</v>
      </c>
    </row>
    <row r="13" spans="1:129" ht="12" customHeight="1" x14ac:dyDescent="0.3">
      <c r="A13" s="39" t="s">
        <v>78</v>
      </c>
      <c r="B13" s="29"/>
      <c r="C13" s="51">
        <v>308</v>
      </c>
      <c r="D13" s="30"/>
      <c r="E13" s="38">
        <v>27.5</v>
      </c>
      <c r="F13" s="30"/>
      <c r="G13" s="33">
        <v>33</v>
      </c>
      <c r="H13" s="5"/>
      <c r="I13" s="26">
        <v>3</v>
      </c>
      <c r="J13" s="27"/>
      <c r="K13" s="28">
        <v>3</v>
      </c>
      <c r="L13" s="12"/>
      <c r="M13" s="26">
        <v>2</v>
      </c>
      <c r="N13" s="12"/>
      <c r="O13" s="28">
        <v>2</v>
      </c>
      <c r="P13" s="12"/>
      <c r="Q13" s="26"/>
      <c r="R13" s="12"/>
      <c r="S13" s="28"/>
      <c r="T13" s="12"/>
      <c r="U13" s="26">
        <v>1</v>
      </c>
      <c r="V13" s="12"/>
      <c r="W13" s="28">
        <v>1</v>
      </c>
      <c r="X13" s="12"/>
      <c r="Y13" s="26">
        <v>1</v>
      </c>
      <c r="Z13" s="12"/>
      <c r="AA13" s="28">
        <v>1</v>
      </c>
      <c r="AB13" s="12"/>
      <c r="AC13" s="26">
        <v>1</v>
      </c>
      <c r="AD13" s="12"/>
      <c r="AE13" s="28"/>
      <c r="AF13" s="12"/>
      <c r="AG13" s="26"/>
      <c r="AH13" s="12"/>
      <c r="AI13" s="28"/>
      <c r="AJ13" s="12"/>
      <c r="AK13" s="26"/>
      <c r="AL13" s="12"/>
      <c r="AM13" s="28"/>
      <c r="AN13" s="12"/>
      <c r="AO13" s="26"/>
      <c r="AP13" s="12"/>
      <c r="AQ13" s="28"/>
      <c r="AR13" s="12"/>
      <c r="AS13" s="26"/>
      <c r="AT13" s="12"/>
      <c r="AU13" s="28"/>
      <c r="AW13" s="18">
        <f t="shared" si="0"/>
        <v>3</v>
      </c>
      <c r="AX13" s="19">
        <f t="shared" si="1"/>
        <v>99</v>
      </c>
      <c r="AY13" s="20"/>
      <c r="AZ13" s="13">
        <f t="shared" si="2"/>
        <v>3</v>
      </c>
      <c r="BA13" s="21">
        <f t="shared" si="3"/>
        <v>99</v>
      </c>
      <c r="BB13" s="20"/>
      <c r="BC13" s="13">
        <f t="shared" si="4"/>
        <v>2</v>
      </c>
      <c r="BD13" s="19">
        <f t="shared" si="5"/>
        <v>66</v>
      </c>
      <c r="BE13" s="20"/>
      <c r="BF13" s="13">
        <f t="shared" si="6"/>
        <v>2</v>
      </c>
      <c r="BG13" s="21">
        <f t="shared" si="7"/>
        <v>66</v>
      </c>
      <c r="BH13" s="20"/>
      <c r="BI13" s="13">
        <f t="shared" si="8"/>
        <v>0</v>
      </c>
      <c r="BJ13" s="19">
        <f t="shared" si="9"/>
        <v>0</v>
      </c>
      <c r="BK13" s="20"/>
      <c r="BL13" s="13">
        <f t="shared" si="10"/>
        <v>0</v>
      </c>
      <c r="BM13" s="21">
        <f t="shared" si="11"/>
        <v>0</v>
      </c>
      <c r="BN13" s="20"/>
      <c r="BO13" s="13">
        <f t="shared" si="12"/>
        <v>1</v>
      </c>
      <c r="BP13" s="19">
        <f t="shared" si="13"/>
        <v>33</v>
      </c>
      <c r="BQ13" s="20"/>
      <c r="BR13" s="13">
        <f t="shared" si="14"/>
        <v>1</v>
      </c>
      <c r="BS13" s="21">
        <f t="shared" si="15"/>
        <v>33</v>
      </c>
      <c r="BT13" s="20"/>
      <c r="BU13" s="13">
        <f t="shared" si="16"/>
        <v>1</v>
      </c>
      <c r="BV13" s="19">
        <f t="shared" si="17"/>
        <v>33</v>
      </c>
      <c r="BW13" s="20"/>
      <c r="BX13" s="13">
        <f t="shared" si="18"/>
        <v>1</v>
      </c>
      <c r="BY13" s="21">
        <f t="shared" si="19"/>
        <v>33</v>
      </c>
      <c r="BZ13" s="20"/>
      <c r="CA13" s="13">
        <f t="shared" si="20"/>
        <v>1</v>
      </c>
      <c r="CB13" s="19">
        <f t="shared" si="21"/>
        <v>33</v>
      </c>
      <c r="CC13" s="20"/>
      <c r="CD13" s="13">
        <f t="shared" si="22"/>
        <v>0</v>
      </c>
      <c r="CE13" s="21">
        <f t="shared" si="23"/>
        <v>0</v>
      </c>
      <c r="CF13" s="20"/>
      <c r="CG13" s="18">
        <f t="shared" si="24"/>
        <v>0</v>
      </c>
      <c r="CH13" s="21">
        <f t="shared" si="45"/>
        <v>0</v>
      </c>
      <c r="CI13" s="20"/>
      <c r="CJ13" s="18">
        <f t="shared" si="25"/>
        <v>0</v>
      </c>
      <c r="CK13" s="21">
        <f t="shared" si="26"/>
        <v>0</v>
      </c>
      <c r="CL13" s="20"/>
      <c r="CM13" s="18">
        <f t="shared" si="27"/>
        <v>0</v>
      </c>
      <c r="CN13" s="21">
        <f t="shared" si="28"/>
        <v>0</v>
      </c>
      <c r="CO13" s="20"/>
      <c r="CP13" s="18">
        <f t="shared" si="29"/>
        <v>0</v>
      </c>
      <c r="CQ13" s="21">
        <f t="shared" si="30"/>
        <v>0</v>
      </c>
      <c r="CR13" s="20"/>
      <c r="CS13" s="18">
        <f t="shared" si="31"/>
        <v>0</v>
      </c>
      <c r="CT13" s="19">
        <f t="shared" si="32"/>
        <v>0</v>
      </c>
      <c r="CU13" s="20"/>
      <c r="CV13" s="13">
        <f t="shared" si="33"/>
        <v>0</v>
      </c>
      <c r="CW13" s="21">
        <f t="shared" si="34"/>
        <v>0</v>
      </c>
      <c r="CX13" s="20"/>
      <c r="CY13" s="13">
        <f t="shared" si="35"/>
        <v>0</v>
      </c>
      <c r="CZ13" s="19">
        <f t="shared" si="36"/>
        <v>0</v>
      </c>
      <c r="DA13" s="20"/>
      <c r="DB13" s="13">
        <f t="shared" si="37"/>
        <v>0</v>
      </c>
      <c r="DC13" s="21">
        <f t="shared" si="38"/>
        <v>0</v>
      </c>
      <c r="DE13" s="97">
        <v>7</v>
      </c>
      <c r="DF13" s="32"/>
      <c r="DG13" s="61">
        <f t="shared" si="39"/>
        <v>308</v>
      </c>
      <c r="DH13" s="32"/>
      <c r="DI13" s="59">
        <f t="shared" si="40"/>
        <v>15</v>
      </c>
      <c r="DJ13" s="32"/>
      <c r="DK13" s="59">
        <f t="shared" si="41"/>
        <v>300</v>
      </c>
      <c r="DL13" s="32"/>
      <c r="DM13" s="96">
        <f t="shared" si="42"/>
        <v>8250</v>
      </c>
      <c r="DN13" s="32"/>
      <c r="DO13" s="62">
        <f t="shared" si="43"/>
        <v>20</v>
      </c>
      <c r="DP13" s="32"/>
      <c r="DQ13" s="96">
        <f t="shared" si="44"/>
        <v>9900</v>
      </c>
      <c r="DR13" s="32"/>
      <c r="DS13" s="61"/>
      <c r="DT13" s="32"/>
      <c r="DU13" s="63">
        <v>0</v>
      </c>
      <c r="DV13" s="32"/>
      <c r="DW13" s="64">
        <f t="shared" si="46"/>
        <v>0</v>
      </c>
      <c r="DX13" s="32"/>
      <c r="DY13" s="63">
        <f t="shared" si="47"/>
        <v>0</v>
      </c>
    </row>
    <row r="14" spans="1:129" ht="12" customHeight="1" x14ac:dyDescent="0.3">
      <c r="A14" s="40" t="s">
        <v>77</v>
      </c>
      <c r="B14" s="32"/>
      <c r="C14" s="51"/>
      <c r="D14" s="34"/>
      <c r="E14" s="38">
        <v>11.07</v>
      </c>
      <c r="F14" s="34"/>
      <c r="G14" s="33">
        <v>13.28</v>
      </c>
      <c r="I14" s="26"/>
      <c r="J14" s="27"/>
      <c r="K14" s="28"/>
      <c r="L14" s="12"/>
      <c r="M14" s="26">
        <v>1</v>
      </c>
      <c r="N14" s="12"/>
      <c r="O14" s="28"/>
      <c r="P14" s="12"/>
      <c r="Q14" s="26"/>
      <c r="R14" s="12"/>
      <c r="S14" s="28"/>
      <c r="T14" s="12"/>
      <c r="U14" s="26"/>
      <c r="V14" s="12"/>
      <c r="W14" s="28"/>
      <c r="X14" s="12"/>
      <c r="Y14" s="26">
        <v>1</v>
      </c>
      <c r="Z14" s="12"/>
      <c r="AA14" s="28">
        <v>1</v>
      </c>
      <c r="AB14" s="12"/>
      <c r="AC14" s="26"/>
      <c r="AD14" s="12"/>
      <c r="AE14" s="28"/>
      <c r="AF14" s="12"/>
      <c r="AG14" s="26"/>
      <c r="AH14" s="12"/>
      <c r="AI14" s="28"/>
      <c r="AJ14" s="12"/>
      <c r="AK14" s="26"/>
      <c r="AL14" s="12"/>
      <c r="AM14" s="28"/>
      <c r="AN14" s="12"/>
      <c r="AO14" s="26"/>
      <c r="AP14" s="12"/>
      <c r="AQ14" s="28"/>
      <c r="AR14" s="12"/>
      <c r="AS14" s="26"/>
      <c r="AT14" s="12"/>
      <c r="AU14" s="28"/>
      <c r="AW14" s="18">
        <f t="shared" si="0"/>
        <v>0</v>
      </c>
      <c r="AX14" s="19">
        <f t="shared" si="1"/>
        <v>0</v>
      </c>
      <c r="AY14" s="20"/>
      <c r="AZ14" s="13">
        <f t="shared" si="2"/>
        <v>0</v>
      </c>
      <c r="BA14" s="21">
        <f t="shared" si="3"/>
        <v>0</v>
      </c>
      <c r="BB14" s="20"/>
      <c r="BC14" s="13">
        <f t="shared" si="4"/>
        <v>1</v>
      </c>
      <c r="BD14" s="19">
        <f t="shared" si="5"/>
        <v>13.28</v>
      </c>
      <c r="BE14" s="20"/>
      <c r="BF14" s="13">
        <f t="shared" si="6"/>
        <v>0</v>
      </c>
      <c r="BG14" s="21">
        <f t="shared" si="7"/>
        <v>0</v>
      </c>
      <c r="BH14" s="20"/>
      <c r="BI14" s="13">
        <f t="shared" si="8"/>
        <v>0</v>
      </c>
      <c r="BJ14" s="19">
        <f t="shared" si="9"/>
        <v>0</v>
      </c>
      <c r="BK14" s="20"/>
      <c r="BL14" s="13">
        <f t="shared" si="10"/>
        <v>0</v>
      </c>
      <c r="BM14" s="21">
        <f t="shared" si="11"/>
        <v>0</v>
      </c>
      <c r="BN14" s="20"/>
      <c r="BO14" s="13">
        <f t="shared" si="12"/>
        <v>0</v>
      </c>
      <c r="BP14" s="19">
        <f t="shared" si="13"/>
        <v>0</v>
      </c>
      <c r="BQ14" s="20"/>
      <c r="BR14" s="13">
        <f t="shared" si="14"/>
        <v>0</v>
      </c>
      <c r="BS14" s="21">
        <f t="shared" si="15"/>
        <v>0</v>
      </c>
      <c r="BT14" s="20"/>
      <c r="BU14" s="13">
        <f t="shared" si="16"/>
        <v>1</v>
      </c>
      <c r="BV14" s="19">
        <f t="shared" si="17"/>
        <v>13.28</v>
      </c>
      <c r="BW14" s="20"/>
      <c r="BX14" s="13">
        <f t="shared" si="18"/>
        <v>1</v>
      </c>
      <c r="BY14" s="21">
        <f t="shared" si="19"/>
        <v>13.28</v>
      </c>
      <c r="BZ14" s="20"/>
      <c r="CA14" s="13">
        <f t="shared" si="20"/>
        <v>0</v>
      </c>
      <c r="CB14" s="19">
        <f t="shared" si="21"/>
        <v>0</v>
      </c>
      <c r="CC14" s="20"/>
      <c r="CD14" s="13">
        <f t="shared" si="22"/>
        <v>0</v>
      </c>
      <c r="CE14" s="21">
        <f t="shared" si="23"/>
        <v>0</v>
      </c>
      <c r="CF14" s="20"/>
      <c r="CG14" s="18">
        <f t="shared" si="24"/>
        <v>0</v>
      </c>
      <c r="CH14" s="21">
        <f t="shared" si="45"/>
        <v>0</v>
      </c>
      <c r="CI14" s="20"/>
      <c r="CJ14" s="18">
        <f t="shared" si="25"/>
        <v>0</v>
      </c>
      <c r="CK14" s="21">
        <f t="shared" si="26"/>
        <v>0</v>
      </c>
      <c r="CL14" s="20"/>
      <c r="CM14" s="18">
        <f t="shared" si="27"/>
        <v>0</v>
      </c>
      <c r="CN14" s="21">
        <f t="shared" si="28"/>
        <v>0</v>
      </c>
      <c r="CO14" s="20"/>
      <c r="CP14" s="18">
        <f t="shared" si="29"/>
        <v>0</v>
      </c>
      <c r="CQ14" s="21">
        <f t="shared" si="30"/>
        <v>0</v>
      </c>
      <c r="CR14" s="20"/>
      <c r="CS14" s="18">
        <f t="shared" si="31"/>
        <v>0</v>
      </c>
      <c r="CT14" s="19">
        <f t="shared" si="32"/>
        <v>0</v>
      </c>
      <c r="CU14" s="20"/>
      <c r="CV14" s="13">
        <f t="shared" si="33"/>
        <v>0</v>
      </c>
      <c r="CW14" s="21">
        <f t="shared" si="34"/>
        <v>0</v>
      </c>
      <c r="CX14" s="20"/>
      <c r="CY14" s="13">
        <f t="shared" si="35"/>
        <v>0</v>
      </c>
      <c r="CZ14" s="19">
        <f t="shared" si="36"/>
        <v>0</v>
      </c>
      <c r="DA14" s="20"/>
      <c r="DB14" s="13">
        <f t="shared" si="37"/>
        <v>0</v>
      </c>
      <c r="DC14" s="21">
        <f t="shared" si="38"/>
        <v>0</v>
      </c>
      <c r="DE14" s="97">
        <v>114</v>
      </c>
      <c r="DF14" s="32"/>
      <c r="DG14" s="61">
        <f t="shared" si="39"/>
        <v>0</v>
      </c>
      <c r="DH14" s="32"/>
      <c r="DI14" s="59">
        <f t="shared" si="40"/>
        <v>3</v>
      </c>
      <c r="DJ14" s="32"/>
      <c r="DK14" s="59">
        <f t="shared" si="41"/>
        <v>111</v>
      </c>
      <c r="DL14" s="32"/>
      <c r="DM14" s="96">
        <f t="shared" si="42"/>
        <v>1228.77</v>
      </c>
      <c r="DN14" s="32"/>
      <c r="DO14" s="62">
        <f t="shared" si="43"/>
        <v>37</v>
      </c>
      <c r="DP14" s="32"/>
      <c r="DQ14" s="96">
        <f t="shared" si="44"/>
        <v>1474.08</v>
      </c>
      <c r="DR14" s="32"/>
      <c r="DS14" s="61"/>
      <c r="DT14" s="32"/>
      <c r="DU14" s="63">
        <v>0</v>
      </c>
      <c r="DV14" s="32"/>
      <c r="DW14" s="64">
        <f t="shared" si="46"/>
        <v>0</v>
      </c>
      <c r="DX14" s="32"/>
      <c r="DY14" s="63">
        <f t="shared" si="47"/>
        <v>0</v>
      </c>
    </row>
    <row r="15" spans="1:129" ht="12" customHeight="1" x14ac:dyDescent="0.3">
      <c r="A15" s="41" t="s">
        <v>79</v>
      </c>
      <c r="B15" s="32"/>
      <c r="C15" s="51"/>
      <c r="D15" s="34"/>
      <c r="E15" s="38">
        <v>13.03</v>
      </c>
      <c r="F15" s="34"/>
      <c r="G15" s="33">
        <v>15.64</v>
      </c>
      <c r="I15" s="26"/>
      <c r="J15" s="27"/>
      <c r="K15" s="28"/>
      <c r="L15" s="12"/>
      <c r="M15" s="26"/>
      <c r="N15" s="12"/>
      <c r="O15" s="28"/>
      <c r="P15" s="12"/>
      <c r="Q15" s="26"/>
      <c r="R15" s="12"/>
      <c r="S15" s="28"/>
      <c r="T15" s="12"/>
      <c r="U15" s="26">
        <v>1</v>
      </c>
      <c r="V15" s="12"/>
      <c r="W15" s="28"/>
      <c r="X15" s="12"/>
      <c r="Y15" s="26"/>
      <c r="Z15" s="12"/>
      <c r="AA15" s="28"/>
      <c r="AB15" s="12"/>
      <c r="AC15" s="26"/>
      <c r="AD15" s="12"/>
      <c r="AE15" s="28"/>
      <c r="AF15" s="12"/>
      <c r="AG15" s="26"/>
      <c r="AH15" s="12"/>
      <c r="AI15" s="28"/>
      <c r="AJ15" s="12"/>
      <c r="AK15" s="26"/>
      <c r="AL15" s="12"/>
      <c r="AM15" s="28"/>
      <c r="AN15" s="12"/>
      <c r="AO15" s="26"/>
      <c r="AP15" s="12"/>
      <c r="AQ15" s="28"/>
      <c r="AR15" s="12"/>
      <c r="AS15" s="26"/>
      <c r="AT15" s="12"/>
      <c r="AU15" s="28"/>
      <c r="AW15" s="18">
        <f t="shared" si="0"/>
        <v>0</v>
      </c>
      <c r="AX15" s="19">
        <f t="shared" si="1"/>
        <v>0</v>
      </c>
      <c r="AY15" s="20"/>
      <c r="AZ15" s="13">
        <f t="shared" si="2"/>
        <v>0</v>
      </c>
      <c r="BA15" s="21">
        <f t="shared" si="3"/>
        <v>0</v>
      </c>
      <c r="BB15" s="20"/>
      <c r="BC15" s="13">
        <f t="shared" si="4"/>
        <v>0</v>
      </c>
      <c r="BD15" s="19">
        <f t="shared" si="5"/>
        <v>0</v>
      </c>
      <c r="BE15" s="20"/>
      <c r="BF15" s="13">
        <f t="shared" si="6"/>
        <v>0</v>
      </c>
      <c r="BG15" s="21">
        <f t="shared" si="7"/>
        <v>0</v>
      </c>
      <c r="BH15" s="20"/>
      <c r="BI15" s="13">
        <f t="shared" si="8"/>
        <v>0</v>
      </c>
      <c r="BJ15" s="19">
        <f t="shared" si="9"/>
        <v>0</v>
      </c>
      <c r="BK15" s="20"/>
      <c r="BL15" s="13">
        <f t="shared" si="10"/>
        <v>0</v>
      </c>
      <c r="BM15" s="21">
        <f t="shared" si="11"/>
        <v>0</v>
      </c>
      <c r="BN15" s="20"/>
      <c r="BO15" s="13">
        <f t="shared" si="12"/>
        <v>1</v>
      </c>
      <c r="BP15" s="19">
        <f t="shared" si="13"/>
        <v>15.64</v>
      </c>
      <c r="BQ15" s="20"/>
      <c r="BR15" s="13">
        <f t="shared" si="14"/>
        <v>0</v>
      </c>
      <c r="BS15" s="21">
        <f t="shared" si="15"/>
        <v>0</v>
      </c>
      <c r="BT15" s="20"/>
      <c r="BU15" s="13">
        <f t="shared" si="16"/>
        <v>0</v>
      </c>
      <c r="BV15" s="19">
        <f t="shared" si="17"/>
        <v>0</v>
      </c>
      <c r="BW15" s="20"/>
      <c r="BX15" s="13">
        <f t="shared" si="18"/>
        <v>0</v>
      </c>
      <c r="BY15" s="21">
        <f t="shared" si="19"/>
        <v>0</v>
      </c>
      <c r="BZ15" s="20"/>
      <c r="CA15" s="13">
        <f t="shared" si="20"/>
        <v>0</v>
      </c>
      <c r="CB15" s="19">
        <f t="shared" si="21"/>
        <v>0</v>
      </c>
      <c r="CC15" s="20"/>
      <c r="CD15" s="13">
        <f t="shared" si="22"/>
        <v>0</v>
      </c>
      <c r="CE15" s="21">
        <f t="shared" si="23"/>
        <v>0</v>
      </c>
      <c r="CF15" s="20"/>
      <c r="CG15" s="18">
        <f t="shared" si="24"/>
        <v>0</v>
      </c>
      <c r="CH15" s="21">
        <f t="shared" si="45"/>
        <v>0</v>
      </c>
      <c r="CI15" s="20"/>
      <c r="CJ15" s="18">
        <f t="shared" si="25"/>
        <v>0</v>
      </c>
      <c r="CK15" s="21">
        <f t="shared" si="26"/>
        <v>0</v>
      </c>
      <c r="CL15" s="20"/>
      <c r="CM15" s="18">
        <f t="shared" si="27"/>
        <v>0</v>
      </c>
      <c r="CN15" s="21">
        <f t="shared" si="28"/>
        <v>0</v>
      </c>
      <c r="CO15" s="20"/>
      <c r="CP15" s="18">
        <f t="shared" si="29"/>
        <v>0</v>
      </c>
      <c r="CQ15" s="21">
        <f t="shared" si="30"/>
        <v>0</v>
      </c>
      <c r="CR15" s="20"/>
      <c r="CS15" s="18">
        <f t="shared" si="31"/>
        <v>0</v>
      </c>
      <c r="CT15" s="19">
        <f t="shared" si="32"/>
        <v>0</v>
      </c>
      <c r="CU15" s="20"/>
      <c r="CV15" s="13">
        <f t="shared" si="33"/>
        <v>0</v>
      </c>
      <c r="CW15" s="21">
        <f t="shared" si="34"/>
        <v>0</v>
      </c>
      <c r="CX15" s="20"/>
      <c r="CY15" s="13">
        <f t="shared" si="35"/>
        <v>0</v>
      </c>
      <c r="CZ15" s="19">
        <f t="shared" si="36"/>
        <v>0</v>
      </c>
      <c r="DA15" s="20"/>
      <c r="DB15" s="13">
        <f t="shared" si="37"/>
        <v>0</v>
      </c>
      <c r="DC15" s="21">
        <f t="shared" si="38"/>
        <v>0</v>
      </c>
      <c r="DE15" s="97">
        <v>49</v>
      </c>
      <c r="DF15" s="32"/>
      <c r="DG15" s="61">
        <f t="shared" si="39"/>
        <v>0</v>
      </c>
      <c r="DH15" s="32"/>
      <c r="DI15" s="59">
        <f t="shared" si="40"/>
        <v>1</v>
      </c>
      <c r="DJ15" s="32"/>
      <c r="DK15" s="59">
        <f t="shared" si="41"/>
        <v>48</v>
      </c>
      <c r="DL15" s="32"/>
      <c r="DM15" s="96">
        <f t="shared" si="42"/>
        <v>625.43999999999994</v>
      </c>
      <c r="DN15" s="32"/>
      <c r="DO15" s="62">
        <f t="shared" si="43"/>
        <v>48</v>
      </c>
      <c r="DP15" s="32"/>
      <c r="DQ15" s="96">
        <f t="shared" si="44"/>
        <v>750.72</v>
      </c>
      <c r="DR15" s="32"/>
      <c r="DS15" s="61"/>
      <c r="DT15" s="32"/>
      <c r="DU15" s="63">
        <v>0</v>
      </c>
      <c r="DV15" s="32"/>
      <c r="DW15" s="64">
        <f t="shared" si="46"/>
        <v>0</v>
      </c>
      <c r="DX15" s="32"/>
      <c r="DY15" s="63">
        <f t="shared" si="47"/>
        <v>0</v>
      </c>
    </row>
    <row r="16" spans="1:129" ht="12.45" customHeight="1" x14ac:dyDescent="0.3">
      <c r="A16" s="37" t="s">
        <v>76</v>
      </c>
      <c r="B16" s="32"/>
      <c r="C16" s="51"/>
      <c r="D16" s="34"/>
      <c r="E16" s="38">
        <v>18.95</v>
      </c>
      <c r="F16" s="34"/>
      <c r="G16" s="33">
        <v>22.74</v>
      </c>
      <c r="I16" s="26">
        <v>1</v>
      </c>
      <c r="J16" s="27"/>
      <c r="K16" s="28">
        <v>1</v>
      </c>
      <c r="L16" s="12"/>
      <c r="M16" s="26">
        <v>1</v>
      </c>
      <c r="N16" s="12"/>
      <c r="O16" s="28"/>
      <c r="P16" s="12"/>
      <c r="Q16" s="26"/>
      <c r="R16" s="12"/>
      <c r="S16" s="28"/>
      <c r="T16" s="12"/>
      <c r="U16" s="26">
        <v>1</v>
      </c>
      <c r="V16" s="12"/>
      <c r="W16" s="28">
        <v>1</v>
      </c>
      <c r="X16" s="12"/>
      <c r="Y16" s="26">
        <v>1</v>
      </c>
      <c r="Z16" s="12"/>
      <c r="AA16" s="28"/>
      <c r="AB16" s="12"/>
      <c r="AC16" s="26"/>
      <c r="AD16" s="12"/>
      <c r="AE16" s="28"/>
      <c r="AF16" s="12"/>
      <c r="AG16" s="26"/>
      <c r="AH16" s="12"/>
      <c r="AI16" s="28"/>
      <c r="AJ16" s="12"/>
      <c r="AK16" s="26"/>
      <c r="AL16" s="12"/>
      <c r="AM16" s="28"/>
      <c r="AN16" s="12"/>
      <c r="AO16" s="26"/>
      <c r="AP16" s="12"/>
      <c r="AQ16" s="28"/>
      <c r="AR16" s="12"/>
      <c r="AS16" s="26"/>
      <c r="AT16" s="12"/>
      <c r="AU16" s="28"/>
      <c r="AW16" s="18">
        <f t="shared" si="0"/>
        <v>1</v>
      </c>
      <c r="AX16" s="19">
        <f t="shared" si="1"/>
        <v>22.74</v>
      </c>
      <c r="AY16" s="20"/>
      <c r="AZ16" s="13">
        <f t="shared" si="2"/>
        <v>1</v>
      </c>
      <c r="BA16" s="21">
        <f t="shared" si="3"/>
        <v>22.74</v>
      </c>
      <c r="BB16" s="20"/>
      <c r="BC16" s="13">
        <f t="shared" si="4"/>
        <v>1</v>
      </c>
      <c r="BD16" s="19">
        <f t="shared" si="5"/>
        <v>22.74</v>
      </c>
      <c r="BE16" s="20"/>
      <c r="BF16" s="13">
        <f t="shared" si="6"/>
        <v>0</v>
      </c>
      <c r="BG16" s="21">
        <f t="shared" si="7"/>
        <v>0</v>
      </c>
      <c r="BH16" s="20"/>
      <c r="BI16" s="13">
        <f t="shared" si="8"/>
        <v>0</v>
      </c>
      <c r="BJ16" s="19">
        <f t="shared" si="9"/>
        <v>0</v>
      </c>
      <c r="BK16" s="20"/>
      <c r="BL16" s="13">
        <f t="shared" si="10"/>
        <v>0</v>
      </c>
      <c r="BM16" s="21">
        <f t="shared" si="11"/>
        <v>0</v>
      </c>
      <c r="BN16" s="20"/>
      <c r="BO16" s="13">
        <f t="shared" si="12"/>
        <v>1</v>
      </c>
      <c r="BP16" s="19">
        <f t="shared" si="13"/>
        <v>22.74</v>
      </c>
      <c r="BQ16" s="20"/>
      <c r="BR16" s="13">
        <f t="shared" si="14"/>
        <v>1</v>
      </c>
      <c r="BS16" s="21">
        <f t="shared" si="15"/>
        <v>22.74</v>
      </c>
      <c r="BT16" s="20"/>
      <c r="BU16" s="13">
        <f t="shared" si="16"/>
        <v>1</v>
      </c>
      <c r="BV16" s="19">
        <f t="shared" si="17"/>
        <v>22.74</v>
      </c>
      <c r="BW16" s="20"/>
      <c r="BX16" s="13">
        <f t="shared" si="18"/>
        <v>0</v>
      </c>
      <c r="BY16" s="21">
        <f t="shared" si="19"/>
        <v>0</v>
      </c>
      <c r="BZ16" s="20"/>
      <c r="CA16" s="13">
        <f t="shared" si="20"/>
        <v>0</v>
      </c>
      <c r="CB16" s="19">
        <f t="shared" si="21"/>
        <v>0</v>
      </c>
      <c r="CC16" s="20"/>
      <c r="CD16" s="13">
        <f t="shared" si="22"/>
        <v>0</v>
      </c>
      <c r="CE16" s="21">
        <f t="shared" si="23"/>
        <v>0</v>
      </c>
      <c r="CF16" s="20"/>
      <c r="CG16" s="18">
        <f t="shared" si="24"/>
        <v>0</v>
      </c>
      <c r="CH16" s="21">
        <f t="shared" si="45"/>
        <v>0</v>
      </c>
      <c r="CI16" s="20"/>
      <c r="CJ16" s="18">
        <f t="shared" si="25"/>
        <v>0</v>
      </c>
      <c r="CK16" s="21">
        <f t="shared" si="26"/>
        <v>0</v>
      </c>
      <c r="CL16" s="20"/>
      <c r="CM16" s="18">
        <f t="shared" si="27"/>
        <v>0</v>
      </c>
      <c r="CN16" s="21">
        <f t="shared" si="28"/>
        <v>0</v>
      </c>
      <c r="CO16" s="20"/>
      <c r="CP16" s="18">
        <f t="shared" si="29"/>
        <v>0</v>
      </c>
      <c r="CQ16" s="21">
        <f t="shared" si="30"/>
        <v>0</v>
      </c>
      <c r="CR16" s="20"/>
      <c r="CS16" s="18">
        <f t="shared" si="31"/>
        <v>0</v>
      </c>
      <c r="CT16" s="19">
        <f t="shared" si="32"/>
        <v>0</v>
      </c>
      <c r="CU16" s="20"/>
      <c r="CV16" s="13">
        <f t="shared" si="33"/>
        <v>0</v>
      </c>
      <c r="CW16" s="21">
        <f t="shared" si="34"/>
        <v>0</v>
      </c>
      <c r="CX16" s="20"/>
      <c r="CY16" s="13">
        <f t="shared" si="35"/>
        <v>0</v>
      </c>
      <c r="CZ16" s="19">
        <f t="shared" si="36"/>
        <v>0</v>
      </c>
      <c r="DA16" s="20"/>
      <c r="DB16" s="13">
        <f t="shared" si="37"/>
        <v>0</v>
      </c>
      <c r="DC16" s="21">
        <f t="shared" si="38"/>
        <v>0</v>
      </c>
      <c r="DE16" s="97">
        <v>64</v>
      </c>
      <c r="DF16" s="32"/>
      <c r="DG16" s="61">
        <f t="shared" si="39"/>
        <v>0</v>
      </c>
      <c r="DH16" s="32"/>
      <c r="DI16" s="59">
        <f t="shared" si="40"/>
        <v>6</v>
      </c>
      <c r="DJ16" s="32"/>
      <c r="DK16" s="59">
        <f t="shared" si="41"/>
        <v>58</v>
      </c>
      <c r="DL16" s="32"/>
      <c r="DM16" s="96">
        <f t="shared" si="42"/>
        <v>1099.0999999999999</v>
      </c>
      <c r="DN16" s="32"/>
      <c r="DO16" s="62">
        <f t="shared" si="43"/>
        <v>9.6666666666666661</v>
      </c>
      <c r="DP16" s="32"/>
      <c r="DQ16" s="96">
        <f t="shared" si="44"/>
        <v>1318.9199999999998</v>
      </c>
      <c r="DR16" s="32"/>
      <c r="DS16" s="61"/>
      <c r="DT16" s="32"/>
      <c r="DU16" s="63">
        <v>0</v>
      </c>
      <c r="DV16" s="32"/>
      <c r="DW16" s="64">
        <f t="shared" si="46"/>
        <v>0</v>
      </c>
      <c r="DX16" s="32"/>
      <c r="DY16" s="63">
        <f t="shared" si="47"/>
        <v>0</v>
      </c>
    </row>
    <row r="17" spans="1:129" ht="12" customHeight="1" x14ac:dyDescent="0.3">
      <c r="A17" s="42" t="s">
        <v>25</v>
      </c>
      <c r="B17" s="32"/>
      <c r="C17" s="51"/>
      <c r="D17" s="34"/>
      <c r="E17" s="38">
        <v>22.95</v>
      </c>
      <c r="F17" s="34"/>
      <c r="G17" s="33">
        <v>27.54</v>
      </c>
      <c r="I17" s="26"/>
      <c r="J17" s="27"/>
      <c r="K17" s="28"/>
      <c r="L17" s="12"/>
      <c r="M17" s="26"/>
      <c r="N17" s="12"/>
      <c r="O17" s="28"/>
      <c r="P17" s="12"/>
      <c r="Q17" s="26"/>
      <c r="R17" s="12"/>
      <c r="S17" s="28"/>
      <c r="T17" s="12"/>
      <c r="U17" s="26"/>
      <c r="V17" s="12"/>
      <c r="W17" s="28"/>
      <c r="X17" s="12"/>
      <c r="Y17" s="26"/>
      <c r="Z17" s="12"/>
      <c r="AA17" s="28"/>
      <c r="AB17" s="12"/>
      <c r="AC17" s="26"/>
      <c r="AD17" s="12"/>
      <c r="AE17" s="28"/>
      <c r="AF17" s="12"/>
      <c r="AG17" s="26"/>
      <c r="AH17" s="12"/>
      <c r="AI17" s="28"/>
      <c r="AJ17" s="12"/>
      <c r="AK17" s="26"/>
      <c r="AL17" s="12"/>
      <c r="AM17" s="28"/>
      <c r="AN17" s="12"/>
      <c r="AO17" s="26"/>
      <c r="AP17" s="12"/>
      <c r="AQ17" s="28"/>
      <c r="AR17" s="12"/>
      <c r="AS17" s="26"/>
      <c r="AT17" s="12"/>
      <c r="AU17" s="28"/>
      <c r="AW17" s="18">
        <f t="shared" si="0"/>
        <v>0</v>
      </c>
      <c r="AX17" s="19">
        <f t="shared" si="1"/>
        <v>0</v>
      </c>
      <c r="AY17" s="20"/>
      <c r="AZ17" s="13">
        <f t="shared" si="2"/>
        <v>0</v>
      </c>
      <c r="BA17" s="21">
        <f t="shared" si="3"/>
        <v>0</v>
      </c>
      <c r="BB17" s="20"/>
      <c r="BC17" s="13">
        <f t="shared" si="4"/>
        <v>0</v>
      </c>
      <c r="BD17" s="19">
        <f t="shared" si="5"/>
        <v>0</v>
      </c>
      <c r="BE17" s="20"/>
      <c r="BF17" s="13">
        <f t="shared" si="6"/>
        <v>0</v>
      </c>
      <c r="BG17" s="21">
        <f t="shared" si="7"/>
        <v>0</v>
      </c>
      <c r="BH17" s="20"/>
      <c r="BI17" s="13">
        <f t="shared" si="8"/>
        <v>0</v>
      </c>
      <c r="BJ17" s="19">
        <f t="shared" si="9"/>
        <v>0</v>
      </c>
      <c r="BK17" s="20"/>
      <c r="BL17" s="13">
        <f t="shared" si="10"/>
        <v>0</v>
      </c>
      <c r="BM17" s="21">
        <f t="shared" si="11"/>
        <v>0</v>
      </c>
      <c r="BN17" s="20"/>
      <c r="BO17" s="13">
        <f t="shared" si="12"/>
        <v>0</v>
      </c>
      <c r="BP17" s="19">
        <f t="shared" si="13"/>
        <v>0</v>
      </c>
      <c r="BQ17" s="20"/>
      <c r="BR17" s="13">
        <f t="shared" si="14"/>
        <v>0</v>
      </c>
      <c r="BS17" s="21">
        <f t="shared" si="15"/>
        <v>0</v>
      </c>
      <c r="BT17" s="20"/>
      <c r="BU17" s="13">
        <f t="shared" si="16"/>
        <v>0</v>
      </c>
      <c r="BV17" s="19">
        <f t="shared" si="17"/>
        <v>0</v>
      </c>
      <c r="BW17" s="20"/>
      <c r="BX17" s="13">
        <f t="shared" si="18"/>
        <v>0</v>
      </c>
      <c r="BY17" s="21">
        <f t="shared" si="19"/>
        <v>0</v>
      </c>
      <c r="BZ17" s="20"/>
      <c r="CA17" s="13">
        <f t="shared" si="20"/>
        <v>0</v>
      </c>
      <c r="CB17" s="19">
        <f t="shared" si="21"/>
        <v>0</v>
      </c>
      <c r="CC17" s="20"/>
      <c r="CD17" s="13">
        <f t="shared" si="22"/>
        <v>0</v>
      </c>
      <c r="CE17" s="21">
        <f t="shared" si="23"/>
        <v>0</v>
      </c>
      <c r="CF17" s="20"/>
      <c r="CG17" s="18">
        <f t="shared" si="24"/>
        <v>0</v>
      </c>
      <c r="CH17" s="21">
        <f t="shared" si="45"/>
        <v>0</v>
      </c>
      <c r="CI17" s="20"/>
      <c r="CJ17" s="18">
        <f t="shared" si="25"/>
        <v>0</v>
      </c>
      <c r="CK17" s="21">
        <f t="shared" si="26"/>
        <v>0</v>
      </c>
      <c r="CL17" s="20"/>
      <c r="CM17" s="18">
        <f t="shared" si="27"/>
        <v>0</v>
      </c>
      <c r="CN17" s="21">
        <f t="shared" si="28"/>
        <v>0</v>
      </c>
      <c r="CO17" s="20"/>
      <c r="CP17" s="18">
        <f t="shared" si="29"/>
        <v>0</v>
      </c>
      <c r="CQ17" s="21">
        <f t="shared" si="30"/>
        <v>0</v>
      </c>
      <c r="CR17" s="20"/>
      <c r="CS17" s="18">
        <f t="shared" si="31"/>
        <v>0</v>
      </c>
      <c r="CT17" s="19">
        <f t="shared" si="32"/>
        <v>0</v>
      </c>
      <c r="CU17" s="20"/>
      <c r="CV17" s="13">
        <f t="shared" si="33"/>
        <v>0</v>
      </c>
      <c r="CW17" s="21">
        <f t="shared" si="34"/>
        <v>0</v>
      </c>
      <c r="CX17" s="20"/>
      <c r="CY17" s="13">
        <f t="shared" si="35"/>
        <v>0</v>
      </c>
      <c r="CZ17" s="19">
        <f t="shared" si="36"/>
        <v>0</v>
      </c>
      <c r="DA17" s="20"/>
      <c r="DB17" s="13">
        <f t="shared" si="37"/>
        <v>0</v>
      </c>
      <c r="DC17" s="21">
        <f t="shared" si="38"/>
        <v>0</v>
      </c>
      <c r="DE17" s="97">
        <v>82</v>
      </c>
      <c r="DF17" s="32"/>
      <c r="DG17" s="61">
        <f t="shared" si="39"/>
        <v>0</v>
      </c>
      <c r="DH17" s="32"/>
      <c r="DI17" s="59">
        <f t="shared" si="40"/>
        <v>0</v>
      </c>
      <c r="DJ17" s="32"/>
      <c r="DK17" s="59">
        <f t="shared" si="41"/>
        <v>82</v>
      </c>
      <c r="DL17" s="32"/>
      <c r="DM17" s="96">
        <f t="shared" si="42"/>
        <v>1881.8999999999999</v>
      </c>
      <c r="DN17" s="32"/>
      <c r="DO17" s="62" t="e">
        <f t="shared" si="43"/>
        <v>#DIV/0!</v>
      </c>
      <c r="DP17" s="32"/>
      <c r="DQ17" s="96">
        <f t="shared" si="44"/>
        <v>2258.2799999999997</v>
      </c>
      <c r="DR17" s="32"/>
      <c r="DS17" s="61"/>
      <c r="DT17" s="32"/>
      <c r="DU17" s="63">
        <v>0</v>
      </c>
      <c r="DV17" s="32"/>
      <c r="DW17" s="64">
        <f t="shared" si="46"/>
        <v>0</v>
      </c>
      <c r="DX17" s="32"/>
      <c r="DY17" s="63">
        <f t="shared" si="47"/>
        <v>0</v>
      </c>
    </row>
    <row r="18" spans="1:129" ht="12" customHeight="1" x14ac:dyDescent="0.3">
      <c r="A18" s="37" t="s">
        <v>26</v>
      </c>
      <c r="B18" s="32"/>
      <c r="C18" s="51"/>
      <c r="D18" s="34"/>
      <c r="E18" s="38">
        <v>33.950000000000003</v>
      </c>
      <c r="F18" s="34"/>
      <c r="G18" s="33">
        <v>40.74</v>
      </c>
      <c r="I18" s="26">
        <v>1</v>
      </c>
      <c r="J18" s="27"/>
      <c r="K18" s="28">
        <v>1</v>
      </c>
      <c r="L18" s="12"/>
      <c r="M18" s="26">
        <v>1</v>
      </c>
      <c r="N18" s="12"/>
      <c r="O18" s="28">
        <v>2</v>
      </c>
      <c r="P18" s="12"/>
      <c r="Q18" s="26">
        <v>1</v>
      </c>
      <c r="R18" s="12"/>
      <c r="S18" s="28">
        <v>1</v>
      </c>
      <c r="T18" s="12"/>
      <c r="U18" s="26">
        <v>1</v>
      </c>
      <c r="V18" s="12"/>
      <c r="W18" s="28">
        <v>1</v>
      </c>
      <c r="X18" s="12"/>
      <c r="Y18" s="26">
        <v>2</v>
      </c>
      <c r="Z18" s="12"/>
      <c r="AA18" s="28">
        <v>1</v>
      </c>
      <c r="AB18" s="12"/>
      <c r="AC18" s="26">
        <v>1</v>
      </c>
      <c r="AD18" s="12"/>
      <c r="AE18" s="28"/>
      <c r="AF18" s="12"/>
      <c r="AG18" s="26"/>
      <c r="AH18" s="12"/>
      <c r="AI18" s="28"/>
      <c r="AJ18" s="12"/>
      <c r="AK18" s="26"/>
      <c r="AL18" s="12"/>
      <c r="AM18" s="28"/>
      <c r="AN18" s="12"/>
      <c r="AO18" s="26"/>
      <c r="AP18" s="12"/>
      <c r="AQ18" s="28">
        <v>1</v>
      </c>
      <c r="AR18" s="12"/>
      <c r="AS18" s="26"/>
      <c r="AT18" s="12"/>
      <c r="AU18" s="28"/>
      <c r="AW18" s="18">
        <f t="shared" si="0"/>
        <v>1</v>
      </c>
      <c r="AX18" s="19">
        <f t="shared" si="1"/>
        <v>40.74</v>
      </c>
      <c r="AY18" s="20"/>
      <c r="AZ18" s="13">
        <f t="shared" si="2"/>
        <v>1</v>
      </c>
      <c r="BA18" s="21">
        <f t="shared" si="3"/>
        <v>40.74</v>
      </c>
      <c r="BB18" s="20"/>
      <c r="BC18" s="13">
        <f t="shared" si="4"/>
        <v>1</v>
      </c>
      <c r="BD18" s="19">
        <f t="shared" si="5"/>
        <v>40.74</v>
      </c>
      <c r="BE18" s="20"/>
      <c r="BF18" s="13">
        <f t="shared" si="6"/>
        <v>2</v>
      </c>
      <c r="BG18" s="21">
        <f t="shared" si="7"/>
        <v>81.48</v>
      </c>
      <c r="BH18" s="20"/>
      <c r="BI18" s="13">
        <f t="shared" si="8"/>
        <v>1</v>
      </c>
      <c r="BJ18" s="19">
        <f t="shared" si="9"/>
        <v>40.74</v>
      </c>
      <c r="BK18" s="20"/>
      <c r="BL18" s="13">
        <f t="shared" si="10"/>
        <v>1</v>
      </c>
      <c r="BM18" s="21">
        <f t="shared" si="11"/>
        <v>40.74</v>
      </c>
      <c r="BN18" s="20"/>
      <c r="BO18" s="13">
        <f t="shared" si="12"/>
        <v>1</v>
      </c>
      <c r="BP18" s="19">
        <f t="shared" si="13"/>
        <v>40.74</v>
      </c>
      <c r="BQ18" s="20"/>
      <c r="BR18" s="13">
        <f t="shared" si="14"/>
        <v>1</v>
      </c>
      <c r="BS18" s="21">
        <f t="shared" si="15"/>
        <v>40.74</v>
      </c>
      <c r="BT18" s="20"/>
      <c r="BU18" s="13">
        <f t="shared" si="16"/>
        <v>2</v>
      </c>
      <c r="BV18" s="19">
        <f t="shared" si="17"/>
        <v>81.48</v>
      </c>
      <c r="BW18" s="20"/>
      <c r="BX18" s="13">
        <f t="shared" si="18"/>
        <v>1</v>
      </c>
      <c r="BY18" s="21">
        <f t="shared" si="19"/>
        <v>40.74</v>
      </c>
      <c r="BZ18" s="20"/>
      <c r="CA18" s="13">
        <f t="shared" si="20"/>
        <v>1</v>
      </c>
      <c r="CB18" s="19">
        <f t="shared" si="21"/>
        <v>40.74</v>
      </c>
      <c r="CC18" s="20"/>
      <c r="CD18" s="13">
        <f t="shared" si="22"/>
        <v>0</v>
      </c>
      <c r="CE18" s="21">
        <f t="shared" si="23"/>
        <v>0</v>
      </c>
      <c r="CF18" s="20"/>
      <c r="CG18" s="18">
        <f t="shared" si="24"/>
        <v>0</v>
      </c>
      <c r="CH18" s="21">
        <f t="shared" si="45"/>
        <v>0</v>
      </c>
      <c r="CI18" s="20"/>
      <c r="CJ18" s="18">
        <f t="shared" si="25"/>
        <v>0</v>
      </c>
      <c r="CK18" s="21">
        <f t="shared" si="26"/>
        <v>0</v>
      </c>
      <c r="CL18" s="20"/>
      <c r="CM18" s="18">
        <f t="shared" si="27"/>
        <v>0</v>
      </c>
      <c r="CN18" s="21">
        <f t="shared" si="28"/>
        <v>0</v>
      </c>
      <c r="CO18" s="20"/>
      <c r="CP18" s="18">
        <f t="shared" si="29"/>
        <v>0</v>
      </c>
      <c r="CQ18" s="21">
        <f t="shared" si="30"/>
        <v>0</v>
      </c>
      <c r="CR18" s="20"/>
      <c r="CS18" s="18">
        <f t="shared" si="31"/>
        <v>0</v>
      </c>
      <c r="CT18" s="19">
        <f t="shared" si="32"/>
        <v>0</v>
      </c>
      <c r="CU18" s="20"/>
      <c r="CV18" s="13">
        <f t="shared" si="33"/>
        <v>1</v>
      </c>
      <c r="CW18" s="21">
        <f t="shared" si="34"/>
        <v>40.74</v>
      </c>
      <c r="CX18" s="20"/>
      <c r="CY18" s="13">
        <f t="shared" si="35"/>
        <v>0</v>
      </c>
      <c r="CZ18" s="19">
        <f t="shared" si="36"/>
        <v>0</v>
      </c>
      <c r="DA18" s="20"/>
      <c r="DB18" s="13">
        <f t="shared" si="37"/>
        <v>0</v>
      </c>
      <c r="DC18" s="21">
        <f t="shared" si="38"/>
        <v>0</v>
      </c>
      <c r="DE18" s="97">
        <v>368</v>
      </c>
      <c r="DF18" s="32"/>
      <c r="DG18" s="61">
        <f t="shared" si="39"/>
        <v>0</v>
      </c>
      <c r="DH18" s="32"/>
      <c r="DI18" s="59">
        <f t="shared" si="40"/>
        <v>14</v>
      </c>
      <c r="DJ18" s="32"/>
      <c r="DK18" s="59">
        <f t="shared" si="41"/>
        <v>354</v>
      </c>
      <c r="DL18" s="32"/>
      <c r="DM18" s="96">
        <f t="shared" si="42"/>
        <v>12018.300000000001</v>
      </c>
      <c r="DN18" s="32"/>
      <c r="DO18" s="62">
        <f t="shared" si="43"/>
        <v>25.285714285714285</v>
      </c>
      <c r="DP18" s="32"/>
      <c r="DQ18" s="96">
        <f t="shared" si="44"/>
        <v>14421.960000000001</v>
      </c>
      <c r="DR18" s="32"/>
      <c r="DS18" s="61"/>
      <c r="DT18" s="32"/>
      <c r="DU18" s="63">
        <v>0</v>
      </c>
      <c r="DV18" s="32"/>
      <c r="DW18" s="64">
        <f t="shared" si="46"/>
        <v>0</v>
      </c>
      <c r="DX18" s="32"/>
      <c r="DY18" s="63">
        <f t="shared" si="47"/>
        <v>0</v>
      </c>
    </row>
    <row r="19" spans="1:129" ht="12" customHeight="1" x14ac:dyDescent="0.3">
      <c r="A19" s="36" t="s">
        <v>27</v>
      </c>
      <c r="B19" s="32"/>
      <c r="C19" s="51"/>
      <c r="D19" s="34"/>
      <c r="E19" s="38">
        <v>15.85</v>
      </c>
      <c r="F19" s="34"/>
      <c r="G19" s="33">
        <v>19.02</v>
      </c>
      <c r="I19" s="26"/>
      <c r="J19" s="27"/>
      <c r="K19" s="28"/>
      <c r="L19" s="12"/>
      <c r="M19" s="26"/>
      <c r="N19" s="12"/>
      <c r="O19" s="28"/>
      <c r="P19" s="12"/>
      <c r="Q19" s="26">
        <v>1</v>
      </c>
      <c r="R19" s="12"/>
      <c r="S19" s="28"/>
      <c r="T19" s="12"/>
      <c r="U19" s="26"/>
      <c r="V19" s="12"/>
      <c r="W19" s="28"/>
      <c r="X19" s="12"/>
      <c r="Y19" s="26"/>
      <c r="Z19" s="12"/>
      <c r="AA19" s="28"/>
      <c r="AB19" s="12"/>
      <c r="AC19" s="26">
        <v>1</v>
      </c>
      <c r="AD19" s="12"/>
      <c r="AE19" s="28"/>
      <c r="AF19" s="12"/>
      <c r="AG19" s="26"/>
      <c r="AH19" s="12"/>
      <c r="AI19" s="28"/>
      <c r="AJ19" s="12"/>
      <c r="AK19" s="26"/>
      <c r="AL19" s="12"/>
      <c r="AM19" s="28"/>
      <c r="AN19" s="12"/>
      <c r="AO19" s="26"/>
      <c r="AP19" s="12"/>
      <c r="AQ19" s="28"/>
      <c r="AR19" s="12"/>
      <c r="AS19" s="26"/>
      <c r="AT19" s="12"/>
      <c r="AU19" s="28"/>
      <c r="AW19" s="18">
        <f t="shared" si="0"/>
        <v>0</v>
      </c>
      <c r="AX19" s="19">
        <f t="shared" si="1"/>
        <v>0</v>
      </c>
      <c r="AY19" s="20"/>
      <c r="AZ19" s="13">
        <f t="shared" si="2"/>
        <v>0</v>
      </c>
      <c r="BA19" s="21">
        <f t="shared" si="3"/>
        <v>0</v>
      </c>
      <c r="BB19" s="20"/>
      <c r="BC19" s="13">
        <f t="shared" si="4"/>
        <v>0</v>
      </c>
      <c r="BD19" s="19">
        <f t="shared" si="5"/>
        <v>0</v>
      </c>
      <c r="BE19" s="20"/>
      <c r="BF19" s="13">
        <f t="shared" si="6"/>
        <v>0</v>
      </c>
      <c r="BG19" s="21">
        <f t="shared" si="7"/>
        <v>0</v>
      </c>
      <c r="BH19" s="20"/>
      <c r="BI19" s="13">
        <f t="shared" si="8"/>
        <v>1</v>
      </c>
      <c r="BJ19" s="19">
        <f t="shared" si="9"/>
        <v>19.02</v>
      </c>
      <c r="BK19" s="20"/>
      <c r="BL19" s="13">
        <f t="shared" si="10"/>
        <v>0</v>
      </c>
      <c r="BM19" s="21">
        <f t="shared" si="11"/>
        <v>0</v>
      </c>
      <c r="BN19" s="20"/>
      <c r="BO19" s="13">
        <f t="shared" si="12"/>
        <v>0</v>
      </c>
      <c r="BP19" s="19">
        <f t="shared" si="13"/>
        <v>0</v>
      </c>
      <c r="BQ19" s="20"/>
      <c r="BR19" s="13">
        <f t="shared" si="14"/>
        <v>0</v>
      </c>
      <c r="BS19" s="21">
        <f t="shared" si="15"/>
        <v>0</v>
      </c>
      <c r="BT19" s="20"/>
      <c r="BU19" s="13">
        <f t="shared" si="16"/>
        <v>0</v>
      </c>
      <c r="BV19" s="19">
        <f t="shared" si="17"/>
        <v>0</v>
      </c>
      <c r="BW19" s="20"/>
      <c r="BX19" s="13">
        <f t="shared" si="18"/>
        <v>0</v>
      </c>
      <c r="BY19" s="21">
        <f t="shared" si="19"/>
        <v>0</v>
      </c>
      <c r="BZ19" s="20"/>
      <c r="CA19" s="13">
        <f t="shared" si="20"/>
        <v>1</v>
      </c>
      <c r="CB19" s="19">
        <f t="shared" si="21"/>
        <v>19.02</v>
      </c>
      <c r="CC19" s="20"/>
      <c r="CD19" s="13">
        <f t="shared" si="22"/>
        <v>0</v>
      </c>
      <c r="CE19" s="21">
        <f t="shared" si="23"/>
        <v>0</v>
      </c>
      <c r="CF19" s="20"/>
      <c r="CG19" s="18">
        <f t="shared" si="24"/>
        <v>0</v>
      </c>
      <c r="CH19" s="21">
        <f t="shared" si="45"/>
        <v>0</v>
      </c>
      <c r="CI19" s="20"/>
      <c r="CJ19" s="18">
        <f t="shared" si="25"/>
        <v>0</v>
      </c>
      <c r="CK19" s="21">
        <f t="shared" si="26"/>
        <v>0</v>
      </c>
      <c r="CL19" s="20"/>
      <c r="CM19" s="18">
        <f t="shared" si="27"/>
        <v>0</v>
      </c>
      <c r="CN19" s="21">
        <f t="shared" si="28"/>
        <v>0</v>
      </c>
      <c r="CO19" s="20"/>
      <c r="CP19" s="18">
        <f t="shared" si="29"/>
        <v>0</v>
      </c>
      <c r="CQ19" s="21">
        <f t="shared" si="30"/>
        <v>0</v>
      </c>
      <c r="CR19" s="20"/>
      <c r="CS19" s="18">
        <f t="shared" si="31"/>
        <v>0</v>
      </c>
      <c r="CT19" s="19">
        <f t="shared" si="32"/>
        <v>0</v>
      </c>
      <c r="CU19" s="20"/>
      <c r="CV19" s="13">
        <f t="shared" si="33"/>
        <v>0</v>
      </c>
      <c r="CW19" s="21">
        <f t="shared" si="34"/>
        <v>0</v>
      </c>
      <c r="CX19" s="20"/>
      <c r="CY19" s="13">
        <f t="shared" si="35"/>
        <v>0</v>
      </c>
      <c r="CZ19" s="19">
        <f t="shared" si="36"/>
        <v>0</v>
      </c>
      <c r="DA19" s="20"/>
      <c r="DB19" s="13">
        <f t="shared" si="37"/>
        <v>0</v>
      </c>
      <c r="DC19" s="21">
        <f t="shared" si="38"/>
        <v>0</v>
      </c>
      <c r="DE19" s="97">
        <v>41</v>
      </c>
      <c r="DF19" s="32"/>
      <c r="DG19" s="61">
        <f t="shared" si="39"/>
        <v>0</v>
      </c>
      <c r="DH19" s="32"/>
      <c r="DI19" s="59">
        <f t="shared" si="40"/>
        <v>2</v>
      </c>
      <c r="DJ19" s="32"/>
      <c r="DK19" s="59">
        <f t="shared" si="41"/>
        <v>39</v>
      </c>
      <c r="DL19" s="32"/>
      <c r="DM19" s="96">
        <f t="shared" si="42"/>
        <v>618.15</v>
      </c>
      <c r="DN19" s="32"/>
      <c r="DO19" s="62">
        <f t="shared" si="43"/>
        <v>19.5</v>
      </c>
      <c r="DP19" s="32"/>
      <c r="DQ19" s="96">
        <f t="shared" si="44"/>
        <v>741.78</v>
      </c>
      <c r="DR19" s="32"/>
      <c r="DS19" s="61"/>
      <c r="DT19" s="32"/>
      <c r="DU19" s="63">
        <v>0</v>
      </c>
      <c r="DV19" s="32"/>
      <c r="DW19" s="64">
        <f t="shared" si="46"/>
        <v>0</v>
      </c>
      <c r="DX19" s="32"/>
      <c r="DY19" s="63">
        <f t="shared" si="47"/>
        <v>0</v>
      </c>
    </row>
    <row r="20" spans="1:129" ht="12" customHeight="1" x14ac:dyDescent="0.3">
      <c r="A20" s="37" t="s">
        <v>75</v>
      </c>
      <c r="B20" s="32"/>
      <c r="C20" s="51"/>
      <c r="D20" s="34"/>
      <c r="E20" s="38">
        <v>21.95</v>
      </c>
      <c r="F20" s="34"/>
      <c r="G20" s="33">
        <v>26.34</v>
      </c>
      <c r="I20" s="26">
        <v>1</v>
      </c>
      <c r="J20" s="27"/>
      <c r="K20" s="28">
        <v>1</v>
      </c>
      <c r="L20" s="12"/>
      <c r="M20" s="26">
        <v>1</v>
      </c>
      <c r="N20" s="12"/>
      <c r="O20" s="28"/>
      <c r="P20" s="12"/>
      <c r="Q20" s="26">
        <v>1</v>
      </c>
      <c r="R20" s="12"/>
      <c r="S20" s="28">
        <v>1</v>
      </c>
      <c r="T20" s="12"/>
      <c r="U20" s="26">
        <v>1</v>
      </c>
      <c r="V20" s="12"/>
      <c r="W20" s="28">
        <v>1</v>
      </c>
      <c r="X20" s="12"/>
      <c r="Y20" s="26">
        <v>1</v>
      </c>
      <c r="Z20" s="12"/>
      <c r="AA20" s="28">
        <v>1</v>
      </c>
      <c r="AB20" s="12"/>
      <c r="AC20" s="26"/>
      <c r="AD20" s="12"/>
      <c r="AE20" s="28"/>
      <c r="AF20" s="12"/>
      <c r="AG20" s="26"/>
      <c r="AH20" s="12"/>
      <c r="AI20" s="28"/>
      <c r="AJ20" s="12"/>
      <c r="AK20" s="26"/>
      <c r="AL20" s="12"/>
      <c r="AM20" s="28"/>
      <c r="AN20" s="12"/>
      <c r="AO20" s="26">
        <v>5</v>
      </c>
      <c r="AP20" s="12"/>
      <c r="AQ20" s="28"/>
      <c r="AR20" s="12"/>
      <c r="AS20" s="26"/>
      <c r="AT20" s="12"/>
      <c r="AU20" s="28">
        <v>6</v>
      </c>
      <c r="AW20" s="18">
        <f t="shared" si="0"/>
        <v>1</v>
      </c>
      <c r="AX20" s="19">
        <f t="shared" si="1"/>
        <v>26.34</v>
      </c>
      <c r="AY20" s="20"/>
      <c r="AZ20" s="13">
        <f t="shared" si="2"/>
        <v>1</v>
      </c>
      <c r="BA20" s="21">
        <f t="shared" si="3"/>
        <v>26.34</v>
      </c>
      <c r="BB20" s="20"/>
      <c r="BC20" s="13">
        <f t="shared" si="4"/>
        <v>1</v>
      </c>
      <c r="BD20" s="19">
        <f t="shared" si="5"/>
        <v>26.34</v>
      </c>
      <c r="BE20" s="20"/>
      <c r="BF20" s="13">
        <f t="shared" si="6"/>
        <v>0</v>
      </c>
      <c r="BG20" s="21">
        <f t="shared" si="7"/>
        <v>0</v>
      </c>
      <c r="BH20" s="20"/>
      <c r="BI20" s="13">
        <f t="shared" si="8"/>
        <v>1</v>
      </c>
      <c r="BJ20" s="19">
        <f t="shared" si="9"/>
        <v>26.34</v>
      </c>
      <c r="BK20" s="20"/>
      <c r="BL20" s="13">
        <f t="shared" si="10"/>
        <v>1</v>
      </c>
      <c r="BM20" s="21">
        <f t="shared" si="11"/>
        <v>26.34</v>
      </c>
      <c r="BN20" s="20"/>
      <c r="BO20" s="13">
        <f t="shared" si="12"/>
        <v>1</v>
      </c>
      <c r="BP20" s="19">
        <f t="shared" si="13"/>
        <v>26.34</v>
      </c>
      <c r="BQ20" s="20"/>
      <c r="BR20" s="13">
        <f t="shared" si="14"/>
        <v>1</v>
      </c>
      <c r="BS20" s="21">
        <f t="shared" si="15"/>
        <v>26.34</v>
      </c>
      <c r="BT20" s="20"/>
      <c r="BU20" s="13">
        <f t="shared" si="16"/>
        <v>1</v>
      </c>
      <c r="BV20" s="19">
        <f t="shared" si="17"/>
        <v>26.34</v>
      </c>
      <c r="BW20" s="20"/>
      <c r="BX20" s="13">
        <f t="shared" si="18"/>
        <v>1</v>
      </c>
      <c r="BY20" s="21">
        <f t="shared" si="19"/>
        <v>26.34</v>
      </c>
      <c r="BZ20" s="20"/>
      <c r="CA20" s="13">
        <f t="shared" si="20"/>
        <v>0</v>
      </c>
      <c r="CB20" s="19">
        <f t="shared" si="21"/>
        <v>0</v>
      </c>
      <c r="CC20" s="20"/>
      <c r="CD20" s="13">
        <f t="shared" si="22"/>
        <v>0</v>
      </c>
      <c r="CE20" s="21">
        <f t="shared" si="23"/>
        <v>0</v>
      </c>
      <c r="CF20" s="20"/>
      <c r="CG20" s="18">
        <f t="shared" si="24"/>
        <v>0</v>
      </c>
      <c r="CH20" s="21">
        <f t="shared" si="45"/>
        <v>0</v>
      </c>
      <c r="CI20" s="20"/>
      <c r="CJ20" s="18">
        <f t="shared" si="25"/>
        <v>0</v>
      </c>
      <c r="CK20" s="21">
        <f t="shared" si="26"/>
        <v>0</v>
      </c>
      <c r="CL20" s="20"/>
      <c r="CM20" s="18">
        <f t="shared" si="27"/>
        <v>0</v>
      </c>
      <c r="CN20" s="21">
        <f t="shared" si="28"/>
        <v>0</v>
      </c>
      <c r="CO20" s="20"/>
      <c r="CP20" s="18">
        <f t="shared" si="29"/>
        <v>0</v>
      </c>
      <c r="CQ20" s="21">
        <f t="shared" si="30"/>
        <v>0</v>
      </c>
      <c r="CR20" s="20"/>
      <c r="CS20" s="18">
        <f t="shared" si="31"/>
        <v>5</v>
      </c>
      <c r="CT20" s="19">
        <f t="shared" si="32"/>
        <v>131.69999999999999</v>
      </c>
      <c r="CU20" s="20"/>
      <c r="CV20" s="13">
        <f t="shared" si="33"/>
        <v>0</v>
      </c>
      <c r="CW20" s="21">
        <f t="shared" si="34"/>
        <v>0</v>
      </c>
      <c r="CX20" s="20"/>
      <c r="CY20" s="13">
        <f t="shared" si="35"/>
        <v>0</v>
      </c>
      <c r="CZ20" s="19">
        <f t="shared" si="36"/>
        <v>0</v>
      </c>
      <c r="DA20" s="20"/>
      <c r="DB20" s="13">
        <f t="shared" si="37"/>
        <v>6</v>
      </c>
      <c r="DC20" s="21">
        <f t="shared" si="38"/>
        <v>158.04</v>
      </c>
      <c r="DE20" s="97">
        <v>1770</v>
      </c>
      <c r="DF20" s="32"/>
      <c r="DG20" s="61">
        <f t="shared" si="39"/>
        <v>0</v>
      </c>
      <c r="DH20" s="32"/>
      <c r="DI20" s="59">
        <f t="shared" si="40"/>
        <v>20</v>
      </c>
      <c r="DJ20" s="32"/>
      <c r="DK20" s="59">
        <f t="shared" si="41"/>
        <v>1750</v>
      </c>
      <c r="DL20" s="32"/>
      <c r="DM20" s="96">
        <f t="shared" si="42"/>
        <v>38412.5</v>
      </c>
      <c r="DN20" s="32"/>
      <c r="DO20" s="62">
        <f t="shared" si="43"/>
        <v>87.5</v>
      </c>
      <c r="DP20" s="32"/>
      <c r="DQ20" s="96">
        <f t="shared" si="44"/>
        <v>46095</v>
      </c>
      <c r="DR20" s="32"/>
      <c r="DS20" s="61">
        <v>486</v>
      </c>
      <c r="DT20" s="32"/>
      <c r="DU20" s="63">
        <v>23.95</v>
      </c>
      <c r="DV20" s="32"/>
      <c r="DW20" s="64">
        <f t="shared" si="46"/>
        <v>28.74</v>
      </c>
      <c r="DX20" s="32"/>
      <c r="DY20" s="63">
        <f t="shared" si="47"/>
        <v>11639.699999999999</v>
      </c>
    </row>
    <row r="21" spans="1:129" ht="12" customHeight="1" x14ac:dyDescent="0.3">
      <c r="A21" s="36" t="s">
        <v>28</v>
      </c>
      <c r="B21" s="32"/>
      <c r="C21" s="51"/>
      <c r="D21" s="34"/>
      <c r="E21" s="38">
        <v>33.5</v>
      </c>
      <c r="F21" s="34"/>
      <c r="G21" s="33">
        <v>40.200000000000003</v>
      </c>
      <c r="I21" s="26"/>
      <c r="J21" s="27"/>
      <c r="K21" s="28"/>
      <c r="L21" s="12"/>
      <c r="M21" s="26"/>
      <c r="N21" s="12"/>
      <c r="O21" s="28"/>
      <c r="P21" s="12"/>
      <c r="Q21" s="26"/>
      <c r="R21" s="12"/>
      <c r="S21" s="28">
        <v>1</v>
      </c>
      <c r="T21" s="12"/>
      <c r="U21" s="26"/>
      <c r="V21" s="12"/>
      <c r="W21" s="28">
        <v>1</v>
      </c>
      <c r="X21" s="12"/>
      <c r="Y21" s="26"/>
      <c r="Z21" s="12"/>
      <c r="AA21" s="28"/>
      <c r="AB21" s="12"/>
      <c r="AC21" s="26"/>
      <c r="AD21" s="12"/>
      <c r="AE21" s="28"/>
      <c r="AF21" s="12"/>
      <c r="AG21" s="26"/>
      <c r="AH21" s="12"/>
      <c r="AI21" s="28"/>
      <c r="AJ21" s="12"/>
      <c r="AK21" s="26"/>
      <c r="AL21" s="12"/>
      <c r="AM21" s="28"/>
      <c r="AN21" s="12"/>
      <c r="AO21" s="26"/>
      <c r="AP21" s="12"/>
      <c r="AQ21" s="28">
        <v>1</v>
      </c>
      <c r="AR21" s="12"/>
      <c r="AS21" s="26"/>
      <c r="AT21" s="12"/>
      <c r="AU21" s="28"/>
      <c r="AW21" s="18">
        <f t="shared" si="0"/>
        <v>0</v>
      </c>
      <c r="AX21" s="19">
        <f t="shared" si="1"/>
        <v>0</v>
      </c>
      <c r="AY21" s="20"/>
      <c r="AZ21" s="13">
        <f t="shared" si="2"/>
        <v>0</v>
      </c>
      <c r="BA21" s="21">
        <f t="shared" si="3"/>
        <v>0</v>
      </c>
      <c r="BB21" s="20"/>
      <c r="BC21" s="13">
        <f t="shared" si="4"/>
        <v>0</v>
      </c>
      <c r="BD21" s="19">
        <f t="shared" si="5"/>
        <v>0</v>
      </c>
      <c r="BE21" s="20"/>
      <c r="BF21" s="13">
        <f t="shared" si="6"/>
        <v>0</v>
      </c>
      <c r="BG21" s="21">
        <f t="shared" si="7"/>
        <v>0</v>
      </c>
      <c r="BH21" s="20"/>
      <c r="BI21" s="13">
        <f t="shared" si="8"/>
        <v>0</v>
      </c>
      <c r="BJ21" s="19">
        <f t="shared" si="9"/>
        <v>0</v>
      </c>
      <c r="BK21" s="20"/>
      <c r="BL21" s="13">
        <f t="shared" si="10"/>
        <v>1</v>
      </c>
      <c r="BM21" s="21">
        <f t="shared" si="11"/>
        <v>40.200000000000003</v>
      </c>
      <c r="BN21" s="20"/>
      <c r="BO21" s="13">
        <f t="shared" si="12"/>
        <v>0</v>
      </c>
      <c r="BP21" s="19">
        <f t="shared" si="13"/>
        <v>0</v>
      </c>
      <c r="BQ21" s="20"/>
      <c r="BR21" s="13">
        <f t="shared" si="14"/>
        <v>1</v>
      </c>
      <c r="BS21" s="21">
        <f t="shared" si="15"/>
        <v>40.200000000000003</v>
      </c>
      <c r="BT21" s="20"/>
      <c r="BU21" s="13">
        <f t="shared" si="16"/>
        <v>0</v>
      </c>
      <c r="BV21" s="19">
        <f t="shared" si="17"/>
        <v>0</v>
      </c>
      <c r="BW21" s="20"/>
      <c r="BX21" s="13">
        <f t="shared" si="18"/>
        <v>0</v>
      </c>
      <c r="BY21" s="21">
        <f t="shared" si="19"/>
        <v>0</v>
      </c>
      <c r="BZ21" s="20"/>
      <c r="CA21" s="13">
        <f t="shared" si="20"/>
        <v>0</v>
      </c>
      <c r="CB21" s="19">
        <f t="shared" si="21"/>
        <v>0</v>
      </c>
      <c r="CC21" s="20"/>
      <c r="CD21" s="13">
        <f t="shared" si="22"/>
        <v>0</v>
      </c>
      <c r="CE21" s="21">
        <f t="shared" si="23"/>
        <v>0</v>
      </c>
      <c r="CF21" s="20"/>
      <c r="CG21" s="18">
        <f t="shared" si="24"/>
        <v>0</v>
      </c>
      <c r="CH21" s="21">
        <f t="shared" si="45"/>
        <v>0</v>
      </c>
      <c r="CI21" s="20"/>
      <c r="CJ21" s="18">
        <f t="shared" si="25"/>
        <v>0</v>
      </c>
      <c r="CK21" s="21">
        <f t="shared" si="26"/>
        <v>0</v>
      </c>
      <c r="CL21" s="20"/>
      <c r="CM21" s="18">
        <f t="shared" si="27"/>
        <v>0</v>
      </c>
      <c r="CN21" s="21">
        <f t="shared" si="28"/>
        <v>0</v>
      </c>
      <c r="CO21" s="20"/>
      <c r="CP21" s="18">
        <f t="shared" si="29"/>
        <v>0</v>
      </c>
      <c r="CQ21" s="21">
        <f t="shared" si="30"/>
        <v>0</v>
      </c>
      <c r="CR21" s="20"/>
      <c r="CS21" s="18">
        <f t="shared" si="31"/>
        <v>0</v>
      </c>
      <c r="CT21" s="19">
        <f t="shared" si="32"/>
        <v>0</v>
      </c>
      <c r="CU21" s="20"/>
      <c r="CV21" s="13">
        <f t="shared" si="33"/>
        <v>1</v>
      </c>
      <c r="CW21" s="21">
        <f t="shared" si="34"/>
        <v>40.200000000000003</v>
      </c>
      <c r="CX21" s="20"/>
      <c r="CY21" s="13">
        <f t="shared" si="35"/>
        <v>0</v>
      </c>
      <c r="CZ21" s="19">
        <f t="shared" si="36"/>
        <v>0</v>
      </c>
      <c r="DA21" s="20"/>
      <c r="DB21" s="13">
        <f t="shared" si="37"/>
        <v>0</v>
      </c>
      <c r="DC21" s="21">
        <f t="shared" si="38"/>
        <v>0</v>
      </c>
      <c r="DE21" s="97">
        <v>64</v>
      </c>
      <c r="DF21" s="32"/>
      <c r="DG21" s="61">
        <f t="shared" si="39"/>
        <v>0</v>
      </c>
      <c r="DH21" s="32"/>
      <c r="DI21" s="59">
        <f t="shared" si="40"/>
        <v>3</v>
      </c>
      <c r="DJ21" s="32"/>
      <c r="DK21" s="59">
        <f t="shared" si="41"/>
        <v>61</v>
      </c>
      <c r="DL21" s="32"/>
      <c r="DM21" s="96">
        <f t="shared" si="42"/>
        <v>2043.5</v>
      </c>
      <c r="DN21" s="32"/>
      <c r="DO21" s="62">
        <f t="shared" si="43"/>
        <v>20.333333333333332</v>
      </c>
      <c r="DP21" s="32"/>
      <c r="DQ21" s="96">
        <f t="shared" si="44"/>
        <v>2452.2000000000003</v>
      </c>
      <c r="DR21" s="32"/>
      <c r="DS21" s="61">
        <v>90</v>
      </c>
      <c r="DT21" s="32"/>
      <c r="DU21" s="63">
        <v>39.950000000000003</v>
      </c>
      <c r="DV21" s="32"/>
      <c r="DW21" s="64">
        <f t="shared" si="46"/>
        <v>47.940000000000005</v>
      </c>
      <c r="DX21" s="32"/>
      <c r="DY21" s="63">
        <f t="shared" si="47"/>
        <v>3595.5000000000005</v>
      </c>
    </row>
    <row r="22" spans="1:129" ht="12.45" customHeight="1" x14ac:dyDescent="0.3">
      <c r="A22" s="37" t="s">
        <v>29</v>
      </c>
      <c r="B22" s="32"/>
      <c r="C22" s="51"/>
      <c r="D22" s="34"/>
      <c r="E22" s="38">
        <v>35.71</v>
      </c>
      <c r="F22" s="34"/>
      <c r="G22" s="33">
        <v>42.85</v>
      </c>
      <c r="I22" s="26"/>
      <c r="J22" s="27"/>
      <c r="K22" s="28"/>
      <c r="L22" s="12"/>
      <c r="M22" s="26"/>
      <c r="N22" s="12"/>
      <c r="O22" s="28"/>
      <c r="P22" s="12"/>
      <c r="Q22" s="26"/>
      <c r="R22" s="12"/>
      <c r="S22" s="28"/>
      <c r="T22" s="12"/>
      <c r="U22" s="26"/>
      <c r="V22" s="12"/>
      <c r="W22" s="28"/>
      <c r="X22" s="12"/>
      <c r="Y22" s="26"/>
      <c r="Z22" s="12"/>
      <c r="AA22" s="28"/>
      <c r="AB22" s="12"/>
      <c r="AC22" s="26"/>
      <c r="AD22" s="12"/>
      <c r="AE22" s="28"/>
      <c r="AF22" s="12"/>
      <c r="AG22" s="26"/>
      <c r="AH22" s="12"/>
      <c r="AI22" s="28"/>
      <c r="AJ22" s="12"/>
      <c r="AK22" s="26"/>
      <c r="AL22" s="12"/>
      <c r="AM22" s="28"/>
      <c r="AN22" s="12"/>
      <c r="AO22" s="26"/>
      <c r="AP22" s="12"/>
      <c r="AQ22" s="28"/>
      <c r="AR22" s="12"/>
      <c r="AS22" s="26"/>
      <c r="AT22" s="12"/>
      <c r="AU22" s="28"/>
      <c r="AW22" s="18">
        <f t="shared" si="0"/>
        <v>0</v>
      </c>
      <c r="AX22" s="19">
        <f t="shared" si="1"/>
        <v>0</v>
      </c>
      <c r="AY22" s="20"/>
      <c r="AZ22" s="13">
        <f t="shared" si="2"/>
        <v>0</v>
      </c>
      <c r="BA22" s="21">
        <f t="shared" si="3"/>
        <v>0</v>
      </c>
      <c r="BB22" s="20"/>
      <c r="BC22" s="13">
        <f t="shared" si="4"/>
        <v>0</v>
      </c>
      <c r="BD22" s="19">
        <f t="shared" si="5"/>
        <v>0</v>
      </c>
      <c r="BE22" s="20"/>
      <c r="BF22" s="13">
        <f t="shared" si="6"/>
        <v>0</v>
      </c>
      <c r="BG22" s="21">
        <f t="shared" si="7"/>
        <v>0</v>
      </c>
      <c r="BH22" s="20"/>
      <c r="BI22" s="13">
        <f t="shared" si="8"/>
        <v>0</v>
      </c>
      <c r="BJ22" s="19">
        <f t="shared" si="9"/>
        <v>0</v>
      </c>
      <c r="BK22" s="20"/>
      <c r="BL22" s="13">
        <f t="shared" si="10"/>
        <v>0</v>
      </c>
      <c r="BM22" s="21">
        <f t="shared" si="11"/>
        <v>0</v>
      </c>
      <c r="BN22" s="20"/>
      <c r="BO22" s="13">
        <f t="shared" si="12"/>
        <v>0</v>
      </c>
      <c r="BP22" s="19">
        <f t="shared" si="13"/>
        <v>0</v>
      </c>
      <c r="BQ22" s="20"/>
      <c r="BR22" s="13">
        <f t="shared" si="14"/>
        <v>0</v>
      </c>
      <c r="BS22" s="21">
        <f t="shared" si="15"/>
        <v>0</v>
      </c>
      <c r="BT22" s="20"/>
      <c r="BU22" s="13">
        <f t="shared" si="16"/>
        <v>0</v>
      </c>
      <c r="BV22" s="19">
        <f t="shared" si="17"/>
        <v>0</v>
      </c>
      <c r="BW22" s="20"/>
      <c r="BX22" s="13">
        <f t="shared" si="18"/>
        <v>0</v>
      </c>
      <c r="BY22" s="21">
        <f t="shared" si="19"/>
        <v>0</v>
      </c>
      <c r="BZ22" s="20"/>
      <c r="CA22" s="13">
        <f t="shared" si="20"/>
        <v>0</v>
      </c>
      <c r="CB22" s="19">
        <f t="shared" si="21"/>
        <v>0</v>
      </c>
      <c r="CC22" s="20"/>
      <c r="CD22" s="13">
        <f t="shared" si="22"/>
        <v>0</v>
      </c>
      <c r="CE22" s="21">
        <f t="shared" si="23"/>
        <v>0</v>
      </c>
      <c r="CF22" s="20"/>
      <c r="CG22" s="18">
        <f t="shared" si="24"/>
        <v>0</v>
      </c>
      <c r="CH22" s="21">
        <f t="shared" si="45"/>
        <v>0</v>
      </c>
      <c r="CI22" s="20"/>
      <c r="CJ22" s="18">
        <f t="shared" si="25"/>
        <v>0</v>
      </c>
      <c r="CK22" s="21">
        <f t="shared" si="26"/>
        <v>0</v>
      </c>
      <c r="CL22" s="20"/>
      <c r="CM22" s="18">
        <f t="shared" si="27"/>
        <v>0</v>
      </c>
      <c r="CN22" s="21">
        <f t="shared" si="28"/>
        <v>0</v>
      </c>
      <c r="CO22" s="20"/>
      <c r="CP22" s="18">
        <f t="shared" si="29"/>
        <v>0</v>
      </c>
      <c r="CQ22" s="21">
        <f t="shared" si="30"/>
        <v>0</v>
      </c>
      <c r="CR22" s="20"/>
      <c r="CS22" s="18">
        <f t="shared" si="31"/>
        <v>0</v>
      </c>
      <c r="CT22" s="19">
        <f t="shared" si="32"/>
        <v>0</v>
      </c>
      <c r="CU22" s="20"/>
      <c r="CV22" s="13">
        <f t="shared" si="33"/>
        <v>0</v>
      </c>
      <c r="CW22" s="21">
        <f t="shared" si="34"/>
        <v>0</v>
      </c>
      <c r="CX22" s="20"/>
      <c r="CY22" s="13">
        <f t="shared" si="35"/>
        <v>0</v>
      </c>
      <c r="CZ22" s="19">
        <f t="shared" si="36"/>
        <v>0</v>
      </c>
      <c r="DA22" s="20"/>
      <c r="DB22" s="13">
        <f t="shared" si="37"/>
        <v>0</v>
      </c>
      <c r="DC22" s="21">
        <f t="shared" si="38"/>
        <v>0</v>
      </c>
      <c r="DE22" s="97">
        <v>13</v>
      </c>
      <c r="DF22" s="32"/>
      <c r="DG22" s="61">
        <f t="shared" si="39"/>
        <v>0</v>
      </c>
      <c r="DH22" s="32"/>
      <c r="DI22" s="59">
        <f t="shared" si="40"/>
        <v>0</v>
      </c>
      <c r="DJ22" s="32"/>
      <c r="DK22" s="59">
        <f t="shared" si="41"/>
        <v>13</v>
      </c>
      <c r="DL22" s="32"/>
      <c r="DM22" s="96">
        <f t="shared" si="42"/>
        <v>464.23</v>
      </c>
      <c r="DN22" s="32"/>
      <c r="DO22" s="62" t="e">
        <f t="shared" si="43"/>
        <v>#DIV/0!</v>
      </c>
      <c r="DP22" s="32"/>
      <c r="DQ22" s="96">
        <f t="shared" si="44"/>
        <v>557.05000000000007</v>
      </c>
      <c r="DR22" s="32"/>
      <c r="DS22" s="61"/>
      <c r="DT22" s="32"/>
      <c r="DU22" s="63">
        <v>0</v>
      </c>
      <c r="DV22" s="32"/>
      <c r="DW22" s="64">
        <f t="shared" si="46"/>
        <v>0</v>
      </c>
      <c r="DX22" s="32"/>
      <c r="DY22" s="63">
        <f t="shared" si="47"/>
        <v>0</v>
      </c>
    </row>
    <row r="23" spans="1:129" ht="12" customHeight="1" x14ac:dyDescent="0.3">
      <c r="A23" s="36" t="s">
        <v>51</v>
      </c>
      <c r="B23" s="32"/>
      <c r="C23" s="51"/>
      <c r="D23" s="34"/>
      <c r="E23" s="38">
        <v>77.2</v>
      </c>
      <c r="F23" s="34"/>
      <c r="G23" s="33">
        <v>96.5</v>
      </c>
      <c r="I23" s="26"/>
      <c r="J23" s="27"/>
      <c r="K23" s="28">
        <v>1</v>
      </c>
      <c r="L23" s="12"/>
      <c r="M23" s="26"/>
      <c r="N23" s="12"/>
      <c r="O23" s="28">
        <v>1</v>
      </c>
      <c r="P23" s="12"/>
      <c r="Q23" s="26">
        <v>1</v>
      </c>
      <c r="R23" s="12"/>
      <c r="S23" s="28"/>
      <c r="T23" s="12"/>
      <c r="U23" s="26"/>
      <c r="V23" s="12"/>
      <c r="W23" s="28"/>
      <c r="X23" s="12"/>
      <c r="Y23" s="26"/>
      <c r="Z23" s="12"/>
      <c r="AA23" s="28"/>
      <c r="AB23" s="12"/>
      <c r="AC23" s="26"/>
      <c r="AD23" s="12"/>
      <c r="AE23" s="28"/>
      <c r="AF23" s="12"/>
      <c r="AG23" s="26"/>
      <c r="AH23" s="12"/>
      <c r="AI23" s="28"/>
      <c r="AJ23" s="12"/>
      <c r="AK23" s="26"/>
      <c r="AL23" s="12"/>
      <c r="AM23" s="28"/>
      <c r="AN23" s="12"/>
      <c r="AO23" s="26"/>
      <c r="AP23" s="12"/>
      <c r="AQ23" s="28"/>
      <c r="AR23" s="12"/>
      <c r="AS23" s="26"/>
      <c r="AT23" s="12"/>
      <c r="AU23" s="28"/>
      <c r="AW23" s="18">
        <f t="shared" si="0"/>
        <v>0</v>
      </c>
      <c r="AX23" s="19">
        <f t="shared" si="1"/>
        <v>0</v>
      </c>
      <c r="AY23" s="20"/>
      <c r="AZ23" s="13">
        <f t="shared" si="2"/>
        <v>1</v>
      </c>
      <c r="BA23" s="21">
        <f t="shared" si="3"/>
        <v>96.5</v>
      </c>
      <c r="BB23" s="20"/>
      <c r="BC23" s="13">
        <f t="shared" si="4"/>
        <v>0</v>
      </c>
      <c r="BD23" s="19">
        <f t="shared" si="5"/>
        <v>0</v>
      </c>
      <c r="BE23" s="20"/>
      <c r="BF23" s="13">
        <f t="shared" si="6"/>
        <v>1</v>
      </c>
      <c r="BG23" s="21">
        <f t="shared" si="7"/>
        <v>96.5</v>
      </c>
      <c r="BH23" s="20"/>
      <c r="BI23" s="13">
        <f t="shared" si="8"/>
        <v>1</v>
      </c>
      <c r="BJ23" s="19">
        <f t="shared" si="9"/>
        <v>96.5</v>
      </c>
      <c r="BK23" s="20"/>
      <c r="BL23" s="13">
        <f t="shared" si="10"/>
        <v>0</v>
      </c>
      <c r="BM23" s="21">
        <f t="shared" si="11"/>
        <v>0</v>
      </c>
      <c r="BN23" s="20"/>
      <c r="BO23" s="13">
        <f t="shared" si="12"/>
        <v>0</v>
      </c>
      <c r="BP23" s="19">
        <f t="shared" si="13"/>
        <v>0</v>
      </c>
      <c r="BQ23" s="20"/>
      <c r="BR23" s="13">
        <f t="shared" si="14"/>
        <v>0</v>
      </c>
      <c r="BS23" s="21">
        <f t="shared" si="15"/>
        <v>0</v>
      </c>
      <c r="BT23" s="20"/>
      <c r="BU23" s="13">
        <f t="shared" si="16"/>
        <v>0</v>
      </c>
      <c r="BV23" s="19">
        <f t="shared" si="17"/>
        <v>0</v>
      </c>
      <c r="BW23" s="20"/>
      <c r="BX23" s="13">
        <f t="shared" si="18"/>
        <v>0</v>
      </c>
      <c r="BY23" s="21">
        <f t="shared" si="19"/>
        <v>0</v>
      </c>
      <c r="BZ23" s="20"/>
      <c r="CA23" s="13">
        <f t="shared" si="20"/>
        <v>0</v>
      </c>
      <c r="CB23" s="19">
        <f t="shared" si="21"/>
        <v>0</v>
      </c>
      <c r="CC23" s="20"/>
      <c r="CD23" s="13">
        <f t="shared" si="22"/>
        <v>0</v>
      </c>
      <c r="CE23" s="21">
        <f t="shared" si="23"/>
        <v>0</v>
      </c>
      <c r="CF23" s="20"/>
      <c r="CG23" s="18">
        <f t="shared" si="24"/>
        <v>0</v>
      </c>
      <c r="CH23" s="21">
        <f t="shared" si="45"/>
        <v>0</v>
      </c>
      <c r="CI23" s="20"/>
      <c r="CJ23" s="18">
        <f t="shared" si="25"/>
        <v>0</v>
      </c>
      <c r="CK23" s="21">
        <f t="shared" si="26"/>
        <v>0</v>
      </c>
      <c r="CL23" s="20"/>
      <c r="CM23" s="18">
        <f t="shared" si="27"/>
        <v>0</v>
      </c>
      <c r="CN23" s="21">
        <f t="shared" si="28"/>
        <v>0</v>
      </c>
      <c r="CO23" s="20"/>
      <c r="CP23" s="18">
        <f t="shared" si="29"/>
        <v>0</v>
      </c>
      <c r="CQ23" s="21">
        <f t="shared" si="30"/>
        <v>0</v>
      </c>
      <c r="CR23" s="20"/>
      <c r="CS23" s="18">
        <f t="shared" si="31"/>
        <v>0</v>
      </c>
      <c r="CT23" s="19">
        <f t="shared" si="32"/>
        <v>0</v>
      </c>
      <c r="CU23" s="20"/>
      <c r="CV23" s="13">
        <f t="shared" si="33"/>
        <v>0</v>
      </c>
      <c r="CW23" s="21">
        <f t="shared" si="34"/>
        <v>0</v>
      </c>
      <c r="CX23" s="20"/>
      <c r="CY23" s="13">
        <f t="shared" si="35"/>
        <v>0</v>
      </c>
      <c r="CZ23" s="19">
        <f t="shared" si="36"/>
        <v>0</v>
      </c>
      <c r="DA23" s="20"/>
      <c r="DB23" s="13">
        <f t="shared" si="37"/>
        <v>0</v>
      </c>
      <c r="DC23" s="21">
        <f t="shared" si="38"/>
        <v>0</v>
      </c>
      <c r="DE23" s="97">
        <v>154</v>
      </c>
      <c r="DF23" s="32"/>
      <c r="DG23" s="61">
        <f t="shared" si="39"/>
        <v>0</v>
      </c>
      <c r="DH23" s="32"/>
      <c r="DI23" s="59">
        <f t="shared" si="40"/>
        <v>3</v>
      </c>
      <c r="DJ23" s="32"/>
      <c r="DK23" s="59">
        <f t="shared" si="41"/>
        <v>151</v>
      </c>
      <c r="DL23" s="32"/>
      <c r="DM23" s="96">
        <f t="shared" si="42"/>
        <v>11657.2</v>
      </c>
      <c r="DN23" s="32"/>
      <c r="DO23" s="62">
        <f t="shared" si="43"/>
        <v>50.333333333333336</v>
      </c>
      <c r="DP23" s="32"/>
      <c r="DQ23" s="96">
        <f t="shared" si="44"/>
        <v>14571.5</v>
      </c>
      <c r="DR23" s="32"/>
      <c r="DS23" s="61"/>
      <c r="DT23" s="32"/>
      <c r="DU23" s="63">
        <v>0</v>
      </c>
      <c r="DV23" s="32"/>
      <c r="DW23" s="64">
        <f t="shared" si="46"/>
        <v>0</v>
      </c>
      <c r="DX23" s="32"/>
      <c r="DY23" s="63">
        <f t="shared" si="47"/>
        <v>0</v>
      </c>
    </row>
    <row r="24" spans="1:129" ht="12" customHeight="1" x14ac:dyDescent="0.3">
      <c r="A24" s="37" t="s">
        <v>74</v>
      </c>
      <c r="B24" s="32"/>
      <c r="C24" s="51"/>
      <c r="D24" s="34"/>
      <c r="E24" s="38">
        <v>13.8</v>
      </c>
      <c r="F24" s="34"/>
      <c r="G24" s="33">
        <v>16.559999999999999</v>
      </c>
      <c r="I24" s="26">
        <v>1</v>
      </c>
      <c r="J24" s="27"/>
      <c r="K24" s="28">
        <v>3</v>
      </c>
      <c r="L24" s="12"/>
      <c r="M24" s="26">
        <v>2</v>
      </c>
      <c r="N24" s="12"/>
      <c r="O24" s="28">
        <v>1</v>
      </c>
      <c r="P24" s="12"/>
      <c r="Q24" s="26">
        <v>1</v>
      </c>
      <c r="R24" s="12"/>
      <c r="S24" s="28">
        <v>1</v>
      </c>
      <c r="T24" s="12"/>
      <c r="U24" s="26">
        <v>1</v>
      </c>
      <c r="V24" s="12"/>
      <c r="W24" s="28">
        <v>1</v>
      </c>
      <c r="X24" s="12"/>
      <c r="Y24" s="26">
        <v>2</v>
      </c>
      <c r="Z24" s="12"/>
      <c r="AA24" s="28">
        <v>1</v>
      </c>
      <c r="AB24" s="12"/>
      <c r="AC24" s="26">
        <v>1</v>
      </c>
      <c r="AD24" s="12"/>
      <c r="AE24" s="28"/>
      <c r="AF24" s="12"/>
      <c r="AG24" s="26"/>
      <c r="AH24" s="12"/>
      <c r="AI24" s="28"/>
      <c r="AJ24" s="12"/>
      <c r="AK24" s="26"/>
      <c r="AL24" s="12"/>
      <c r="AM24" s="28"/>
      <c r="AN24" s="12"/>
      <c r="AO24" s="26"/>
      <c r="AP24" s="12"/>
      <c r="AQ24" s="28"/>
      <c r="AR24" s="12"/>
      <c r="AS24" s="26"/>
      <c r="AT24" s="12"/>
      <c r="AU24" s="28"/>
      <c r="AW24" s="18">
        <f t="shared" si="0"/>
        <v>1</v>
      </c>
      <c r="AX24" s="19">
        <f t="shared" si="1"/>
        <v>16.559999999999999</v>
      </c>
      <c r="AY24" s="20"/>
      <c r="AZ24" s="13">
        <f t="shared" si="2"/>
        <v>3</v>
      </c>
      <c r="BA24" s="21">
        <f t="shared" si="3"/>
        <v>49.679999999999993</v>
      </c>
      <c r="BB24" s="20"/>
      <c r="BC24" s="13">
        <f t="shared" si="4"/>
        <v>2</v>
      </c>
      <c r="BD24" s="19">
        <f t="shared" si="5"/>
        <v>33.119999999999997</v>
      </c>
      <c r="BE24" s="20"/>
      <c r="BF24" s="13">
        <f t="shared" si="6"/>
        <v>1</v>
      </c>
      <c r="BG24" s="21">
        <f t="shared" si="7"/>
        <v>16.559999999999999</v>
      </c>
      <c r="BH24" s="20"/>
      <c r="BI24" s="13">
        <f t="shared" si="8"/>
        <v>1</v>
      </c>
      <c r="BJ24" s="19">
        <f t="shared" si="9"/>
        <v>16.559999999999999</v>
      </c>
      <c r="BK24" s="20"/>
      <c r="BL24" s="13">
        <f t="shared" si="10"/>
        <v>1</v>
      </c>
      <c r="BM24" s="21">
        <f t="shared" si="11"/>
        <v>16.559999999999999</v>
      </c>
      <c r="BN24" s="20"/>
      <c r="BO24" s="13">
        <f t="shared" si="12"/>
        <v>1</v>
      </c>
      <c r="BP24" s="19">
        <f t="shared" si="13"/>
        <v>16.559999999999999</v>
      </c>
      <c r="BQ24" s="20"/>
      <c r="BR24" s="13">
        <f t="shared" si="14"/>
        <v>1</v>
      </c>
      <c r="BS24" s="21">
        <f t="shared" si="15"/>
        <v>16.559999999999999</v>
      </c>
      <c r="BT24" s="20"/>
      <c r="BU24" s="13">
        <f t="shared" si="16"/>
        <v>2</v>
      </c>
      <c r="BV24" s="19">
        <f t="shared" si="17"/>
        <v>33.119999999999997</v>
      </c>
      <c r="BW24" s="20"/>
      <c r="BX24" s="13">
        <f t="shared" si="18"/>
        <v>1</v>
      </c>
      <c r="BY24" s="21">
        <f t="shared" si="19"/>
        <v>16.559999999999999</v>
      </c>
      <c r="BZ24" s="20"/>
      <c r="CA24" s="13">
        <f t="shared" si="20"/>
        <v>1</v>
      </c>
      <c r="CB24" s="19">
        <f t="shared" si="21"/>
        <v>16.559999999999999</v>
      </c>
      <c r="CC24" s="20"/>
      <c r="CD24" s="13">
        <f t="shared" si="22"/>
        <v>0</v>
      </c>
      <c r="CE24" s="21">
        <f t="shared" si="23"/>
        <v>0</v>
      </c>
      <c r="CF24" s="20"/>
      <c r="CG24" s="18">
        <f t="shared" si="24"/>
        <v>0</v>
      </c>
      <c r="CH24" s="21">
        <f t="shared" si="45"/>
        <v>0</v>
      </c>
      <c r="CI24" s="20"/>
      <c r="CJ24" s="18">
        <f t="shared" si="25"/>
        <v>0</v>
      </c>
      <c r="CK24" s="21">
        <f t="shared" si="26"/>
        <v>0</v>
      </c>
      <c r="CL24" s="20"/>
      <c r="CM24" s="18">
        <f t="shared" si="27"/>
        <v>0</v>
      </c>
      <c r="CN24" s="21">
        <f t="shared" si="28"/>
        <v>0</v>
      </c>
      <c r="CO24" s="20"/>
      <c r="CP24" s="18">
        <f t="shared" si="29"/>
        <v>0</v>
      </c>
      <c r="CQ24" s="21">
        <f t="shared" si="30"/>
        <v>0</v>
      </c>
      <c r="CR24" s="20"/>
      <c r="CS24" s="18">
        <f t="shared" si="31"/>
        <v>0</v>
      </c>
      <c r="CT24" s="19">
        <f t="shared" si="32"/>
        <v>0</v>
      </c>
      <c r="CU24" s="20"/>
      <c r="CV24" s="13">
        <f t="shared" si="33"/>
        <v>0</v>
      </c>
      <c r="CW24" s="21">
        <f t="shared" si="34"/>
        <v>0</v>
      </c>
      <c r="CX24" s="20"/>
      <c r="CY24" s="13">
        <f t="shared" si="35"/>
        <v>0</v>
      </c>
      <c r="CZ24" s="19">
        <f t="shared" si="36"/>
        <v>0</v>
      </c>
      <c r="DA24" s="20"/>
      <c r="DB24" s="13">
        <f t="shared" si="37"/>
        <v>0</v>
      </c>
      <c r="DC24" s="21">
        <f t="shared" si="38"/>
        <v>0</v>
      </c>
      <c r="DE24" s="97">
        <v>599</v>
      </c>
      <c r="DF24" s="32"/>
      <c r="DG24" s="61">
        <f t="shared" si="39"/>
        <v>0</v>
      </c>
      <c r="DH24" s="32"/>
      <c r="DI24" s="59">
        <f t="shared" si="40"/>
        <v>15</v>
      </c>
      <c r="DJ24" s="32"/>
      <c r="DK24" s="59">
        <f t="shared" si="41"/>
        <v>584</v>
      </c>
      <c r="DL24" s="32"/>
      <c r="DM24" s="96">
        <f t="shared" si="42"/>
        <v>8059.2000000000007</v>
      </c>
      <c r="DN24" s="32"/>
      <c r="DO24" s="62">
        <f t="shared" si="43"/>
        <v>38.93333333333333</v>
      </c>
      <c r="DP24" s="32"/>
      <c r="DQ24" s="96">
        <f t="shared" si="44"/>
        <v>9671.0399999999991</v>
      </c>
      <c r="DR24" s="32"/>
      <c r="DS24" s="61"/>
      <c r="DT24" s="32"/>
      <c r="DU24" s="63">
        <v>0</v>
      </c>
      <c r="DV24" s="32"/>
      <c r="DW24" s="64">
        <f t="shared" si="46"/>
        <v>0</v>
      </c>
      <c r="DX24" s="32"/>
      <c r="DY24" s="63">
        <f t="shared" si="47"/>
        <v>0</v>
      </c>
    </row>
    <row r="25" spans="1:129" ht="12" customHeight="1" x14ac:dyDescent="0.3">
      <c r="A25" s="36" t="s">
        <v>70</v>
      </c>
      <c r="B25" s="32"/>
      <c r="C25" s="51">
        <v>60</v>
      </c>
      <c r="D25" s="34"/>
      <c r="E25" s="38">
        <v>27.99</v>
      </c>
      <c r="F25" s="34"/>
      <c r="G25" s="33">
        <v>33.590000000000003</v>
      </c>
      <c r="I25" s="26">
        <v>2</v>
      </c>
      <c r="J25" s="27"/>
      <c r="K25" s="28">
        <v>3</v>
      </c>
      <c r="L25" s="12"/>
      <c r="M25" s="26">
        <v>1</v>
      </c>
      <c r="N25" s="12"/>
      <c r="O25" s="28">
        <v>2</v>
      </c>
      <c r="P25" s="12"/>
      <c r="Q25" s="26">
        <v>1</v>
      </c>
      <c r="R25" s="12"/>
      <c r="S25" s="28">
        <v>2</v>
      </c>
      <c r="T25" s="12"/>
      <c r="U25" s="26">
        <v>1</v>
      </c>
      <c r="V25" s="12"/>
      <c r="W25" s="28">
        <v>1</v>
      </c>
      <c r="X25" s="12"/>
      <c r="Y25" s="26">
        <v>1</v>
      </c>
      <c r="Z25" s="12"/>
      <c r="AA25" s="28">
        <v>1</v>
      </c>
      <c r="AB25" s="12"/>
      <c r="AC25" s="26">
        <v>1</v>
      </c>
      <c r="AD25" s="12"/>
      <c r="AE25" s="28"/>
      <c r="AF25" s="12"/>
      <c r="AG25" s="26"/>
      <c r="AH25" s="12"/>
      <c r="AI25" s="28"/>
      <c r="AJ25" s="12"/>
      <c r="AK25" s="26"/>
      <c r="AL25" s="12"/>
      <c r="AM25" s="28"/>
      <c r="AN25" s="12"/>
      <c r="AO25" s="26"/>
      <c r="AP25" s="12"/>
      <c r="AQ25" s="28"/>
      <c r="AR25" s="12"/>
      <c r="AS25" s="26"/>
      <c r="AT25" s="12"/>
      <c r="AU25" s="28"/>
      <c r="AW25" s="18">
        <f t="shared" si="0"/>
        <v>2</v>
      </c>
      <c r="AX25" s="19">
        <f t="shared" si="1"/>
        <v>67.180000000000007</v>
      </c>
      <c r="AY25" s="20"/>
      <c r="AZ25" s="13">
        <f t="shared" si="2"/>
        <v>3</v>
      </c>
      <c r="BA25" s="21">
        <f t="shared" si="3"/>
        <v>100.77000000000001</v>
      </c>
      <c r="BB25" s="20"/>
      <c r="BC25" s="13">
        <f t="shared" si="4"/>
        <v>1</v>
      </c>
      <c r="BD25" s="19">
        <f t="shared" si="5"/>
        <v>33.590000000000003</v>
      </c>
      <c r="BE25" s="20"/>
      <c r="BF25" s="13">
        <f t="shared" si="6"/>
        <v>2</v>
      </c>
      <c r="BG25" s="21">
        <f t="shared" si="7"/>
        <v>67.180000000000007</v>
      </c>
      <c r="BH25" s="20"/>
      <c r="BI25" s="13">
        <f t="shared" si="8"/>
        <v>1</v>
      </c>
      <c r="BJ25" s="19">
        <f t="shared" si="9"/>
        <v>33.590000000000003</v>
      </c>
      <c r="BK25" s="20"/>
      <c r="BL25" s="13">
        <f t="shared" si="10"/>
        <v>2</v>
      </c>
      <c r="BM25" s="21">
        <f t="shared" si="11"/>
        <v>67.180000000000007</v>
      </c>
      <c r="BN25" s="20"/>
      <c r="BO25" s="13">
        <f t="shared" si="12"/>
        <v>1</v>
      </c>
      <c r="BP25" s="19">
        <f t="shared" si="13"/>
        <v>33.590000000000003</v>
      </c>
      <c r="BQ25" s="20"/>
      <c r="BR25" s="13">
        <f t="shared" si="14"/>
        <v>1</v>
      </c>
      <c r="BS25" s="21">
        <f t="shared" si="15"/>
        <v>33.590000000000003</v>
      </c>
      <c r="BT25" s="20"/>
      <c r="BU25" s="13">
        <f t="shared" si="16"/>
        <v>1</v>
      </c>
      <c r="BV25" s="19">
        <f t="shared" si="17"/>
        <v>33.590000000000003</v>
      </c>
      <c r="BW25" s="20"/>
      <c r="BX25" s="13">
        <f t="shared" si="18"/>
        <v>1</v>
      </c>
      <c r="BY25" s="21">
        <f t="shared" si="19"/>
        <v>33.590000000000003</v>
      </c>
      <c r="BZ25" s="20"/>
      <c r="CA25" s="13">
        <f t="shared" si="20"/>
        <v>1</v>
      </c>
      <c r="CB25" s="19">
        <f t="shared" si="21"/>
        <v>33.590000000000003</v>
      </c>
      <c r="CC25" s="20"/>
      <c r="CD25" s="13">
        <f t="shared" si="22"/>
        <v>0</v>
      </c>
      <c r="CE25" s="21">
        <f t="shared" si="23"/>
        <v>0</v>
      </c>
      <c r="CF25" s="20"/>
      <c r="CG25" s="18">
        <f t="shared" si="24"/>
        <v>0</v>
      </c>
      <c r="CH25" s="21">
        <f t="shared" si="45"/>
        <v>0</v>
      </c>
      <c r="CI25" s="20"/>
      <c r="CJ25" s="18">
        <f t="shared" si="25"/>
        <v>0</v>
      </c>
      <c r="CK25" s="21">
        <f t="shared" si="26"/>
        <v>0</v>
      </c>
      <c r="CL25" s="20"/>
      <c r="CM25" s="18">
        <f t="shared" si="27"/>
        <v>0</v>
      </c>
      <c r="CN25" s="21">
        <f t="shared" si="28"/>
        <v>0</v>
      </c>
      <c r="CO25" s="20"/>
      <c r="CP25" s="18">
        <f t="shared" si="29"/>
        <v>0</v>
      </c>
      <c r="CQ25" s="21">
        <f t="shared" si="30"/>
        <v>0</v>
      </c>
      <c r="CR25" s="20"/>
      <c r="CS25" s="18">
        <f t="shared" si="31"/>
        <v>0</v>
      </c>
      <c r="CT25" s="19">
        <f t="shared" si="32"/>
        <v>0</v>
      </c>
      <c r="CU25" s="20"/>
      <c r="CV25" s="13">
        <f t="shared" si="33"/>
        <v>0</v>
      </c>
      <c r="CW25" s="21">
        <f t="shared" si="34"/>
        <v>0</v>
      </c>
      <c r="CX25" s="20"/>
      <c r="CY25" s="13">
        <f t="shared" si="35"/>
        <v>0</v>
      </c>
      <c r="CZ25" s="19">
        <f t="shared" si="36"/>
        <v>0</v>
      </c>
      <c r="DA25" s="20"/>
      <c r="DB25" s="13">
        <f t="shared" si="37"/>
        <v>0</v>
      </c>
      <c r="DC25" s="21">
        <f t="shared" si="38"/>
        <v>0</v>
      </c>
      <c r="DE25" s="97">
        <v>57</v>
      </c>
      <c r="DF25" s="32"/>
      <c r="DG25" s="61">
        <f t="shared" si="39"/>
        <v>60</v>
      </c>
      <c r="DH25" s="32"/>
      <c r="DI25" s="59">
        <f t="shared" si="40"/>
        <v>16</v>
      </c>
      <c r="DJ25" s="32"/>
      <c r="DK25" s="59">
        <f t="shared" si="41"/>
        <v>101</v>
      </c>
      <c r="DL25" s="32"/>
      <c r="DM25" s="96">
        <f t="shared" si="42"/>
        <v>2826.99</v>
      </c>
      <c r="DN25" s="32"/>
      <c r="DO25" s="62">
        <f t="shared" si="43"/>
        <v>6.3125</v>
      </c>
      <c r="DP25" s="32"/>
      <c r="DQ25" s="96">
        <f t="shared" si="44"/>
        <v>3392.59</v>
      </c>
      <c r="DR25" s="32"/>
      <c r="DS25" s="61"/>
      <c r="DT25" s="32"/>
      <c r="DU25" s="63">
        <v>0</v>
      </c>
      <c r="DV25" s="32"/>
      <c r="DW25" s="64">
        <f t="shared" si="46"/>
        <v>0</v>
      </c>
      <c r="DX25" s="32"/>
      <c r="DY25" s="63">
        <f t="shared" si="47"/>
        <v>0</v>
      </c>
    </row>
    <row r="26" spans="1:129" ht="12" customHeight="1" x14ac:dyDescent="0.3">
      <c r="A26" s="37" t="s">
        <v>71</v>
      </c>
      <c r="B26" s="32"/>
      <c r="C26" s="51">
        <v>40</v>
      </c>
      <c r="D26" s="34"/>
      <c r="E26" s="38">
        <v>32.99</v>
      </c>
      <c r="F26" s="34"/>
      <c r="G26" s="33">
        <v>39.590000000000003</v>
      </c>
      <c r="I26" s="26"/>
      <c r="J26" s="27"/>
      <c r="K26" s="28">
        <v>1</v>
      </c>
      <c r="L26" s="12"/>
      <c r="M26" s="26">
        <v>1</v>
      </c>
      <c r="N26" s="12"/>
      <c r="O26" s="28">
        <v>1</v>
      </c>
      <c r="P26" s="12"/>
      <c r="Q26" s="26">
        <v>1</v>
      </c>
      <c r="R26" s="12"/>
      <c r="S26" s="28">
        <v>1</v>
      </c>
      <c r="T26" s="12"/>
      <c r="U26" s="26"/>
      <c r="V26" s="12"/>
      <c r="W26" s="28">
        <v>1</v>
      </c>
      <c r="X26" s="12"/>
      <c r="Y26" s="26"/>
      <c r="Z26" s="12"/>
      <c r="AA26" s="28">
        <v>1</v>
      </c>
      <c r="AB26" s="12"/>
      <c r="AC26" s="26"/>
      <c r="AD26" s="12"/>
      <c r="AE26" s="28"/>
      <c r="AF26" s="12"/>
      <c r="AG26" s="26"/>
      <c r="AH26" s="12"/>
      <c r="AI26" s="28"/>
      <c r="AJ26" s="12"/>
      <c r="AK26" s="26"/>
      <c r="AL26" s="12"/>
      <c r="AM26" s="28"/>
      <c r="AN26" s="12"/>
      <c r="AO26" s="26"/>
      <c r="AP26" s="12"/>
      <c r="AQ26" s="28"/>
      <c r="AR26" s="12"/>
      <c r="AS26" s="26"/>
      <c r="AT26" s="12"/>
      <c r="AU26" s="28"/>
      <c r="AW26" s="18">
        <f t="shared" si="0"/>
        <v>0</v>
      </c>
      <c r="AX26" s="19">
        <f t="shared" si="1"/>
        <v>0</v>
      </c>
      <c r="AY26" s="20"/>
      <c r="AZ26" s="13">
        <f t="shared" si="2"/>
        <v>1</v>
      </c>
      <c r="BA26" s="21">
        <f t="shared" si="3"/>
        <v>39.590000000000003</v>
      </c>
      <c r="BB26" s="20"/>
      <c r="BC26" s="13">
        <f t="shared" si="4"/>
        <v>1</v>
      </c>
      <c r="BD26" s="19">
        <f t="shared" si="5"/>
        <v>39.590000000000003</v>
      </c>
      <c r="BE26" s="20"/>
      <c r="BF26" s="13">
        <f t="shared" si="6"/>
        <v>1</v>
      </c>
      <c r="BG26" s="21">
        <f t="shared" si="7"/>
        <v>39.590000000000003</v>
      </c>
      <c r="BH26" s="20"/>
      <c r="BI26" s="13">
        <f t="shared" si="8"/>
        <v>1</v>
      </c>
      <c r="BJ26" s="19">
        <f t="shared" si="9"/>
        <v>39.590000000000003</v>
      </c>
      <c r="BK26" s="20"/>
      <c r="BL26" s="13">
        <f t="shared" si="10"/>
        <v>1</v>
      </c>
      <c r="BM26" s="21">
        <f t="shared" si="11"/>
        <v>39.590000000000003</v>
      </c>
      <c r="BN26" s="20"/>
      <c r="BO26" s="13">
        <f t="shared" si="12"/>
        <v>0</v>
      </c>
      <c r="BP26" s="19">
        <f t="shared" si="13"/>
        <v>0</v>
      </c>
      <c r="BQ26" s="20"/>
      <c r="BR26" s="13">
        <f t="shared" si="14"/>
        <v>1</v>
      </c>
      <c r="BS26" s="21">
        <f t="shared" si="15"/>
        <v>39.590000000000003</v>
      </c>
      <c r="BT26" s="20"/>
      <c r="BU26" s="13">
        <f t="shared" si="16"/>
        <v>0</v>
      </c>
      <c r="BV26" s="19">
        <f t="shared" si="17"/>
        <v>0</v>
      </c>
      <c r="BW26" s="20"/>
      <c r="BX26" s="13">
        <f t="shared" si="18"/>
        <v>1</v>
      </c>
      <c r="BY26" s="21">
        <f t="shared" si="19"/>
        <v>39.590000000000003</v>
      </c>
      <c r="BZ26" s="20"/>
      <c r="CA26" s="13">
        <f t="shared" si="20"/>
        <v>0</v>
      </c>
      <c r="CB26" s="19">
        <f t="shared" si="21"/>
        <v>0</v>
      </c>
      <c r="CC26" s="20"/>
      <c r="CD26" s="13">
        <f t="shared" si="22"/>
        <v>0</v>
      </c>
      <c r="CE26" s="21">
        <f t="shared" si="23"/>
        <v>0</v>
      </c>
      <c r="CF26" s="20"/>
      <c r="CG26" s="18">
        <f t="shared" si="24"/>
        <v>0</v>
      </c>
      <c r="CH26" s="21">
        <f t="shared" si="45"/>
        <v>0</v>
      </c>
      <c r="CI26" s="20"/>
      <c r="CJ26" s="18">
        <f t="shared" si="25"/>
        <v>0</v>
      </c>
      <c r="CK26" s="21">
        <f t="shared" si="26"/>
        <v>0</v>
      </c>
      <c r="CL26" s="20"/>
      <c r="CM26" s="18">
        <f t="shared" si="27"/>
        <v>0</v>
      </c>
      <c r="CN26" s="21">
        <f t="shared" si="28"/>
        <v>0</v>
      </c>
      <c r="CO26" s="20"/>
      <c r="CP26" s="18">
        <f t="shared" si="29"/>
        <v>0</v>
      </c>
      <c r="CQ26" s="21">
        <f t="shared" si="30"/>
        <v>0</v>
      </c>
      <c r="CR26" s="20"/>
      <c r="CS26" s="18">
        <f t="shared" si="31"/>
        <v>0</v>
      </c>
      <c r="CT26" s="19">
        <f t="shared" si="32"/>
        <v>0</v>
      </c>
      <c r="CU26" s="20"/>
      <c r="CV26" s="13">
        <f t="shared" si="33"/>
        <v>0</v>
      </c>
      <c r="CW26" s="21">
        <f t="shared" si="34"/>
        <v>0</v>
      </c>
      <c r="CX26" s="20"/>
      <c r="CY26" s="13">
        <f t="shared" si="35"/>
        <v>0</v>
      </c>
      <c r="CZ26" s="19">
        <f t="shared" si="36"/>
        <v>0</v>
      </c>
      <c r="DA26" s="20"/>
      <c r="DB26" s="13">
        <f t="shared" si="37"/>
        <v>0</v>
      </c>
      <c r="DC26" s="21">
        <f t="shared" si="38"/>
        <v>0</v>
      </c>
      <c r="DE26" s="97">
        <v>75</v>
      </c>
      <c r="DF26" s="32"/>
      <c r="DG26" s="61">
        <f t="shared" si="39"/>
        <v>40</v>
      </c>
      <c r="DH26" s="32"/>
      <c r="DI26" s="59">
        <f t="shared" si="40"/>
        <v>7</v>
      </c>
      <c r="DJ26" s="32"/>
      <c r="DK26" s="59">
        <f t="shared" si="41"/>
        <v>108</v>
      </c>
      <c r="DL26" s="32"/>
      <c r="DM26" s="96">
        <f t="shared" si="42"/>
        <v>3562.92</v>
      </c>
      <c r="DN26" s="32"/>
      <c r="DO26" s="62">
        <f t="shared" si="43"/>
        <v>15.428571428571429</v>
      </c>
      <c r="DP26" s="32"/>
      <c r="DQ26" s="96">
        <f t="shared" si="44"/>
        <v>4275.72</v>
      </c>
      <c r="DR26" s="32"/>
      <c r="DS26" s="61"/>
      <c r="DT26" s="32"/>
      <c r="DU26" s="63">
        <v>0</v>
      </c>
      <c r="DV26" s="32"/>
      <c r="DW26" s="64">
        <f t="shared" si="46"/>
        <v>0</v>
      </c>
      <c r="DX26" s="32"/>
      <c r="DY26" s="63">
        <f t="shared" si="47"/>
        <v>0</v>
      </c>
    </row>
    <row r="27" spans="1:129" ht="12" customHeight="1" x14ac:dyDescent="0.3">
      <c r="A27" s="36" t="s">
        <v>30</v>
      </c>
      <c r="B27" s="32"/>
      <c r="C27" s="51">
        <v>20</v>
      </c>
      <c r="D27" s="34"/>
      <c r="E27" s="38">
        <v>23.05</v>
      </c>
      <c r="F27" s="34"/>
      <c r="G27" s="33">
        <v>27.66</v>
      </c>
      <c r="I27" s="26"/>
      <c r="J27" s="27"/>
      <c r="K27" s="28">
        <v>1</v>
      </c>
      <c r="L27" s="12"/>
      <c r="M27" s="26"/>
      <c r="N27" s="12"/>
      <c r="O27" s="28"/>
      <c r="P27" s="12"/>
      <c r="Q27" s="26"/>
      <c r="R27" s="12"/>
      <c r="S27" s="28"/>
      <c r="T27" s="12"/>
      <c r="U27" s="26"/>
      <c r="V27" s="12"/>
      <c r="W27" s="28"/>
      <c r="X27" s="12"/>
      <c r="Y27" s="26">
        <v>1</v>
      </c>
      <c r="Z27" s="12"/>
      <c r="AA27" s="28"/>
      <c r="AB27" s="12"/>
      <c r="AC27" s="26"/>
      <c r="AD27" s="12"/>
      <c r="AE27" s="28"/>
      <c r="AF27" s="12"/>
      <c r="AG27" s="26"/>
      <c r="AH27" s="12"/>
      <c r="AI27" s="28"/>
      <c r="AJ27" s="12"/>
      <c r="AK27" s="26"/>
      <c r="AL27" s="12"/>
      <c r="AM27" s="28"/>
      <c r="AN27" s="12"/>
      <c r="AO27" s="26"/>
      <c r="AP27" s="12"/>
      <c r="AQ27" s="28"/>
      <c r="AR27" s="12"/>
      <c r="AS27" s="26"/>
      <c r="AT27" s="12"/>
      <c r="AU27" s="28"/>
      <c r="AW27" s="18">
        <f t="shared" si="0"/>
        <v>0</v>
      </c>
      <c r="AX27" s="19">
        <f t="shared" si="1"/>
        <v>0</v>
      </c>
      <c r="AY27" s="20"/>
      <c r="AZ27" s="13">
        <f t="shared" si="2"/>
        <v>1</v>
      </c>
      <c r="BA27" s="21">
        <f t="shared" si="3"/>
        <v>27.66</v>
      </c>
      <c r="BB27" s="20"/>
      <c r="BC27" s="13">
        <f t="shared" si="4"/>
        <v>0</v>
      </c>
      <c r="BD27" s="19">
        <f t="shared" si="5"/>
        <v>0</v>
      </c>
      <c r="BE27" s="20"/>
      <c r="BF27" s="13">
        <f t="shared" si="6"/>
        <v>0</v>
      </c>
      <c r="BG27" s="21">
        <f t="shared" si="7"/>
        <v>0</v>
      </c>
      <c r="BH27" s="20"/>
      <c r="BI27" s="13">
        <f t="shared" si="8"/>
        <v>0</v>
      </c>
      <c r="BJ27" s="19">
        <f t="shared" si="9"/>
        <v>0</v>
      </c>
      <c r="BK27" s="20"/>
      <c r="BL27" s="13">
        <f t="shared" si="10"/>
        <v>0</v>
      </c>
      <c r="BM27" s="21">
        <f t="shared" si="11"/>
        <v>0</v>
      </c>
      <c r="BN27" s="20"/>
      <c r="BO27" s="13">
        <f t="shared" si="12"/>
        <v>0</v>
      </c>
      <c r="BP27" s="19">
        <f t="shared" si="13"/>
        <v>0</v>
      </c>
      <c r="BQ27" s="20"/>
      <c r="BR27" s="13">
        <f t="shared" si="14"/>
        <v>0</v>
      </c>
      <c r="BS27" s="21">
        <f t="shared" si="15"/>
        <v>0</v>
      </c>
      <c r="BT27" s="20"/>
      <c r="BU27" s="13">
        <f t="shared" si="16"/>
        <v>1</v>
      </c>
      <c r="BV27" s="19">
        <f t="shared" si="17"/>
        <v>27.66</v>
      </c>
      <c r="BW27" s="20"/>
      <c r="BX27" s="13">
        <f t="shared" si="18"/>
        <v>0</v>
      </c>
      <c r="BY27" s="21">
        <f t="shared" si="19"/>
        <v>0</v>
      </c>
      <c r="BZ27" s="20"/>
      <c r="CA27" s="13">
        <f t="shared" si="20"/>
        <v>0</v>
      </c>
      <c r="CB27" s="19">
        <f t="shared" si="21"/>
        <v>0</v>
      </c>
      <c r="CC27" s="20"/>
      <c r="CD27" s="13">
        <f t="shared" si="22"/>
        <v>0</v>
      </c>
      <c r="CE27" s="21">
        <f t="shared" si="23"/>
        <v>0</v>
      </c>
      <c r="CF27" s="20"/>
      <c r="CG27" s="18">
        <f t="shared" si="24"/>
        <v>0</v>
      </c>
      <c r="CH27" s="21">
        <f t="shared" si="45"/>
        <v>0</v>
      </c>
      <c r="CI27" s="20"/>
      <c r="CJ27" s="18">
        <f t="shared" si="25"/>
        <v>0</v>
      </c>
      <c r="CK27" s="21">
        <f t="shared" si="26"/>
        <v>0</v>
      </c>
      <c r="CL27" s="20"/>
      <c r="CM27" s="18">
        <f t="shared" si="27"/>
        <v>0</v>
      </c>
      <c r="CN27" s="21">
        <f t="shared" si="28"/>
        <v>0</v>
      </c>
      <c r="CO27" s="20"/>
      <c r="CP27" s="18">
        <f t="shared" si="29"/>
        <v>0</v>
      </c>
      <c r="CQ27" s="21">
        <f t="shared" si="30"/>
        <v>0</v>
      </c>
      <c r="CR27" s="20"/>
      <c r="CS27" s="18">
        <f t="shared" si="31"/>
        <v>0</v>
      </c>
      <c r="CT27" s="19">
        <f t="shared" si="32"/>
        <v>0</v>
      </c>
      <c r="CU27" s="20"/>
      <c r="CV27" s="13">
        <f t="shared" si="33"/>
        <v>0</v>
      </c>
      <c r="CW27" s="21">
        <f t="shared" si="34"/>
        <v>0</v>
      </c>
      <c r="CX27" s="20"/>
      <c r="CY27" s="13">
        <f t="shared" si="35"/>
        <v>0</v>
      </c>
      <c r="CZ27" s="19">
        <f t="shared" si="36"/>
        <v>0</v>
      </c>
      <c r="DA27" s="20"/>
      <c r="DB27" s="13">
        <f t="shared" si="37"/>
        <v>0</v>
      </c>
      <c r="DC27" s="21">
        <f t="shared" si="38"/>
        <v>0</v>
      </c>
      <c r="DE27" s="97">
        <v>125</v>
      </c>
      <c r="DF27" s="32"/>
      <c r="DG27" s="61">
        <f t="shared" si="39"/>
        <v>20</v>
      </c>
      <c r="DH27" s="32"/>
      <c r="DI27" s="59">
        <f t="shared" si="40"/>
        <v>2</v>
      </c>
      <c r="DJ27" s="32"/>
      <c r="DK27" s="59">
        <f t="shared" si="41"/>
        <v>143</v>
      </c>
      <c r="DL27" s="32"/>
      <c r="DM27" s="96">
        <f t="shared" si="42"/>
        <v>3296.15</v>
      </c>
      <c r="DN27" s="32"/>
      <c r="DO27" s="62">
        <f t="shared" si="43"/>
        <v>71.5</v>
      </c>
      <c r="DP27" s="32"/>
      <c r="DQ27" s="96">
        <f t="shared" si="44"/>
        <v>3955.38</v>
      </c>
      <c r="DR27" s="32"/>
      <c r="DS27" s="61"/>
      <c r="DT27" s="32"/>
      <c r="DU27" s="63">
        <v>0</v>
      </c>
      <c r="DV27" s="32"/>
      <c r="DW27" s="64">
        <f t="shared" si="46"/>
        <v>0</v>
      </c>
      <c r="DX27" s="32"/>
      <c r="DY27" s="63">
        <f t="shared" si="47"/>
        <v>0</v>
      </c>
    </row>
    <row r="28" spans="1:129" ht="12" customHeight="1" x14ac:dyDescent="0.3">
      <c r="A28" s="37" t="s">
        <v>31</v>
      </c>
      <c r="B28" s="32"/>
      <c r="C28" s="51"/>
      <c r="D28" s="34"/>
      <c r="E28" s="38">
        <v>26.11</v>
      </c>
      <c r="F28" s="34"/>
      <c r="G28" s="33">
        <v>31.33</v>
      </c>
      <c r="I28" s="26">
        <v>1</v>
      </c>
      <c r="J28" s="27"/>
      <c r="K28" s="28">
        <v>3</v>
      </c>
      <c r="L28" s="12"/>
      <c r="M28" s="26">
        <v>2</v>
      </c>
      <c r="N28" s="12"/>
      <c r="O28" s="28">
        <v>1</v>
      </c>
      <c r="P28" s="12"/>
      <c r="Q28" s="26">
        <v>1</v>
      </c>
      <c r="R28" s="12"/>
      <c r="S28" s="28">
        <v>1</v>
      </c>
      <c r="T28" s="12"/>
      <c r="U28" s="26">
        <v>1</v>
      </c>
      <c r="V28" s="12"/>
      <c r="W28" s="28">
        <v>1</v>
      </c>
      <c r="X28" s="12"/>
      <c r="Y28" s="26"/>
      <c r="Z28" s="12"/>
      <c r="AA28" s="28">
        <v>1</v>
      </c>
      <c r="AB28" s="12"/>
      <c r="AC28" s="26">
        <v>1</v>
      </c>
      <c r="AD28" s="12"/>
      <c r="AE28" s="28"/>
      <c r="AF28" s="12"/>
      <c r="AG28" s="26"/>
      <c r="AH28" s="12"/>
      <c r="AI28" s="28"/>
      <c r="AJ28" s="12"/>
      <c r="AK28" s="26"/>
      <c r="AL28" s="12"/>
      <c r="AM28" s="28"/>
      <c r="AN28" s="12"/>
      <c r="AO28" s="26"/>
      <c r="AP28" s="12"/>
      <c r="AQ28" s="28"/>
      <c r="AR28" s="12"/>
      <c r="AS28" s="26"/>
      <c r="AT28" s="12"/>
      <c r="AU28" s="28"/>
      <c r="AW28" s="18">
        <f t="shared" si="0"/>
        <v>1</v>
      </c>
      <c r="AX28" s="19">
        <f t="shared" si="1"/>
        <v>31.33</v>
      </c>
      <c r="AY28" s="20"/>
      <c r="AZ28" s="13">
        <f t="shared" si="2"/>
        <v>3</v>
      </c>
      <c r="BA28" s="21">
        <f t="shared" si="3"/>
        <v>93.99</v>
      </c>
      <c r="BB28" s="20"/>
      <c r="BC28" s="13">
        <f t="shared" si="4"/>
        <v>2</v>
      </c>
      <c r="BD28" s="19">
        <f t="shared" si="5"/>
        <v>62.66</v>
      </c>
      <c r="BE28" s="20"/>
      <c r="BF28" s="13">
        <f t="shared" si="6"/>
        <v>1</v>
      </c>
      <c r="BG28" s="21">
        <f t="shared" si="7"/>
        <v>31.33</v>
      </c>
      <c r="BH28" s="20"/>
      <c r="BI28" s="13">
        <f t="shared" si="8"/>
        <v>1</v>
      </c>
      <c r="BJ28" s="19">
        <f t="shared" si="9"/>
        <v>31.33</v>
      </c>
      <c r="BK28" s="20"/>
      <c r="BL28" s="13">
        <f t="shared" si="10"/>
        <v>1</v>
      </c>
      <c r="BM28" s="21">
        <f t="shared" si="11"/>
        <v>31.33</v>
      </c>
      <c r="BN28" s="20"/>
      <c r="BO28" s="13">
        <f t="shared" si="12"/>
        <v>1</v>
      </c>
      <c r="BP28" s="19">
        <f t="shared" si="13"/>
        <v>31.33</v>
      </c>
      <c r="BQ28" s="20"/>
      <c r="BR28" s="13">
        <f t="shared" si="14"/>
        <v>1</v>
      </c>
      <c r="BS28" s="21">
        <f t="shared" si="15"/>
        <v>31.33</v>
      </c>
      <c r="BT28" s="20"/>
      <c r="BU28" s="13">
        <f t="shared" si="16"/>
        <v>0</v>
      </c>
      <c r="BV28" s="19">
        <f t="shared" si="17"/>
        <v>0</v>
      </c>
      <c r="BW28" s="20"/>
      <c r="BX28" s="13">
        <f t="shared" si="18"/>
        <v>1</v>
      </c>
      <c r="BY28" s="21">
        <f t="shared" si="19"/>
        <v>31.33</v>
      </c>
      <c r="BZ28" s="20"/>
      <c r="CA28" s="13">
        <f t="shared" si="20"/>
        <v>1</v>
      </c>
      <c r="CB28" s="19">
        <f t="shared" si="21"/>
        <v>31.33</v>
      </c>
      <c r="CC28" s="20"/>
      <c r="CD28" s="13">
        <f t="shared" si="22"/>
        <v>0</v>
      </c>
      <c r="CE28" s="21">
        <f t="shared" si="23"/>
        <v>0</v>
      </c>
      <c r="CF28" s="20"/>
      <c r="CG28" s="18">
        <f t="shared" si="24"/>
        <v>0</v>
      </c>
      <c r="CH28" s="21">
        <f t="shared" si="45"/>
        <v>0</v>
      </c>
      <c r="CI28" s="20"/>
      <c r="CJ28" s="18">
        <f t="shared" si="25"/>
        <v>0</v>
      </c>
      <c r="CK28" s="21">
        <f t="shared" si="26"/>
        <v>0</v>
      </c>
      <c r="CL28" s="20"/>
      <c r="CM28" s="18">
        <f t="shared" si="27"/>
        <v>0</v>
      </c>
      <c r="CN28" s="21">
        <f t="shared" si="28"/>
        <v>0</v>
      </c>
      <c r="CO28" s="20"/>
      <c r="CP28" s="18">
        <f t="shared" si="29"/>
        <v>0</v>
      </c>
      <c r="CQ28" s="21">
        <f t="shared" si="30"/>
        <v>0</v>
      </c>
      <c r="CR28" s="20"/>
      <c r="CS28" s="18">
        <f t="shared" si="31"/>
        <v>0</v>
      </c>
      <c r="CT28" s="19">
        <f t="shared" si="32"/>
        <v>0</v>
      </c>
      <c r="CU28" s="20"/>
      <c r="CV28" s="13">
        <f t="shared" si="33"/>
        <v>0</v>
      </c>
      <c r="CW28" s="21">
        <f t="shared" si="34"/>
        <v>0</v>
      </c>
      <c r="CX28" s="20"/>
      <c r="CY28" s="13">
        <f t="shared" si="35"/>
        <v>0</v>
      </c>
      <c r="CZ28" s="19">
        <f t="shared" si="36"/>
        <v>0</v>
      </c>
      <c r="DA28" s="20"/>
      <c r="DB28" s="13">
        <f t="shared" si="37"/>
        <v>0</v>
      </c>
      <c r="DC28" s="21">
        <f t="shared" si="38"/>
        <v>0</v>
      </c>
      <c r="DE28" s="97">
        <v>56</v>
      </c>
      <c r="DF28" s="32"/>
      <c r="DG28" s="61">
        <f t="shared" si="39"/>
        <v>0</v>
      </c>
      <c r="DH28" s="32"/>
      <c r="DI28" s="59">
        <f t="shared" si="40"/>
        <v>13</v>
      </c>
      <c r="DJ28" s="32"/>
      <c r="DK28" s="59">
        <f t="shared" si="41"/>
        <v>43</v>
      </c>
      <c r="DL28" s="32"/>
      <c r="DM28" s="96">
        <f t="shared" si="42"/>
        <v>1122.73</v>
      </c>
      <c r="DN28" s="32"/>
      <c r="DO28" s="62">
        <f t="shared" si="43"/>
        <v>3.3076923076923075</v>
      </c>
      <c r="DP28" s="32"/>
      <c r="DQ28" s="96">
        <f t="shared" si="44"/>
        <v>1347.1899999999998</v>
      </c>
      <c r="DR28" s="32"/>
      <c r="DS28" s="61"/>
      <c r="DT28" s="32"/>
      <c r="DU28" s="63">
        <v>0</v>
      </c>
      <c r="DV28" s="32"/>
      <c r="DW28" s="64">
        <f t="shared" si="46"/>
        <v>0</v>
      </c>
      <c r="DX28" s="32"/>
      <c r="DY28" s="63">
        <f t="shared" si="47"/>
        <v>0</v>
      </c>
    </row>
    <row r="29" spans="1:129" ht="12" customHeight="1" x14ac:dyDescent="0.3">
      <c r="A29" s="41" t="s">
        <v>32</v>
      </c>
      <c r="B29" s="32"/>
      <c r="C29" s="51"/>
      <c r="D29" s="34"/>
      <c r="E29" s="38">
        <v>42.24</v>
      </c>
      <c r="F29" s="34"/>
      <c r="G29" s="33">
        <v>50.69</v>
      </c>
      <c r="I29" s="26"/>
      <c r="J29" s="27"/>
      <c r="K29" s="28">
        <v>1</v>
      </c>
      <c r="L29" s="12"/>
      <c r="M29" s="26"/>
      <c r="N29" s="12"/>
      <c r="O29" s="28">
        <v>1</v>
      </c>
      <c r="P29" s="12"/>
      <c r="Q29" s="26"/>
      <c r="R29" s="12"/>
      <c r="S29" s="28"/>
      <c r="T29" s="12"/>
      <c r="U29" s="26"/>
      <c r="V29" s="12"/>
      <c r="W29" s="28"/>
      <c r="X29" s="12"/>
      <c r="Y29" s="26"/>
      <c r="Z29" s="12"/>
      <c r="AA29" s="28">
        <v>1</v>
      </c>
      <c r="AB29" s="12"/>
      <c r="AC29" s="26">
        <v>1</v>
      </c>
      <c r="AD29" s="12"/>
      <c r="AE29" s="28"/>
      <c r="AF29" s="12"/>
      <c r="AG29" s="26"/>
      <c r="AH29" s="12"/>
      <c r="AI29" s="28"/>
      <c r="AJ29" s="12"/>
      <c r="AK29" s="26"/>
      <c r="AL29" s="12"/>
      <c r="AM29" s="28"/>
      <c r="AN29" s="12"/>
      <c r="AO29" s="26"/>
      <c r="AP29" s="12"/>
      <c r="AQ29" s="28"/>
      <c r="AR29" s="12"/>
      <c r="AS29" s="26"/>
      <c r="AT29" s="12"/>
      <c r="AU29" s="28"/>
      <c r="AW29" s="18">
        <f t="shared" si="0"/>
        <v>0</v>
      </c>
      <c r="AX29" s="19">
        <f t="shared" si="1"/>
        <v>0</v>
      </c>
      <c r="AY29" s="20"/>
      <c r="AZ29" s="13">
        <f t="shared" si="2"/>
        <v>1</v>
      </c>
      <c r="BA29" s="21">
        <f t="shared" si="3"/>
        <v>50.69</v>
      </c>
      <c r="BB29" s="20"/>
      <c r="BC29" s="13">
        <f t="shared" si="4"/>
        <v>0</v>
      </c>
      <c r="BD29" s="19">
        <f t="shared" si="5"/>
        <v>0</v>
      </c>
      <c r="BE29" s="20"/>
      <c r="BF29" s="13">
        <f t="shared" si="6"/>
        <v>1</v>
      </c>
      <c r="BG29" s="21">
        <f t="shared" si="7"/>
        <v>50.69</v>
      </c>
      <c r="BH29" s="20"/>
      <c r="BI29" s="13">
        <f t="shared" si="8"/>
        <v>0</v>
      </c>
      <c r="BJ29" s="19">
        <f t="shared" si="9"/>
        <v>0</v>
      </c>
      <c r="BK29" s="20"/>
      <c r="BL29" s="13">
        <f t="shared" si="10"/>
        <v>0</v>
      </c>
      <c r="BM29" s="21">
        <f t="shared" si="11"/>
        <v>0</v>
      </c>
      <c r="BN29" s="20"/>
      <c r="BO29" s="13">
        <f t="shared" si="12"/>
        <v>0</v>
      </c>
      <c r="BP29" s="19">
        <f t="shared" si="13"/>
        <v>0</v>
      </c>
      <c r="BQ29" s="20"/>
      <c r="BR29" s="13">
        <f t="shared" si="14"/>
        <v>0</v>
      </c>
      <c r="BS29" s="21">
        <f t="shared" si="15"/>
        <v>0</v>
      </c>
      <c r="BT29" s="20"/>
      <c r="BU29" s="13">
        <f t="shared" si="16"/>
        <v>0</v>
      </c>
      <c r="BV29" s="19">
        <f t="shared" si="17"/>
        <v>0</v>
      </c>
      <c r="BW29" s="20"/>
      <c r="BX29" s="13">
        <f t="shared" si="18"/>
        <v>1</v>
      </c>
      <c r="BY29" s="21">
        <f t="shared" si="19"/>
        <v>50.69</v>
      </c>
      <c r="BZ29" s="20"/>
      <c r="CA29" s="13">
        <f t="shared" si="20"/>
        <v>1</v>
      </c>
      <c r="CB29" s="19">
        <f t="shared" si="21"/>
        <v>50.69</v>
      </c>
      <c r="CC29" s="20"/>
      <c r="CD29" s="13">
        <f t="shared" si="22"/>
        <v>0</v>
      </c>
      <c r="CE29" s="21">
        <f t="shared" si="23"/>
        <v>0</v>
      </c>
      <c r="CF29" s="20"/>
      <c r="CG29" s="18">
        <f t="shared" si="24"/>
        <v>0</v>
      </c>
      <c r="CH29" s="21">
        <f t="shared" si="45"/>
        <v>0</v>
      </c>
      <c r="CI29" s="20"/>
      <c r="CJ29" s="18">
        <f t="shared" si="25"/>
        <v>0</v>
      </c>
      <c r="CK29" s="21">
        <f t="shared" si="26"/>
        <v>0</v>
      </c>
      <c r="CL29" s="20"/>
      <c r="CM29" s="18">
        <f t="shared" si="27"/>
        <v>0</v>
      </c>
      <c r="CN29" s="21">
        <f t="shared" si="28"/>
        <v>0</v>
      </c>
      <c r="CO29" s="20"/>
      <c r="CP29" s="18">
        <f t="shared" si="29"/>
        <v>0</v>
      </c>
      <c r="CQ29" s="21">
        <f t="shared" si="30"/>
        <v>0</v>
      </c>
      <c r="CR29" s="20"/>
      <c r="CS29" s="18">
        <f t="shared" si="31"/>
        <v>0</v>
      </c>
      <c r="CT29" s="19">
        <f t="shared" si="32"/>
        <v>0</v>
      </c>
      <c r="CU29" s="20"/>
      <c r="CV29" s="13">
        <f t="shared" si="33"/>
        <v>0</v>
      </c>
      <c r="CW29" s="21">
        <f t="shared" si="34"/>
        <v>0</v>
      </c>
      <c r="CX29" s="20"/>
      <c r="CY29" s="13">
        <f t="shared" si="35"/>
        <v>0</v>
      </c>
      <c r="CZ29" s="19">
        <f t="shared" si="36"/>
        <v>0</v>
      </c>
      <c r="DA29" s="20"/>
      <c r="DB29" s="13">
        <f t="shared" si="37"/>
        <v>0</v>
      </c>
      <c r="DC29" s="21">
        <f t="shared" si="38"/>
        <v>0</v>
      </c>
      <c r="DE29" s="97">
        <v>81</v>
      </c>
      <c r="DF29" s="32"/>
      <c r="DG29" s="61">
        <f t="shared" si="39"/>
        <v>0</v>
      </c>
      <c r="DH29" s="32"/>
      <c r="DI29" s="59">
        <f t="shared" si="40"/>
        <v>4</v>
      </c>
      <c r="DJ29" s="32"/>
      <c r="DK29" s="59">
        <f t="shared" si="41"/>
        <v>77</v>
      </c>
      <c r="DL29" s="32"/>
      <c r="DM29" s="96">
        <f t="shared" si="42"/>
        <v>3252.48</v>
      </c>
      <c r="DN29" s="32"/>
      <c r="DO29" s="62">
        <f t="shared" si="43"/>
        <v>19.25</v>
      </c>
      <c r="DP29" s="32"/>
      <c r="DQ29" s="96">
        <f t="shared" si="44"/>
        <v>3903.1299999999997</v>
      </c>
      <c r="DR29" s="32"/>
      <c r="DS29" s="61"/>
      <c r="DT29" s="32"/>
      <c r="DU29" s="63">
        <v>0</v>
      </c>
      <c r="DV29" s="32"/>
      <c r="DW29" s="64">
        <f t="shared" si="46"/>
        <v>0</v>
      </c>
      <c r="DX29" s="32"/>
      <c r="DY29" s="63">
        <f t="shared" si="47"/>
        <v>0</v>
      </c>
    </row>
    <row r="30" spans="1:129" ht="12" customHeight="1" x14ac:dyDescent="0.3">
      <c r="A30" s="37" t="s">
        <v>33</v>
      </c>
      <c r="B30" s="32"/>
      <c r="C30" s="51"/>
      <c r="D30" s="34"/>
      <c r="E30" s="38">
        <v>75.69</v>
      </c>
      <c r="F30" s="34"/>
      <c r="G30" s="33">
        <v>90.83</v>
      </c>
      <c r="I30" s="26"/>
      <c r="J30" s="27"/>
      <c r="K30" s="28">
        <v>1</v>
      </c>
      <c r="L30" s="12"/>
      <c r="M30" s="26"/>
      <c r="N30" s="12"/>
      <c r="O30" s="28">
        <v>1</v>
      </c>
      <c r="P30" s="12"/>
      <c r="Q30" s="26"/>
      <c r="R30" s="12"/>
      <c r="S30" s="28">
        <v>1</v>
      </c>
      <c r="T30" s="12"/>
      <c r="U30" s="26"/>
      <c r="V30" s="12"/>
      <c r="W30" s="28"/>
      <c r="X30" s="12"/>
      <c r="Y30" s="26"/>
      <c r="Z30" s="12"/>
      <c r="AA30" s="28"/>
      <c r="AB30" s="12"/>
      <c r="AC30" s="26"/>
      <c r="AD30" s="12"/>
      <c r="AE30" s="28"/>
      <c r="AF30" s="12"/>
      <c r="AG30" s="26"/>
      <c r="AH30" s="12"/>
      <c r="AI30" s="28"/>
      <c r="AJ30" s="12"/>
      <c r="AK30" s="26"/>
      <c r="AL30" s="12"/>
      <c r="AM30" s="28"/>
      <c r="AN30" s="12"/>
      <c r="AO30" s="26">
        <v>1</v>
      </c>
      <c r="AP30" s="12"/>
      <c r="AQ30" s="28"/>
      <c r="AR30" s="12"/>
      <c r="AS30" s="26"/>
      <c r="AT30" s="12"/>
      <c r="AU30" s="28"/>
      <c r="AW30" s="18">
        <f t="shared" si="0"/>
        <v>0</v>
      </c>
      <c r="AX30" s="19">
        <f t="shared" si="1"/>
        <v>0</v>
      </c>
      <c r="AY30" s="20"/>
      <c r="AZ30" s="13">
        <f t="shared" si="2"/>
        <v>1</v>
      </c>
      <c r="BA30" s="21">
        <f t="shared" si="3"/>
        <v>90.83</v>
      </c>
      <c r="BB30" s="20"/>
      <c r="BC30" s="13">
        <f t="shared" si="4"/>
        <v>0</v>
      </c>
      <c r="BD30" s="19">
        <f t="shared" si="5"/>
        <v>0</v>
      </c>
      <c r="BE30" s="20"/>
      <c r="BF30" s="13">
        <f t="shared" si="6"/>
        <v>1</v>
      </c>
      <c r="BG30" s="21">
        <f t="shared" si="7"/>
        <v>90.83</v>
      </c>
      <c r="BH30" s="20"/>
      <c r="BI30" s="13">
        <f t="shared" si="8"/>
        <v>0</v>
      </c>
      <c r="BJ30" s="19">
        <f t="shared" si="9"/>
        <v>0</v>
      </c>
      <c r="BK30" s="20"/>
      <c r="BL30" s="13">
        <f t="shared" si="10"/>
        <v>1</v>
      </c>
      <c r="BM30" s="21">
        <f t="shared" si="11"/>
        <v>90.83</v>
      </c>
      <c r="BN30" s="20"/>
      <c r="BO30" s="13">
        <f t="shared" si="12"/>
        <v>0</v>
      </c>
      <c r="BP30" s="19">
        <f t="shared" si="13"/>
        <v>0</v>
      </c>
      <c r="BQ30" s="20"/>
      <c r="BR30" s="13">
        <f t="shared" si="14"/>
        <v>0</v>
      </c>
      <c r="BS30" s="21">
        <f t="shared" si="15"/>
        <v>0</v>
      </c>
      <c r="BT30" s="20"/>
      <c r="BU30" s="13">
        <f t="shared" si="16"/>
        <v>0</v>
      </c>
      <c r="BV30" s="19">
        <f t="shared" si="17"/>
        <v>0</v>
      </c>
      <c r="BW30" s="20"/>
      <c r="BX30" s="13">
        <f t="shared" si="18"/>
        <v>0</v>
      </c>
      <c r="BY30" s="21">
        <f t="shared" si="19"/>
        <v>0</v>
      </c>
      <c r="BZ30" s="20"/>
      <c r="CA30" s="13">
        <f t="shared" si="20"/>
        <v>0</v>
      </c>
      <c r="CB30" s="19">
        <f t="shared" si="21"/>
        <v>0</v>
      </c>
      <c r="CC30" s="20"/>
      <c r="CD30" s="13">
        <f t="shared" si="22"/>
        <v>0</v>
      </c>
      <c r="CE30" s="21">
        <f t="shared" si="23"/>
        <v>0</v>
      </c>
      <c r="CF30" s="20"/>
      <c r="CG30" s="18">
        <f t="shared" si="24"/>
        <v>0</v>
      </c>
      <c r="CH30" s="21">
        <f t="shared" si="45"/>
        <v>0</v>
      </c>
      <c r="CI30" s="20"/>
      <c r="CJ30" s="18">
        <f t="shared" si="25"/>
        <v>0</v>
      </c>
      <c r="CK30" s="21">
        <f t="shared" si="26"/>
        <v>0</v>
      </c>
      <c r="CL30" s="20"/>
      <c r="CM30" s="18">
        <f t="shared" si="27"/>
        <v>0</v>
      </c>
      <c r="CN30" s="21">
        <f t="shared" si="28"/>
        <v>0</v>
      </c>
      <c r="CO30" s="20"/>
      <c r="CP30" s="18">
        <f t="shared" si="29"/>
        <v>0</v>
      </c>
      <c r="CQ30" s="21">
        <f t="shared" si="30"/>
        <v>0</v>
      </c>
      <c r="CR30" s="20"/>
      <c r="CS30" s="18">
        <f t="shared" si="31"/>
        <v>1</v>
      </c>
      <c r="CT30" s="19">
        <f t="shared" si="32"/>
        <v>90.83</v>
      </c>
      <c r="CU30" s="20"/>
      <c r="CV30" s="13">
        <f t="shared" si="33"/>
        <v>0</v>
      </c>
      <c r="CW30" s="21">
        <f t="shared" si="34"/>
        <v>0</v>
      </c>
      <c r="CX30" s="20"/>
      <c r="CY30" s="13">
        <f t="shared" si="35"/>
        <v>0</v>
      </c>
      <c r="CZ30" s="19">
        <f t="shared" si="36"/>
        <v>0</v>
      </c>
      <c r="DA30" s="20"/>
      <c r="DB30" s="13">
        <f t="shared" si="37"/>
        <v>0</v>
      </c>
      <c r="DC30" s="21">
        <f t="shared" si="38"/>
        <v>0</v>
      </c>
      <c r="DE30" s="97">
        <v>15</v>
      </c>
      <c r="DF30" s="32"/>
      <c r="DG30" s="61">
        <f t="shared" si="39"/>
        <v>0</v>
      </c>
      <c r="DH30" s="32"/>
      <c r="DI30" s="59">
        <f t="shared" si="40"/>
        <v>4</v>
      </c>
      <c r="DJ30" s="32"/>
      <c r="DK30" s="59">
        <f t="shared" si="41"/>
        <v>11</v>
      </c>
      <c r="DL30" s="32"/>
      <c r="DM30" s="96">
        <f t="shared" si="42"/>
        <v>832.58999999999992</v>
      </c>
      <c r="DN30" s="32"/>
      <c r="DO30" s="62">
        <f t="shared" si="43"/>
        <v>2.75</v>
      </c>
      <c r="DP30" s="32"/>
      <c r="DQ30" s="96">
        <f t="shared" si="44"/>
        <v>999.13</v>
      </c>
      <c r="DR30" s="32"/>
      <c r="DS30" s="61"/>
      <c r="DT30" s="32"/>
      <c r="DU30" s="63">
        <v>0</v>
      </c>
      <c r="DV30" s="32"/>
      <c r="DW30" s="64">
        <f t="shared" si="46"/>
        <v>0</v>
      </c>
      <c r="DX30" s="32"/>
      <c r="DY30" s="63">
        <f t="shared" si="47"/>
        <v>0</v>
      </c>
    </row>
    <row r="31" spans="1:129" ht="12" customHeight="1" x14ac:dyDescent="0.3">
      <c r="A31" s="36" t="s">
        <v>34</v>
      </c>
      <c r="B31" s="32"/>
      <c r="C31" s="51"/>
      <c r="D31" s="34"/>
      <c r="E31" s="38">
        <v>5</v>
      </c>
      <c r="F31" s="34"/>
      <c r="G31" s="33">
        <v>6</v>
      </c>
      <c r="I31" s="26"/>
      <c r="J31" s="27"/>
      <c r="K31" s="28"/>
      <c r="L31" s="12"/>
      <c r="M31" s="26"/>
      <c r="N31" s="12"/>
      <c r="O31" s="28"/>
      <c r="P31" s="12"/>
      <c r="Q31" s="26"/>
      <c r="R31" s="12"/>
      <c r="S31" s="28"/>
      <c r="T31" s="12"/>
      <c r="U31" s="26"/>
      <c r="V31" s="12"/>
      <c r="W31" s="28"/>
      <c r="X31" s="12"/>
      <c r="Y31" s="26"/>
      <c r="Z31" s="12"/>
      <c r="AA31" s="28"/>
      <c r="AB31" s="12"/>
      <c r="AC31" s="26"/>
      <c r="AD31" s="12"/>
      <c r="AE31" s="28"/>
      <c r="AF31" s="12"/>
      <c r="AG31" s="26"/>
      <c r="AH31" s="12"/>
      <c r="AI31" s="28"/>
      <c r="AJ31" s="12"/>
      <c r="AK31" s="26"/>
      <c r="AL31" s="12"/>
      <c r="AM31" s="28"/>
      <c r="AN31" s="12"/>
      <c r="AO31" s="26"/>
      <c r="AP31" s="12"/>
      <c r="AQ31" s="28"/>
      <c r="AR31" s="12"/>
      <c r="AS31" s="26"/>
      <c r="AT31" s="12"/>
      <c r="AU31" s="28"/>
      <c r="AW31" s="18">
        <f t="shared" si="0"/>
        <v>0</v>
      </c>
      <c r="AX31" s="19">
        <f t="shared" si="1"/>
        <v>0</v>
      </c>
      <c r="AY31" s="20"/>
      <c r="AZ31" s="13">
        <f t="shared" si="2"/>
        <v>0</v>
      </c>
      <c r="BA31" s="21">
        <f t="shared" si="3"/>
        <v>0</v>
      </c>
      <c r="BB31" s="20"/>
      <c r="BC31" s="13">
        <f t="shared" si="4"/>
        <v>0</v>
      </c>
      <c r="BD31" s="19">
        <f t="shared" si="5"/>
        <v>0</v>
      </c>
      <c r="BE31" s="20"/>
      <c r="BF31" s="13">
        <f t="shared" si="6"/>
        <v>0</v>
      </c>
      <c r="BG31" s="21">
        <f t="shared" si="7"/>
        <v>0</v>
      </c>
      <c r="BH31" s="20"/>
      <c r="BI31" s="13">
        <f t="shared" si="8"/>
        <v>0</v>
      </c>
      <c r="BJ31" s="19">
        <f t="shared" si="9"/>
        <v>0</v>
      </c>
      <c r="BK31" s="20"/>
      <c r="BL31" s="13">
        <f t="shared" si="10"/>
        <v>0</v>
      </c>
      <c r="BM31" s="21">
        <f t="shared" si="11"/>
        <v>0</v>
      </c>
      <c r="BN31" s="20"/>
      <c r="BO31" s="13">
        <f t="shared" si="12"/>
        <v>0</v>
      </c>
      <c r="BP31" s="19">
        <f t="shared" si="13"/>
        <v>0</v>
      </c>
      <c r="BQ31" s="20"/>
      <c r="BR31" s="13">
        <f t="shared" si="14"/>
        <v>0</v>
      </c>
      <c r="BS31" s="21">
        <f t="shared" si="15"/>
        <v>0</v>
      </c>
      <c r="BT31" s="20"/>
      <c r="BU31" s="13">
        <f t="shared" si="16"/>
        <v>0</v>
      </c>
      <c r="BV31" s="19">
        <f t="shared" si="17"/>
        <v>0</v>
      </c>
      <c r="BW31" s="20"/>
      <c r="BX31" s="13">
        <f t="shared" si="18"/>
        <v>0</v>
      </c>
      <c r="BY31" s="21">
        <f t="shared" si="19"/>
        <v>0</v>
      </c>
      <c r="BZ31" s="20"/>
      <c r="CA31" s="13">
        <f t="shared" si="20"/>
        <v>0</v>
      </c>
      <c r="CB31" s="19">
        <f t="shared" si="21"/>
        <v>0</v>
      </c>
      <c r="CC31" s="20"/>
      <c r="CD31" s="13">
        <f t="shared" si="22"/>
        <v>0</v>
      </c>
      <c r="CE31" s="21">
        <f t="shared" si="23"/>
        <v>0</v>
      </c>
      <c r="CF31" s="20"/>
      <c r="CG31" s="18">
        <f t="shared" si="24"/>
        <v>0</v>
      </c>
      <c r="CH31" s="21">
        <f t="shared" si="45"/>
        <v>0</v>
      </c>
      <c r="CI31" s="20"/>
      <c r="CJ31" s="18">
        <f t="shared" si="25"/>
        <v>0</v>
      </c>
      <c r="CK31" s="21">
        <f t="shared" si="26"/>
        <v>0</v>
      </c>
      <c r="CL31" s="20"/>
      <c r="CM31" s="18">
        <f t="shared" si="27"/>
        <v>0</v>
      </c>
      <c r="CN31" s="21">
        <f t="shared" si="28"/>
        <v>0</v>
      </c>
      <c r="CO31" s="20"/>
      <c r="CP31" s="18">
        <f t="shared" si="29"/>
        <v>0</v>
      </c>
      <c r="CQ31" s="21">
        <f t="shared" si="30"/>
        <v>0</v>
      </c>
      <c r="CR31" s="20"/>
      <c r="CS31" s="18">
        <f t="shared" si="31"/>
        <v>0</v>
      </c>
      <c r="CT31" s="19">
        <f t="shared" si="32"/>
        <v>0</v>
      </c>
      <c r="CU31" s="20"/>
      <c r="CV31" s="13">
        <f t="shared" si="33"/>
        <v>0</v>
      </c>
      <c r="CW31" s="21">
        <f t="shared" si="34"/>
        <v>0</v>
      </c>
      <c r="CX31" s="20"/>
      <c r="CY31" s="13">
        <f t="shared" si="35"/>
        <v>0</v>
      </c>
      <c r="CZ31" s="19">
        <f t="shared" si="36"/>
        <v>0</v>
      </c>
      <c r="DA31" s="20"/>
      <c r="DB31" s="13">
        <f t="shared" si="37"/>
        <v>0</v>
      </c>
      <c r="DC31" s="21">
        <f t="shared" si="38"/>
        <v>0</v>
      </c>
      <c r="DE31" s="97">
        <v>4</v>
      </c>
      <c r="DF31" s="32"/>
      <c r="DG31" s="61">
        <f t="shared" si="39"/>
        <v>0</v>
      </c>
      <c r="DH31" s="32"/>
      <c r="DI31" s="59">
        <f t="shared" si="40"/>
        <v>0</v>
      </c>
      <c r="DJ31" s="32"/>
      <c r="DK31" s="59">
        <f t="shared" si="41"/>
        <v>4</v>
      </c>
      <c r="DL31" s="32"/>
      <c r="DM31" s="96">
        <f t="shared" si="42"/>
        <v>20</v>
      </c>
      <c r="DN31" s="32"/>
      <c r="DO31" s="62" t="e">
        <f t="shared" si="43"/>
        <v>#DIV/0!</v>
      </c>
      <c r="DP31" s="32"/>
      <c r="DQ31" s="96">
        <f t="shared" si="44"/>
        <v>24</v>
      </c>
      <c r="DR31" s="32"/>
      <c r="DS31" s="61"/>
      <c r="DT31" s="32"/>
      <c r="DU31" s="63">
        <v>0</v>
      </c>
      <c r="DV31" s="32"/>
      <c r="DW31" s="64">
        <f t="shared" si="46"/>
        <v>0</v>
      </c>
      <c r="DX31" s="32"/>
      <c r="DY31" s="63">
        <f t="shared" si="47"/>
        <v>0</v>
      </c>
    </row>
    <row r="32" spans="1:129" s="8" customFormat="1" ht="12.45" customHeight="1" x14ac:dyDescent="0.3">
      <c r="A32" s="37" t="s">
        <v>35</v>
      </c>
      <c r="B32" s="32"/>
      <c r="C32" s="51"/>
      <c r="D32" s="34"/>
      <c r="E32" s="38">
        <v>30</v>
      </c>
      <c r="F32" s="34"/>
      <c r="G32" s="33">
        <v>36</v>
      </c>
      <c r="H32" s="3"/>
      <c r="I32" s="26"/>
      <c r="J32" s="27"/>
      <c r="K32" s="28"/>
      <c r="L32" s="12"/>
      <c r="M32" s="26"/>
      <c r="N32" s="12"/>
      <c r="O32" s="28"/>
      <c r="P32" s="12"/>
      <c r="Q32" s="26"/>
      <c r="R32" s="12"/>
      <c r="S32" s="28"/>
      <c r="T32" s="12"/>
      <c r="U32" s="26"/>
      <c r="V32" s="12"/>
      <c r="W32" s="28"/>
      <c r="X32" s="12"/>
      <c r="Y32" s="26"/>
      <c r="Z32" s="12"/>
      <c r="AA32" s="28"/>
      <c r="AB32" s="12"/>
      <c r="AC32" s="26"/>
      <c r="AD32" s="12"/>
      <c r="AE32" s="28"/>
      <c r="AF32" s="12"/>
      <c r="AG32" s="26"/>
      <c r="AH32" s="12"/>
      <c r="AI32" s="28"/>
      <c r="AJ32" s="12"/>
      <c r="AK32" s="26"/>
      <c r="AL32" s="12"/>
      <c r="AM32" s="28"/>
      <c r="AN32" s="12"/>
      <c r="AO32" s="26"/>
      <c r="AP32" s="12"/>
      <c r="AQ32" s="28"/>
      <c r="AR32" s="12"/>
      <c r="AS32" s="26"/>
      <c r="AT32" s="12"/>
      <c r="AU32" s="28"/>
      <c r="AV32" s="3"/>
      <c r="AW32" s="18">
        <f t="shared" si="0"/>
        <v>0</v>
      </c>
      <c r="AX32" s="19">
        <f t="shared" si="1"/>
        <v>0</v>
      </c>
      <c r="AY32" s="20"/>
      <c r="AZ32" s="13">
        <f t="shared" si="2"/>
        <v>0</v>
      </c>
      <c r="BA32" s="21">
        <f t="shared" si="3"/>
        <v>0</v>
      </c>
      <c r="BB32" s="20"/>
      <c r="BC32" s="13">
        <f t="shared" si="4"/>
        <v>0</v>
      </c>
      <c r="BD32" s="19">
        <f t="shared" si="5"/>
        <v>0</v>
      </c>
      <c r="BE32" s="20"/>
      <c r="BF32" s="13">
        <f t="shared" si="6"/>
        <v>0</v>
      </c>
      <c r="BG32" s="21">
        <f t="shared" si="7"/>
        <v>0</v>
      </c>
      <c r="BH32" s="20"/>
      <c r="BI32" s="13">
        <f t="shared" si="8"/>
        <v>0</v>
      </c>
      <c r="BJ32" s="19">
        <f t="shared" si="9"/>
        <v>0</v>
      </c>
      <c r="BK32" s="20"/>
      <c r="BL32" s="13">
        <f t="shared" si="10"/>
        <v>0</v>
      </c>
      <c r="BM32" s="21">
        <f t="shared" si="11"/>
        <v>0</v>
      </c>
      <c r="BN32" s="20"/>
      <c r="BO32" s="13">
        <f t="shared" si="12"/>
        <v>0</v>
      </c>
      <c r="BP32" s="19">
        <f t="shared" si="13"/>
        <v>0</v>
      </c>
      <c r="BQ32" s="20"/>
      <c r="BR32" s="13">
        <f t="shared" si="14"/>
        <v>0</v>
      </c>
      <c r="BS32" s="21">
        <f t="shared" si="15"/>
        <v>0</v>
      </c>
      <c r="BT32" s="20"/>
      <c r="BU32" s="13">
        <f t="shared" si="16"/>
        <v>0</v>
      </c>
      <c r="BV32" s="19">
        <f t="shared" si="17"/>
        <v>0</v>
      </c>
      <c r="BW32" s="20"/>
      <c r="BX32" s="13">
        <f t="shared" si="18"/>
        <v>0</v>
      </c>
      <c r="BY32" s="21">
        <f t="shared" si="19"/>
        <v>0</v>
      </c>
      <c r="BZ32" s="20"/>
      <c r="CA32" s="13">
        <f t="shared" si="20"/>
        <v>0</v>
      </c>
      <c r="CB32" s="19">
        <f t="shared" si="21"/>
        <v>0</v>
      </c>
      <c r="CC32" s="20"/>
      <c r="CD32" s="13">
        <f t="shared" si="22"/>
        <v>0</v>
      </c>
      <c r="CE32" s="21">
        <f t="shared" si="23"/>
        <v>0</v>
      </c>
      <c r="CF32" s="20"/>
      <c r="CG32" s="18">
        <f t="shared" si="24"/>
        <v>0</v>
      </c>
      <c r="CH32" s="21">
        <f t="shared" si="45"/>
        <v>0</v>
      </c>
      <c r="CI32" s="20"/>
      <c r="CJ32" s="18">
        <f t="shared" si="25"/>
        <v>0</v>
      </c>
      <c r="CK32" s="21">
        <f t="shared" si="26"/>
        <v>0</v>
      </c>
      <c r="CL32" s="20"/>
      <c r="CM32" s="18">
        <f t="shared" si="27"/>
        <v>0</v>
      </c>
      <c r="CN32" s="21">
        <f t="shared" si="28"/>
        <v>0</v>
      </c>
      <c r="CO32" s="20"/>
      <c r="CP32" s="18">
        <f t="shared" si="29"/>
        <v>0</v>
      </c>
      <c r="CQ32" s="21">
        <f t="shared" si="30"/>
        <v>0</v>
      </c>
      <c r="CR32" s="20"/>
      <c r="CS32" s="18">
        <f t="shared" si="31"/>
        <v>0</v>
      </c>
      <c r="CT32" s="19">
        <f t="shared" si="32"/>
        <v>0</v>
      </c>
      <c r="CU32" s="20"/>
      <c r="CV32" s="13">
        <f t="shared" si="33"/>
        <v>0</v>
      </c>
      <c r="CW32" s="21">
        <f t="shared" si="34"/>
        <v>0</v>
      </c>
      <c r="CX32" s="20"/>
      <c r="CY32" s="13">
        <f t="shared" si="35"/>
        <v>0</v>
      </c>
      <c r="CZ32" s="19">
        <f t="shared" si="36"/>
        <v>0</v>
      </c>
      <c r="DA32" s="20"/>
      <c r="DB32" s="13">
        <f t="shared" si="37"/>
        <v>0</v>
      </c>
      <c r="DC32" s="21">
        <f t="shared" si="38"/>
        <v>0</v>
      </c>
      <c r="DD32" s="3"/>
      <c r="DE32" s="97">
        <v>2</v>
      </c>
      <c r="DF32" s="32"/>
      <c r="DG32" s="61">
        <f t="shared" si="39"/>
        <v>0</v>
      </c>
      <c r="DH32" s="32"/>
      <c r="DI32" s="59">
        <f t="shared" si="40"/>
        <v>0</v>
      </c>
      <c r="DJ32" s="32"/>
      <c r="DK32" s="59">
        <f t="shared" si="41"/>
        <v>2</v>
      </c>
      <c r="DL32" s="32"/>
      <c r="DM32" s="96">
        <f t="shared" si="42"/>
        <v>60</v>
      </c>
      <c r="DN32" s="32"/>
      <c r="DO32" s="62" t="e">
        <f t="shared" si="43"/>
        <v>#DIV/0!</v>
      </c>
      <c r="DP32" s="32"/>
      <c r="DQ32" s="96">
        <f t="shared" si="44"/>
        <v>72</v>
      </c>
      <c r="DR32" s="32"/>
      <c r="DS32" s="61"/>
      <c r="DT32" s="32"/>
      <c r="DU32" s="63">
        <v>0</v>
      </c>
      <c r="DV32" s="32"/>
      <c r="DW32" s="64">
        <f t="shared" si="46"/>
        <v>0</v>
      </c>
      <c r="DX32" s="32"/>
      <c r="DY32" s="63">
        <f t="shared" si="47"/>
        <v>0</v>
      </c>
    </row>
    <row r="33" spans="1:129" ht="12.45" customHeight="1" x14ac:dyDescent="0.3">
      <c r="A33" s="36" t="s">
        <v>36</v>
      </c>
      <c r="B33" s="32"/>
      <c r="C33" s="51"/>
      <c r="D33" s="34"/>
      <c r="E33" s="38">
        <v>5</v>
      </c>
      <c r="F33" s="34"/>
      <c r="G33" s="33">
        <v>6</v>
      </c>
      <c r="I33" s="26"/>
      <c r="J33" s="27"/>
      <c r="K33" s="28"/>
      <c r="L33" s="12"/>
      <c r="M33" s="26"/>
      <c r="N33" s="12"/>
      <c r="O33" s="28"/>
      <c r="P33" s="12"/>
      <c r="Q33" s="26"/>
      <c r="R33" s="12"/>
      <c r="S33" s="28"/>
      <c r="T33" s="12"/>
      <c r="U33" s="26"/>
      <c r="V33" s="12"/>
      <c r="W33" s="28"/>
      <c r="X33" s="12"/>
      <c r="Y33" s="26"/>
      <c r="Z33" s="12"/>
      <c r="AA33" s="28"/>
      <c r="AB33" s="12"/>
      <c r="AC33" s="26"/>
      <c r="AD33" s="12"/>
      <c r="AE33" s="28"/>
      <c r="AF33" s="12"/>
      <c r="AG33" s="26"/>
      <c r="AH33" s="12"/>
      <c r="AI33" s="28"/>
      <c r="AJ33" s="12"/>
      <c r="AK33" s="26"/>
      <c r="AL33" s="12"/>
      <c r="AM33" s="28"/>
      <c r="AN33" s="12"/>
      <c r="AO33" s="26"/>
      <c r="AP33" s="12"/>
      <c r="AQ33" s="28"/>
      <c r="AR33" s="12"/>
      <c r="AS33" s="26"/>
      <c r="AT33" s="12"/>
      <c r="AU33" s="28"/>
      <c r="AW33" s="18">
        <f t="shared" si="0"/>
        <v>0</v>
      </c>
      <c r="AX33" s="19">
        <f t="shared" si="1"/>
        <v>0</v>
      </c>
      <c r="AY33" s="20"/>
      <c r="AZ33" s="13">
        <f t="shared" si="2"/>
        <v>0</v>
      </c>
      <c r="BA33" s="21">
        <f t="shared" si="3"/>
        <v>0</v>
      </c>
      <c r="BB33" s="20"/>
      <c r="BC33" s="13">
        <f t="shared" si="4"/>
        <v>0</v>
      </c>
      <c r="BD33" s="19">
        <f t="shared" si="5"/>
        <v>0</v>
      </c>
      <c r="BE33" s="20"/>
      <c r="BF33" s="13">
        <f t="shared" si="6"/>
        <v>0</v>
      </c>
      <c r="BG33" s="21">
        <f t="shared" si="7"/>
        <v>0</v>
      </c>
      <c r="BH33" s="20"/>
      <c r="BI33" s="13">
        <f t="shared" si="8"/>
        <v>0</v>
      </c>
      <c r="BJ33" s="19">
        <f t="shared" si="9"/>
        <v>0</v>
      </c>
      <c r="BK33" s="20"/>
      <c r="BL33" s="13">
        <f t="shared" si="10"/>
        <v>0</v>
      </c>
      <c r="BM33" s="21">
        <f t="shared" si="11"/>
        <v>0</v>
      </c>
      <c r="BN33" s="20"/>
      <c r="BO33" s="13">
        <f t="shared" si="12"/>
        <v>0</v>
      </c>
      <c r="BP33" s="19">
        <f t="shared" si="13"/>
        <v>0</v>
      </c>
      <c r="BQ33" s="20"/>
      <c r="BR33" s="13">
        <f t="shared" si="14"/>
        <v>0</v>
      </c>
      <c r="BS33" s="21">
        <f t="shared" si="15"/>
        <v>0</v>
      </c>
      <c r="BT33" s="20"/>
      <c r="BU33" s="13">
        <f t="shared" si="16"/>
        <v>0</v>
      </c>
      <c r="BV33" s="19">
        <f t="shared" si="17"/>
        <v>0</v>
      </c>
      <c r="BW33" s="20"/>
      <c r="BX33" s="13">
        <f t="shared" si="18"/>
        <v>0</v>
      </c>
      <c r="BY33" s="21">
        <f t="shared" si="19"/>
        <v>0</v>
      </c>
      <c r="BZ33" s="20"/>
      <c r="CA33" s="13">
        <f t="shared" si="20"/>
        <v>0</v>
      </c>
      <c r="CB33" s="19">
        <f t="shared" si="21"/>
        <v>0</v>
      </c>
      <c r="CC33" s="20"/>
      <c r="CD33" s="13">
        <f t="shared" si="22"/>
        <v>0</v>
      </c>
      <c r="CE33" s="21">
        <f t="shared" si="23"/>
        <v>0</v>
      </c>
      <c r="CF33" s="20"/>
      <c r="CG33" s="18">
        <f t="shared" si="24"/>
        <v>0</v>
      </c>
      <c r="CH33" s="21">
        <f t="shared" si="45"/>
        <v>0</v>
      </c>
      <c r="CI33" s="20"/>
      <c r="CJ33" s="18">
        <f t="shared" si="25"/>
        <v>0</v>
      </c>
      <c r="CK33" s="21">
        <f t="shared" si="26"/>
        <v>0</v>
      </c>
      <c r="CL33" s="20"/>
      <c r="CM33" s="18">
        <f t="shared" si="27"/>
        <v>0</v>
      </c>
      <c r="CN33" s="21">
        <f t="shared" si="28"/>
        <v>0</v>
      </c>
      <c r="CO33" s="20"/>
      <c r="CP33" s="18">
        <f t="shared" si="29"/>
        <v>0</v>
      </c>
      <c r="CQ33" s="21">
        <f t="shared" si="30"/>
        <v>0</v>
      </c>
      <c r="CR33" s="20"/>
      <c r="CS33" s="18">
        <f t="shared" si="31"/>
        <v>0</v>
      </c>
      <c r="CT33" s="19">
        <f t="shared" si="32"/>
        <v>0</v>
      </c>
      <c r="CU33" s="20"/>
      <c r="CV33" s="13">
        <f t="shared" si="33"/>
        <v>0</v>
      </c>
      <c r="CW33" s="21">
        <f t="shared" si="34"/>
        <v>0</v>
      </c>
      <c r="CX33" s="20"/>
      <c r="CY33" s="13">
        <f t="shared" si="35"/>
        <v>0</v>
      </c>
      <c r="CZ33" s="19">
        <f t="shared" si="36"/>
        <v>0</v>
      </c>
      <c r="DA33" s="20"/>
      <c r="DB33" s="13">
        <f t="shared" si="37"/>
        <v>0</v>
      </c>
      <c r="DC33" s="21">
        <f t="shared" si="38"/>
        <v>0</v>
      </c>
      <c r="DE33" s="97">
        <v>15</v>
      </c>
      <c r="DF33" s="32"/>
      <c r="DG33" s="61">
        <f t="shared" si="39"/>
        <v>0</v>
      </c>
      <c r="DH33" s="32"/>
      <c r="DI33" s="59">
        <f t="shared" si="40"/>
        <v>0</v>
      </c>
      <c r="DJ33" s="32"/>
      <c r="DK33" s="59">
        <f t="shared" si="41"/>
        <v>15</v>
      </c>
      <c r="DL33" s="32"/>
      <c r="DM33" s="96">
        <f t="shared" si="42"/>
        <v>75</v>
      </c>
      <c r="DN33" s="32"/>
      <c r="DO33" s="62" t="e">
        <f t="shared" si="43"/>
        <v>#DIV/0!</v>
      </c>
      <c r="DP33" s="32"/>
      <c r="DQ33" s="96">
        <f t="shared" si="44"/>
        <v>90</v>
      </c>
      <c r="DR33" s="32"/>
      <c r="DS33" s="61"/>
      <c r="DT33" s="32"/>
      <c r="DU33" s="63">
        <v>0</v>
      </c>
      <c r="DV33" s="32"/>
      <c r="DW33" s="64">
        <f t="shared" si="46"/>
        <v>0</v>
      </c>
      <c r="DX33" s="32"/>
      <c r="DY33" s="63">
        <f t="shared" si="47"/>
        <v>0</v>
      </c>
    </row>
    <row r="34" spans="1:129" ht="12.45" customHeight="1" x14ac:dyDescent="0.3">
      <c r="A34" s="37" t="s">
        <v>37</v>
      </c>
      <c r="B34" s="32"/>
      <c r="C34" s="51"/>
      <c r="D34" s="34"/>
      <c r="E34" s="38">
        <v>5</v>
      </c>
      <c r="F34" s="34"/>
      <c r="G34" s="33">
        <v>6</v>
      </c>
      <c r="I34" s="26"/>
      <c r="J34" s="27"/>
      <c r="K34" s="28"/>
      <c r="L34" s="12"/>
      <c r="M34" s="26"/>
      <c r="N34" s="12"/>
      <c r="O34" s="28"/>
      <c r="P34" s="12"/>
      <c r="Q34" s="26"/>
      <c r="R34" s="12"/>
      <c r="S34" s="28">
        <v>1</v>
      </c>
      <c r="T34" s="12"/>
      <c r="U34" s="26"/>
      <c r="V34" s="12"/>
      <c r="W34" s="28"/>
      <c r="X34" s="12"/>
      <c r="Y34" s="26"/>
      <c r="Z34" s="12"/>
      <c r="AA34" s="28"/>
      <c r="AB34" s="12"/>
      <c r="AC34" s="26"/>
      <c r="AD34" s="12"/>
      <c r="AE34" s="28"/>
      <c r="AF34" s="12"/>
      <c r="AG34" s="26"/>
      <c r="AH34" s="12"/>
      <c r="AI34" s="28"/>
      <c r="AJ34" s="12"/>
      <c r="AK34" s="26"/>
      <c r="AL34" s="12"/>
      <c r="AM34" s="28"/>
      <c r="AN34" s="12"/>
      <c r="AO34" s="26"/>
      <c r="AP34" s="12"/>
      <c r="AQ34" s="28"/>
      <c r="AR34" s="12"/>
      <c r="AS34" s="26"/>
      <c r="AT34" s="12"/>
      <c r="AU34" s="28"/>
      <c r="AW34" s="18">
        <f t="shared" ref="AW34:AW53" si="48">I34</f>
        <v>0</v>
      </c>
      <c r="AX34" s="19">
        <f t="shared" ref="AX34:AX53" si="49">AW34*G34</f>
        <v>0</v>
      </c>
      <c r="AY34" s="20"/>
      <c r="AZ34" s="13">
        <f t="shared" ref="AZ34:AZ53" si="50">K34</f>
        <v>0</v>
      </c>
      <c r="BA34" s="21">
        <f t="shared" ref="BA34:BA53" si="51">AZ34*G34</f>
        <v>0</v>
      </c>
      <c r="BB34" s="20"/>
      <c r="BC34" s="13">
        <f t="shared" ref="BC34:BC53" si="52">M34</f>
        <v>0</v>
      </c>
      <c r="BD34" s="19">
        <f t="shared" ref="BD34:BD53" si="53">BC34*G34</f>
        <v>0</v>
      </c>
      <c r="BE34" s="20"/>
      <c r="BF34" s="13">
        <f t="shared" ref="BF34:BF53" si="54">O34</f>
        <v>0</v>
      </c>
      <c r="BG34" s="21">
        <f t="shared" ref="BG34:BG53" si="55">BF34*G34</f>
        <v>0</v>
      </c>
      <c r="BH34" s="20"/>
      <c r="BI34" s="13">
        <f t="shared" ref="BI34:BI53" si="56">Q34</f>
        <v>0</v>
      </c>
      <c r="BJ34" s="19">
        <f t="shared" ref="BJ34:BJ53" si="57">BI34*G34</f>
        <v>0</v>
      </c>
      <c r="BK34" s="20"/>
      <c r="BL34" s="13">
        <f t="shared" ref="BL34:BL53" si="58">S34</f>
        <v>1</v>
      </c>
      <c r="BM34" s="21">
        <f t="shared" ref="BM34:BM53" si="59">BL34*G34</f>
        <v>6</v>
      </c>
      <c r="BN34" s="20"/>
      <c r="BO34" s="13">
        <f t="shared" ref="BO34:BO53" si="60">U34</f>
        <v>0</v>
      </c>
      <c r="BP34" s="19">
        <f t="shared" ref="BP34:BP53" si="61">BO34*G34</f>
        <v>0</v>
      </c>
      <c r="BQ34" s="20"/>
      <c r="BR34" s="13">
        <f t="shared" ref="BR34:BR53" si="62">W34</f>
        <v>0</v>
      </c>
      <c r="BS34" s="21">
        <f t="shared" ref="BS34:BS53" si="63">BR34*G34</f>
        <v>0</v>
      </c>
      <c r="BT34" s="20"/>
      <c r="BU34" s="13">
        <f t="shared" ref="BU34:BU53" si="64">Y34</f>
        <v>0</v>
      </c>
      <c r="BV34" s="19">
        <f t="shared" ref="BV34:BV53" si="65">BU34*G34</f>
        <v>0</v>
      </c>
      <c r="BW34" s="20"/>
      <c r="BX34" s="13">
        <f t="shared" ref="BX34:BX53" si="66">AA34</f>
        <v>0</v>
      </c>
      <c r="BY34" s="21">
        <f t="shared" ref="BY34:BY53" si="67">BX34*G34</f>
        <v>0</v>
      </c>
      <c r="BZ34" s="20"/>
      <c r="CA34" s="13">
        <f t="shared" ref="CA34:CA53" si="68">AC34</f>
        <v>0</v>
      </c>
      <c r="CB34" s="19">
        <f t="shared" ref="CB34:CB53" si="69">CA34*G34</f>
        <v>0</v>
      </c>
      <c r="CC34" s="20"/>
      <c r="CD34" s="13">
        <f t="shared" ref="CD34:CD53" si="70">AE34</f>
        <v>0</v>
      </c>
      <c r="CE34" s="21">
        <f t="shared" ref="CE34:CE53" si="71">CD34*G34</f>
        <v>0</v>
      </c>
      <c r="CF34" s="20"/>
      <c r="CG34" s="18">
        <f t="shared" ref="CG34:CG53" si="72">AG34</f>
        <v>0</v>
      </c>
      <c r="CH34" s="21">
        <f t="shared" si="45"/>
        <v>0</v>
      </c>
      <c r="CI34" s="20"/>
      <c r="CJ34" s="18">
        <f t="shared" ref="CJ34:CJ53" si="73">AI34</f>
        <v>0</v>
      </c>
      <c r="CK34" s="21">
        <f t="shared" ref="CK34:CK53" si="74">CJ34*G34</f>
        <v>0</v>
      </c>
      <c r="CL34" s="20"/>
      <c r="CM34" s="18">
        <f t="shared" ref="CM34:CM53" si="75">AK34</f>
        <v>0</v>
      </c>
      <c r="CN34" s="21">
        <f t="shared" ref="CN34:CN53" si="76">CM34*G34</f>
        <v>0</v>
      </c>
      <c r="CO34" s="20"/>
      <c r="CP34" s="18">
        <f t="shared" ref="CP34:CP53" si="77">AM34</f>
        <v>0</v>
      </c>
      <c r="CQ34" s="21">
        <f t="shared" ref="CQ34:CQ53" si="78">CP34*G34</f>
        <v>0</v>
      </c>
      <c r="CR34" s="20"/>
      <c r="CS34" s="18">
        <f t="shared" ref="CS34:CS53" si="79">AO34</f>
        <v>0</v>
      </c>
      <c r="CT34" s="19">
        <f t="shared" ref="CT34:CT53" si="80">CS34*G34</f>
        <v>0</v>
      </c>
      <c r="CU34" s="20"/>
      <c r="CV34" s="13">
        <f t="shared" ref="CV34:CV53" si="81">AQ34</f>
        <v>0</v>
      </c>
      <c r="CW34" s="21">
        <f t="shared" ref="CW34:CW53" si="82">CV34*G34</f>
        <v>0</v>
      </c>
      <c r="CX34" s="20"/>
      <c r="CY34" s="13">
        <f t="shared" ref="CY34:CY53" si="83">AS34</f>
        <v>0</v>
      </c>
      <c r="CZ34" s="19">
        <f t="shared" ref="CZ34:CZ53" si="84">CY34*G34</f>
        <v>0</v>
      </c>
      <c r="DA34" s="20"/>
      <c r="DB34" s="13">
        <f t="shared" ref="DB34:DB53" si="85">AU34</f>
        <v>0</v>
      </c>
      <c r="DC34" s="21">
        <f t="shared" ref="DC34:DC53" si="86">DB34*G34</f>
        <v>0</v>
      </c>
      <c r="DE34" s="97">
        <v>9</v>
      </c>
      <c r="DF34" s="32"/>
      <c r="DG34" s="61">
        <f t="shared" ref="DG34:DG53" si="87">C34</f>
        <v>0</v>
      </c>
      <c r="DH34" s="32"/>
      <c r="DI34" s="59">
        <f t="shared" ref="DI34:DI53" si="88">SUM(I34:AV34)</f>
        <v>1</v>
      </c>
      <c r="DJ34" s="32"/>
      <c r="DK34" s="59">
        <f t="shared" ref="DK34:DK53" si="89">DE34+DG34-DI34</f>
        <v>8</v>
      </c>
      <c r="DL34" s="32"/>
      <c r="DM34" s="96">
        <f t="shared" ref="DM34:DM53" si="90">E34*DK34</f>
        <v>40</v>
      </c>
      <c r="DN34" s="32"/>
      <c r="DO34" s="62">
        <f t="shared" ref="DO34:DO53" si="91">DK34/DI34</f>
        <v>8</v>
      </c>
      <c r="DP34" s="32"/>
      <c r="DQ34" s="96">
        <f t="shared" ref="DQ34:DQ53" si="92">G34*DK34</f>
        <v>48</v>
      </c>
      <c r="DR34" s="32"/>
      <c r="DS34" s="61"/>
      <c r="DT34" s="32"/>
      <c r="DU34" s="63">
        <v>0</v>
      </c>
      <c r="DV34" s="32"/>
      <c r="DW34" s="64">
        <f t="shared" si="46"/>
        <v>0</v>
      </c>
      <c r="DX34" s="32"/>
      <c r="DY34" s="63">
        <f t="shared" si="47"/>
        <v>0</v>
      </c>
    </row>
    <row r="35" spans="1:129" ht="12.45" customHeight="1" x14ac:dyDescent="0.3">
      <c r="A35" s="36" t="s">
        <v>38</v>
      </c>
      <c r="B35" s="32"/>
      <c r="C35" s="51"/>
      <c r="D35" s="34"/>
      <c r="E35" s="38">
        <v>5</v>
      </c>
      <c r="F35" s="34"/>
      <c r="G35" s="33">
        <v>6</v>
      </c>
      <c r="I35" s="26"/>
      <c r="J35" s="27"/>
      <c r="K35" s="28">
        <v>1</v>
      </c>
      <c r="L35" s="12"/>
      <c r="M35" s="26">
        <v>1</v>
      </c>
      <c r="N35" s="12"/>
      <c r="O35" s="28">
        <v>1</v>
      </c>
      <c r="P35" s="12"/>
      <c r="Q35" s="26"/>
      <c r="R35" s="12"/>
      <c r="S35" s="28"/>
      <c r="T35" s="12"/>
      <c r="U35" s="26">
        <v>1</v>
      </c>
      <c r="V35" s="12"/>
      <c r="W35" s="28"/>
      <c r="X35" s="12"/>
      <c r="Y35" s="26">
        <v>1</v>
      </c>
      <c r="Z35" s="12"/>
      <c r="AA35" s="28">
        <v>1</v>
      </c>
      <c r="AB35" s="12"/>
      <c r="AC35" s="26"/>
      <c r="AD35" s="12"/>
      <c r="AE35" s="28"/>
      <c r="AF35" s="12"/>
      <c r="AG35" s="26"/>
      <c r="AH35" s="12"/>
      <c r="AI35" s="28"/>
      <c r="AJ35" s="12"/>
      <c r="AK35" s="26"/>
      <c r="AL35" s="12"/>
      <c r="AM35" s="28"/>
      <c r="AN35" s="12"/>
      <c r="AO35" s="26"/>
      <c r="AP35" s="12"/>
      <c r="AQ35" s="28"/>
      <c r="AR35" s="12"/>
      <c r="AS35" s="26"/>
      <c r="AT35" s="12"/>
      <c r="AU35" s="28"/>
      <c r="AW35" s="18">
        <f t="shared" si="48"/>
        <v>0</v>
      </c>
      <c r="AX35" s="19">
        <f t="shared" si="49"/>
        <v>0</v>
      </c>
      <c r="AY35" s="20"/>
      <c r="AZ35" s="13">
        <f t="shared" si="50"/>
        <v>1</v>
      </c>
      <c r="BA35" s="21">
        <f t="shared" si="51"/>
        <v>6</v>
      </c>
      <c r="BB35" s="20"/>
      <c r="BC35" s="13">
        <f t="shared" si="52"/>
        <v>1</v>
      </c>
      <c r="BD35" s="19">
        <f t="shared" si="53"/>
        <v>6</v>
      </c>
      <c r="BE35" s="20"/>
      <c r="BF35" s="13">
        <f t="shared" si="54"/>
        <v>1</v>
      </c>
      <c r="BG35" s="21">
        <f t="shared" si="55"/>
        <v>6</v>
      </c>
      <c r="BH35" s="20"/>
      <c r="BI35" s="13">
        <f t="shared" si="56"/>
        <v>0</v>
      </c>
      <c r="BJ35" s="19">
        <f t="shared" si="57"/>
        <v>0</v>
      </c>
      <c r="BK35" s="20"/>
      <c r="BL35" s="13">
        <f t="shared" si="58"/>
        <v>0</v>
      </c>
      <c r="BM35" s="21">
        <f t="shared" si="59"/>
        <v>0</v>
      </c>
      <c r="BN35" s="20"/>
      <c r="BO35" s="13">
        <f t="shared" si="60"/>
        <v>1</v>
      </c>
      <c r="BP35" s="19">
        <f t="shared" si="61"/>
        <v>6</v>
      </c>
      <c r="BQ35" s="20"/>
      <c r="BR35" s="13">
        <f t="shared" si="62"/>
        <v>0</v>
      </c>
      <c r="BS35" s="21">
        <f t="shared" si="63"/>
        <v>0</v>
      </c>
      <c r="BT35" s="20"/>
      <c r="BU35" s="13">
        <f t="shared" si="64"/>
        <v>1</v>
      </c>
      <c r="BV35" s="19">
        <f t="shared" si="65"/>
        <v>6</v>
      </c>
      <c r="BW35" s="20"/>
      <c r="BX35" s="13">
        <f t="shared" si="66"/>
        <v>1</v>
      </c>
      <c r="BY35" s="21">
        <f t="shared" si="67"/>
        <v>6</v>
      </c>
      <c r="BZ35" s="20"/>
      <c r="CA35" s="13">
        <f t="shared" si="68"/>
        <v>0</v>
      </c>
      <c r="CB35" s="19">
        <f t="shared" si="69"/>
        <v>0</v>
      </c>
      <c r="CC35" s="20"/>
      <c r="CD35" s="13">
        <f t="shared" si="70"/>
        <v>0</v>
      </c>
      <c r="CE35" s="21">
        <f t="shared" si="71"/>
        <v>0</v>
      </c>
      <c r="CF35" s="20"/>
      <c r="CG35" s="18">
        <f t="shared" si="72"/>
        <v>0</v>
      </c>
      <c r="CH35" s="21">
        <f t="shared" ref="CH35:CH53" si="93">CG35*G35</f>
        <v>0</v>
      </c>
      <c r="CI35" s="20"/>
      <c r="CJ35" s="18">
        <f t="shared" si="73"/>
        <v>0</v>
      </c>
      <c r="CK35" s="21">
        <f t="shared" si="74"/>
        <v>0</v>
      </c>
      <c r="CL35" s="20"/>
      <c r="CM35" s="18">
        <f t="shared" si="75"/>
        <v>0</v>
      </c>
      <c r="CN35" s="21">
        <f t="shared" si="76"/>
        <v>0</v>
      </c>
      <c r="CO35" s="20"/>
      <c r="CP35" s="18">
        <f t="shared" si="77"/>
        <v>0</v>
      </c>
      <c r="CQ35" s="21">
        <f t="shared" si="78"/>
        <v>0</v>
      </c>
      <c r="CR35" s="20"/>
      <c r="CS35" s="18">
        <f t="shared" si="79"/>
        <v>0</v>
      </c>
      <c r="CT35" s="19">
        <f t="shared" si="80"/>
        <v>0</v>
      </c>
      <c r="CU35" s="20"/>
      <c r="CV35" s="13">
        <f t="shared" si="81"/>
        <v>0</v>
      </c>
      <c r="CW35" s="21">
        <f t="shared" si="82"/>
        <v>0</v>
      </c>
      <c r="CX35" s="20"/>
      <c r="CY35" s="13">
        <f t="shared" si="83"/>
        <v>0</v>
      </c>
      <c r="CZ35" s="19">
        <f t="shared" si="84"/>
        <v>0</v>
      </c>
      <c r="DA35" s="20"/>
      <c r="DB35" s="13">
        <f t="shared" si="85"/>
        <v>0</v>
      </c>
      <c r="DC35" s="21">
        <f t="shared" si="86"/>
        <v>0</v>
      </c>
      <c r="DE35" s="97">
        <v>16</v>
      </c>
      <c r="DF35" s="32"/>
      <c r="DG35" s="61">
        <f t="shared" si="87"/>
        <v>0</v>
      </c>
      <c r="DH35" s="32"/>
      <c r="DI35" s="59">
        <f t="shared" si="88"/>
        <v>6</v>
      </c>
      <c r="DJ35" s="32"/>
      <c r="DK35" s="59">
        <f t="shared" si="89"/>
        <v>10</v>
      </c>
      <c r="DL35" s="32"/>
      <c r="DM35" s="96">
        <f t="shared" si="90"/>
        <v>50</v>
      </c>
      <c r="DN35" s="32"/>
      <c r="DO35" s="62">
        <f t="shared" si="91"/>
        <v>1.6666666666666667</v>
      </c>
      <c r="DP35" s="32"/>
      <c r="DQ35" s="96">
        <f t="shared" si="92"/>
        <v>60</v>
      </c>
      <c r="DR35" s="32"/>
      <c r="DS35" s="61"/>
      <c r="DT35" s="32"/>
      <c r="DU35" s="63">
        <v>0</v>
      </c>
      <c r="DV35" s="32"/>
      <c r="DW35" s="64">
        <f t="shared" si="46"/>
        <v>0</v>
      </c>
      <c r="DX35" s="32"/>
      <c r="DY35" s="63">
        <f t="shared" si="47"/>
        <v>0</v>
      </c>
    </row>
    <row r="36" spans="1:129" ht="12.45" customHeight="1" x14ac:dyDescent="0.3">
      <c r="A36" s="37" t="s">
        <v>39</v>
      </c>
      <c r="B36" s="32"/>
      <c r="C36" s="51"/>
      <c r="D36" s="34"/>
      <c r="E36" s="38">
        <v>25</v>
      </c>
      <c r="F36" s="34"/>
      <c r="G36" s="33">
        <v>30</v>
      </c>
      <c r="I36" s="26"/>
      <c r="J36" s="27"/>
      <c r="K36" s="28"/>
      <c r="L36" s="12"/>
      <c r="M36" s="26"/>
      <c r="N36" s="12"/>
      <c r="O36" s="28"/>
      <c r="P36" s="12"/>
      <c r="Q36" s="26"/>
      <c r="R36" s="12"/>
      <c r="S36" s="28"/>
      <c r="T36" s="12"/>
      <c r="U36" s="26"/>
      <c r="V36" s="12"/>
      <c r="W36" s="28">
        <v>1</v>
      </c>
      <c r="X36" s="12"/>
      <c r="Y36" s="26"/>
      <c r="Z36" s="12"/>
      <c r="AA36" s="28"/>
      <c r="AB36" s="12"/>
      <c r="AC36" s="26"/>
      <c r="AD36" s="12"/>
      <c r="AE36" s="28"/>
      <c r="AF36" s="12"/>
      <c r="AG36" s="26"/>
      <c r="AH36" s="12"/>
      <c r="AI36" s="28"/>
      <c r="AJ36" s="12"/>
      <c r="AK36" s="26"/>
      <c r="AL36" s="12"/>
      <c r="AM36" s="28"/>
      <c r="AN36" s="12"/>
      <c r="AO36" s="26"/>
      <c r="AP36" s="12"/>
      <c r="AQ36" s="28"/>
      <c r="AR36" s="12"/>
      <c r="AS36" s="26"/>
      <c r="AT36" s="12"/>
      <c r="AU36" s="28"/>
      <c r="AW36" s="18">
        <f t="shared" si="48"/>
        <v>0</v>
      </c>
      <c r="AX36" s="19">
        <f t="shared" si="49"/>
        <v>0</v>
      </c>
      <c r="AY36" s="20"/>
      <c r="AZ36" s="13">
        <f t="shared" si="50"/>
        <v>0</v>
      </c>
      <c r="BA36" s="21">
        <f t="shared" si="51"/>
        <v>0</v>
      </c>
      <c r="BB36" s="20"/>
      <c r="BC36" s="13">
        <f t="shared" si="52"/>
        <v>0</v>
      </c>
      <c r="BD36" s="19">
        <f t="shared" si="53"/>
        <v>0</v>
      </c>
      <c r="BE36" s="20"/>
      <c r="BF36" s="13">
        <f t="shared" si="54"/>
        <v>0</v>
      </c>
      <c r="BG36" s="21">
        <f t="shared" si="55"/>
        <v>0</v>
      </c>
      <c r="BH36" s="20"/>
      <c r="BI36" s="13">
        <f t="shared" si="56"/>
        <v>0</v>
      </c>
      <c r="BJ36" s="19">
        <f t="shared" si="57"/>
        <v>0</v>
      </c>
      <c r="BK36" s="20"/>
      <c r="BL36" s="13">
        <f t="shared" si="58"/>
        <v>0</v>
      </c>
      <c r="BM36" s="21">
        <f t="shared" si="59"/>
        <v>0</v>
      </c>
      <c r="BN36" s="20"/>
      <c r="BO36" s="13">
        <f t="shared" si="60"/>
        <v>0</v>
      </c>
      <c r="BP36" s="19">
        <f t="shared" si="61"/>
        <v>0</v>
      </c>
      <c r="BQ36" s="20"/>
      <c r="BR36" s="13">
        <f t="shared" si="62"/>
        <v>1</v>
      </c>
      <c r="BS36" s="21">
        <f t="shared" si="63"/>
        <v>30</v>
      </c>
      <c r="BT36" s="20"/>
      <c r="BU36" s="13">
        <f t="shared" si="64"/>
        <v>0</v>
      </c>
      <c r="BV36" s="19">
        <f t="shared" si="65"/>
        <v>0</v>
      </c>
      <c r="BW36" s="20"/>
      <c r="BX36" s="13">
        <f t="shared" si="66"/>
        <v>0</v>
      </c>
      <c r="BY36" s="21">
        <f t="shared" si="67"/>
        <v>0</v>
      </c>
      <c r="BZ36" s="20"/>
      <c r="CA36" s="13">
        <f t="shared" si="68"/>
        <v>0</v>
      </c>
      <c r="CB36" s="19">
        <f t="shared" si="69"/>
        <v>0</v>
      </c>
      <c r="CC36" s="20"/>
      <c r="CD36" s="13">
        <f t="shared" si="70"/>
        <v>0</v>
      </c>
      <c r="CE36" s="21">
        <f t="shared" si="71"/>
        <v>0</v>
      </c>
      <c r="CF36" s="20"/>
      <c r="CG36" s="18">
        <f t="shared" si="72"/>
        <v>0</v>
      </c>
      <c r="CH36" s="21">
        <f t="shared" si="93"/>
        <v>0</v>
      </c>
      <c r="CI36" s="20"/>
      <c r="CJ36" s="18">
        <f t="shared" si="73"/>
        <v>0</v>
      </c>
      <c r="CK36" s="21">
        <f t="shared" si="74"/>
        <v>0</v>
      </c>
      <c r="CL36" s="20"/>
      <c r="CM36" s="18">
        <f t="shared" si="75"/>
        <v>0</v>
      </c>
      <c r="CN36" s="21">
        <f t="shared" si="76"/>
        <v>0</v>
      </c>
      <c r="CO36" s="20"/>
      <c r="CP36" s="18">
        <f t="shared" si="77"/>
        <v>0</v>
      </c>
      <c r="CQ36" s="21">
        <f t="shared" si="78"/>
        <v>0</v>
      </c>
      <c r="CR36" s="20"/>
      <c r="CS36" s="18">
        <f t="shared" si="79"/>
        <v>0</v>
      </c>
      <c r="CT36" s="19">
        <f t="shared" si="80"/>
        <v>0</v>
      </c>
      <c r="CU36" s="20"/>
      <c r="CV36" s="13">
        <f t="shared" si="81"/>
        <v>0</v>
      </c>
      <c r="CW36" s="21">
        <f t="shared" si="82"/>
        <v>0</v>
      </c>
      <c r="CX36" s="20"/>
      <c r="CY36" s="13">
        <f t="shared" si="83"/>
        <v>0</v>
      </c>
      <c r="CZ36" s="19">
        <f t="shared" si="84"/>
        <v>0</v>
      </c>
      <c r="DA36" s="20"/>
      <c r="DB36" s="13">
        <f t="shared" si="85"/>
        <v>0</v>
      </c>
      <c r="DC36" s="21">
        <f t="shared" si="86"/>
        <v>0</v>
      </c>
      <c r="DE36" s="97">
        <v>18</v>
      </c>
      <c r="DF36" s="32"/>
      <c r="DG36" s="61">
        <f t="shared" si="87"/>
        <v>0</v>
      </c>
      <c r="DH36" s="32"/>
      <c r="DI36" s="59">
        <f t="shared" si="88"/>
        <v>1</v>
      </c>
      <c r="DJ36" s="32"/>
      <c r="DK36" s="59">
        <f t="shared" si="89"/>
        <v>17</v>
      </c>
      <c r="DL36" s="32"/>
      <c r="DM36" s="96">
        <f t="shared" si="90"/>
        <v>425</v>
      </c>
      <c r="DN36" s="32"/>
      <c r="DO36" s="62">
        <f t="shared" si="91"/>
        <v>17</v>
      </c>
      <c r="DP36" s="32"/>
      <c r="DQ36" s="96">
        <f t="shared" si="92"/>
        <v>510</v>
      </c>
      <c r="DR36" s="32"/>
      <c r="DS36" s="61"/>
      <c r="DT36" s="32"/>
      <c r="DU36" s="63">
        <v>0</v>
      </c>
      <c r="DV36" s="32"/>
      <c r="DW36" s="64">
        <f t="shared" ref="DW36:DW53" si="94">DU36*1.2</f>
        <v>0</v>
      </c>
      <c r="DX36" s="32"/>
      <c r="DY36" s="63">
        <f t="shared" ref="DY36:DY53" si="95">DU36*DS36</f>
        <v>0</v>
      </c>
    </row>
    <row r="37" spans="1:129" ht="12.45" customHeight="1" x14ac:dyDescent="0.3">
      <c r="A37" s="41" t="s">
        <v>40</v>
      </c>
      <c r="B37" s="32"/>
      <c r="C37" s="51"/>
      <c r="D37" s="34"/>
      <c r="E37" s="38">
        <v>25</v>
      </c>
      <c r="F37" s="34"/>
      <c r="G37" s="33">
        <v>30</v>
      </c>
      <c r="I37" s="26"/>
      <c r="J37" s="27"/>
      <c r="K37" s="28">
        <v>1</v>
      </c>
      <c r="L37" s="12"/>
      <c r="M37" s="26">
        <v>1</v>
      </c>
      <c r="N37" s="12"/>
      <c r="O37" s="28"/>
      <c r="P37" s="12"/>
      <c r="Q37" s="26"/>
      <c r="R37" s="12"/>
      <c r="S37" s="28"/>
      <c r="T37" s="12"/>
      <c r="U37" s="26"/>
      <c r="V37" s="12"/>
      <c r="W37" s="28"/>
      <c r="X37" s="12"/>
      <c r="Y37" s="26"/>
      <c r="Z37" s="12"/>
      <c r="AA37" s="28"/>
      <c r="AB37" s="12"/>
      <c r="AC37" s="26"/>
      <c r="AD37" s="12"/>
      <c r="AE37" s="28"/>
      <c r="AF37" s="12"/>
      <c r="AG37" s="26"/>
      <c r="AH37" s="12"/>
      <c r="AI37" s="28"/>
      <c r="AJ37" s="12"/>
      <c r="AK37" s="26"/>
      <c r="AL37" s="12"/>
      <c r="AM37" s="28"/>
      <c r="AN37" s="12"/>
      <c r="AO37" s="26"/>
      <c r="AP37" s="12"/>
      <c r="AQ37" s="28"/>
      <c r="AR37" s="12"/>
      <c r="AS37" s="26"/>
      <c r="AT37" s="12"/>
      <c r="AU37" s="28"/>
      <c r="AW37" s="18">
        <f t="shared" si="48"/>
        <v>0</v>
      </c>
      <c r="AX37" s="19">
        <f t="shared" si="49"/>
        <v>0</v>
      </c>
      <c r="AY37" s="20"/>
      <c r="AZ37" s="13">
        <f t="shared" si="50"/>
        <v>1</v>
      </c>
      <c r="BA37" s="21">
        <f t="shared" si="51"/>
        <v>30</v>
      </c>
      <c r="BB37" s="20"/>
      <c r="BC37" s="13">
        <f t="shared" si="52"/>
        <v>1</v>
      </c>
      <c r="BD37" s="19">
        <f t="shared" si="53"/>
        <v>30</v>
      </c>
      <c r="BE37" s="20"/>
      <c r="BF37" s="13">
        <f t="shared" si="54"/>
        <v>0</v>
      </c>
      <c r="BG37" s="21">
        <f t="shared" si="55"/>
        <v>0</v>
      </c>
      <c r="BH37" s="20"/>
      <c r="BI37" s="13">
        <f t="shared" si="56"/>
        <v>0</v>
      </c>
      <c r="BJ37" s="19">
        <f t="shared" si="57"/>
        <v>0</v>
      </c>
      <c r="BK37" s="20"/>
      <c r="BL37" s="13">
        <f t="shared" si="58"/>
        <v>0</v>
      </c>
      <c r="BM37" s="21">
        <f t="shared" si="59"/>
        <v>0</v>
      </c>
      <c r="BN37" s="20"/>
      <c r="BO37" s="13">
        <f t="shared" si="60"/>
        <v>0</v>
      </c>
      <c r="BP37" s="19">
        <f t="shared" si="61"/>
        <v>0</v>
      </c>
      <c r="BQ37" s="20"/>
      <c r="BR37" s="13">
        <f t="shared" si="62"/>
        <v>0</v>
      </c>
      <c r="BS37" s="21">
        <f t="shared" si="63"/>
        <v>0</v>
      </c>
      <c r="BT37" s="20"/>
      <c r="BU37" s="13">
        <f t="shared" si="64"/>
        <v>0</v>
      </c>
      <c r="BV37" s="19">
        <f t="shared" si="65"/>
        <v>0</v>
      </c>
      <c r="BW37" s="20"/>
      <c r="BX37" s="13">
        <f t="shared" si="66"/>
        <v>0</v>
      </c>
      <c r="BY37" s="21">
        <f t="shared" si="67"/>
        <v>0</v>
      </c>
      <c r="BZ37" s="20"/>
      <c r="CA37" s="13">
        <f t="shared" si="68"/>
        <v>0</v>
      </c>
      <c r="CB37" s="19">
        <f t="shared" si="69"/>
        <v>0</v>
      </c>
      <c r="CC37" s="20"/>
      <c r="CD37" s="13">
        <f t="shared" si="70"/>
        <v>0</v>
      </c>
      <c r="CE37" s="21">
        <f t="shared" si="71"/>
        <v>0</v>
      </c>
      <c r="CF37" s="20"/>
      <c r="CG37" s="18">
        <f t="shared" si="72"/>
        <v>0</v>
      </c>
      <c r="CH37" s="21">
        <f t="shared" si="93"/>
        <v>0</v>
      </c>
      <c r="CI37" s="20"/>
      <c r="CJ37" s="18">
        <f t="shared" si="73"/>
        <v>0</v>
      </c>
      <c r="CK37" s="21">
        <f t="shared" si="74"/>
        <v>0</v>
      </c>
      <c r="CL37" s="20"/>
      <c r="CM37" s="18">
        <f t="shared" si="75"/>
        <v>0</v>
      </c>
      <c r="CN37" s="21">
        <f t="shared" si="76"/>
        <v>0</v>
      </c>
      <c r="CO37" s="20"/>
      <c r="CP37" s="18">
        <f t="shared" si="77"/>
        <v>0</v>
      </c>
      <c r="CQ37" s="21">
        <f t="shared" si="78"/>
        <v>0</v>
      </c>
      <c r="CR37" s="20"/>
      <c r="CS37" s="18">
        <f t="shared" si="79"/>
        <v>0</v>
      </c>
      <c r="CT37" s="19">
        <f t="shared" si="80"/>
        <v>0</v>
      </c>
      <c r="CU37" s="20"/>
      <c r="CV37" s="13">
        <f t="shared" si="81"/>
        <v>0</v>
      </c>
      <c r="CW37" s="21">
        <f t="shared" si="82"/>
        <v>0</v>
      </c>
      <c r="CX37" s="20"/>
      <c r="CY37" s="13">
        <f t="shared" si="83"/>
        <v>0</v>
      </c>
      <c r="CZ37" s="19">
        <f t="shared" si="84"/>
        <v>0</v>
      </c>
      <c r="DA37" s="20"/>
      <c r="DB37" s="13">
        <f t="shared" si="85"/>
        <v>0</v>
      </c>
      <c r="DC37" s="21">
        <f t="shared" si="86"/>
        <v>0</v>
      </c>
      <c r="DE37" s="97">
        <v>42</v>
      </c>
      <c r="DF37" s="32"/>
      <c r="DG37" s="61">
        <f t="shared" si="87"/>
        <v>0</v>
      </c>
      <c r="DH37" s="32"/>
      <c r="DI37" s="59">
        <f t="shared" si="88"/>
        <v>2</v>
      </c>
      <c r="DJ37" s="32"/>
      <c r="DK37" s="59">
        <f t="shared" si="89"/>
        <v>40</v>
      </c>
      <c r="DL37" s="32"/>
      <c r="DM37" s="96">
        <f t="shared" si="90"/>
        <v>1000</v>
      </c>
      <c r="DN37" s="32"/>
      <c r="DO37" s="62">
        <f t="shared" si="91"/>
        <v>20</v>
      </c>
      <c r="DP37" s="32"/>
      <c r="DQ37" s="96">
        <f t="shared" si="92"/>
        <v>1200</v>
      </c>
      <c r="DR37" s="32"/>
      <c r="DS37" s="61"/>
      <c r="DT37" s="32"/>
      <c r="DU37" s="63">
        <v>0</v>
      </c>
      <c r="DV37" s="32"/>
      <c r="DW37" s="64">
        <f t="shared" si="94"/>
        <v>0</v>
      </c>
      <c r="DX37" s="32"/>
      <c r="DY37" s="63">
        <f t="shared" si="95"/>
        <v>0</v>
      </c>
    </row>
    <row r="38" spans="1:129" ht="12.45" customHeight="1" x14ac:dyDescent="0.3">
      <c r="A38" s="37" t="s">
        <v>41</v>
      </c>
      <c r="B38" s="32"/>
      <c r="C38" s="51"/>
      <c r="D38" s="34"/>
      <c r="E38" s="38">
        <v>25</v>
      </c>
      <c r="F38" s="34"/>
      <c r="G38" s="33">
        <v>30</v>
      </c>
      <c r="I38" s="26"/>
      <c r="J38" s="27"/>
      <c r="K38" s="28"/>
      <c r="L38" s="12"/>
      <c r="M38" s="26"/>
      <c r="N38" s="12"/>
      <c r="O38" s="28"/>
      <c r="P38" s="12"/>
      <c r="Q38" s="26"/>
      <c r="R38" s="12"/>
      <c r="S38" s="28"/>
      <c r="T38" s="12"/>
      <c r="U38" s="26"/>
      <c r="V38" s="12"/>
      <c r="W38" s="28">
        <v>1</v>
      </c>
      <c r="X38" s="12"/>
      <c r="Y38" s="26">
        <v>1</v>
      </c>
      <c r="Z38" s="12"/>
      <c r="AA38" s="28"/>
      <c r="AB38" s="12"/>
      <c r="AC38" s="26"/>
      <c r="AD38" s="12"/>
      <c r="AE38" s="28"/>
      <c r="AF38" s="12"/>
      <c r="AG38" s="26"/>
      <c r="AH38" s="12"/>
      <c r="AI38" s="28"/>
      <c r="AJ38" s="12"/>
      <c r="AK38" s="26"/>
      <c r="AL38" s="12"/>
      <c r="AM38" s="28"/>
      <c r="AN38" s="12"/>
      <c r="AO38" s="26"/>
      <c r="AP38" s="12"/>
      <c r="AQ38" s="28"/>
      <c r="AR38" s="12"/>
      <c r="AS38" s="26"/>
      <c r="AT38" s="12"/>
      <c r="AU38" s="28"/>
      <c r="AW38" s="18">
        <f t="shared" si="48"/>
        <v>0</v>
      </c>
      <c r="AX38" s="19">
        <f t="shared" si="49"/>
        <v>0</v>
      </c>
      <c r="AY38" s="20"/>
      <c r="AZ38" s="13">
        <f t="shared" si="50"/>
        <v>0</v>
      </c>
      <c r="BA38" s="21">
        <f t="shared" si="51"/>
        <v>0</v>
      </c>
      <c r="BB38" s="20"/>
      <c r="BC38" s="13">
        <f t="shared" si="52"/>
        <v>0</v>
      </c>
      <c r="BD38" s="19">
        <f t="shared" si="53"/>
        <v>0</v>
      </c>
      <c r="BE38" s="20"/>
      <c r="BF38" s="13">
        <f t="shared" si="54"/>
        <v>0</v>
      </c>
      <c r="BG38" s="21">
        <f t="shared" si="55"/>
        <v>0</v>
      </c>
      <c r="BH38" s="20"/>
      <c r="BI38" s="13">
        <f t="shared" si="56"/>
        <v>0</v>
      </c>
      <c r="BJ38" s="19">
        <f t="shared" si="57"/>
        <v>0</v>
      </c>
      <c r="BK38" s="20"/>
      <c r="BL38" s="13">
        <f t="shared" si="58"/>
        <v>0</v>
      </c>
      <c r="BM38" s="21">
        <f t="shared" si="59"/>
        <v>0</v>
      </c>
      <c r="BN38" s="20"/>
      <c r="BO38" s="13">
        <f t="shared" si="60"/>
        <v>0</v>
      </c>
      <c r="BP38" s="19">
        <f t="shared" si="61"/>
        <v>0</v>
      </c>
      <c r="BQ38" s="20"/>
      <c r="BR38" s="13">
        <f t="shared" si="62"/>
        <v>1</v>
      </c>
      <c r="BS38" s="21">
        <f t="shared" si="63"/>
        <v>30</v>
      </c>
      <c r="BT38" s="20"/>
      <c r="BU38" s="13">
        <f t="shared" si="64"/>
        <v>1</v>
      </c>
      <c r="BV38" s="19">
        <f t="shared" si="65"/>
        <v>30</v>
      </c>
      <c r="BW38" s="20"/>
      <c r="BX38" s="13">
        <f t="shared" si="66"/>
        <v>0</v>
      </c>
      <c r="BY38" s="21">
        <f t="shared" si="67"/>
        <v>0</v>
      </c>
      <c r="BZ38" s="20"/>
      <c r="CA38" s="13">
        <f t="shared" si="68"/>
        <v>0</v>
      </c>
      <c r="CB38" s="19">
        <f t="shared" si="69"/>
        <v>0</v>
      </c>
      <c r="CC38" s="20"/>
      <c r="CD38" s="13">
        <f t="shared" si="70"/>
        <v>0</v>
      </c>
      <c r="CE38" s="21">
        <f t="shared" si="71"/>
        <v>0</v>
      </c>
      <c r="CF38" s="20"/>
      <c r="CG38" s="18">
        <f t="shared" si="72"/>
        <v>0</v>
      </c>
      <c r="CH38" s="21">
        <f t="shared" si="93"/>
        <v>0</v>
      </c>
      <c r="CI38" s="20"/>
      <c r="CJ38" s="18">
        <f t="shared" si="73"/>
        <v>0</v>
      </c>
      <c r="CK38" s="21">
        <f t="shared" si="74"/>
        <v>0</v>
      </c>
      <c r="CL38" s="20"/>
      <c r="CM38" s="18">
        <f t="shared" si="75"/>
        <v>0</v>
      </c>
      <c r="CN38" s="21">
        <f t="shared" si="76"/>
        <v>0</v>
      </c>
      <c r="CO38" s="20"/>
      <c r="CP38" s="18">
        <f t="shared" si="77"/>
        <v>0</v>
      </c>
      <c r="CQ38" s="21">
        <f t="shared" si="78"/>
        <v>0</v>
      </c>
      <c r="CR38" s="20"/>
      <c r="CS38" s="18">
        <f t="shared" si="79"/>
        <v>0</v>
      </c>
      <c r="CT38" s="19">
        <f t="shared" si="80"/>
        <v>0</v>
      </c>
      <c r="CU38" s="20"/>
      <c r="CV38" s="13">
        <f t="shared" si="81"/>
        <v>0</v>
      </c>
      <c r="CW38" s="21">
        <f t="shared" si="82"/>
        <v>0</v>
      </c>
      <c r="CX38" s="20"/>
      <c r="CY38" s="13">
        <f t="shared" si="83"/>
        <v>0</v>
      </c>
      <c r="CZ38" s="19">
        <f t="shared" si="84"/>
        <v>0</v>
      </c>
      <c r="DA38" s="20"/>
      <c r="DB38" s="13">
        <f t="shared" si="85"/>
        <v>0</v>
      </c>
      <c r="DC38" s="21">
        <f t="shared" si="86"/>
        <v>0</v>
      </c>
      <c r="DE38" s="97">
        <v>76</v>
      </c>
      <c r="DF38" s="32"/>
      <c r="DG38" s="61">
        <f t="shared" si="87"/>
        <v>0</v>
      </c>
      <c r="DH38" s="32"/>
      <c r="DI38" s="59">
        <f t="shared" si="88"/>
        <v>2</v>
      </c>
      <c r="DJ38" s="32"/>
      <c r="DK38" s="59">
        <f t="shared" si="89"/>
        <v>74</v>
      </c>
      <c r="DL38" s="32"/>
      <c r="DM38" s="96">
        <f t="shared" si="90"/>
        <v>1850</v>
      </c>
      <c r="DN38" s="32"/>
      <c r="DO38" s="62">
        <f t="shared" si="91"/>
        <v>37</v>
      </c>
      <c r="DP38" s="32"/>
      <c r="DQ38" s="96">
        <f t="shared" si="92"/>
        <v>2220</v>
      </c>
      <c r="DR38" s="32"/>
      <c r="DS38" s="61"/>
      <c r="DT38" s="32"/>
      <c r="DU38" s="63">
        <v>0</v>
      </c>
      <c r="DV38" s="32"/>
      <c r="DW38" s="64">
        <f t="shared" si="94"/>
        <v>0</v>
      </c>
      <c r="DX38" s="32"/>
      <c r="DY38" s="63">
        <f t="shared" si="95"/>
        <v>0</v>
      </c>
    </row>
    <row r="39" spans="1:129" ht="12.45" customHeight="1" x14ac:dyDescent="0.3">
      <c r="A39" s="36" t="s">
        <v>42</v>
      </c>
      <c r="B39" s="32"/>
      <c r="C39" s="51"/>
      <c r="D39" s="34"/>
      <c r="E39" s="38">
        <v>25</v>
      </c>
      <c r="F39" s="34"/>
      <c r="G39" s="33">
        <v>30</v>
      </c>
      <c r="I39" s="26"/>
      <c r="J39" s="27"/>
      <c r="K39" s="28"/>
      <c r="L39" s="12"/>
      <c r="M39" s="26">
        <v>1</v>
      </c>
      <c r="N39" s="12"/>
      <c r="O39" s="28"/>
      <c r="P39" s="12"/>
      <c r="Q39" s="26"/>
      <c r="R39" s="12"/>
      <c r="S39" s="28"/>
      <c r="T39" s="12"/>
      <c r="U39" s="26"/>
      <c r="V39" s="12"/>
      <c r="W39" s="28"/>
      <c r="X39" s="12"/>
      <c r="Y39" s="26">
        <v>1</v>
      </c>
      <c r="Z39" s="12"/>
      <c r="AA39" s="28"/>
      <c r="AB39" s="12"/>
      <c r="AC39" s="26"/>
      <c r="AD39" s="12"/>
      <c r="AE39" s="28"/>
      <c r="AF39" s="12"/>
      <c r="AG39" s="26"/>
      <c r="AH39" s="12"/>
      <c r="AI39" s="28"/>
      <c r="AJ39" s="12"/>
      <c r="AK39" s="26"/>
      <c r="AL39" s="12"/>
      <c r="AM39" s="28"/>
      <c r="AN39" s="12"/>
      <c r="AO39" s="26"/>
      <c r="AP39" s="12"/>
      <c r="AQ39" s="28"/>
      <c r="AR39" s="12"/>
      <c r="AS39" s="26"/>
      <c r="AT39" s="12"/>
      <c r="AU39" s="28"/>
      <c r="AW39" s="18">
        <f t="shared" si="48"/>
        <v>0</v>
      </c>
      <c r="AX39" s="19">
        <f t="shared" si="49"/>
        <v>0</v>
      </c>
      <c r="AY39" s="20"/>
      <c r="AZ39" s="13">
        <f t="shared" si="50"/>
        <v>0</v>
      </c>
      <c r="BA39" s="21">
        <f t="shared" si="51"/>
        <v>0</v>
      </c>
      <c r="BB39" s="20"/>
      <c r="BC39" s="13">
        <f t="shared" si="52"/>
        <v>1</v>
      </c>
      <c r="BD39" s="19">
        <f t="shared" si="53"/>
        <v>30</v>
      </c>
      <c r="BE39" s="20"/>
      <c r="BF39" s="13">
        <f t="shared" si="54"/>
        <v>0</v>
      </c>
      <c r="BG39" s="21">
        <f t="shared" si="55"/>
        <v>0</v>
      </c>
      <c r="BH39" s="20"/>
      <c r="BI39" s="13">
        <f t="shared" si="56"/>
        <v>0</v>
      </c>
      <c r="BJ39" s="19">
        <f t="shared" si="57"/>
        <v>0</v>
      </c>
      <c r="BK39" s="20"/>
      <c r="BL39" s="13">
        <f t="shared" si="58"/>
        <v>0</v>
      </c>
      <c r="BM39" s="21">
        <f t="shared" si="59"/>
        <v>0</v>
      </c>
      <c r="BN39" s="20"/>
      <c r="BO39" s="13">
        <f t="shared" si="60"/>
        <v>0</v>
      </c>
      <c r="BP39" s="19">
        <f t="shared" si="61"/>
        <v>0</v>
      </c>
      <c r="BQ39" s="20"/>
      <c r="BR39" s="13">
        <f t="shared" si="62"/>
        <v>0</v>
      </c>
      <c r="BS39" s="21">
        <f t="shared" si="63"/>
        <v>0</v>
      </c>
      <c r="BT39" s="20"/>
      <c r="BU39" s="13">
        <f t="shared" si="64"/>
        <v>1</v>
      </c>
      <c r="BV39" s="19">
        <f t="shared" si="65"/>
        <v>30</v>
      </c>
      <c r="BW39" s="20"/>
      <c r="BX39" s="13">
        <f t="shared" si="66"/>
        <v>0</v>
      </c>
      <c r="BY39" s="21">
        <f t="shared" si="67"/>
        <v>0</v>
      </c>
      <c r="BZ39" s="20"/>
      <c r="CA39" s="13">
        <f t="shared" si="68"/>
        <v>0</v>
      </c>
      <c r="CB39" s="19">
        <f t="shared" si="69"/>
        <v>0</v>
      </c>
      <c r="CC39" s="20"/>
      <c r="CD39" s="13">
        <f t="shared" si="70"/>
        <v>0</v>
      </c>
      <c r="CE39" s="21">
        <f t="shared" si="71"/>
        <v>0</v>
      </c>
      <c r="CF39" s="20"/>
      <c r="CG39" s="18">
        <f t="shared" si="72"/>
        <v>0</v>
      </c>
      <c r="CH39" s="21">
        <f t="shared" si="93"/>
        <v>0</v>
      </c>
      <c r="CI39" s="20"/>
      <c r="CJ39" s="18">
        <f t="shared" si="73"/>
        <v>0</v>
      </c>
      <c r="CK39" s="21">
        <f t="shared" si="74"/>
        <v>0</v>
      </c>
      <c r="CL39" s="20"/>
      <c r="CM39" s="18">
        <f t="shared" si="75"/>
        <v>0</v>
      </c>
      <c r="CN39" s="21">
        <f t="shared" si="76"/>
        <v>0</v>
      </c>
      <c r="CO39" s="20"/>
      <c r="CP39" s="18">
        <f t="shared" si="77"/>
        <v>0</v>
      </c>
      <c r="CQ39" s="21">
        <f t="shared" si="78"/>
        <v>0</v>
      </c>
      <c r="CR39" s="20"/>
      <c r="CS39" s="18">
        <f t="shared" si="79"/>
        <v>0</v>
      </c>
      <c r="CT39" s="19">
        <f t="shared" si="80"/>
        <v>0</v>
      </c>
      <c r="CU39" s="20"/>
      <c r="CV39" s="13">
        <f t="shared" si="81"/>
        <v>0</v>
      </c>
      <c r="CW39" s="21">
        <f t="shared" si="82"/>
        <v>0</v>
      </c>
      <c r="CX39" s="20"/>
      <c r="CY39" s="13">
        <f t="shared" si="83"/>
        <v>0</v>
      </c>
      <c r="CZ39" s="19">
        <f t="shared" si="84"/>
        <v>0</v>
      </c>
      <c r="DA39" s="20"/>
      <c r="DB39" s="13">
        <f t="shared" si="85"/>
        <v>0</v>
      </c>
      <c r="DC39" s="21">
        <f t="shared" si="86"/>
        <v>0</v>
      </c>
      <c r="DE39" s="97">
        <v>58</v>
      </c>
      <c r="DF39" s="32"/>
      <c r="DG39" s="61">
        <f t="shared" si="87"/>
        <v>0</v>
      </c>
      <c r="DH39" s="32"/>
      <c r="DI39" s="59">
        <f t="shared" si="88"/>
        <v>2</v>
      </c>
      <c r="DJ39" s="32"/>
      <c r="DK39" s="59">
        <f t="shared" si="89"/>
        <v>56</v>
      </c>
      <c r="DL39" s="32"/>
      <c r="DM39" s="96">
        <f t="shared" si="90"/>
        <v>1400</v>
      </c>
      <c r="DN39" s="32"/>
      <c r="DO39" s="62">
        <f t="shared" si="91"/>
        <v>28</v>
      </c>
      <c r="DP39" s="32"/>
      <c r="DQ39" s="96">
        <f t="shared" si="92"/>
        <v>1680</v>
      </c>
      <c r="DR39" s="32"/>
      <c r="DS39" s="61"/>
      <c r="DT39" s="32"/>
      <c r="DU39" s="63">
        <v>0</v>
      </c>
      <c r="DV39" s="32"/>
      <c r="DW39" s="64">
        <f t="shared" si="94"/>
        <v>0</v>
      </c>
      <c r="DX39" s="32"/>
      <c r="DY39" s="63">
        <f t="shared" si="95"/>
        <v>0</v>
      </c>
    </row>
    <row r="40" spans="1:129" s="8" customFormat="1" ht="12.45" customHeight="1" x14ac:dyDescent="0.3">
      <c r="A40" s="37" t="s">
        <v>43</v>
      </c>
      <c r="B40" s="32"/>
      <c r="C40" s="51"/>
      <c r="D40" s="34"/>
      <c r="E40" s="38">
        <v>25</v>
      </c>
      <c r="F40" s="34"/>
      <c r="G40" s="33">
        <v>30</v>
      </c>
      <c r="H40" s="3"/>
      <c r="I40" s="26"/>
      <c r="J40" s="27"/>
      <c r="K40" s="28">
        <v>1</v>
      </c>
      <c r="L40" s="12"/>
      <c r="M40" s="26"/>
      <c r="N40" s="12"/>
      <c r="O40" s="28"/>
      <c r="P40" s="12"/>
      <c r="Q40" s="26"/>
      <c r="R40" s="12"/>
      <c r="S40" s="28"/>
      <c r="T40" s="12"/>
      <c r="U40" s="26"/>
      <c r="V40" s="12"/>
      <c r="W40" s="28"/>
      <c r="X40" s="12"/>
      <c r="Y40" s="26"/>
      <c r="Z40" s="12"/>
      <c r="AA40" s="28"/>
      <c r="AB40" s="12"/>
      <c r="AC40" s="26"/>
      <c r="AD40" s="12"/>
      <c r="AE40" s="28"/>
      <c r="AF40" s="12"/>
      <c r="AG40" s="26"/>
      <c r="AH40" s="12"/>
      <c r="AI40" s="28"/>
      <c r="AJ40" s="12"/>
      <c r="AK40" s="26"/>
      <c r="AL40" s="12"/>
      <c r="AM40" s="28"/>
      <c r="AN40" s="12"/>
      <c r="AO40" s="26"/>
      <c r="AP40" s="12"/>
      <c r="AQ40" s="28"/>
      <c r="AR40" s="12"/>
      <c r="AS40" s="26"/>
      <c r="AT40" s="12"/>
      <c r="AU40" s="28"/>
      <c r="AV40" s="3"/>
      <c r="AW40" s="18">
        <f t="shared" si="48"/>
        <v>0</v>
      </c>
      <c r="AX40" s="19">
        <f t="shared" si="49"/>
        <v>0</v>
      </c>
      <c r="AY40" s="20"/>
      <c r="AZ40" s="13">
        <f t="shared" si="50"/>
        <v>1</v>
      </c>
      <c r="BA40" s="21">
        <f t="shared" si="51"/>
        <v>30</v>
      </c>
      <c r="BB40" s="20"/>
      <c r="BC40" s="13">
        <f t="shared" si="52"/>
        <v>0</v>
      </c>
      <c r="BD40" s="19">
        <f t="shared" si="53"/>
        <v>0</v>
      </c>
      <c r="BE40" s="20"/>
      <c r="BF40" s="13">
        <f t="shared" si="54"/>
        <v>0</v>
      </c>
      <c r="BG40" s="21">
        <f t="shared" si="55"/>
        <v>0</v>
      </c>
      <c r="BH40" s="20"/>
      <c r="BI40" s="13">
        <f t="shared" si="56"/>
        <v>0</v>
      </c>
      <c r="BJ40" s="19">
        <f t="shared" si="57"/>
        <v>0</v>
      </c>
      <c r="BK40" s="20"/>
      <c r="BL40" s="13">
        <f t="shared" si="58"/>
        <v>0</v>
      </c>
      <c r="BM40" s="21">
        <f t="shared" si="59"/>
        <v>0</v>
      </c>
      <c r="BN40" s="20"/>
      <c r="BO40" s="13">
        <f t="shared" si="60"/>
        <v>0</v>
      </c>
      <c r="BP40" s="19">
        <f t="shared" si="61"/>
        <v>0</v>
      </c>
      <c r="BQ40" s="20"/>
      <c r="BR40" s="13">
        <f t="shared" si="62"/>
        <v>0</v>
      </c>
      <c r="BS40" s="21">
        <f t="shared" si="63"/>
        <v>0</v>
      </c>
      <c r="BT40" s="20"/>
      <c r="BU40" s="13">
        <f t="shared" si="64"/>
        <v>0</v>
      </c>
      <c r="BV40" s="19">
        <f t="shared" si="65"/>
        <v>0</v>
      </c>
      <c r="BW40" s="20"/>
      <c r="BX40" s="13">
        <f t="shared" si="66"/>
        <v>0</v>
      </c>
      <c r="BY40" s="21">
        <f t="shared" si="67"/>
        <v>0</v>
      </c>
      <c r="BZ40" s="20"/>
      <c r="CA40" s="13">
        <f t="shared" si="68"/>
        <v>0</v>
      </c>
      <c r="CB40" s="19">
        <f t="shared" si="69"/>
        <v>0</v>
      </c>
      <c r="CC40" s="20"/>
      <c r="CD40" s="13">
        <f t="shared" si="70"/>
        <v>0</v>
      </c>
      <c r="CE40" s="21">
        <f t="shared" si="71"/>
        <v>0</v>
      </c>
      <c r="CF40" s="20"/>
      <c r="CG40" s="18">
        <f t="shared" si="72"/>
        <v>0</v>
      </c>
      <c r="CH40" s="21">
        <f t="shared" si="93"/>
        <v>0</v>
      </c>
      <c r="CI40" s="20"/>
      <c r="CJ40" s="18">
        <f t="shared" si="73"/>
        <v>0</v>
      </c>
      <c r="CK40" s="21">
        <f t="shared" si="74"/>
        <v>0</v>
      </c>
      <c r="CL40" s="20"/>
      <c r="CM40" s="18">
        <f t="shared" si="75"/>
        <v>0</v>
      </c>
      <c r="CN40" s="21">
        <f t="shared" si="76"/>
        <v>0</v>
      </c>
      <c r="CO40" s="20"/>
      <c r="CP40" s="18">
        <f t="shared" si="77"/>
        <v>0</v>
      </c>
      <c r="CQ40" s="21">
        <f t="shared" si="78"/>
        <v>0</v>
      </c>
      <c r="CR40" s="20"/>
      <c r="CS40" s="18">
        <f t="shared" si="79"/>
        <v>0</v>
      </c>
      <c r="CT40" s="19">
        <f t="shared" si="80"/>
        <v>0</v>
      </c>
      <c r="CU40" s="20"/>
      <c r="CV40" s="13">
        <f t="shared" si="81"/>
        <v>0</v>
      </c>
      <c r="CW40" s="21">
        <f t="shared" si="82"/>
        <v>0</v>
      </c>
      <c r="CX40" s="20"/>
      <c r="CY40" s="13">
        <f t="shared" si="83"/>
        <v>0</v>
      </c>
      <c r="CZ40" s="19">
        <f t="shared" si="84"/>
        <v>0</v>
      </c>
      <c r="DA40" s="20"/>
      <c r="DB40" s="13">
        <f t="shared" si="85"/>
        <v>0</v>
      </c>
      <c r="DC40" s="21">
        <f t="shared" si="86"/>
        <v>0</v>
      </c>
      <c r="DD40" s="3"/>
      <c r="DE40" s="97">
        <v>65</v>
      </c>
      <c r="DF40" s="32"/>
      <c r="DG40" s="61">
        <f t="shared" si="87"/>
        <v>0</v>
      </c>
      <c r="DH40" s="32"/>
      <c r="DI40" s="59">
        <f t="shared" si="88"/>
        <v>1</v>
      </c>
      <c r="DJ40" s="32"/>
      <c r="DK40" s="59">
        <f t="shared" si="89"/>
        <v>64</v>
      </c>
      <c r="DL40" s="32"/>
      <c r="DM40" s="96">
        <f t="shared" si="90"/>
        <v>1600</v>
      </c>
      <c r="DN40" s="32"/>
      <c r="DO40" s="62">
        <f t="shared" si="91"/>
        <v>64</v>
      </c>
      <c r="DP40" s="32"/>
      <c r="DQ40" s="96">
        <f t="shared" si="92"/>
        <v>1920</v>
      </c>
      <c r="DR40" s="32"/>
      <c r="DS40" s="61"/>
      <c r="DT40" s="32"/>
      <c r="DU40" s="63">
        <v>0</v>
      </c>
      <c r="DV40" s="32"/>
      <c r="DW40" s="64">
        <f t="shared" si="94"/>
        <v>0</v>
      </c>
      <c r="DX40" s="32"/>
      <c r="DY40" s="63">
        <f t="shared" si="95"/>
        <v>0</v>
      </c>
    </row>
    <row r="41" spans="1:129" ht="12.45" customHeight="1" x14ac:dyDescent="0.3">
      <c r="A41" s="36" t="s">
        <v>44</v>
      </c>
      <c r="B41" s="32"/>
      <c r="C41" s="51"/>
      <c r="D41" s="34"/>
      <c r="E41" s="38">
        <v>25</v>
      </c>
      <c r="F41" s="34"/>
      <c r="G41" s="33">
        <v>30</v>
      </c>
      <c r="I41" s="26"/>
      <c r="J41" s="27"/>
      <c r="K41" s="28"/>
      <c r="L41" s="12"/>
      <c r="M41" s="26"/>
      <c r="N41" s="12"/>
      <c r="O41" s="28"/>
      <c r="P41" s="12"/>
      <c r="Q41" s="26"/>
      <c r="R41" s="12"/>
      <c r="S41" s="28"/>
      <c r="T41" s="12"/>
      <c r="U41" s="26"/>
      <c r="V41" s="12"/>
      <c r="W41" s="28">
        <v>1</v>
      </c>
      <c r="X41" s="12"/>
      <c r="Y41" s="26"/>
      <c r="Z41" s="12"/>
      <c r="AA41" s="28"/>
      <c r="AB41" s="12"/>
      <c r="AC41" s="26"/>
      <c r="AD41" s="12"/>
      <c r="AE41" s="28"/>
      <c r="AF41" s="12"/>
      <c r="AG41" s="26"/>
      <c r="AH41" s="12"/>
      <c r="AI41" s="28"/>
      <c r="AJ41" s="12"/>
      <c r="AK41" s="26"/>
      <c r="AL41" s="12"/>
      <c r="AM41" s="28"/>
      <c r="AN41" s="12"/>
      <c r="AO41" s="26"/>
      <c r="AP41" s="12"/>
      <c r="AQ41" s="28"/>
      <c r="AR41" s="12"/>
      <c r="AS41" s="26"/>
      <c r="AT41" s="12"/>
      <c r="AU41" s="28"/>
      <c r="AW41" s="18">
        <f t="shared" si="48"/>
        <v>0</v>
      </c>
      <c r="AX41" s="19">
        <f t="shared" si="49"/>
        <v>0</v>
      </c>
      <c r="AY41" s="20"/>
      <c r="AZ41" s="13">
        <f t="shared" si="50"/>
        <v>0</v>
      </c>
      <c r="BA41" s="21">
        <f t="shared" si="51"/>
        <v>0</v>
      </c>
      <c r="BB41" s="20"/>
      <c r="BC41" s="13">
        <f t="shared" si="52"/>
        <v>0</v>
      </c>
      <c r="BD41" s="19">
        <f t="shared" si="53"/>
        <v>0</v>
      </c>
      <c r="BE41" s="20"/>
      <c r="BF41" s="13">
        <f t="shared" si="54"/>
        <v>0</v>
      </c>
      <c r="BG41" s="21">
        <f t="shared" si="55"/>
        <v>0</v>
      </c>
      <c r="BH41" s="20"/>
      <c r="BI41" s="13">
        <f t="shared" si="56"/>
        <v>0</v>
      </c>
      <c r="BJ41" s="19">
        <f t="shared" si="57"/>
        <v>0</v>
      </c>
      <c r="BK41" s="20"/>
      <c r="BL41" s="13">
        <f t="shared" si="58"/>
        <v>0</v>
      </c>
      <c r="BM41" s="21">
        <f t="shared" si="59"/>
        <v>0</v>
      </c>
      <c r="BN41" s="20"/>
      <c r="BO41" s="13">
        <f t="shared" si="60"/>
        <v>0</v>
      </c>
      <c r="BP41" s="19">
        <f t="shared" si="61"/>
        <v>0</v>
      </c>
      <c r="BQ41" s="20"/>
      <c r="BR41" s="13">
        <f t="shared" si="62"/>
        <v>1</v>
      </c>
      <c r="BS41" s="21">
        <f t="shared" si="63"/>
        <v>30</v>
      </c>
      <c r="BT41" s="20"/>
      <c r="BU41" s="13">
        <f t="shared" si="64"/>
        <v>0</v>
      </c>
      <c r="BV41" s="19">
        <f t="shared" si="65"/>
        <v>0</v>
      </c>
      <c r="BW41" s="20"/>
      <c r="BX41" s="13">
        <f t="shared" si="66"/>
        <v>0</v>
      </c>
      <c r="BY41" s="21">
        <f t="shared" si="67"/>
        <v>0</v>
      </c>
      <c r="BZ41" s="20"/>
      <c r="CA41" s="13">
        <f t="shared" si="68"/>
        <v>0</v>
      </c>
      <c r="CB41" s="19">
        <f t="shared" si="69"/>
        <v>0</v>
      </c>
      <c r="CC41" s="20"/>
      <c r="CD41" s="13">
        <f t="shared" si="70"/>
        <v>0</v>
      </c>
      <c r="CE41" s="21">
        <f t="shared" si="71"/>
        <v>0</v>
      </c>
      <c r="CF41" s="20"/>
      <c r="CG41" s="18">
        <f t="shared" si="72"/>
        <v>0</v>
      </c>
      <c r="CH41" s="21">
        <f t="shared" si="93"/>
        <v>0</v>
      </c>
      <c r="CI41" s="20"/>
      <c r="CJ41" s="18">
        <f t="shared" si="73"/>
        <v>0</v>
      </c>
      <c r="CK41" s="21">
        <f t="shared" si="74"/>
        <v>0</v>
      </c>
      <c r="CL41" s="20"/>
      <c r="CM41" s="18">
        <f t="shared" si="75"/>
        <v>0</v>
      </c>
      <c r="CN41" s="21">
        <f t="shared" si="76"/>
        <v>0</v>
      </c>
      <c r="CO41" s="20"/>
      <c r="CP41" s="18">
        <f t="shared" si="77"/>
        <v>0</v>
      </c>
      <c r="CQ41" s="21">
        <f t="shared" si="78"/>
        <v>0</v>
      </c>
      <c r="CR41" s="20"/>
      <c r="CS41" s="18">
        <f t="shared" si="79"/>
        <v>0</v>
      </c>
      <c r="CT41" s="19">
        <f t="shared" si="80"/>
        <v>0</v>
      </c>
      <c r="CU41" s="20"/>
      <c r="CV41" s="13">
        <f t="shared" si="81"/>
        <v>0</v>
      </c>
      <c r="CW41" s="21">
        <f t="shared" si="82"/>
        <v>0</v>
      </c>
      <c r="CX41" s="20"/>
      <c r="CY41" s="13">
        <f t="shared" si="83"/>
        <v>0</v>
      </c>
      <c r="CZ41" s="19">
        <f t="shared" si="84"/>
        <v>0</v>
      </c>
      <c r="DA41" s="20"/>
      <c r="DB41" s="13">
        <f t="shared" si="85"/>
        <v>0</v>
      </c>
      <c r="DC41" s="21">
        <f t="shared" si="86"/>
        <v>0</v>
      </c>
      <c r="DE41" s="97">
        <v>48</v>
      </c>
      <c r="DF41" s="32"/>
      <c r="DG41" s="61">
        <f t="shared" si="87"/>
        <v>0</v>
      </c>
      <c r="DH41" s="32"/>
      <c r="DI41" s="59">
        <f t="shared" si="88"/>
        <v>1</v>
      </c>
      <c r="DJ41" s="32"/>
      <c r="DK41" s="59">
        <f t="shared" si="89"/>
        <v>47</v>
      </c>
      <c r="DL41" s="32"/>
      <c r="DM41" s="96">
        <f t="shared" si="90"/>
        <v>1175</v>
      </c>
      <c r="DN41" s="32"/>
      <c r="DO41" s="62">
        <f t="shared" si="91"/>
        <v>47</v>
      </c>
      <c r="DP41" s="32"/>
      <c r="DQ41" s="96">
        <f t="shared" si="92"/>
        <v>1410</v>
      </c>
      <c r="DR41" s="32"/>
      <c r="DS41" s="61"/>
      <c r="DT41" s="32"/>
      <c r="DU41" s="63">
        <v>0</v>
      </c>
      <c r="DV41" s="32"/>
      <c r="DW41" s="64">
        <f t="shared" si="94"/>
        <v>0</v>
      </c>
      <c r="DX41" s="32"/>
      <c r="DY41" s="63">
        <f t="shared" si="95"/>
        <v>0</v>
      </c>
    </row>
    <row r="42" spans="1:129" ht="12.45" customHeight="1" x14ac:dyDescent="0.3">
      <c r="A42" s="37" t="s">
        <v>45</v>
      </c>
      <c r="B42" s="32"/>
      <c r="C42" s="51"/>
      <c r="D42" s="34"/>
      <c r="E42" s="38">
        <v>25</v>
      </c>
      <c r="F42" s="34"/>
      <c r="G42" s="33">
        <v>30</v>
      </c>
      <c r="I42" s="26"/>
      <c r="J42" s="27"/>
      <c r="K42" s="28">
        <v>1</v>
      </c>
      <c r="L42" s="12"/>
      <c r="M42" s="26"/>
      <c r="N42" s="12"/>
      <c r="O42" s="28"/>
      <c r="P42" s="12"/>
      <c r="Q42" s="26"/>
      <c r="R42" s="12"/>
      <c r="S42" s="28"/>
      <c r="T42" s="12"/>
      <c r="U42" s="26"/>
      <c r="V42" s="12"/>
      <c r="W42" s="28">
        <v>1</v>
      </c>
      <c r="X42" s="12"/>
      <c r="Y42" s="26"/>
      <c r="Z42" s="12"/>
      <c r="AA42" s="28"/>
      <c r="AB42" s="12"/>
      <c r="AC42" s="26"/>
      <c r="AD42" s="12"/>
      <c r="AE42" s="28"/>
      <c r="AF42" s="12"/>
      <c r="AG42" s="26"/>
      <c r="AH42" s="12"/>
      <c r="AI42" s="28"/>
      <c r="AJ42" s="12"/>
      <c r="AK42" s="26"/>
      <c r="AL42" s="12"/>
      <c r="AM42" s="28"/>
      <c r="AN42" s="12"/>
      <c r="AO42" s="26"/>
      <c r="AP42" s="12"/>
      <c r="AQ42" s="28"/>
      <c r="AR42" s="12"/>
      <c r="AS42" s="26"/>
      <c r="AT42" s="12"/>
      <c r="AU42" s="28"/>
      <c r="AW42" s="18">
        <f t="shared" si="48"/>
        <v>0</v>
      </c>
      <c r="AX42" s="19">
        <f t="shared" si="49"/>
        <v>0</v>
      </c>
      <c r="AY42" s="20"/>
      <c r="AZ42" s="13">
        <f t="shared" si="50"/>
        <v>1</v>
      </c>
      <c r="BA42" s="21">
        <f t="shared" si="51"/>
        <v>30</v>
      </c>
      <c r="BB42" s="20"/>
      <c r="BC42" s="13">
        <f t="shared" si="52"/>
        <v>0</v>
      </c>
      <c r="BD42" s="19">
        <f t="shared" si="53"/>
        <v>0</v>
      </c>
      <c r="BE42" s="20"/>
      <c r="BF42" s="13">
        <f t="shared" si="54"/>
        <v>0</v>
      </c>
      <c r="BG42" s="21">
        <f t="shared" si="55"/>
        <v>0</v>
      </c>
      <c r="BH42" s="20"/>
      <c r="BI42" s="13">
        <f t="shared" si="56"/>
        <v>0</v>
      </c>
      <c r="BJ42" s="19">
        <f t="shared" si="57"/>
        <v>0</v>
      </c>
      <c r="BK42" s="20"/>
      <c r="BL42" s="13">
        <f t="shared" si="58"/>
        <v>0</v>
      </c>
      <c r="BM42" s="21">
        <f t="shared" si="59"/>
        <v>0</v>
      </c>
      <c r="BN42" s="20"/>
      <c r="BO42" s="13">
        <f t="shared" si="60"/>
        <v>0</v>
      </c>
      <c r="BP42" s="19">
        <f t="shared" si="61"/>
        <v>0</v>
      </c>
      <c r="BQ42" s="20"/>
      <c r="BR42" s="13">
        <f t="shared" si="62"/>
        <v>1</v>
      </c>
      <c r="BS42" s="21">
        <f t="shared" si="63"/>
        <v>30</v>
      </c>
      <c r="BT42" s="20"/>
      <c r="BU42" s="13">
        <f t="shared" si="64"/>
        <v>0</v>
      </c>
      <c r="BV42" s="19">
        <f t="shared" si="65"/>
        <v>0</v>
      </c>
      <c r="BW42" s="20"/>
      <c r="BX42" s="13">
        <f t="shared" si="66"/>
        <v>0</v>
      </c>
      <c r="BY42" s="21">
        <f t="shared" si="67"/>
        <v>0</v>
      </c>
      <c r="BZ42" s="20"/>
      <c r="CA42" s="13">
        <f t="shared" si="68"/>
        <v>0</v>
      </c>
      <c r="CB42" s="19">
        <f t="shared" si="69"/>
        <v>0</v>
      </c>
      <c r="CC42" s="20"/>
      <c r="CD42" s="13">
        <f t="shared" si="70"/>
        <v>0</v>
      </c>
      <c r="CE42" s="21">
        <f t="shared" si="71"/>
        <v>0</v>
      </c>
      <c r="CF42" s="20"/>
      <c r="CG42" s="18">
        <f t="shared" si="72"/>
        <v>0</v>
      </c>
      <c r="CH42" s="21">
        <f t="shared" si="93"/>
        <v>0</v>
      </c>
      <c r="CI42" s="20"/>
      <c r="CJ42" s="18">
        <f t="shared" si="73"/>
        <v>0</v>
      </c>
      <c r="CK42" s="21">
        <f t="shared" si="74"/>
        <v>0</v>
      </c>
      <c r="CL42" s="20"/>
      <c r="CM42" s="18">
        <f t="shared" si="75"/>
        <v>0</v>
      </c>
      <c r="CN42" s="21">
        <f t="shared" si="76"/>
        <v>0</v>
      </c>
      <c r="CO42" s="20"/>
      <c r="CP42" s="18">
        <f t="shared" si="77"/>
        <v>0</v>
      </c>
      <c r="CQ42" s="21">
        <f t="shared" si="78"/>
        <v>0</v>
      </c>
      <c r="CR42" s="20"/>
      <c r="CS42" s="18">
        <f t="shared" si="79"/>
        <v>0</v>
      </c>
      <c r="CT42" s="19">
        <f t="shared" si="80"/>
        <v>0</v>
      </c>
      <c r="CU42" s="20"/>
      <c r="CV42" s="13">
        <f t="shared" si="81"/>
        <v>0</v>
      </c>
      <c r="CW42" s="21">
        <f t="shared" si="82"/>
        <v>0</v>
      </c>
      <c r="CX42" s="20"/>
      <c r="CY42" s="13">
        <f t="shared" si="83"/>
        <v>0</v>
      </c>
      <c r="CZ42" s="19">
        <f t="shared" si="84"/>
        <v>0</v>
      </c>
      <c r="DA42" s="20"/>
      <c r="DB42" s="13">
        <f t="shared" si="85"/>
        <v>0</v>
      </c>
      <c r="DC42" s="21">
        <f t="shared" si="86"/>
        <v>0</v>
      </c>
      <c r="DE42" s="97">
        <v>16</v>
      </c>
      <c r="DF42" s="32"/>
      <c r="DG42" s="61">
        <f t="shared" si="87"/>
        <v>0</v>
      </c>
      <c r="DH42" s="32"/>
      <c r="DI42" s="59">
        <f t="shared" si="88"/>
        <v>2</v>
      </c>
      <c r="DJ42" s="32"/>
      <c r="DK42" s="59">
        <f t="shared" si="89"/>
        <v>14</v>
      </c>
      <c r="DL42" s="32"/>
      <c r="DM42" s="96">
        <f t="shared" si="90"/>
        <v>350</v>
      </c>
      <c r="DN42" s="32"/>
      <c r="DO42" s="62">
        <f t="shared" si="91"/>
        <v>7</v>
      </c>
      <c r="DP42" s="32"/>
      <c r="DQ42" s="96">
        <f t="shared" si="92"/>
        <v>420</v>
      </c>
      <c r="DR42" s="32"/>
      <c r="DS42" s="61"/>
      <c r="DT42" s="32"/>
      <c r="DU42" s="63">
        <v>0</v>
      </c>
      <c r="DV42" s="32"/>
      <c r="DW42" s="64">
        <f t="shared" si="94"/>
        <v>0</v>
      </c>
      <c r="DX42" s="32"/>
      <c r="DY42" s="63">
        <f t="shared" si="95"/>
        <v>0</v>
      </c>
    </row>
    <row r="43" spans="1:129" ht="12.45" customHeight="1" x14ac:dyDescent="0.3">
      <c r="A43" s="36" t="s">
        <v>46</v>
      </c>
      <c r="B43" s="32"/>
      <c r="C43" s="51"/>
      <c r="D43" s="34"/>
      <c r="E43" s="38">
        <v>25</v>
      </c>
      <c r="F43" s="34"/>
      <c r="G43" s="33">
        <v>30</v>
      </c>
      <c r="I43" s="26"/>
      <c r="J43" s="27"/>
      <c r="K43" s="28"/>
      <c r="L43" s="12"/>
      <c r="M43" s="26">
        <v>1</v>
      </c>
      <c r="N43" s="12"/>
      <c r="O43" s="28"/>
      <c r="P43" s="12"/>
      <c r="Q43" s="26"/>
      <c r="R43" s="12"/>
      <c r="S43" s="28"/>
      <c r="T43" s="12"/>
      <c r="U43" s="26">
        <v>1</v>
      </c>
      <c r="V43" s="12"/>
      <c r="W43" s="28"/>
      <c r="X43" s="12"/>
      <c r="Y43" s="26"/>
      <c r="Z43" s="12"/>
      <c r="AA43" s="28"/>
      <c r="AB43" s="12"/>
      <c r="AC43" s="26"/>
      <c r="AD43" s="12"/>
      <c r="AE43" s="28"/>
      <c r="AF43" s="12"/>
      <c r="AG43" s="26"/>
      <c r="AH43" s="12"/>
      <c r="AI43" s="28"/>
      <c r="AJ43" s="12"/>
      <c r="AK43" s="26"/>
      <c r="AL43" s="12"/>
      <c r="AM43" s="28"/>
      <c r="AN43" s="12"/>
      <c r="AO43" s="26"/>
      <c r="AP43" s="12"/>
      <c r="AQ43" s="28"/>
      <c r="AR43" s="12"/>
      <c r="AS43" s="26"/>
      <c r="AT43" s="12"/>
      <c r="AU43" s="28"/>
      <c r="AW43" s="18">
        <f t="shared" si="48"/>
        <v>0</v>
      </c>
      <c r="AX43" s="19">
        <f t="shared" si="49"/>
        <v>0</v>
      </c>
      <c r="AY43" s="20"/>
      <c r="AZ43" s="13">
        <f t="shared" si="50"/>
        <v>0</v>
      </c>
      <c r="BA43" s="21">
        <f t="shared" si="51"/>
        <v>0</v>
      </c>
      <c r="BB43" s="20"/>
      <c r="BC43" s="13">
        <f t="shared" si="52"/>
        <v>1</v>
      </c>
      <c r="BD43" s="19">
        <f t="shared" si="53"/>
        <v>30</v>
      </c>
      <c r="BE43" s="20"/>
      <c r="BF43" s="13">
        <f t="shared" si="54"/>
        <v>0</v>
      </c>
      <c r="BG43" s="21">
        <f t="shared" si="55"/>
        <v>0</v>
      </c>
      <c r="BH43" s="20"/>
      <c r="BI43" s="13">
        <f t="shared" si="56"/>
        <v>0</v>
      </c>
      <c r="BJ43" s="19">
        <f t="shared" si="57"/>
        <v>0</v>
      </c>
      <c r="BK43" s="20"/>
      <c r="BL43" s="13">
        <f t="shared" si="58"/>
        <v>0</v>
      </c>
      <c r="BM43" s="21">
        <f t="shared" si="59"/>
        <v>0</v>
      </c>
      <c r="BN43" s="20"/>
      <c r="BO43" s="13">
        <f t="shared" si="60"/>
        <v>1</v>
      </c>
      <c r="BP43" s="19">
        <f t="shared" si="61"/>
        <v>30</v>
      </c>
      <c r="BQ43" s="20"/>
      <c r="BR43" s="13">
        <f t="shared" si="62"/>
        <v>0</v>
      </c>
      <c r="BS43" s="21">
        <f t="shared" si="63"/>
        <v>0</v>
      </c>
      <c r="BT43" s="20"/>
      <c r="BU43" s="13">
        <f t="shared" si="64"/>
        <v>0</v>
      </c>
      <c r="BV43" s="19">
        <f t="shared" si="65"/>
        <v>0</v>
      </c>
      <c r="BW43" s="20"/>
      <c r="BX43" s="13">
        <f t="shared" si="66"/>
        <v>0</v>
      </c>
      <c r="BY43" s="21">
        <f t="shared" si="67"/>
        <v>0</v>
      </c>
      <c r="BZ43" s="20"/>
      <c r="CA43" s="13">
        <f t="shared" si="68"/>
        <v>0</v>
      </c>
      <c r="CB43" s="19">
        <f t="shared" si="69"/>
        <v>0</v>
      </c>
      <c r="CC43" s="20"/>
      <c r="CD43" s="13">
        <f t="shared" si="70"/>
        <v>0</v>
      </c>
      <c r="CE43" s="21">
        <f t="shared" si="71"/>
        <v>0</v>
      </c>
      <c r="CF43" s="20"/>
      <c r="CG43" s="18">
        <f t="shared" si="72"/>
        <v>0</v>
      </c>
      <c r="CH43" s="21">
        <f t="shared" si="93"/>
        <v>0</v>
      </c>
      <c r="CI43" s="20"/>
      <c r="CJ43" s="18">
        <f t="shared" si="73"/>
        <v>0</v>
      </c>
      <c r="CK43" s="21">
        <f t="shared" si="74"/>
        <v>0</v>
      </c>
      <c r="CL43" s="20"/>
      <c r="CM43" s="18">
        <f t="shared" si="75"/>
        <v>0</v>
      </c>
      <c r="CN43" s="21">
        <f t="shared" si="76"/>
        <v>0</v>
      </c>
      <c r="CO43" s="20"/>
      <c r="CP43" s="18">
        <f t="shared" si="77"/>
        <v>0</v>
      </c>
      <c r="CQ43" s="21">
        <f t="shared" si="78"/>
        <v>0</v>
      </c>
      <c r="CR43" s="20"/>
      <c r="CS43" s="18">
        <f t="shared" si="79"/>
        <v>0</v>
      </c>
      <c r="CT43" s="19">
        <f t="shared" si="80"/>
        <v>0</v>
      </c>
      <c r="CU43" s="20"/>
      <c r="CV43" s="13">
        <f t="shared" si="81"/>
        <v>0</v>
      </c>
      <c r="CW43" s="21">
        <f t="shared" si="82"/>
        <v>0</v>
      </c>
      <c r="CX43" s="20"/>
      <c r="CY43" s="13">
        <f t="shared" si="83"/>
        <v>0</v>
      </c>
      <c r="CZ43" s="19">
        <f t="shared" si="84"/>
        <v>0</v>
      </c>
      <c r="DA43" s="20"/>
      <c r="DB43" s="13">
        <f t="shared" si="85"/>
        <v>0</v>
      </c>
      <c r="DC43" s="21">
        <f t="shared" si="86"/>
        <v>0</v>
      </c>
      <c r="DE43" s="97">
        <v>58</v>
      </c>
      <c r="DF43" s="32"/>
      <c r="DG43" s="61">
        <f t="shared" si="87"/>
        <v>0</v>
      </c>
      <c r="DH43" s="32"/>
      <c r="DI43" s="59">
        <f t="shared" si="88"/>
        <v>2</v>
      </c>
      <c r="DJ43" s="32"/>
      <c r="DK43" s="59">
        <f t="shared" si="89"/>
        <v>56</v>
      </c>
      <c r="DL43" s="32"/>
      <c r="DM43" s="96">
        <f t="shared" si="90"/>
        <v>1400</v>
      </c>
      <c r="DN43" s="32"/>
      <c r="DO43" s="62">
        <f t="shared" si="91"/>
        <v>28</v>
      </c>
      <c r="DP43" s="32"/>
      <c r="DQ43" s="96">
        <f t="shared" si="92"/>
        <v>1680</v>
      </c>
      <c r="DR43" s="32"/>
      <c r="DS43" s="61"/>
      <c r="DT43" s="32"/>
      <c r="DU43" s="63">
        <v>0</v>
      </c>
      <c r="DV43" s="32"/>
      <c r="DW43" s="64">
        <f t="shared" si="94"/>
        <v>0</v>
      </c>
      <c r="DX43" s="32"/>
      <c r="DY43" s="63">
        <f t="shared" si="95"/>
        <v>0</v>
      </c>
    </row>
    <row r="44" spans="1:129" ht="12.45" customHeight="1" x14ac:dyDescent="0.3">
      <c r="A44" s="37" t="s">
        <v>47</v>
      </c>
      <c r="B44" s="32"/>
      <c r="C44" s="51"/>
      <c r="D44" s="34"/>
      <c r="E44" s="38">
        <v>35</v>
      </c>
      <c r="F44" s="34"/>
      <c r="G44" s="33">
        <v>42</v>
      </c>
      <c r="I44" s="26">
        <v>1</v>
      </c>
      <c r="J44" s="27"/>
      <c r="K44" s="28">
        <v>1</v>
      </c>
      <c r="L44" s="12"/>
      <c r="M44" s="26">
        <v>1</v>
      </c>
      <c r="N44" s="12"/>
      <c r="O44" s="28"/>
      <c r="P44" s="12"/>
      <c r="Q44" s="26">
        <v>1</v>
      </c>
      <c r="R44" s="12"/>
      <c r="S44" s="28"/>
      <c r="T44" s="12"/>
      <c r="U44" s="26">
        <v>1</v>
      </c>
      <c r="V44" s="12"/>
      <c r="W44" s="28">
        <v>1</v>
      </c>
      <c r="X44" s="12"/>
      <c r="Y44" s="26">
        <v>1</v>
      </c>
      <c r="Z44" s="12"/>
      <c r="AA44" s="28">
        <v>1</v>
      </c>
      <c r="AB44" s="12"/>
      <c r="AC44" s="26">
        <v>2</v>
      </c>
      <c r="AD44" s="12"/>
      <c r="AE44" s="28"/>
      <c r="AF44" s="12"/>
      <c r="AG44" s="26"/>
      <c r="AH44" s="12"/>
      <c r="AI44" s="28"/>
      <c r="AJ44" s="12"/>
      <c r="AK44" s="26"/>
      <c r="AL44" s="12"/>
      <c r="AM44" s="28"/>
      <c r="AN44" s="12"/>
      <c r="AO44" s="26"/>
      <c r="AP44" s="12"/>
      <c r="AQ44" s="28"/>
      <c r="AR44" s="12"/>
      <c r="AS44" s="26"/>
      <c r="AT44" s="12"/>
      <c r="AU44" s="28"/>
      <c r="AW44" s="18">
        <f t="shared" si="48"/>
        <v>1</v>
      </c>
      <c r="AX44" s="19">
        <f t="shared" si="49"/>
        <v>42</v>
      </c>
      <c r="AY44" s="20"/>
      <c r="AZ44" s="13">
        <f t="shared" si="50"/>
        <v>1</v>
      </c>
      <c r="BA44" s="21">
        <f t="shared" si="51"/>
        <v>42</v>
      </c>
      <c r="BB44" s="20"/>
      <c r="BC44" s="13">
        <f t="shared" si="52"/>
        <v>1</v>
      </c>
      <c r="BD44" s="19">
        <f t="shared" si="53"/>
        <v>42</v>
      </c>
      <c r="BE44" s="20"/>
      <c r="BF44" s="13">
        <f t="shared" si="54"/>
        <v>0</v>
      </c>
      <c r="BG44" s="21">
        <f t="shared" si="55"/>
        <v>0</v>
      </c>
      <c r="BH44" s="20"/>
      <c r="BI44" s="13">
        <f t="shared" si="56"/>
        <v>1</v>
      </c>
      <c r="BJ44" s="19">
        <f t="shared" si="57"/>
        <v>42</v>
      </c>
      <c r="BK44" s="20"/>
      <c r="BL44" s="13">
        <f t="shared" si="58"/>
        <v>0</v>
      </c>
      <c r="BM44" s="21">
        <f t="shared" si="59"/>
        <v>0</v>
      </c>
      <c r="BN44" s="20"/>
      <c r="BO44" s="13">
        <f t="shared" si="60"/>
        <v>1</v>
      </c>
      <c r="BP44" s="19">
        <f t="shared" si="61"/>
        <v>42</v>
      </c>
      <c r="BQ44" s="20"/>
      <c r="BR44" s="13">
        <f t="shared" si="62"/>
        <v>1</v>
      </c>
      <c r="BS44" s="21">
        <f t="shared" si="63"/>
        <v>42</v>
      </c>
      <c r="BT44" s="20"/>
      <c r="BU44" s="13">
        <f t="shared" si="64"/>
        <v>1</v>
      </c>
      <c r="BV44" s="19">
        <f t="shared" si="65"/>
        <v>42</v>
      </c>
      <c r="BW44" s="20"/>
      <c r="BX44" s="13">
        <f t="shared" si="66"/>
        <v>1</v>
      </c>
      <c r="BY44" s="21">
        <f t="shared" si="67"/>
        <v>42</v>
      </c>
      <c r="BZ44" s="20"/>
      <c r="CA44" s="13">
        <f t="shared" si="68"/>
        <v>2</v>
      </c>
      <c r="CB44" s="19">
        <f t="shared" si="69"/>
        <v>84</v>
      </c>
      <c r="CC44" s="20"/>
      <c r="CD44" s="13">
        <f t="shared" si="70"/>
        <v>0</v>
      </c>
      <c r="CE44" s="21">
        <f t="shared" si="71"/>
        <v>0</v>
      </c>
      <c r="CF44" s="20"/>
      <c r="CG44" s="18">
        <f t="shared" si="72"/>
        <v>0</v>
      </c>
      <c r="CH44" s="21">
        <f t="shared" si="93"/>
        <v>0</v>
      </c>
      <c r="CI44" s="20"/>
      <c r="CJ44" s="18">
        <f t="shared" si="73"/>
        <v>0</v>
      </c>
      <c r="CK44" s="21">
        <f t="shared" si="74"/>
        <v>0</v>
      </c>
      <c r="CL44" s="20"/>
      <c r="CM44" s="18">
        <f t="shared" si="75"/>
        <v>0</v>
      </c>
      <c r="CN44" s="21">
        <f t="shared" si="76"/>
        <v>0</v>
      </c>
      <c r="CO44" s="20"/>
      <c r="CP44" s="18">
        <f t="shared" si="77"/>
        <v>0</v>
      </c>
      <c r="CQ44" s="21">
        <f t="shared" si="78"/>
        <v>0</v>
      </c>
      <c r="CR44" s="20"/>
      <c r="CS44" s="18">
        <f t="shared" si="79"/>
        <v>0</v>
      </c>
      <c r="CT44" s="19">
        <f t="shared" si="80"/>
        <v>0</v>
      </c>
      <c r="CU44" s="20"/>
      <c r="CV44" s="13">
        <f t="shared" si="81"/>
        <v>0</v>
      </c>
      <c r="CW44" s="21">
        <f t="shared" si="82"/>
        <v>0</v>
      </c>
      <c r="CX44" s="20"/>
      <c r="CY44" s="13">
        <f t="shared" si="83"/>
        <v>0</v>
      </c>
      <c r="CZ44" s="19">
        <f t="shared" si="84"/>
        <v>0</v>
      </c>
      <c r="DA44" s="20"/>
      <c r="DB44" s="13">
        <f t="shared" si="85"/>
        <v>0</v>
      </c>
      <c r="DC44" s="21">
        <f t="shared" si="86"/>
        <v>0</v>
      </c>
      <c r="DE44" s="97">
        <v>102</v>
      </c>
      <c r="DF44" s="32"/>
      <c r="DG44" s="61">
        <f t="shared" si="87"/>
        <v>0</v>
      </c>
      <c r="DH44" s="32"/>
      <c r="DI44" s="59">
        <f t="shared" si="88"/>
        <v>10</v>
      </c>
      <c r="DJ44" s="32"/>
      <c r="DK44" s="59">
        <f t="shared" si="89"/>
        <v>92</v>
      </c>
      <c r="DL44" s="32"/>
      <c r="DM44" s="96">
        <f t="shared" si="90"/>
        <v>3220</v>
      </c>
      <c r="DN44" s="32"/>
      <c r="DO44" s="62">
        <f t="shared" si="91"/>
        <v>9.1999999999999993</v>
      </c>
      <c r="DP44" s="32"/>
      <c r="DQ44" s="96">
        <f t="shared" si="92"/>
        <v>3864</v>
      </c>
      <c r="DR44" s="32"/>
      <c r="DS44" s="61"/>
      <c r="DT44" s="32"/>
      <c r="DU44" s="63">
        <v>0</v>
      </c>
      <c r="DV44" s="32"/>
      <c r="DW44" s="64">
        <f t="shared" si="94"/>
        <v>0</v>
      </c>
      <c r="DX44" s="32"/>
      <c r="DY44" s="63">
        <f t="shared" si="95"/>
        <v>0</v>
      </c>
    </row>
    <row r="45" spans="1:129" ht="12.45" customHeight="1" x14ac:dyDescent="0.3">
      <c r="A45" s="36" t="s">
        <v>48</v>
      </c>
      <c r="B45" s="32"/>
      <c r="C45" s="51"/>
      <c r="D45" s="34"/>
      <c r="E45" s="38">
        <v>21.5</v>
      </c>
      <c r="F45" s="34"/>
      <c r="G45" s="33">
        <v>25.8</v>
      </c>
      <c r="I45" s="26"/>
      <c r="J45" s="27"/>
      <c r="K45" s="28"/>
      <c r="L45" s="12"/>
      <c r="M45" s="26"/>
      <c r="N45" s="12"/>
      <c r="O45" s="28">
        <v>1</v>
      </c>
      <c r="P45" s="12"/>
      <c r="Q45" s="26"/>
      <c r="R45" s="12"/>
      <c r="S45" s="28"/>
      <c r="T45" s="12"/>
      <c r="U45" s="26"/>
      <c r="V45" s="12"/>
      <c r="W45" s="28"/>
      <c r="X45" s="12"/>
      <c r="Y45" s="26"/>
      <c r="Z45" s="12"/>
      <c r="AA45" s="28"/>
      <c r="AB45" s="12"/>
      <c r="AC45" s="26">
        <v>1</v>
      </c>
      <c r="AD45" s="12"/>
      <c r="AE45" s="28"/>
      <c r="AF45" s="12"/>
      <c r="AG45" s="26"/>
      <c r="AH45" s="12"/>
      <c r="AI45" s="28"/>
      <c r="AJ45" s="12"/>
      <c r="AK45" s="26"/>
      <c r="AL45" s="12"/>
      <c r="AM45" s="28"/>
      <c r="AN45" s="12"/>
      <c r="AO45" s="26"/>
      <c r="AP45" s="12"/>
      <c r="AQ45" s="28"/>
      <c r="AR45" s="12"/>
      <c r="AS45" s="26"/>
      <c r="AT45" s="12"/>
      <c r="AU45" s="28"/>
      <c r="AW45" s="18">
        <f t="shared" si="48"/>
        <v>0</v>
      </c>
      <c r="AX45" s="19">
        <f t="shared" si="49"/>
        <v>0</v>
      </c>
      <c r="AY45" s="20"/>
      <c r="AZ45" s="13">
        <f t="shared" si="50"/>
        <v>0</v>
      </c>
      <c r="BA45" s="21">
        <f t="shared" si="51"/>
        <v>0</v>
      </c>
      <c r="BB45" s="20"/>
      <c r="BC45" s="13">
        <f t="shared" si="52"/>
        <v>0</v>
      </c>
      <c r="BD45" s="19">
        <f t="shared" si="53"/>
        <v>0</v>
      </c>
      <c r="BE45" s="20"/>
      <c r="BF45" s="13">
        <f t="shared" si="54"/>
        <v>1</v>
      </c>
      <c r="BG45" s="21">
        <f t="shared" si="55"/>
        <v>25.8</v>
      </c>
      <c r="BH45" s="20"/>
      <c r="BI45" s="13">
        <f t="shared" si="56"/>
        <v>0</v>
      </c>
      <c r="BJ45" s="19">
        <f t="shared" si="57"/>
        <v>0</v>
      </c>
      <c r="BK45" s="20"/>
      <c r="BL45" s="13">
        <f t="shared" si="58"/>
        <v>0</v>
      </c>
      <c r="BM45" s="21">
        <f t="shared" si="59"/>
        <v>0</v>
      </c>
      <c r="BN45" s="20"/>
      <c r="BO45" s="13">
        <f t="shared" si="60"/>
        <v>0</v>
      </c>
      <c r="BP45" s="19">
        <f t="shared" si="61"/>
        <v>0</v>
      </c>
      <c r="BQ45" s="20"/>
      <c r="BR45" s="13">
        <f t="shared" si="62"/>
        <v>0</v>
      </c>
      <c r="BS45" s="21">
        <f t="shared" si="63"/>
        <v>0</v>
      </c>
      <c r="BT45" s="20"/>
      <c r="BU45" s="13">
        <f t="shared" si="64"/>
        <v>0</v>
      </c>
      <c r="BV45" s="19">
        <f t="shared" si="65"/>
        <v>0</v>
      </c>
      <c r="BW45" s="20"/>
      <c r="BX45" s="13">
        <f t="shared" si="66"/>
        <v>0</v>
      </c>
      <c r="BY45" s="21">
        <f t="shared" si="67"/>
        <v>0</v>
      </c>
      <c r="BZ45" s="20"/>
      <c r="CA45" s="13">
        <f t="shared" si="68"/>
        <v>1</v>
      </c>
      <c r="CB45" s="19">
        <f t="shared" si="69"/>
        <v>25.8</v>
      </c>
      <c r="CC45" s="20"/>
      <c r="CD45" s="13">
        <f t="shared" si="70"/>
        <v>0</v>
      </c>
      <c r="CE45" s="21">
        <f t="shared" si="71"/>
        <v>0</v>
      </c>
      <c r="CF45" s="20"/>
      <c r="CG45" s="18">
        <f t="shared" si="72"/>
        <v>0</v>
      </c>
      <c r="CH45" s="21">
        <f t="shared" si="93"/>
        <v>0</v>
      </c>
      <c r="CI45" s="20"/>
      <c r="CJ45" s="18">
        <f t="shared" si="73"/>
        <v>0</v>
      </c>
      <c r="CK45" s="21">
        <f t="shared" si="74"/>
        <v>0</v>
      </c>
      <c r="CL45" s="20"/>
      <c r="CM45" s="18">
        <f t="shared" si="75"/>
        <v>0</v>
      </c>
      <c r="CN45" s="21">
        <f t="shared" si="76"/>
        <v>0</v>
      </c>
      <c r="CO45" s="20"/>
      <c r="CP45" s="18">
        <f t="shared" si="77"/>
        <v>0</v>
      </c>
      <c r="CQ45" s="21">
        <f t="shared" si="78"/>
        <v>0</v>
      </c>
      <c r="CR45" s="20"/>
      <c r="CS45" s="18">
        <f t="shared" si="79"/>
        <v>0</v>
      </c>
      <c r="CT45" s="19">
        <f t="shared" si="80"/>
        <v>0</v>
      </c>
      <c r="CU45" s="20"/>
      <c r="CV45" s="13">
        <f t="shared" si="81"/>
        <v>0</v>
      </c>
      <c r="CW45" s="21">
        <f t="shared" si="82"/>
        <v>0</v>
      </c>
      <c r="CX45" s="20"/>
      <c r="CY45" s="13">
        <f t="shared" si="83"/>
        <v>0</v>
      </c>
      <c r="CZ45" s="19">
        <f t="shared" si="84"/>
        <v>0</v>
      </c>
      <c r="DA45" s="20"/>
      <c r="DB45" s="13">
        <f t="shared" si="85"/>
        <v>0</v>
      </c>
      <c r="DC45" s="21">
        <f t="shared" si="86"/>
        <v>0</v>
      </c>
      <c r="DE45" s="97">
        <v>27</v>
      </c>
      <c r="DF45" s="32"/>
      <c r="DG45" s="61">
        <f t="shared" si="87"/>
        <v>0</v>
      </c>
      <c r="DH45" s="32"/>
      <c r="DI45" s="59">
        <f t="shared" si="88"/>
        <v>2</v>
      </c>
      <c r="DJ45" s="32"/>
      <c r="DK45" s="59">
        <f t="shared" si="89"/>
        <v>25</v>
      </c>
      <c r="DL45" s="32"/>
      <c r="DM45" s="96">
        <f t="shared" si="90"/>
        <v>537.5</v>
      </c>
      <c r="DN45" s="32"/>
      <c r="DO45" s="62">
        <f t="shared" si="91"/>
        <v>12.5</v>
      </c>
      <c r="DP45" s="32"/>
      <c r="DQ45" s="96">
        <f t="shared" si="92"/>
        <v>645</v>
      </c>
      <c r="DR45" s="32"/>
      <c r="DS45" s="61"/>
      <c r="DT45" s="32"/>
      <c r="DU45" s="63">
        <v>0</v>
      </c>
      <c r="DV45" s="32"/>
      <c r="DW45" s="64">
        <f t="shared" si="94"/>
        <v>0</v>
      </c>
      <c r="DX45" s="32"/>
      <c r="DY45" s="63">
        <f t="shared" si="95"/>
        <v>0</v>
      </c>
    </row>
    <row r="46" spans="1:129" ht="12.45" customHeight="1" x14ac:dyDescent="0.3">
      <c r="A46" s="37" t="s">
        <v>49</v>
      </c>
      <c r="B46" s="32"/>
      <c r="C46" s="51"/>
      <c r="D46" s="34"/>
      <c r="E46" s="38">
        <v>21.5</v>
      </c>
      <c r="F46" s="34"/>
      <c r="G46" s="33">
        <v>25.8</v>
      </c>
      <c r="I46" s="26"/>
      <c r="J46" s="27"/>
      <c r="K46" s="28"/>
      <c r="L46" s="12"/>
      <c r="M46" s="26"/>
      <c r="N46" s="12"/>
      <c r="O46" s="28">
        <v>1</v>
      </c>
      <c r="P46" s="12"/>
      <c r="Q46" s="26"/>
      <c r="R46" s="12"/>
      <c r="S46" s="28"/>
      <c r="T46" s="12"/>
      <c r="U46" s="26"/>
      <c r="V46" s="12"/>
      <c r="W46" s="28"/>
      <c r="X46" s="12"/>
      <c r="Y46" s="26"/>
      <c r="Z46" s="12"/>
      <c r="AA46" s="28"/>
      <c r="AB46" s="12"/>
      <c r="AC46" s="26">
        <v>1</v>
      </c>
      <c r="AD46" s="12"/>
      <c r="AE46" s="28"/>
      <c r="AF46" s="12"/>
      <c r="AG46" s="26"/>
      <c r="AH46" s="12"/>
      <c r="AI46" s="28"/>
      <c r="AJ46" s="12"/>
      <c r="AK46" s="26"/>
      <c r="AL46" s="12"/>
      <c r="AM46" s="28"/>
      <c r="AN46" s="12"/>
      <c r="AO46" s="26"/>
      <c r="AP46" s="12"/>
      <c r="AQ46" s="28"/>
      <c r="AR46" s="12"/>
      <c r="AS46" s="26"/>
      <c r="AT46" s="12"/>
      <c r="AU46" s="28"/>
      <c r="AW46" s="18">
        <f t="shared" si="48"/>
        <v>0</v>
      </c>
      <c r="AX46" s="19">
        <f t="shared" si="49"/>
        <v>0</v>
      </c>
      <c r="AY46" s="20"/>
      <c r="AZ46" s="13">
        <f t="shared" si="50"/>
        <v>0</v>
      </c>
      <c r="BA46" s="21">
        <f t="shared" si="51"/>
        <v>0</v>
      </c>
      <c r="BB46" s="20"/>
      <c r="BC46" s="13">
        <f t="shared" si="52"/>
        <v>0</v>
      </c>
      <c r="BD46" s="19">
        <f t="shared" si="53"/>
        <v>0</v>
      </c>
      <c r="BE46" s="20"/>
      <c r="BF46" s="13">
        <f t="shared" si="54"/>
        <v>1</v>
      </c>
      <c r="BG46" s="21">
        <f t="shared" si="55"/>
        <v>25.8</v>
      </c>
      <c r="BH46" s="20"/>
      <c r="BI46" s="13">
        <f t="shared" si="56"/>
        <v>0</v>
      </c>
      <c r="BJ46" s="19">
        <f t="shared" si="57"/>
        <v>0</v>
      </c>
      <c r="BK46" s="20"/>
      <c r="BL46" s="13">
        <f t="shared" si="58"/>
        <v>0</v>
      </c>
      <c r="BM46" s="21">
        <f t="shared" si="59"/>
        <v>0</v>
      </c>
      <c r="BN46" s="20"/>
      <c r="BO46" s="13">
        <f t="shared" si="60"/>
        <v>0</v>
      </c>
      <c r="BP46" s="19">
        <f t="shared" si="61"/>
        <v>0</v>
      </c>
      <c r="BQ46" s="20"/>
      <c r="BR46" s="13">
        <f t="shared" si="62"/>
        <v>0</v>
      </c>
      <c r="BS46" s="21">
        <f t="shared" si="63"/>
        <v>0</v>
      </c>
      <c r="BT46" s="20"/>
      <c r="BU46" s="13">
        <f t="shared" si="64"/>
        <v>0</v>
      </c>
      <c r="BV46" s="19">
        <f t="shared" si="65"/>
        <v>0</v>
      </c>
      <c r="BW46" s="20"/>
      <c r="BX46" s="13">
        <f t="shared" si="66"/>
        <v>0</v>
      </c>
      <c r="BY46" s="21">
        <f t="shared" si="67"/>
        <v>0</v>
      </c>
      <c r="BZ46" s="20"/>
      <c r="CA46" s="13">
        <f t="shared" si="68"/>
        <v>1</v>
      </c>
      <c r="CB46" s="19">
        <f t="shared" si="69"/>
        <v>25.8</v>
      </c>
      <c r="CC46" s="20"/>
      <c r="CD46" s="13">
        <f t="shared" si="70"/>
        <v>0</v>
      </c>
      <c r="CE46" s="21">
        <f t="shared" si="71"/>
        <v>0</v>
      </c>
      <c r="CF46" s="20"/>
      <c r="CG46" s="18">
        <f t="shared" si="72"/>
        <v>0</v>
      </c>
      <c r="CH46" s="21">
        <f t="shared" si="93"/>
        <v>0</v>
      </c>
      <c r="CI46" s="20"/>
      <c r="CJ46" s="18">
        <f t="shared" si="73"/>
        <v>0</v>
      </c>
      <c r="CK46" s="21">
        <f t="shared" si="74"/>
        <v>0</v>
      </c>
      <c r="CL46" s="20"/>
      <c r="CM46" s="18">
        <f t="shared" si="75"/>
        <v>0</v>
      </c>
      <c r="CN46" s="21">
        <f t="shared" si="76"/>
        <v>0</v>
      </c>
      <c r="CO46" s="20"/>
      <c r="CP46" s="18">
        <f t="shared" si="77"/>
        <v>0</v>
      </c>
      <c r="CQ46" s="21">
        <f t="shared" si="78"/>
        <v>0</v>
      </c>
      <c r="CR46" s="20"/>
      <c r="CS46" s="18">
        <f t="shared" si="79"/>
        <v>0</v>
      </c>
      <c r="CT46" s="19">
        <f t="shared" si="80"/>
        <v>0</v>
      </c>
      <c r="CU46" s="20"/>
      <c r="CV46" s="13">
        <f t="shared" si="81"/>
        <v>0</v>
      </c>
      <c r="CW46" s="21">
        <f t="shared" si="82"/>
        <v>0</v>
      </c>
      <c r="CX46" s="20"/>
      <c r="CY46" s="13">
        <f t="shared" si="83"/>
        <v>0</v>
      </c>
      <c r="CZ46" s="19">
        <f t="shared" si="84"/>
        <v>0</v>
      </c>
      <c r="DA46" s="20"/>
      <c r="DB46" s="13">
        <f t="shared" si="85"/>
        <v>0</v>
      </c>
      <c r="DC46" s="21">
        <f t="shared" si="86"/>
        <v>0</v>
      </c>
      <c r="DE46" s="97">
        <v>83</v>
      </c>
      <c r="DF46" s="32"/>
      <c r="DG46" s="61">
        <f t="shared" si="87"/>
        <v>0</v>
      </c>
      <c r="DH46" s="32"/>
      <c r="DI46" s="59">
        <f t="shared" si="88"/>
        <v>2</v>
      </c>
      <c r="DJ46" s="32"/>
      <c r="DK46" s="59">
        <f t="shared" si="89"/>
        <v>81</v>
      </c>
      <c r="DL46" s="32"/>
      <c r="DM46" s="96">
        <f t="shared" si="90"/>
        <v>1741.5</v>
      </c>
      <c r="DN46" s="32"/>
      <c r="DO46" s="62">
        <f t="shared" si="91"/>
        <v>40.5</v>
      </c>
      <c r="DP46" s="32"/>
      <c r="DQ46" s="96">
        <f t="shared" si="92"/>
        <v>2089.8000000000002</v>
      </c>
      <c r="DR46" s="32"/>
      <c r="DS46" s="61"/>
      <c r="DT46" s="32"/>
      <c r="DU46" s="63">
        <v>0</v>
      </c>
      <c r="DV46" s="32"/>
      <c r="DW46" s="64">
        <f t="shared" si="94"/>
        <v>0</v>
      </c>
      <c r="DX46" s="32"/>
      <c r="DY46" s="63">
        <f t="shared" si="95"/>
        <v>0</v>
      </c>
    </row>
    <row r="47" spans="1:129" ht="12.45" customHeight="1" x14ac:dyDescent="0.3">
      <c r="A47" s="36" t="s">
        <v>50</v>
      </c>
      <c r="B47" s="32"/>
      <c r="C47" s="51"/>
      <c r="D47" s="34"/>
      <c r="E47" s="38">
        <v>21.5</v>
      </c>
      <c r="F47" s="34"/>
      <c r="G47" s="33">
        <v>25.8</v>
      </c>
      <c r="I47" s="26"/>
      <c r="J47" s="27"/>
      <c r="K47" s="28"/>
      <c r="L47" s="12"/>
      <c r="M47" s="26"/>
      <c r="N47" s="12"/>
      <c r="O47" s="28">
        <v>1</v>
      </c>
      <c r="P47" s="12"/>
      <c r="Q47" s="26"/>
      <c r="R47" s="12"/>
      <c r="S47" s="28">
        <v>1</v>
      </c>
      <c r="T47" s="12"/>
      <c r="U47" s="26"/>
      <c r="V47" s="12"/>
      <c r="W47" s="28"/>
      <c r="X47" s="12"/>
      <c r="Y47" s="26"/>
      <c r="Z47" s="12"/>
      <c r="AA47" s="28"/>
      <c r="AB47" s="12"/>
      <c r="AC47" s="26">
        <v>1</v>
      </c>
      <c r="AD47" s="12"/>
      <c r="AE47" s="28"/>
      <c r="AF47" s="12"/>
      <c r="AG47" s="26"/>
      <c r="AH47" s="12"/>
      <c r="AI47" s="28"/>
      <c r="AJ47" s="12"/>
      <c r="AK47" s="26"/>
      <c r="AL47" s="12"/>
      <c r="AM47" s="28"/>
      <c r="AN47" s="12"/>
      <c r="AO47" s="26"/>
      <c r="AP47" s="12"/>
      <c r="AQ47" s="28"/>
      <c r="AR47" s="12"/>
      <c r="AS47" s="26"/>
      <c r="AT47" s="12"/>
      <c r="AU47" s="28"/>
      <c r="AW47" s="18">
        <f t="shared" si="48"/>
        <v>0</v>
      </c>
      <c r="AX47" s="19">
        <f t="shared" si="49"/>
        <v>0</v>
      </c>
      <c r="AY47" s="20"/>
      <c r="AZ47" s="13">
        <f t="shared" si="50"/>
        <v>0</v>
      </c>
      <c r="BA47" s="21">
        <f t="shared" si="51"/>
        <v>0</v>
      </c>
      <c r="BB47" s="20"/>
      <c r="BC47" s="13">
        <f t="shared" si="52"/>
        <v>0</v>
      </c>
      <c r="BD47" s="19">
        <f t="shared" si="53"/>
        <v>0</v>
      </c>
      <c r="BE47" s="20"/>
      <c r="BF47" s="13">
        <f t="shared" si="54"/>
        <v>1</v>
      </c>
      <c r="BG47" s="21">
        <f t="shared" si="55"/>
        <v>25.8</v>
      </c>
      <c r="BH47" s="20"/>
      <c r="BI47" s="13">
        <f t="shared" si="56"/>
        <v>0</v>
      </c>
      <c r="BJ47" s="19">
        <f t="shared" si="57"/>
        <v>0</v>
      </c>
      <c r="BK47" s="20"/>
      <c r="BL47" s="13">
        <f t="shared" si="58"/>
        <v>1</v>
      </c>
      <c r="BM47" s="21">
        <f t="shared" si="59"/>
        <v>25.8</v>
      </c>
      <c r="BN47" s="20"/>
      <c r="BO47" s="13">
        <f t="shared" si="60"/>
        <v>0</v>
      </c>
      <c r="BP47" s="19">
        <f t="shared" si="61"/>
        <v>0</v>
      </c>
      <c r="BQ47" s="20"/>
      <c r="BR47" s="13">
        <f t="shared" si="62"/>
        <v>0</v>
      </c>
      <c r="BS47" s="21">
        <f t="shared" si="63"/>
        <v>0</v>
      </c>
      <c r="BT47" s="20"/>
      <c r="BU47" s="13">
        <f t="shared" si="64"/>
        <v>0</v>
      </c>
      <c r="BV47" s="19">
        <f t="shared" si="65"/>
        <v>0</v>
      </c>
      <c r="BW47" s="20"/>
      <c r="BX47" s="13">
        <f t="shared" si="66"/>
        <v>0</v>
      </c>
      <c r="BY47" s="21">
        <f t="shared" si="67"/>
        <v>0</v>
      </c>
      <c r="BZ47" s="20"/>
      <c r="CA47" s="13">
        <f t="shared" si="68"/>
        <v>1</v>
      </c>
      <c r="CB47" s="19">
        <f t="shared" si="69"/>
        <v>25.8</v>
      </c>
      <c r="CC47" s="20"/>
      <c r="CD47" s="13">
        <f t="shared" si="70"/>
        <v>0</v>
      </c>
      <c r="CE47" s="21">
        <f t="shared" si="71"/>
        <v>0</v>
      </c>
      <c r="CF47" s="20"/>
      <c r="CG47" s="18">
        <f t="shared" si="72"/>
        <v>0</v>
      </c>
      <c r="CH47" s="21">
        <f t="shared" si="93"/>
        <v>0</v>
      </c>
      <c r="CI47" s="20"/>
      <c r="CJ47" s="18">
        <f t="shared" si="73"/>
        <v>0</v>
      </c>
      <c r="CK47" s="21">
        <f t="shared" si="74"/>
        <v>0</v>
      </c>
      <c r="CL47" s="20"/>
      <c r="CM47" s="18">
        <f t="shared" si="75"/>
        <v>0</v>
      </c>
      <c r="CN47" s="21">
        <f t="shared" si="76"/>
        <v>0</v>
      </c>
      <c r="CO47" s="20"/>
      <c r="CP47" s="18">
        <f t="shared" si="77"/>
        <v>0</v>
      </c>
      <c r="CQ47" s="21">
        <f t="shared" si="78"/>
        <v>0</v>
      </c>
      <c r="CR47" s="20"/>
      <c r="CS47" s="18">
        <f t="shared" si="79"/>
        <v>0</v>
      </c>
      <c r="CT47" s="19">
        <f t="shared" si="80"/>
        <v>0</v>
      </c>
      <c r="CU47" s="20"/>
      <c r="CV47" s="13">
        <f t="shared" si="81"/>
        <v>0</v>
      </c>
      <c r="CW47" s="21">
        <f t="shared" si="82"/>
        <v>0</v>
      </c>
      <c r="CX47" s="20"/>
      <c r="CY47" s="13">
        <f t="shared" si="83"/>
        <v>0</v>
      </c>
      <c r="CZ47" s="19">
        <f t="shared" si="84"/>
        <v>0</v>
      </c>
      <c r="DA47" s="20"/>
      <c r="DB47" s="13">
        <f t="shared" si="85"/>
        <v>0</v>
      </c>
      <c r="DC47" s="21">
        <f t="shared" si="86"/>
        <v>0</v>
      </c>
      <c r="DE47" s="97">
        <v>25</v>
      </c>
      <c r="DF47" s="32"/>
      <c r="DG47" s="61">
        <f t="shared" si="87"/>
        <v>0</v>
      </c>
      <c r="DH47" s="32"/>
      <c r="DI47" s="59">
        <f t="shared" si="88"/>
        <v>3</v>
      </c>
      <c r="DJ47" s="32"/>
      <c r="DK47" s="59">
        <f t="shared" si="89"/>
        <v>22</v>
      </c>
      <c r="DL47" s="32"/>
      <c r="DM47" s="96">
        <f t="shared" si="90"/>
        <v>473</v>
      </c>
      <c r="DN47" s="32"/>
      <c r="DO47" s="62">
        <f t="shared" si="91"/>
        <v>7.333333333333333</v>
      </c>
      <c r="DP47" s="32"/>
      <c r="DQ47" s="96">
        <f t="shared" si="92"/>
        <v>567.6</v>
      </c>
      <c r="DR47" s="32"/>
      <c r="DS47" s="61"/>
      <c r="DT47" s="32"/>
      <c r="DU47" s="63">
        <v>0</v>
      </c>
      <c r="DV47" s="32"/>
      <c r="DW47" s="64">
        <f t="shared" si="94"/>
        <v>0</v>
      </c>
      <c r="DX47" s="32"/>
      <c r="DY47" s="63">
        <f t="shared" si="95"/>
        <v>0</v>
      </c>
    </row>
    <row r="48" spans="1:129" ht="12.45" customHeight="1" x14ac:dyDescent="0.3">
      <c r="A48" s="43" t="s">
        <v>52</v>
      </c>
      <c r="B48" s="32"/>
      <c r="C48" s="53"/>
      <c r="D48" s="34"/>
      <c r="E48" s="44">
        <v>29.07</v>
      </c>
      <c r="F48" s="34"/>
      <c r="G48" s="45">
        <v>34.880000000000003</v>
      </c>
      <c r="I48" s="26"/>
      <c r="J48" s="27"/>
      <c r="K48" s="28"/>
      <c r="L48" s="12"/>
      <c r="M48" s="26"/>
      <c r="N48" s="12"/>
      <c r="O48" s="28"/>
      <c r="P48" s="12"/>
      <c r="Q48" s="26"/>
      <c r="R48" s="12"/>
      <c r="S48" s="28"/>
      <c r="T48" s="12"/>
      <c r="U48" s="26"/>
      <c r="V48" s="12"/>
      <c r="W48" s="28"/>
      <c r="X48" s="12"/>
      <c r="Y48" s="26"/>
      <c r="Z48" s="12"/>
      <c r="AA48" s="28"/>
      <c r="AB48" s="12"/>
      <c r="AC48" s="26"/>
      <c r="AD48" s="12"/>
      <c r="AE48" s="28"/>
      <c r="AF48" s="12"/>
      <c r="AG48" s="26"/>
      <c r="AH48" s="12"/>
      <c r="AI48" s="28"/>
      <c r="AJ48" s="12"/>
      <c r="AK48" s="26"/>
      <c r="AL48" s="12"/>
      <c r="AM48" s="28"/>
      <c r="AN48" s="12"/>
      <c r="AO48" s="26">
        <v>4</v>
      </c>
      <c r="AP48" s="12"/>
      <c r="AQ48" s="28">
        <v>6</v>
      </c>
      <c r="AR48" s="12"/>
      <c r="AS48" s="26"/>
      <c r="AT48" s="12"/>
      <c r="AU48" s="28">
        <v>8</v>
      </c>
      <c r="AW48" s="18">
        <f t="shared" si="48"/>
        <v>0</v>
      </c>
      <c r="AX48" s="19">
        <f t="shared" si="49"/>
        <v>0</v>
      </c>
      <c r="AY48" s="20"/>
      <c r="AZ48" s="13">
        <f t="shared" si="50"/>
        <v>0</v>
      </c>
      <c r="BA48" s="21">
        <f t="shared" si="51"/>
        <v>0</v>
      </c>
      <c r="BB48" s="20"/>
      <c r="BC48" s="13">
        <f t="shared" si="52"/>
        <v>0</v>
      </c>
      <c r="BD48" s="19">
        <f t="shared" si="53"/>
        <v>0</v>
      </c>
      <c r="BE48" s="20"/>
      <c r="BF48" s="13">
        <f t="shared" si="54"/>
        <v>0</v>
      </c>
      <c r="BG48" s="21">
        <f t="shared" si="55"/>
        <v>0</v>
      </c>
      <c r="BH48" s="20"/>
      <c r="BI48" s="13">
        <f t="shared" si="56"/>
        <v>0</v>
      </c>
      <c r="BJ48" s="19">
        <f t="shared" si="57"/>
        <v>0</v>
      </c>
      <c r="BK48" s="20"/>
      <c r="BL48" s="13">
        <f t="shared" si="58"/>
        <v>0</v>
      </c>
      <c r="BM48" s="21">
        <f t="shared" si="59"/>
        <v>0</v>
      </c>
      <c r="BN48" s="20"/>
      <c r="BO48" s="13">
        <f t="shared" si="60"/>
        <v>0</v>
      </c>
      <c r="BP48" s="19">
        <f t="shared" si="61"/>
        <v>0</v>
      </c>
      <c r="BQ48" s="20"/>
      <c r="BR48" s="13">
        <f t="shared" si="62"/>
        <v>0</v>
      </c>
      <c r="BS48" s="21">
        <f t="shared" si="63"/>
        <v>0</v>
      </c>
      <c r="BT48" s="20"/>
      <c r="BU48" s="13">
        <f t="shared" si="64"/>
        <v>0</v>
      </c>
      <c r="BV48" s="19">
        <f t="shared" si="65"/>
        <v>0</v>
      </c>
      <c r="BW48" s="20"/>
      <c r="BX48" s="13">
        <f t="shared" si="66"/>
        <v>0</v>
      </c>
      <c r="BY48" s="21">
        <f t="shared" si="67"/>
        <v>0</v>
      </c>
      <c r="BZ48" s="20"/>
      <c r="CA48" s="13">
        <f t="shared" si="68"/>
        <v>0</v>
      </c>
      <c r="CB48" s="19">
        <f t="shared" si="69"/>
        <v>0</v>
      </c>
      <c r="CC48" s="20"/>
      <c r="CD48" s="13">
        <f t="shared" si="70"/>
        <v>0</v>
      </c>
      <c r="CE48" s="21">
        <f t="shared" si="71"/>
        <v>0</v>
      </c>
      <c r="CF48" s="20"/>
      <c r="CG48" s="18">
        <f t="shared" si="72"/>
        <v>0</v>
      </c>
      <c r="CH48" s="21">
        <f t="shared" si="93"/>
        <v>0</v>
      </c>
      <c r="CI48" s="20"/>
      <c r="CJ48" s="18">
        <f t="shared" si="73"/>
        <v>0</v>
      </c>
      <c r="CK48" s="21">
        <f t="shared" si="74"/>
        <v>0</v>
      </c>
      <c r="CL48" s="20"/>
      <c r="CM48" s="18">
        <f t="shared" si="75"/>
        <v>0</v>
      </c>
      <c r="CN48" s="21">
        <f t="shared" si="76"/>
        <v>0</v>
      </c>
      <c r="CO48" s="20"/>
      <c r="CP48" s="18">
        <f t="shared" si="77"/>
        <v>0</v>
      </c>
      <c r="CQ48" s="21">
        <f t="shared" si="78"/>
        <v>0</v>
      </c>
      <c r="CR48" s="20"/>
      <c r="CS48" s="18">
        <f t="shared" si="79"/>
        <v>4</v>
      </c>
      <c r="CT48" s="19">
        <f t="shared" si="80"/>
        <v>139.52000000000001</v>
      </c>
      <c r="CU48" s="20"/>
      <c r="CV48" s="13">
        <f t="shared" si="81"/>
        <v>6</v>
      </c>
      <c r="CW48" s="21">
        <f t="shared" si="82"/>
        <v>209.28000000000003</v>
      </c>
      <c r="CX48" s="20"/>
      <c r="CY48" s="13">
        <f t="shared" si="83"/>
        <v>0</v>
      </c>
      <c r="CZ48" s="19">
        <f t="shared" si="84"/>
        <v>0</v>
      </c>
      <c r="DA48" s="20"/>
      <c r="DB48" s="13">
        <f t="shared" si="85"/>
        <v>8</v>
      </c>
      <c r="DC48" s="21">
        <f t="shared" si="86"/>
        <v>279.04000000000002</v>
      </c>
      <c r="DE48" s="97">
        <v>529</v>
      </c>
      <c r="DF48" s="32"/>
      <c r="DG48" s="61">
        <f t="shared" si="87"/>
        <v>0</v>
      </c>
      <c r="DH48" s="32"/>
      <c r="DI48" s="59">
        <f t="shared" si="88"/>
        <v>18</v>
      </c>
      <c r="DJ48" s="32"/>
      <c r="DK48" s="59">
        <f t="shared" si="89"/>
        <v>511</v>
      </c>
      <c r="DL48" s="32"/>
      <c r="DM48" s="96">
        <f t="shared" si="90"/>
        <v>14854.77</v>
      </c>
      <c r="DN48" s="32"/>
      <c r="DO48" s="62">
        <f t="shared" si="91"/>
        <v>28.388888888888889</v>
      </c>
      <c r="DP48" s="32"/>
      <c r="DQ48" s="96">
        <f t="shared" si="92"/>
        <v>17823.68</v>
      </c>
      <c r="DR48" s="32"/>
      <c r="DS48" s="61"/>
      <c r="DT48" s="32"/>
      <c r="DU48" s="63">
        <v>0</v>
      </c>
      <c r="DV48" s="32"/>
      <c r="DW48" s="64">
        <f t="shared" si="94"/>
        <v>0</v>
      </c>
      <c r="DX48" s="32"/>
      <c r="DY48" s="63">
        <f t="shared" si="95"/>
        <v>0</v>
      </c>
    </row>
    <row r="49" spans="1:129" ht="12.45" customHeight="1" x14ac:dyDescent="0.3">
      <c r="A49" s="46" t="s">
        <v>53</v>
      </c>
      <c r="B49" s="32"/>
      <c r="C49" s="53"/>
      <c r="D49" s="34"/>
      <c r="E49" s="44">
        <v>29.07</v>
      </c>
      <c r="F49" s="34"/>
      <c r="G49" s="45">
        <v>34.880000000000003</v>
      </c>
      <c r="I49" s="26"/>
      <c r="J49" s="27"/>
      <c r="K49" s="28"/>
      <c r="L49" s="12"/>
      <c r="M49" s="26"/>
      <c r="N49" s="12"/>
      <c r="O49" s="28"/>
      <c r="P49" s="12"/>
      <c r="Q49" s="26"/>
      <c r="R49" s="12"/>
      <c r="S49" s="28"/>
      <c r="T49" s="12"/>
      <c r="U49" s="26"/>
      <c r="V49" s="12"/>
      <c r="W49" s="28"/>
      <c r="X49" s="12"/>
      <c r="Y49" s="26"/>
      <c r="Z49" s="12"/>
      <c r="AA49" s="28"/>
      <c r="AB49" s="12"/>
      <c r="AC49" s="26"/>
      <c r="AD49" s="12"/>
      <c r="AE49" s="28"/>
      <c r="AF49" s="12"/>
      <c r="AG49" s="26"/>
      <c r="AH49" s="12"/>
      <c r="AI49" s="28"/>
      <c r="AJ49" s="12"/>
      <c r="AK49" s="26"/>
      <c r="AL49" s="12"/>
      <c r="AM49" s="28"/>
      <c r="AN49" s="12"/>
      <c r="AO49" s="26">
        <v>5</v>
      </c>
      <c r="AP49" s="12"/>
      <c r="AQ49" s="28">
        <v>2</v>
      </c>
      <c r="AR49" s="12"/>
      <c r="AS49" s="26"/>
      <c r="AT49" s="12"/>
      <c r="AU49" s="28">
        <v>2</v>
      </c>
      <c r="AW49" s="18">
        <f t="shared" si="48"/>
        <v>0</v>
      </c>
      <c r="AX49" s="19">
        <f t="shared" si="49"/>
        <v>0</v>
      </c>
      <c r="AY49" s="20"/>
      <c r="AZ49" s="13">
        <f t="shared" si="50"/>
        <v>0</v>
      </c>
      <c r="BA49" s="21">
        <f t="shared" si="51"/>
        <v>0</v>
      </c>
      <c r="BB49" s="20"/>
      <c r="BC49" s="13">
        <f t="shared" si="52"/>
        <v>0</v>
      </c>
      <c r="BD49" s="19">
        <f t="shared" si="53"/>
        <v>0</v>
      </c>
      <c r="BE49" s="20"/>
      <c r="BF49" s="13">
        <f t="shared" si="54"/>
        <v>0</v>
      </c>
      <c r="BG49" s="21">
        <f t="shared" si="55"/>
        <v>0</v>
      </c>
      <c r="BH49" s="20"/>
      <c r="BI49" s="13">
        <f t="shared" si="56"/>
        <v>0</v>
      </c>
      <c r="BJ49" s="19">
        <f t="shared" si="57"/>
        <v>0</v>
      </c>
      <c r="BK49" s="20"/>
      <c r="BL49" s="13">
        <f t="shared" si="58"/>
        <v>0</v>
      </c>
      <c r="BM49" s="21">
        <f t="shared" si="59"/>
        <v>0</v>
      </c>
      <c r="BN49" s="20"/>
      <c r="BO49" s="13">
        <f t="shared" si="60"/>
        <v>0</v>
      </c>
      <c r="BP49" s="19">
        <f t="shared" si="61"/>
        <v>0</v>
      </c>
      <c r="BQ49" s="20"/>
      <c r="BR49" s="13">
        <f t="shared" si="62"/>
        <v>0</v>
      </c>
      <c r="BS49" s="21">
        <f t="shared" si="63"/>
        <v>0</v>
      </c>
      <c r="BT49" s="20"/>
      <c r="BU49" s="13">
        <f t="shared" si="64"/>
        <v>0</v>
      </c>
      <c r="BV49" s="19">
        <f t="shared" si="65"/>
        <v>0</v>
      </c>
      <c r="BW49" s="20"/>
      <c r="BX49" s="13">
        <f t="shared" si="66"/>
        <v>0</v>
      </c>
      <c r="BY49" s="21">
        <f t="shared" si="67"/>
        <v>0</v>
      </c>
      <c r="BZ49" s="20"/>
      <c r="CA49" s="13">
        <f t="shared" si="68"/>
        <v>0</v>
      </c>
      <c r="CB49" s="19">
        <f t="shared" si="69"/>
        <v>0</v>
      </c>
      <c r="CC49" s="20"/>
      <c r="CD49" s="13">
        <f t="shared" si="70"/>
        <v>0</v>
      </c>
      <c r="CE49" s="21">
        <f t="shared" si="71"/>
        <v>0</v>
      </c>
      <c r="CF49" s="20"/>
      <c r="CG49" s="18">
        <f t="shared" si="72"/>
        <v>0</v>
      </c>
      <c r="CH49" s="21">
        <f t="shared" si="93"/>
        <v>0</v>
      </c>
      <c r="CI49" s="20"/>
      <c r="CJ49" s="18">
        <f t="shared" si="73"/>
        <v>0</v>
      </c>
      <c r="CK49" s="21">
        <f t="shared" si="74"/>
        <v>0</v>
      </c>
      <c r="CL49" s="20"/>
      <c r="CM49" s="18">
        <f t="shared" si="75"/>
        <v>0</v>
      </c>
      <c r="CN49" s="21">
        <f t="shared" si="76"/>
        <v>0</v>
      </c>
      <c r="CO49" s="20"/>
      <c r="CP49" s="18">
        <f t="shared" si="77"/>
        <v>0</v>
      </c>
      <c r="CQ49" s="21">
        <f t="shared" si="78"/>
        <v>0</v>
      </c>
      <c r="CR49" s="20"/>
      <c r="CS49" s="18">
        <f t="shared" si="79"/>
        <v>5</v>
      </c>
      <c r="CT49" s="19">
        <f t="shared" si="80"/>
        <v>174.4</v>
      </c>
      <c r="CU49" s="20"/>
      <c r="CV49" s="13">
        <f t="shared" si="81"/>
        <v>2</v>
      </c>
      <c r="CW49" s="21">
        <f t="shared" si="82"/>
        <v>69.760000000000005</v>
      </c>
      <c r="CX49" s="20"/>
      <c r="CY49" s="13">
        <f t="shared" si="83"/>
        <v>0</v>
      </c>
      <c r="CZ49" s="19">
        <f t="shared" si="84"/>
        <v>0</v>
      </c>
      <c r="DA49" s="20"/>
      <c r="DB49" s="13">
        <f t="shared" si="85"/>
        <v>2</v>
      </c>
      <c r="DC49" s="21">
        <f t="shared" si="86"/>
        <v>69.760000000000005</v>
      </c>
      <c r="DE49" s="97">
        <v>59</v>
      </c>
      <c r="DF49" s="32"/>
      <c r="DG49" s="61">
        <f t="shared" si="87"/>
        <v>0</v>
      </c>
      <c r="DH49" s="32"/>
      <c r="DI49" s="59">
        <f t="shared" si="88"/>
        <v>9</v>
      </c>
      <c r="DJ49" s="32"/>
      <c r="DK49" s="59">
        <f t="shared" si="89"/>
        <v>50</v>
      </c>
      <c r="DL49" s="32"/>
      <c r="DM49" s="96">
        <f t="shared" si="90"/>
        <v>1453.5</v>
      </c>
      <c r="DN49" s="32"/>
      <c r="DO49" s="62">
        <f t="shared" si="91"/>
        <v>5.5555555555555554</v>
      </c>
      <c r="DP49" s="32"/>
      <c r="DQ49" s="96">
        <f t="shared" si="92"/>
        <v>1744.0000000000002</v>
      </c>
      <c r="DR49" s="32"/>
      <c r="DS49" s="61"/>
      <c r="DT49" s="32"/>
      <c r="DU49" s="63">
        <v>0</v>
      </c>
      <c r="DV49" s="32"/>
      <c r="DW49" s="64">
        <f t="shared" si="94"/>
        <v>0</v>
      </c>
      <c r="DX49" s="32"/>
      <c r="DY49" s="63">
        <f t="shared" si="95"/>
        <v>0</v>
      </c>
    </row>
    <row r="50" spans="1:129" ht="12.45" customHeight="1" x14ac:dyDescent="0.3">
      <c r="A50" s="43" t="s">
        <v>54</v>
      </c>
      <c r="B50" s="32"/>
      <c r="C50" s="53"/>
      <c r="D50" s="34"/>
      <c r="E50" s="44">
        <v>23.55</v>
      </c>
      <c r="F50" s="34"/>
      <c r="G50" s="45">
        <v>28.26</v>
      </c>
      <c r="I50" s="26"/>
      <c r="J50" s="27"/>
      <c r="K50" s="28"/>
      <c r="L50" s="12"/>
      <c r="M50" s="26"/>
      <c r="N50" s="12"/>
      <c r="O50" s="28"/>
      <c r="P50" s="12"/>
      <c r="Q50" s="26"/>
      <c r="R50" s="12"/>
      <c r="S50" s="28"/>
      <c r="T50" s="12"/>
      <c r="U50" s="26"/>
      <c r="V50" s="12"/>
      <c r="W50" s="28"/>
      <c r="X50" s="12"/>
      <c r="Y50" s="26"/>
      <c r="Z50" s="12"/>
      <c r="AA50" s="28"/>
      <c r="AB50" s="12"/>
      <c r="AC50" s="26"/>
      <c r="AD50" s="12"/>
      <c r="AE50" s="28"/>
      <c r="AF50" s="12"/>
      <c r="AG50" s="26"/>
      <c r="AH50" s="12"/>
      <c r="AI50" s="28"/>
      <c r="AJ50" s="12"/>
      <c r="AK50" s="26"/>
      <c r="AL50" s="12"/>
      <c r="AM50" s="28"/>
      <c r="AN50" s="12"/>
      <c r="AO50" s="26">
        <v>3</v>
      </c>
      <c r="AP50" s="12"/>
      <c r="AQ50" s="28"/>
      <c r="AR50" s="12"/>
      <c r="AS50" s="26"/>
      <c r="AT50" s="12"/>
      <c r="AU50" s="28">
        <v>2</v>
      </c>
      <c r="AW50" s="18">
        <f t="shared" si="48"/>
        <v>0</v>
      </c>
      <c r="AX50" s="19">
        <f t="shared" si="49"/>
        <v>0</v>
      </c>
      <c r="AY50" s="20"/>
      <c r="AZ50" s="13">
        <f t="shared" si="50"/>
        <v>0</v>
      </c>
      <c r="BA50" s="21">
        <f t="shared" si="51"/>
        <v>0</v>
      </c>
      <c r="BB50" s="20"/>
      <c r="BC50" s="13">
        <f t="shared" si="52"/>
        <v>0</v>
      </c>
      <c r="BD50" s="19">
        <f t="shared" si="53"/>
        <v>0</v>
      </c>
      <c r="BE50" s="20"/>
      <c r="BF50" s="13">
        <f t="shared" si="54"/>
        <v>0</v>
      </c>
      <c r="BG50" s="21">
        <f t="shared" si="55"/>
        <v>0</v>
      </c>
      <c r="BH50" s="20"/>
      <c r="BI50" s="13">
        <f t="shared" si="56"/>
        <v>0</v>
      </c>
      <c r="BJ50" s="19">
        <f t="shared" si="57"/>
        <v>0</v>
      </c>
      <c r="BK50" s="20"/>
      <c r="BL50" s="13">
        <f t="shared" si="58"/>
        <v>0</v>
      </c>
      <c r="BM50" s="21">
        <f t="shared" si="59"/>
        <v>0</v>
      </c>
      <c r="BN50" s="20"/>
      <c r="BO50" s="13">
        <f t="shared" si="60"/>
        <v>0</v>
      </c>
      <c r="BP50" s="19">
        <f t="shared" si="61"/>
        <v>0</v>
      </c>
      <c r="BQ50" s="20"/>
      <c r="BR50" s="13">
        <f t="shared" si="62"/>
        <v>0</v>
      </c>
      <c r="BS50" s="21">
        <f t="shared" si="63"/>
        <v>0</v>
      </c>
      <c r="BT50" s="20"/>
      <c r="BU50" s="13">
        <f t="shared" si="64"/>
        <v>0</v>
      </c>
      <c r="BV50" s="19">
        <f t="shared" si="65"/>
        <v>0</v>
      </c>
      <c r="BW50" s="20"/>
      <c r="BX50" s="13">
        <f t="shared" si="66"/>
        <v>0</v>
      </c>
      <c r="BY50" s="21">
        <f t="shared" si="67"/>
        <v>0</v>
      </c>
      <c r="BZ50" s="20"/>
      <c r="CA50" s="13">
        <f t="shared" si="68"/>
        <v>0</v>
      </c>
      <c r="CB50" s="19">
        <f t="shared" si="69"/>
        <v>0</v>
      </c>
      <c r="CC50" s="20"/>
      <c r="CD50" s="13">
        <f t="shared" si="70"/>
        <v>0</v>
      </c>
      <c r="CE50" s="21">
        <f t="shared" si="71"/>
        <v>0</v>
      </c>
      <c r="CF50" s="20"/>
      <c r="CG50" s="18">
        <f t="shared" si="72"/>
        <v>0</v>
      </c>
      <c r="CH50" s="21">
        <f t="shared" si="93"/>
        <v>0</v>
      </c>
      <c r="CI50" s="20"/>
      <c r="CJ50" s="18">
        <f t="shared" si="73"/>
        <v>0</v>
      </c>
      <c r="CK50" s="21">
        <f t="shared" si="74"/>
        <v>0</v>
      </c>
      <c r="CL50" s="20"/>
      <c r="CM50" s="18">
        <f t="shared" si="75"/>
        <v>0</v>
      </c>
      <c r="CN50" s="21">
        <f t="shared" si="76"/>
        <v>0</v>
      </c>
      <c r="CO50" s="20"/>
      <c r="CP50" s="18">
        <f t="shared" si="77"/>
        <v>0</v>
      </c>
      <c r="CQ50" s="21">
        <f t="shared" si="78"/>
        <v>0</v>
      </c>
      <c r="CR50" s="20"/>
      <c r="CS50" s="18">
        <f t="shared" si="79"/>
        <v>3</v>
      </c>
      <c r="CT50" s="19">
        <f t="shared" si="80"/>
        <v>84.78</v>
      </c>
      <c r="CU50" s="20"/>
      <c r="CV50" s="13">
        <f t="shared" si="81"/>
        <v>0</v>
      </c>
      <c r="CW50" s="21">
        <f t="shared" si="82"/>
        <v>0</v>
      </c>
      <c r="CX50" s="20"/>
      <c r="CY50" s="13">
        <f t="shared" si="83"/>
        <v>0</v>
      </c>
      <c r="CZ50" s="19">
        <f t="shared" si="84"/>
        <v>0</v>
      </c>
      <c r="DA50" s="20"/>
      <c r="DB50" s="13">
        <f t="shared" si="85"/>
        <v>2</v>
      </c>
      <c r="DC50" s="21">
        <f t="shared" si="86"/>
        <v>56.52</v>
      </c>
      <c r="DE50" s="97">
        <v>166</v>
      </c>
      <c r="DF50" s="32"/>
      <c r="DG50" s="61">
        <f t="shared" si="87"/>
        <v>0</v>
      </c>
      <c r="DH50" s="32"/>
      <c r="DI50" s="59">
        <f t="shared" si="88"/>
        <v>5</v>
      </c>
      <c r="DJ50" s="32"/>
      <c r="DK50" s="59">
        <f t="shared" si="89"/>
        <v>161</v>
      </c>
      <c r="DL50" s="32"/>
      <c r="DM50" s="96">
        <f t="shared" si="90"/>
        <v>3791.55</v>
      </c>
      <c r="DN50" s="32"/>
      <c r="DO50" s="62">
        <f t="shared" si="91"/>
        <v>32.200000000000003</v>
      </c>
      <c r="DP50" s="32"/>
      <c r="DQ50" s="96">
        <f t="shared" si="92"/>
        <v>4549.8600000000006</v>
      </c>
      <c r="DR50" s="32"/>
      <c r="DS50" s="61"/>
      <c r="DT50" s="32"/>
      <c r="DU50" s="63">
        <v>0</v>
      </c>
      <c r="DV50" s="32"/>
      <c r="DW50" s="64">
        <f t="shared" si="94"/>
        <v>0</v>
      </c>
      <c r="DX50" s="32"/>
      <c r="DY50" s="63">
        <f t="shared" si="95"/>
        <v>0</v>
      </c>
    </row>
    <row r="51" spans="1:129" ht="12.45" customHeight="1" x14ac:dyDescent="0.3">
      <c r="A51" s="36" t="s">
        <v>99</v>
      </c>
      <c r="B51" s="32"/>
      <c r="C51" s="51"/>
      <c r="D51" s="34"/>
      <c r="E51" s="38">
        <v>27.55</v>
      </c>
      <c r="F51" s="34"/>
      <c r="G51" s="33">
        <v>33.06</v>
      </c>
      <c r="I51" s="26"/>
      <c r="J51" s="27"/>
      <c r="K51" s="28"/>
      <c r="L51" s="12"/>
      <c r="M51" s="26"/>
      <c r="N51" s="12"/>
      <c r="O51" s="28"/>
      <c r="P51" s="12"/>
      <c r="Q51" s="26"/>
      <c r="R51" s="12"/>
      <c r="S51" s="28"/>
      <c r="T51" s="12"/>
      <c r="U51" s="26"/>
      <c r="V51" s="12"/>
      <c r="W51" s="28"/>
      <c r="X51" s="12"/>
      <c r="Y51" s="26"/>
      <c r="Z51" s="12"/>
      <c r="AA51" s="28"/>
      <c r="AB51" s="12"/>
      <c r="AC51" s="26"/>
      <c r="AD51" s="12"/>
      <c r="AE51" s="28"/>
      <c r="AF51" s="12"/>
      <c r="AG51" s="26"/>
      <c r="AH51" s="12"/>
      <c r="AI51" s="28"/>
      <c r="AJ51" s="12"/>
      <c r="AK51" s="26"/>
      <c r="AL51" s="12"/>
      <c r="AM51" s="28"/>
      <c r="AN51" s="12"/>
      <c r="AO51" s="26"/>
      <c r="AP51" s="12"/>
      <c r="AQ51" s="28"/>
      <c r="AR51" s="12"/>
      <c r="AS51" s="26"/>
      <c r="AT51" s="12"/>
      <c r="AU51" s="28"/>
      <c r="AW51" s="18">
        <f t="shared" si="48"/>
        <v>0</v>
      </c>
      <c r="AX51" s="19">
        <f t="shared" si="49"/>
        <v>0</v>
      </c>
      <c r="AY51" s="20"/>
      <c r="AZ51" s="13">
        <f t="shared" si="50"/>
        <v>0</v>
      </c>
      <c r="BA51" s="21">
        <f t="shared" si="51"/>
        <v>0</v>
      </c>
      <c r="BB51" s="20"/>
      <c r="BC51" s="13">
        <f t="shared" si="52"/>
        <v>0</v>
      </c>
      <c r="BD51" s="19">
        <f t="shared" si="53"/>
        <v>0</v>
      </c>
      <c r="BE51" s="20"/>
      <c r="BF51" s="13">
        <f t="shared" si="54"/>
        <v>0</v>
      </c>
      <c r="BG51" s="21">
        <f t="shared" si="55"/>
        <v>0</v>
      </c>
      <c r="BH51" s="20"/>
      <c r="BI51" s="13">
        <f t="shared" si="56"/>
        <v>0</v>
      </c>
      <c r="BJ51" s="19">
        <f t="shared" si="57"/>
        <v>0</v>
      </c>
      <c r="BK51" s="20"/>
      <c r="BL51" s="13">
        <f t="shared" si="58"/>
        <v>0</v>
      </c>
      <c r="BM51" s="21">
        <f t="shared" si="59"/>
        <v>0</v>
      </c>
      <c r="BN51" s="20"/>
      <c r="BO51" s="13">
        <f t="shared" si="60"/>
        <v>0</v>
      </c>
      <c r="BP51" s="19">
        <f t="shared" si="61"/>
        <v>0</v>
      </c>
      <c r="BQ51" s="20"/>
      <c r="BR51" s="13">
        <f t="shared" si="62"/>
        <v>0</v>
      </c>
      <c r="BS51" s="21">
        <f t="shared" si="63"/>
        <v>0</v>
      </c>
      <c r="BT51" s="20"/>
      <c r="BU51" s="13">
        <f t="shared" si="64"/>
        <v>0</v>
      </c>
      <c r="BV51" s="19">
        <f t="shared" si="65"/>
        <v>0</v>
      </c>
      <c r="BW51" s="20"/>
      <c r="BX51" s="13">
        <f t="shared" si="66"/>
        <v>0</v>
      </c>
      <c r="BY51" s="21">
        <f t="shared" si="67"/>
        <v>0</v>
      </c>
      <c r="BZ51" s="20"/>
      <c r="CA51" s="13">
        <f t="shared" si="68"/>
        <v>0</v>
      </c>
      <c r="CB51" s="19">
        <f t="shared" si="69"/>
        <v>0</v>
      </c>
      <c r="CC51" s="20"/>
      <c r="CD51" s="13">
        <f t="shared" si="70"/>
        <v>0</v>
      </c>
      <c r="CE51" s="21">
        <f t="shared" si="71"/>
        <v>0</v>
      </c>
      <c r="CF51" s="20"/>
      <c r="CG51" s="18">
        <f t="shared" si="72"/>
        <v>0</v>
      </c>
      <c r="CH51" s="21">
        <f t="shared" si="93"/>
        <v>0</v>
      </c>
      <c r="CI51" s="20"/>
      <c r="CJ51" s="18">
        <f t="shared" si="73"/>
        <v>0</v>
      </c>
      <c r="CK51" s="21">
        <f t="shared" si="74"/>
        <v>0</v>
      </c>
      <c r="CL51" s="20"/>
      <c r="CM51" s="18">
        <f t="shared" si="75"/>
        <v>0</v>
      </c>
      <c r="CN51" s="21">
        <f t="shared" si="76"/>
        <v>0</v>
      </c>
      <c r="CO51" s="20"/>
      <c r="CP51" s="18">
        <f t="shared" si="77"/>
        <v>0</v>
      </c>
      <c r="CQ51" s="21">
        <f t="shared" si="78"/>
        <v>0</v>
      </c>
      <c r="CR51" s="20"/>
      <c r="CS51" s="18">
        <f t="shared" si="79"/>
        <v>0</v>
      </c>
      <c r="CT51" s="19">
        <f t="shared" si="80"/>
        <v>0</v>
      </c>
      <c r="CU51" s="20"/>
      <c r="CV51" s="13">
        <f t="shared" si="81"/>
        <v>0</v>
      </c>
      <c r="CW51" s="21">
        <f t="shared" si="82"/>
        <v>0</v>
      </c>
      <c r="CX51" s="20"/>
      <c r="CY51" s="13">
        <f t="shared" si="83"/>
        <v>0</v>
      </c>
      <c r="CZ51" s="19">
        <f t="shared" si="84"/>
        <v>0</v>
      </c>
      <c r="DA51" s="20"/>
      <c r="DB51" s="13">
        <f t="shared" si="85"/>
        <v>0</v>
      </c>
      <c r="DC51" s="21">
        <f t="shared" si="86"/>
        <v>0</v>
      </c>
      <c r="DE51" s="97">
        <v>184</v>
      </c>
      <c r="DF51" s="32"/>
      <c r="DG51" s="61">
        <f t="shared" si="87"/>
        <v>0</v>
      </c>
      <c r="DH51" s="32"/>
      <c r="DI51" s="59">
        <f t="shared" si="88"/>
        <v>0</v>
      </c>
      <c r="DJ51" s="32"/>
      <c r="DK51" s="59">
        <f t="shared" si="89"/>
        <v>184</v>
      </c>
      <c r="DL51" s="32"/>
      <c r="DM51" s="96">
        <f t="shared" si="90"/>
        <v>5069.2</v>
      </c>
      <c r="DN51" s="32"/>
      <c r="DO51" s="62" t="e">
        <f t="shared" si="91"/>
        <v>#DIV/0!</v>
      </c>
      <c r="DP51" s="32"/>
      <c r="DQ51" s="96">
        <f t="shared" si="92"/>
        <v>6083.0400000000009</v>
      </c>
      <c r="DR51" s="32"/>
      <c r="DS51" s="61"/>
      <c r="DT51" s="32"/>
      <c r="DU51" s="63">
        <v>0</v>
      </c>
      <c r="DV51" s="32"/>
      <c r="DW51" s="64">
        <f t="shared" si="94"/>
        <v>0</v>
      </c>
      <c r="DX51" s="32"/>
      <c r="DY51" s="63">
        <f t="shared" si="95"/>
        <v>0</v>
      </c>
    </row>
    <row r="52" spans="1:129" ht="12.45" customHeight="1" x14ac:dyDescent="0.3">
      <c r="A52" s="37" t="s">
        <v>98</v>
      </c>
      <c r="B52" s="32"/>
      <c r="C52" s="51"/>
      <c r="D52" s="34"/>
      <c r="E52" s="38">
        <v>20.46</v>
      </c>
      <c r="F52" s="34"/>
      <c r="G52" s="33">
        <v>24.55</v>
      </c>
      <c r="I52" s="26"/>
      <c r="J52" s="27"/>
      <c r="K52" s="28"/>
      <c r="L52" s="12"/>
      <c r="M52" s="26"/>
      <c r="N52" s="12"/>
      <c r="O52" s="28"/>
      <c r="P52" s="12"/>
      <c r="Q52" s="26"/>
      <c r="R52" s="12"/>
      <c r="S52" s="28"/>
      <c r="T52" s="12"/>
      <c r="U52" s="26"/>
      <c r="V52" s="12"/>
      <c r="W52" s="28"/>
      <c r="X52" s="12"/>
      <c r="Y52" s="26"/>
      <c r="Z52" s="12"/>
      <c r="AA52" s="28"/>
      <c r="AB52" s="12"/>
      <c r="AC52" s="26"/>
      <c r="AD52" s="12"/>
      <c r="AE52" s="28"/>
      <c r="AF52" s="12"/>
      <c r="AG52" s="26"/>
      <c r="AH52" s="12"/>
      <c r="AI52" s="28"/>
      <c r="AJ52" s="12"/>
      <c r="AK52" s="26"/>
      <c r="AL52" s="12"/>
      <c r="AM52" s="28"/>
      <c r="AN52" s="12"/>
      <c r="AO52" s="26"/>
      <c r="AP52" s="12"/>
      <c r="AQ52" s="28"/>
      <c r="AR52" s="12"/>
      <c r="AS52" s="26"/>
      <c r="AT52" s="12"/>
      <c r="AU52" s="28"/>
      <c r="AW52" s="18">
        <f t="shared" si="48"/>
        <v>0</v>
      </c>
      <c r="AX52" s="19">
        <f t="shared" si="49"/>
        <v>0</v>
      </c>
      <c r="AY52" s="20"/>
      <c r="AZ52" s="13">
        <f t="shared" si="50"/>
        <v>0</v>
      </c>
      <c r="BA52" s="21">
        <f t="shared" si="51"/>
        <v>0</v>
      </c>
      <c r="BB52" s="20"/>
      <c r="BC52" s="13">
        <f t="shared" si="52"/>
        <v>0</v>
      </c>
      <c r="BD52" s="19">
        <f t="shared" si="53"/>
        <v>0</v>
      </c>
      <c r="BE52" s="20"/>
      <c r="BF52" s="13">
        <f t="shared" si="54"/>
        <v>0</v>
      </c>
      <c r="BG52" s="21">
        <f t="shared" si="55"/>
        <v>0</v>
      </c>
      <c r="BH52" s="20"/>
      <c r="BI52" s="13">
        <f t="shared" si="56"/>
        <v>0</v>
      </c>
      <c r="BJ52" s="19">
        <f t="shared" si="57"/>
        <v>0</v>
      </c>
      <c r="BK52" s="20"/>
      <c r="BL52" s="13">
        <f t="shared" si="58"/>
        <v>0</v>
      </c>
      <c r="BM52" s="21">
        <f t="shared" si="59"/>
        <v>0</v>
      </c>
      <c r="BN52" s="20"/>
      <c r="BO52" s="13">
        <f t="shared" si="60"/>
        <v>0</v>
      </c>
      <c r="BP52" s="19">
        <f t="shared" si="61"/>
        <v>0</v>
      </c>
      <c r="BQ52" s="20"/>
      <c r="BR52" s="13">
        <f t="shared" si="62"/>
        <v>0</v>
      </c>
      <c r="BS52" s="21">
        <f t="shared" si="63"/>
        <v>0</v>
      </c>
      <c r="BT52" s="20"/>
      <c r="BU52" s="13">
        <f t="shared" si="64"/>
        <v>0</v>
      </c>
      <c r="BV52" s="19">
        <f t="shared" si="65"/>
        <v>0</v>
      </c>
      <c r="BW52" s="20"/>
      <c r="BX52" s="13">
        <f t="shared" si="66"/>
        <v>0</v>
      </c>
      <c r="BY52" s="21">
        <f t="shared" si="67"/>
        <v>0</v>
      </c>
      <c r="BZ52" s="20"/>
      <c r="CA52" s="13">
        <f t="shared" si="68"/>
        <v>0</v>
      </c>
      <c r="CB52" s="19">
        <f t="shared" si="69"/>
        <v>0</v>
      </c>
      <c r="CC52" s="20"/>
      <c r="CD52" s="13">
        <f t="shared" si="70"/>
        <v>0</v>
      </c>
      <c r="CE52" s="21">
        <f t="shared" si="71"/>
        <v>0</v>
      </c>
      <c r="CF52" s="20"/>
      <c r="CG52" s="18">
        <f t="shared" si="72"/>
        <v>0</v>
      </c>
      <c r="CH52" s="21">
        <f t="shared" si="93"/>
        <v>0</v>
      </c>
      <c r="CI52" s="20"/>
      <c r="CJ52" s="18">
        <f t="shared" si="73"/>
        <v>0</v>
      </c>
      <c r="CK52" s="21">
        <f t="shared" si="74"/>
        <v>0</v>
      </c>
      <c r="CL52" s="20"/>
      <c r="CM52" s="18">
        <f t="shared" si="75"/>
        <v>0</v>
      </c>
      <c r="CN52" s="21">
        <f t="shared" si="76"/>
        <v>0</v>
      </c>
      <c r="CO52" s="20"/>
      <c r="CP52" s="18">
        <f t="shared" si="77"/>
        <v>0</v>
      </c>
      <c r="CQ52" s="21">
        <f t="shared" si="78"/>
        <v>0</v>
      </c>
      <c r="CR52" s="20"/>
      <c r="CS52" s="18">
        <f t="shared" si="79"/>
        <v>0</v>
      </c>
      <c r="CT52" s="19">
        <f t="shared" si="80"/>
        <v>0</v>
      </c>
      <c r="CU52" s="20"/>
      <c r="CV52" s="13">
        <f t="shared" si="81"/>
        <v>0</v>
      </c>
      <c r="CW52" s="21">
        <f t="shared" si="82"/>
        <v>0</v>
      </c>
      <c r="CX52" s="20"/>
      <c r="CY52" s="13">
        <f t="shared" si="83"/>
        <v>0</v>
      </c>
      <c r="CZ52" s="19">
        <f t="shared" si="84"/>
        <v>0</v>
      </c>
      <c r="DA52" s="20"/>
      <c r="DB52" s="13">
        <f t="shared" si="85"/>
        <v>0</v>
      </c>
      <c r="DC52" s="21">
        <f t="shared" si="86"/>
        <v>0</v>
      </c>
      <c r="DE52" s="97">
        <v>0</v>
      </c>
      <c r="DF52" s="32"/>
      <c r="DG52" s="61">
        <f t="shared" si="87"/>
        <v>0</v>
      </c>
      <c r="DH52" s="32"/>
      <c r="DI52" s="59">
        <f t="shared" si="88"/>
        <v>0</v>
      </c>
      <c r="DJ52" s="32"/>
      <c r="DK52" s="59">
        <f t="shared" si="89"/>
        <v>0</v>
      </c>
      <c r="DL52" s="32"/>
      <c r="DM52" s="96">
        <f t="shared" si="90"/>
        <v>0</v>
      </c>
      <c r="DN52" s="32"/>
      <c r="DO52" s="62" t="e">
        <f t="shared" si="91"/>
        <v>#DIV/0!</v>
      </c>
      <c r="DP52" s="32"/>
      <c r="DQ52" s="96">
        <f t="shared" si="92"/>
        <v>0</v>
      </c>
      <c r="DR52" s="32"/>
      <c r="DS52" s="61"/>
      <c r="DT52" s="32"/>
      <c r="DU52" s="63">
        <v>0</v>
      </c>
      <c r="DV52" s="32"/>
      <c r="DW52" s="64">
        <f t="shared" si="94"/>
        <v>0</v>
      </c>
      <c r="DX52" s="32"/>
      <c r="DY52" s="63">
        <f t="shared" si="95"/>
        <v>0</v>
      </c>
    </row>
    <row r="53" spans="1:129" ht="12.45" customHeight="1" thickBot="1" x14ac:dyDescent="0.35">
      <c r="A53" s="46" t="s">
        <v>55</v>
      </c>
      <c r="B53" s="32"/>
      <c r="C53" s="53"/>
      <c r="D53" s="34"/>
      <c r="E53" s="44">
        <v>20</v>
      </c>
      <c r="F53" s="34"/>
      <c r="G53" s="45">
        <v>24</v>
      </c>
      <c r="I53" s="26"/>
      <c r="J53" s="27"/>
      <c r="K53" s="28"/>
      <c r="L53" s="12"/>
      <c r="M53" s="26"/>
      <c r="N53" s="12"/>
      <c r="O53" s="28"/>
      <c r="P53" s="12"/>
      <c r="Q53" s="26"/>
      <c r="R53" s="12"/>
      <c r="S53" s="28"/>
      <c r="T53" s="12"/>
      <c r="U53" s="26"/>
      <c r="V53" s="12"/>
      <c r="W53" s="28">
        <v>1</v>
      </c>
      <c r="X53" s="12"/>
      <c r="Y53" s="26"/>
      <c r="Z53" s="12"/>
      <c r="AA53" s="28"/>
      <c r="AB53" s="12"/>
      <c r="AC53" s="26"/>
      <c r="AD53" s="12"/>
      <c r="AE53" s="28"/>
      <c r="AF53" s="12"/>
      <c r="AG53" s="26"/>
      <c r="AH53" s="12"/>
      <c r="AI53" s="28"/>
      <c r="AJ53" s="12"/>
      <c r="AK53" s="26"/>
      <c r="AL53" s="12"/>
      <c r="AM53" s="28"/>
      <c r="AN53" s="12"/>
      <c r="AO53" s="26"/>
      <c r="AP53" s="12"/>
      <c r="AQ53" s="28"/>
      <c r="AR53" s="12"/>
      <c r="AS53" s="26"/>
      <c r="AT53" s="12"/>
      <c r="AU53" s="28"/>
      <c r="AW53" s="18">
        <f t="shared" si="48"/>
        <v>0</v>
      </c>
      <c r="AX53" s="19">
        <f t="shared" si="49"/>
        <v>0</v>
      </c>
      <c r="AY53" s="20"/>
      <c r="AZ53" s="13">
        <f t="shared" si="50"/>
        <v>0</v>
      </c>
      <c r="BA53" s="21">
        <f t="shared" si="51"/>
        <v>0</v>
      </c>
      <c r="BB53" s="20"/>
      <c r="BC53" s="13">
        <f t="shared" si="52"/>
        <v>0</v>
      </c>
      <c r="BD53" s="19">
        <f t="shared" si="53"/>
        <v>0</v>
      </c>
      <c r="BE53" s="20"/>
      <c r="BF53" s="13">
        <f t="shared" si="54"/>
        <v>0</v>
      </c>
      <c r="BG53" s="21">
        <f t="shared" si="55"/>
        <v>0</v>
      </c>
      <c r="BH53" s="20"/>
      <c r="BI53" s="13">
        <f t="shared" si="56"/>
        <v>0</v>
      </c>
      <c r="BJ53" s="19">
        <f t="shared" si="57"/>
        <v>0</v>
      </c>
      <c r="BK53" s="20"/>
      <c r="BL53" s="13">
        <f t="shared" si="58"/>
        <v>0</v>
      </c>
      <c r="BM53" s="21">
        <f t="shared" si="59"/>
        <v>0</v>
      </c>
      <c r="BN53" s="20"/>
      <c r="BO53" s="13">
        <f t="shared" si="60"/>
        <v>0</v>
      </c>
      <c r="BP53" s="19">
        <f t="shared" si="61"/>
        <v>0</v>
      </c>
      <c r="BQ53" s="20"/>
      <c r="BR53" s="13">
        <f t="shared" si="62"/>
        <v>1</v>
      </c>
      <c r="BS53" s="21">
        <f t="shared" si="63"/>
        <v>24</v>
      </c>
      <c r="BT53" s="20"/>
      <c r="BU53" s="13">
        <f t="shared" si="64"/>
        <v>0</v>
      </c>
      <c r="BV53" s="19">
        <f t="shared" si="65"/>
        <v>0</v>
      </c>
      <c r="BW53" s="20"/>
      <c r="BX53" s="13">
        <f t="shared" si="66"/>
        <v>0</v>
      </c>
      <c r="BY53" s="21">
        <f t="shared" si="67"/>
        <v>0</v>
      </c>
      <c r="BZ53" s="20"/>
      <c r="CA53" s="13">
        <f t="shared" si="68"/>
        <v>0</v>
      </c>
      <c r="CB53" s="19">
        <f t="shared" si="69"/>
        <v>0</v>
      </c>
      <c r="CC53" s="20"/>
      <c r="CD53" s="13">
        <f t="shared" si="70"/>
        <v>0</v>
      </c>
      <c r="CE53" s="21">
        <f t="shared" si="71"/>
        <v>0</v>
      </c>
      <c r="CF53" s="20"/>
      <c r="CG53" s="18">
        <f t="shared" si="72"/>
        <v>0</v>
      </c>
      <c r="CH53" s="21">
        <f t="shared" si="93"/>
        <v>0</v>
      </c>
      <c r="CI53" s="20"/>
      <c r="CJ53" s="18">
        <f t="shared" si="73"/>
        <v>0</v>
      </c>
      <c r="CK53" s="21">
        <f t="shared" si="74"/>
        <v>0</v>
      </c>
      <c r="CL53" s="20"/>
      <c r="CM53" s="18">
        <f t="shared" si="75"/>
        <v>0</v>
      </c>
      <c r="CN53" s="21">
        <f t="shared" si="76"/>
        <v>0</v>
      </c>
      <c r="CO53" s="20"/>
      <c r="CP53" s="18">
        <f t="shared" si="77"/>
        <v>0</v>
      </c>
      <c r="CQ53" s="21">
        <f t="shared" si="78"/>
        <v>0</v>
      </c>
      <c r="CR53" s="20"/>
      <c r="CS53" s="18">
        <f t="shared" si="79"/>
        <v>0</v>
      </c>
      <c r="CT53" s="19">
        <f t="shared" si="80"/>
        <v>0</v>
      </c>
      <c r="CU53" s="20"/>
      <c r="CV53" s="13">
        <f t="shared" si="81"/>
        <v>0</v>
      </c>
      <c r="CW53" s="21">
        <f t="shared" si="82"/>
        <v>0</v>
      </c>
      <c r="CX53" s="20"/>
      <c r="CY53" s="13">
        <f t="shared" si="83"/>
        <v>0</v>
      </c>
      <c r="CZ53" s="19">
        <f t="shared" si="84"/>
        <v>0</v>
      </c>
      <c r="DA53" s="20"/>
      <c r="DB53" s="13">
        <f t="shared" si="85"/>
        <v>0</v>
      </c>
      <c r="DC53" s="21">
        <f t="shared" si="86"/>
        <v>0</v>
      </c>
      <c r="DE53" s="97">
        <v>19</v>
      </c>
      <c r="DF53" s="32"/>
      <c r="DG53" s="61">
        <f t="shared" si="87"/>
        <v>0</v>
      </c>
      <c r="DH53" s="32"/>
      <c r="DI53" s="59">
        <f t="shared" si="88"/>
        <v>1</v>
      </c>
      <c r="DJ53" s="32"/>
      <c r="DK53" s="59">
        <f t="shared" si="89"/>
        <v>18</v>
      </c>
      <c r="DL53" s="32"/>
      <c r="DM53" s="96">
        <f t="shared" si="90"/>
        <v>360</v>
      </c>
      <c r="DN53" s="32"/>
      <c r="DO53" s="62">
        <f t="shared" si="91"/>
        <v>18</v>
      </c>
      <c r="DP53" s="32"/>
      <c r="DQ53" s="96">
        <f t="shared" si="92"/>
        <v>432</v>
      </c>
      <c r="DR53" s="32"/>
      <c r="DS53" s="61"/>
      <c r="DT53" s="32"/>
      <c r="DU53" s="63">
        <v>0</v>
      </c>
      <c r="DV53" s="32"/>
      <c r="DW53" s="64">
        <f t="shared" si="94"/>
        <v>0</v>
      </c>
      <c r="DX53" s="32"/>
      <c r="DY53" s="63">
        <f t="shared" si="95"/>
        <v>0</v>
      </c>
    </row>
    <row r="54" spans="1:129" ht="12.45" customHeight="1" thickTop="1" thickBot="1" x14ac:dyDescent="0.35">
      <c r="A54" s="47" t="s">
        <v>56</v>
      </c>
      <c r="B54" s="48"/>
      <c r="C54" s="54"/>
      <c r="D54" s="55"/>
      <c r="E54" s="56"/>
      <c r="F54" s="55"/>
      <c r="G54" s="54"/>
      <c r="H54" s="9"/>
      <c r="I54" s="87">
        <f>SUM(I2:I53)</f>
        <v>15</v>
      </c>
      <c r="J54" s="9"/>
      <c r="K54" s="88">
        <f>SUM(K2:L53)</f>
        <v>43</v>
      </c>
      <c r="L54" s="9"/>
      <c r="M54" s="87">
        <f>SUM(M2:M53)</f>
        <v>29</v>
      </c>
      <c r="N54" s="9"/>
      <c r="O54" s="88">
        <f>SUM(O2:P53)</f>
        <v>27</v>
      </c>
      <c r="P54" s="9"/>
      <c r="Q54" s="87">
        <f>SUM(Q2:Q53)</f>
        <v>15</v>
      </c>
      <c r="R54" s="9"/>
      <c r="S54" s="88">
        <f>SUM(S2:T53)</f>
        <v>19</v>
      </c>
      <c r="T54" s="9"/>
      <c r="U54" s="87">
        <f>SUM(U2:U53)</f>
        <v>23</v>
      </c>
      <c r="V54" s="9"/>
      <c r="W54" s="88">
        <f>SUM(W2:X53)</f>
        <v>22</v>
      </c>
      <c r="X54" s="9"/>
      <c r="Y54" s="87">
        <f>SUM(Y2:Y53)</f>
        <v>19</v>
      </c>
      <c r="Z54" s="9"/>
      <c r="AA54" s="88">
        <f>SUM(AA2:AB53)</f>
        <v>18</v>
      </c>
      <c r="AB54" s="9"/>
      <c r="AC54" s="87">
        <f>SUM(AC2:AC53)</f>
        <v>18</v>
      </c>
      <c r="AD54" s="9"/>
      <c r="AE54" s="88">
        <f>SUM(AE2:AF53)</f>
        <v>0</v>
      </c>
      <c r="AF54" s="9"/>
      <c r="AG54" s="87">
        <f>SUM(AG2:AG53)</f>
        <v>0</v>
      </c>
      <c r="AH54" s="9"/>
      <c r="AI54" s="88">
        <f>SUM(AI2:AJ53)</f>
        <v>0</v>
      </c>
      <c r="AJ54" s="9"/>
      <c r="AK54" s="87">
        <f>SUM(AK2:AK53)</f>
        <v>0</v>
      </c>
      <c r="AL54" s="9"/>
      <c r="AM54" s="88">
        <f>SUM(AM2:AM53)</f>
        <v>0</v>
      </c>
      <c r="AN54" s="9"/>
      <c r="AO54" s="87">
        <f>SUM(AO2:AO53)</f>
        <v>18</v>
      </c>
      <c r="AP54" s="9"/>
      <c r="AQ54" s="88">
        <f>SUM(AQ2:AQ53)</f>
        <v>11</v>
      </c>
      <c r="AR54" s="9"/>
      <c r="AS54" s="87">
        <f>SUM(AS2:AS53)</f>
        <v>0</v>
      </c>
      <c r="AT54" s="9"/>
      <c r="AU54" s="88">
        <f>SUM(AU2:AU53)</f>
        <v>18</v>
      </c>
      <c r="AV54" s="9"/>
      <c r="AW54" s="22">
        <f>SUM(AW1:AW39)</f>
        <v>14</v>
      </c>
      <c r="AX54" s="23">
        <f>SUM(AX2:AX53)</f>
        <v>478.65999999999997</v>
      </c>
      <c r="AY54" s="24"/>
      <c r="AZ54" s="22">
        <f>SUM(AZ1:AZ53)</f>
        <v>43</v>
      </c>
      <c r="BA54" s="23">
        <f>SUM(BA2:BA53)</f>
        <v>1434.97</v>
      </c>
      <c r="BB54" s="24"/>
      <c r="BC54" s="22">
        <f>SUM(BC1:BC53)</f>
        <v>29</v>
      </c>
      <c r="BD54" s="23">
        <f>SUM(BD2:BD53)</f>
        <v>816.4</v>
      </c>
      <c r="BE54" s="24"/>
      <c r="BF54" s="22">
        <f>SUM(BF1:BF53)</f>
        <v>27</v>
      </c>
      <c r="BG54" s="23">
        <f>SUM(BG2:BG53)</f>
        <v>945.85</v>
      </c>
      <c r="BH54" s="24"/>
      <c r="BI54" s="22">
        <f>SUM(BI1:BI53)</f>
        <v>15</v>
      </c>
      <c r="BJ54" s="23">
        <f>SUM(BJ2:BJ53)</f>
        <v>524.09000000000015</v>
      </c>
      <c r="BK54" s="24"/>
      <c r="BL54" s="22">
        <f>SUM(BL1:BL53)</f>
        <v>19</v>
      </c>
      <c r="BM54" s="23">
        <f>SUM(BM2:BM53)</f>
        <v>620.82999999999993</v>
      </c>
      <c r="BN54" s="24"/>
      <c r="BO54" s="22">
        <f>SUM(BO1:BO53)</f>
        <v>23</v>
      </c>
      <c r="BP54" s="25">
        <f>SUM(BP2:BP53)</f>
        <v>646.62000000000012</v>
      </c>
      <c r="BQ54" s="24"/>
      <c r="BR54" s="22">
        <f>SUM(BR1:BR53)</f>
        <v>22</v>
      </c>
      <c r="BS54" s="23">
        <f>SUM(BS2:BS53)</f>
        <v>684.45</v>
      </c>
      <c r="BT54" s="24"/>
      <c r="BU54" s="22">
        <f>SUM(BU1:BU53)</f>
        <v>19</v>
      </c>
      <c r="BV54" s="23">
        <f>SUM(BV2:BV53)</f>
        <v>544.69000000000005</v>
      </c>
      <c r="BW54" s="24"/>
      <c r="BX54" s="22">
        <f>SUM(BX1:BX53)</f>
        <v>18</v>
      </c>
      <c r="BY54" s="23">
        <f>SUM(BY2:BY53)</f>
        <v>541.78</v>
      </c>
      <c r="BZ54" s="24"/>
      <c r="CA54" s="22">
        <f>SUM(CA1:CA53)</f>
        <v>18</v>
      </c>
      <c r="CB54" s="23">
        <f>SUM(CB2:CB53)</f>
        <v>574.29999999999984</v>
      </c>
      <c r="CC54" s="24"/>
      <c r="CD54" s="22">
        <f>SUM(CD1:CD53)</f>
        <v>0</v>
      </c>
      <c r="CE54" s="23">
        <f>SUM(CE2:CE53)</f>
        <v>0</v>
      </c>
      <c r="CF54" s="24"/>
      <c r="CG54" s="22">
        <f>SUM(CG1:CG53)</f>
        <v>0</v>
      </c>
      <c r="CH54" s="23">
        <f>SUM(CH2:CH53)</f>
        <v>0</v>
      </c>
      <c r="CI54" s="24"/>
      <c r="CJ54" s="22">
        <f>SUM(CJ1:CJ53)</f>
        <v>0</v>
      </c>
      <c r="CK54" s="23">
        <f>SUM(CK2:CK53)</f>
        <v>0</v>
      </c>
      <c r="CL54" s="24"/>
      <c r="CM54" s="22">
        <f>SUM(CM1:CM53)</f>
        <v>0</v>
      </c>
      <c r="CN54" s="23">
        <f>SUM(CN2:CN53)</f>
        <v>0</v>
      </c>
      <c r="CO54" s="24"/>
      <c r="CP54" s="22">
        <f>SUM(CP1:CP53)</f>
        <v>0</v>
      </c>
      <c r="CQ54" s="23">
        <f>SUM(CQ2:CQ53)</f>
        <v>0</v>
      </c>
      <c r="CR54" s="24"/>
      <c r="CS54" s="22">
        <f>SUM(CS1:CS53)</f>
        <v>18</v>
      </c>
      <c r="CT54" s="23">
        <f>SUM(CT2:CT53)</f>
        <v>621.2299999999999</v>
      </c>
      <c r="CU54" s="24"/>
      <c r="CV54" s="22">
        <f>SUM(CV1:CV53)</f>
        <v>11</v>
      </c>
      <c r="CW54" s="23">
        <f>SUM(CW2:CW53)</f>
        <v>395.92</v>
      </c>
      <c r="CX54" s="24"/>
      <c r="CY54" s="22">
        <f>SUM(CY1:CY53)</f>
        <v>0</v>
      </c>
      <c r="CZ54" s="23">
        <f>SUM(CZ2:CZ53)</f>
        <v>0</v>
      </c>
      <c r="DA54" s="24"/>
      <c r="DB54" s="22">
        <f>SUM(DB1:DB53)</f>
        <v>18</v>
      </c>
      <c r="DC54" s="23">
        <f>SUM(DC2:DC53)</f>
        <v>563.36</v>
      </c>
      <c r="DD54" s="9"/>
      <c r="DE54" s="95">
        <f>SUM(DE2:DE53)</f>
        <v>8687</v>
      </c>
      <c r="DF54" s="48"/>
      <c r="DG54" s="86">
        <f>SUM(DG2:DG53)</f>
        <v>428</v>
      </c>
      <c r="DH54" s="48"/>
      <c r="DI54" s="86">
        <f>SUM(DI2:DI53)</f>
        <v>295</v>
      </c>
      <c r="DJ54" s="48"/>
      <c r="DK54" s="86">
        <f>SUM(DK2:DK53)</f>
        <v>8820</v>
      </c>
      <c r="DL54" s="48"/>
      <c r="DM54" s="66">
        <f>SUM(DM2:DM53)</f>
        <v>232139.035</v>
      </c>
      <c r="DN54" s="48"/>
      <c r="DO54" s="94">
        <f>DM54+DY54</f>
        <v>264624.23499999999</v>
      </c>
      <c r="DP54" s="48"/>
      <c r="DQ54" s="66">
        <f>SUM(DQ2:DQ53)</f>
        <v>278339.95</v>
      </c>
      <c r="DR54" s="48"/>
      <c r="DS54" s="65"/>
      <c r="DT54" s="48"/>
      <c r="DU54" s="67"/>
      <c r="DV54" s="48"/>
      <c r="DW54" s="68"/>
      <c r="DX54" s="48"/>
      <c r="DY54" s="93">
        <f>SUM(DY4:DY53)</f>
        <v>32485.199999999997</v>
      </c>
    </row>
    <row r="55" spans="1:129" ht="12.45" customHeight="1" thickTop="1" x14ac:dyDescent="0.3">
      <c r="C55" s="57"/>
      <c r="E55" s="58"/>
      <c r="DM55" s="8"/>
      <c r="DN55" s="149">
        <f>AX54+BA54+BD54+BG54+BJ54+BM54+BP54+BS54+BV54+BY54+CB54+CT54+CW54+CZ54+DC54</f>
        <v>9393.15</v>
      </c>
      <c r="DO55" s="149"/>
      <c r="DP55" s="8"/>
      <c r="DQ55" s="8"/>
      <c r="DR55" s="8"/>
      <c r="DT55" s="8"/>
      <c r="DV55" s="8"/>
      <c r="DX55" s="8"/>
    </row>
  </sheetData>
  <mergeCells count="22">
    <mergeCell ref="CY1:CZ1"/>
    <mergeCell ref="DB1:DC1"/>
    <mergeCell ref="DS1:DY3"/>
    <mergeCell ref="DN55:DO55"/>
    <mergeCell ref="CG1:CH1"/>
    <mergeCell ref="CJ1:CK1"/>
    <mergeCell ref="CM1:CN1"/>
    <mergeCell ref="CP1:CQ1"/>
    <mergeCell ref="CS1:CT1"/>
    <mergeCell ref="CV1:CW1"/>
    <mergeCell ref="CD1:CE1"/>
    <mergeCell ref="AW1:AX1"/>
    <mergeCell ref="AZ1:BA1"/>
    <mergeCell ref="BC1:BD1"/>
    <mergeCell ref="BF1:BG1"/>
    <mergeCell ref="BI1:BJ1"/>
    <mergeCell ref="BL1:BM1"/>
    <mergeCell ref="BO1:BP1"/>
    <mergeCell ref="BR1:BS1"/>
    <mergeCell ref="BU1:BV1"/>
    <mergeCell ref="BX1:BY1"/>
    <mergeCell ref="CA1:C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6C85-A473-436C-8664-4CEF070DEE40}">
  <dimension ref="A1:DY55"/>
  <sheetViews>
    <sheetView zoomScale="65" zoomScaleNormal="72" workbookViewId="0">
      <pane xSplit="1" topLeftCell="BB1" activePane="topRight" state="frozen"/>
      <selection pane="topRight" activeCell="DK13" sqref="DK13"/>
    </sheetView>
  </sheetViews>
  <sheetFormatPr defaultColWidth="9.109375" defaultRowHeight="13.8" x14ac:dyDescent="0.3"/>
  <cols>
    <col min="1" max="1" width="30.77734375" style="50" customWidth="1"/>
    <col min="2" max="2" width="3.33203125" style="3" customWidth="1"/>
    <col min="3" max="3" width="14.77734375" style="50" customWidth="1"/>
    <col min="4" max="4" width="3.33203125" style="12" customWidth="1"/>
    <col min="5" max="5" width="14.77734375" style="57" customWidth="1"/>
    <col min="6" max="6" width="3.33203125" style="12" customWidth="1"/>
    <col min="7" max="7" width="14.77734375" style="57" customWidth="1"/>
    <col min="8" max="8" width="3.33203125" style="3" customWidth="1"/>
    <col min="9" max="9" width="7.77734375" style="6" customWidth="1"/>
    <col min="10" max="10" width="3.33203125" style="3" customWidth="1"/>
    <col min="11" max="11" width="7.77734375" style="6" customWidth="1"/>
    <col min="12" max="12" width="3.33203125" style="3" customWidth="1"/>
    <col min="13" max="13" width="7.77734375" style="6" customWidth="1"/>
    <col min="14" max="14" width="3.33203125" style="3" customWidth="1"/>
    <col min="15" max="15" width="7.77734375" style="6" customWidth="1"/>
    <col min="16" max="16" width="3.33203125" style="3" customWidth="1"/>
    <col min="17" max="17" width="7.77734375" style="6" customWidth="1"/>
    <col min="18" max="18" width="3.33203125" style="3" customWidth="1"/>
    <col min="19" max="19" width="7.77734375" style="6" customWidth="1"/>
    <col min="20" max="20" width="3.33203125" style="3" customWidth="1"/>
    <col min="21" max="21" width="7.77734375" style="6" customWidth="1"/>
    <col min="22" max="22" width="3.33203125" style="3" customWidth="1"/>
    <col min="23" max="23" width="7.77734375" style="6" customWidth="1"/>
    <col min="24" max="24" width="3.33203125" style="3" customWidth="1"/>
    <col min="25" max="25" width="7.77734375" style="6" customWidth="1"/>
    <col min="26" max="26" width="3.33203125" style="3" customWidth="1"/>
    <col min="27" max="27" width="7.77734375" style="6" customWidth="1"/>
    <col min="28" max="28" width="3.33203125" style="3" customWidth="1"/>
    <col min="29" max="29" width="7.77734375" style="6" customWidth="1"/>
    <col min="30" max="30" width="3.33203125" style="3" hidden="1" customWidth="1"/>
    <col min="31" max="31" width="7.77734375" style="6" hidden="1" customWidth="1"/>
    <col min="32" max="32" width="3.33203125" style="3" hidden="1" customWidth="1"/>
    <col min="33" max="33" width="7.77734375" style="6" hidden="1" customWidth="1"/>
    <col min="34" max="34" width="3.33203125" style="3" hidden="1" customWidth="1"/>
    <col min="35" max="35" width="7.77734375" style="6" hidden="1" customWidth="1"/>
    <col min="36" max="36" width="3.33203125" style="3" hidden="1" customWidth="1"/>
    <col min="37" max="37" width="7.77734375" style="6" hidden="1" customWidth="1"/>
    <col min="38" max="38" width="3.33203125" style="3" hidden="1" customWidth="1"/>
    <col min="39" max="39" width="7.77734375" style="6" hidden="1" customWidth="1"/>
    <col min="40" max="40" width="3.33203125" style="3" customWidth="1"/>
    <col min="41" max="41" width="7.77734375" style="6" customWidth="1"/>
    <col min="42" max="42" width="3.33203125" style="3" customWidth="1"/>
    <col min="43" max="43" width="7.77734375" style="6" customWidth="1"/>
    <col min="44" max="44" width="3.33203125" style="3" customWidth="1"/>
    <col min="45" max="45" width="7.77734375" style="6" customWidth="1"/>
    <col min="46" max="46" width="3.33203125" style="3" customWidth="1"/>
    <col min="47" max="47" width="7.77734375" style="6" customWidth="1"/>
    <col min="48" max="48" width="3.33203125" style="3" customWidth="1"/>
    <col min="49" max="49" width="3.77734375" style="3" customWidth="1"/>
    <col min="50" max="50" width="8.77734375" style="6" customWidth="1"/>
    <col min="51" max="51" width="3.33203125" style="3" customWidth="1"/>
    <col min="52" max="52" width="3.77734375" style="3" customWidth="1"/>
    <col min="53" max="53" width="8.77734375" style="6" customWidth="1"/>
    <col min="54" max="54" width="3.33203125" style="3" customWidth="1"/>
    <col min="55" max="55" width="3.77734375" style="3" customWidth="1"/>
    <col min="56" max="56" width="8.77734375" style="6" customWidth="1"/>
    <col min="57" max="57" width="3.33203125" style="3" customWidth="1"/>
    <col min="58" max="58" width="3.77734375" style="3" customWidth="1"/>
    <col min="59" max="59" width="8.77734375" style="6" customWidth="1"/>
    <col min="60" max="60" width="3.33203125" style="3" customWidth="1"/>
    <col min="61" max="61" width="3.77734375" style="3" customWidth="1"/>
    <col min="62" max="62" width="8.77734375" style="6" customWidth="1"/>
    <col min="63" max="63" width="3.33203125" style="3" customWidth="1"/>
    <col min="64" max="64" width="3.77734375" style="3" customWidth="1"/>
    <col min="65" max="65" width="8.77734375" style="6" customWidth="1"/>
    <col min="66" max="66" width="3.33203125" style="3" customWidth="1"/>
    <col min="67" max="67" width="3.77734375" style="3" customWidth="1"/>
    <col min="68" max="68" width="8.77734375" style="6" customWidth="1"/>
    <col min="69" max="69" width="3.33203125" style="3" customWidth="1"/>
    <col min="70" max="70" width="3.77734375" style="3" customWidth="1"/>
    <col min="71" max="71" width="8.77734375" style="6" customWidth="1"/>
    <col min="72" max="72" width="3.33203125" style="3" customWidth="1"/>
    <col min="73" max="73" width="3.77734375" style="3" customWidth="1"/>
    <col min="74" max="74" width="8.77734375" style="6" customWidth="1"/>
    <col min="75" max="75" width="3.33203125" style="3" customWidth="1"/>
    <col min="76" max="76" width="3.77734375" style="3" customWidth="1"/>
    <col min="77" max="77" width="8.77734375" style="6" customWidth="1"/>
    <col min="78" max="78" width="3.33203125" style="3" customWidth="1"/>
    <col min="79" max="79" width="3.77734375" style="3" customWidth="1"/>
    <col min="80" max="80" width="8.77734375" style="6" customWidth="1"/>
    <col min="81" max="81" width="3.33203125" style="3" hidden="1" customWidth="1"/>
    <col min="82" max="82" width="3.77734375" style="3" hidden="1" customWidth="1"/>
    <col min="83" max="83" width="8.77734375" style="6" hidden="1" customWidth="1"/>
    <col min="84" max="84" width="3.33203125" style="3" hidden="1" customWidth="1"/>
    <col min="85" max="85" width="3.77734375" style="3" hidden="1" customWidth="1"/>
    <col min="86" max="86" width="8.77734375" style="6" hidden="1" customWidth="1"/>
    <col min="87" max="87" width="3.33203125" style="3" hidden="1" customWidth="1"/>
    <col min="88" max="88" width="3.77734375" style="3" hidden="1" customWidth="1"/>
    <col min="89" max="89" width="8.77734375" style="6" hidden="1" customWidth="1"/>
    <col min="90" max="90" width="3.33203125" style="3" hidden="1" customWidth="1"/>
    <col min="91" max="91" width="3.77734375" style="3" hidden="1" customWidth="1"/>
    <col min="92" max="92" width="8.77734375" style="6" hidden="1" customWidth="1"/>
    <col min="93" max="93" width="3.33203125" style="3" hidden="1" customWidth="1"/>
    <col min="94" max="94" width="3.77734375" style="3" hidden="1" customWidth="1"/>
    <col min="95" max="95" width="8.77734375" style="6" hidden="1" customWidth="1"/>
    <col min="96" max="96" width="3.33203125" style="3" customWidth="1"/>
    <col min="97" max="97" width="3.77734375" style="3" customWidth="1"/>
    <col min="98" max="98" width="8.77734375" style="6" customWidth="1"/>
    <col min="99" max="99" width="3.33203125" style="3" customWidth="1"/>
    <col min="100" max="100" width="3.77734375" style="3" customWidth="1"/>
    <col min="101" max="101" width="8.77734375" style="6" customWidth="1"/>
    <col min="102" max="102" width="3.33203125" style="3" customWidth="1"/>
    <col min="103" max="103" width="3.77734375" style="3" customWidth="1"/>
    <col min="104" max="104" width="8.77734375" style="6" customWidth="1"/>
    <col min="105" max="105" width="3.33203125" style="3" customWidth="1"/>
    <col min="106" max="106" width="3.77734375" style="3" customWidth="1"/>
    <col min="107" max="107" width="8.77734375" style="6" customWidth="1"/>
    <col min="108" max="108" width="3.33203125" style="3" customWidth="1"/>
    <col min="109" max="109" width="11.77734375" style="8" customWidth="1"/>
    <col min="110" max="110" width="3.33203125" style="3" customWidth="1"/>
    <col min="111" max="111" width="11.77734375" style="8" customWidth="1"/>
    <col min="112" max="112" width="3.33203125" style="3" customWidth="1"/>
    <col min="113" max="113" width="11.77734375" style="8" customWidth="1"/>
    <col min="114" max="114" width="3.33203125" style="3" customWidth="1"/>
    <col min="115" max="115" width="11.77734375" style="8" customWidth="1"/>
    <col min="116" max="116" width="3.33203125" style="3" customWidth="1"/>
    <col min="117" max="117" width="13.77734375" style="10" customWidth="1"/>
    <col min="118" max="118" width="3.33203125" style="3" customWidth="1"/>
    <col min="119" max="119" width="13.77734375" style="5" customWidth="1"/>
    <col min="120" max="120" width="3.33203125" style="3" customWidth="1"/>
    <col min="121" max="121" width="13.77734375" style="10" customWidth="1"/>
    <col min="122" max="122" width="3.33203125" style="3" customWidth="1"/>
    <col min="123" max="123" width="7.88671875" style="8" customWidth="1"/>
    <col min="124" max="124" width="3.33203125" style="3" customWidth="1"/>
    <col min="125" max="125" width="7.88671875" style="8" customWidth="1"/>
    <col min="126" max="126" width="3.33203125" style="3" customWidth="1"/>
    <col min="127" max="127" width="13.77734375" style="8" customWidth="1"/>
    <col min="128" max="128" width="3.33203125" style="3" customWidth="1"/>
    <col min="129" max="129" width="13.77734375" style="8" customWidth="1"/>
    <col min="130" max="16384" width="9.109375" style="3"/>
  </cols>
  <sheetData>
    <row r="1" spans="1:129" s="50" customFormat="1" ht="18" customHeight="1" thickTop="1" thickBot="1" x14ac:dyDescent="0.35">
      <c r="A1" s="89" t="s">
        <v>0</v>
      </c>
      <c r="B1" s="60"/>
      <c r="C1" s="72" t="s">
        <v>1</v>
      </c>
      <c r="D1" s="90"/>
      <c r="E1" s="74" t="s">
        <v>2</v>
      </c>
      <c r="F1" s="90"/>
      <c r="G1" s="77" t="s">
        <v>3</v>
      </c>
      <c r="H1" s="91"/>
      <c r="I1" s="11" t="s">
        <v>4</v>
      </c>
      <c r="J1" s="90"/>
      <c r="K1" s="11" t="s">
        <v>5</v>
      </c>
      <c r="L1" s="90"/>
      <c r="M1" s="11" t="s">
        <v>6</v>
      </c>
      <c r="N1" s="90"/>
      <c r="O1" s="11" t="s">
        <v>7</v>
      </c>
      <c r="P1" s="90"/>
      <c r="Q1" s="11" t="s">
        <v>8</v>
      </c>
      <c r="R1" s="90"/>
      <c r="S1" s="11" t="s">
        <v>9</v>
      </c>
      <c r="T1" s="90"/>
      <c r="U1" s="11" t="s">
        <v>10</v>
      </c>
      <c r="V1" s="90"/>
      <c r="W1" s="11" t="s">
        <v>11</v>
      </c>
      <c r="X1" s="90"/>
      <c r="Y1" s="11" t="s">
        <v>12</v>
      </c>
      <c r="Z1" s="90"/>
      <c r="AA1" s="11" t="s">
        <v>13</v>
      </c>
      <c r="AB1" s="90"/>
      <c r="AC1" s="11" t="s">
        <v>14</v>
      </c>
      <c r="AD1" s="90"/>
      <c r="AE1" s="11" t="s">
        <v>58</v>
      </c>
      <c r="AF1" s="92"/>
      <c r="AG1" s="11" t="s">
        <v>59</v>
      </c>
      <c r="AH1" s="90"/>
      <c r="AI1" s="11" t="s">
        <v>60</v>
      </c>
      <c r="AJ1" s="92"/>
      <c r="AK1" s="11" t="s">
        <v>61</v>
      </c>
      <c r="AL1" s="90"/>
      <c r="AM1" s="11" t="s">
        <v>66</v>
      </c>
      <c r="AN1" s="92"/>
      <c r="AO1" s="11" t="s">
        <v>62</v>
      </c>
      <c r="AP1" s="92"/>
      <c r="AQ1" s="11" t="s">
        <v>63</v>
      </c>
      <c r="AR1" s="92"/>
      <c r="AS1" s="11" t="s">
        <v>64</v>
      </c>
      <c r="AT1" s="92"/>
      <c r="AU1" s="69" t="s">
        <v>65</v>
      </c>
      <c r="AV1" s="92"/>
      <c r="AW1" s="144" t="s">
        <v>80</v>
      </c>
      <c r="AX1" s="145"/>
      <c r="AY1" s="92"/>
      <c r="AZ1" s="144" t="s">
        <v>81</v>
      </c>
      <c r="BA1" s="145"/>
      <c r="BB1" s="92"/>
      <c r="BC1" s="144" t="s">
        <v>82</v>
      </c>
      <c r="BD1" s="145"/>
      <c r="BE1" s="92"/>
      <c r="BF1" s="144" t="s">
        <v>83</v>
      </c>
      <c r="BG1" s="145"/>
      <c r="BH1" s="92"/>
      <c r="BI1" s="144" t="s">
        <v>84</v>
      </c>
      <c r="BJ1" s="145"/>
      <c r="BK1" s="92"/>
      <c r="BL1" s="144" t="s">
        <v>85</v>
      </c>
      <c r="BM1" s="145"/>
      <c r="BN1" s="92"/>
      <c r="BO1" s="144" t="s">
        <v>86</v>
      </c>
      <c r="BP1" s="145"/>
      <c r="BQ1" s="92"/>
      <c r="BR1" s="144" t="s">
        <v>87</v>
      </c>
      <c r="BS1" s="145"/>
      <c r="BT1" s="92"/>
      <c r="BU1" s="144" t="s">
        <v>88</v>
      </c>
      <c r="BV1" s="145"/>
      <c r="BW1" s="92"/>
      <c r="BX1" s="142" t="s">
        <v>89</v>
      </c>
      <c r="BY1" s="143"/>
      <c r="BZ1" s="92"/>
      <c r="CA1" s="144" t="s">
        <v>90</v>
      </c>
      <c r="CB1" s="145"/>
      <c r="CC1" s="92"/>
      <c r="CD1" s="142" t="s">
        <v>91</v>
      </c>
      <c r="CE1" s="143"/>
      <c r="CF1" s="92"/>
      <c r="CG1" s="142" t="s">
        <v>92</v>
      </c>
      <c r="CH1" s="143"/>
      <c r="CI1" s="92"/>
      <c r="CJ1" s="142" t="s">
        <v>93</v>
      </c>
      <c r="CK1" s="143"/>
      <c r="CL1" s="92"/>
      <c r="CM1" s="142" t="s">
        <v>94</v>
      </c>
      <c r="CN1" s="143"/>
      <c r="CO1" s="92"/>
      <c r="CP1" s="142" t="s">
        <v>72</v>
      </c>
      <c r="CQ1" s="143"/>
      <c r="CR1" s="92"/>
      <c r="CS1" s="142" t="s">
        <v>62</v>
      </c>
      <c r="CT1" s="143"/>
      <c r="CU1" s="92"/>
      <c r="CV1" s="142" t="s">
        <v>63</v>
      </c>
      <c r="CW1" s="143"/>
      <c r="CX1" s="92"/>
      <c r="CY1" s="142" t="s">
        <v>64</v>
      </c>
      <c r="CZ1" s="143"/>
      <c r="DA1" s="92"/>
      <c r="DB1" s="142" t="s">
        <v>65</v>
      </c>
      <c r="DC1" s="143"/>
      <c r="DD1" s="92"/>
      <c r="DE1" s="69" t="s">
        <v>95</v>
      </c>
      <c r="DF1" s="92"/>
      <c r="DG1" s="11" t="s">
        <v>15</v>
      </c>
      <c r="DH1" s="92"/>
      <c r="DI1" s="11" t="s">
        <v>16</v>
      </c>
      <c r="DJ1" s="92"/>
      <c r="DK1" s="80" t="s">
        <v>96</v>
      </c>
      <c r="DL1" s="92"/>
      <c r="DM1" s="83" t="s">
        <v>17</v>
      </c>
      <c r="DN1" s="92"/>
      <c r="DO1" s="80" t="s">
        <v>97</v>
      </c>
      <c r="DP1" s="92"/>
      <c r="DQ1" s="83" t="s">
        <v>3</v>
      </c>
      <c r="DR1" s="92"/>
      <c r="DS1" s="146" t="s">
        <v>57</v>
      </c>
      <c r="DT1" s="146"/>
      <c r="DU1" s="146"/>
      <c r="DV1" s="146"/>
      <c r="DW1" s="146"/>
      <c r="DX1" s="146"/>
      <c r="DY1" s="146"/>
    </row>
    <row r="2" spans="1:129" ht="12" customHeight="1" thickTop="1" x14ac:dyDescent="0.3">
      <c r="A2" s="70" t="s">
        <v>18</v>
      </c>
      <c r="B2" s="29"/>
      <c r="C2" s="103"/>
      <c r="D2" s="30"/>
      <c r="E2" s="75">
        <v>54</v>
      </c>
      <c r="F2" s="30"/>
      <c r="G2" s="75">
        <v>62.1</v>
      </c>
      <c r="H2" s="5"/>
      <c r="I2" s="4"/>
      <c r="J2" s="5"/>
      <c r="K2" s="4"/>
      <c r="L2" s="5"/>
      <c r="M2" s="4"/>
      <c r="N2" s="5"/>
      <c r="O2" s="4"/>
      <c r="P2" s="5"/>
      <c r="Q2" s="4"/>
      <c r="R2" s="5"/>
      <c r="S2" s="4"/>
      <c r="T2" s="5"/>
      <c r="U2" s="4"/>
      <c r="V2" s="5"/>
      <c r="W2" s="4"/>
      <c r="X2" s="5"/>
      <c r="Y2" s="4"/>
      <c r="Z2" s="5"/>
      <c r="AA2" s="4"/>
      <c r="AB2" s="5"/>
      <c r="AC2" s="4"/>
      <c r="AD2" s="5"/>
      <c r="AE2" s="4"/>
      <c r="AG2" s="4"/>
      <c r="AH2" s="5"/>
      <c r="AI2" s="4"/>
      <c r="AJ2" s="5"/>
      <c r="AK2" s="4"/>
      <c r="AL2" s="5"/>
      <c r="AM2" s="4"/>
      <c r="AN2" s="5"/>
      <c r="AO2" s="4"/>
      <c r="AP2" s="5"/>
      <c r="AQ2" s="4"/>
      <c r="AR2" s="5"/>
      <c r="AS2" s="4"/>
      <c r="AT2" s="5"/>
      <c r="AU2" s="4"/>
      <c r="AV2" s="5"/>
      <c r="AW2" s="13">
        <f t="shared" ref="AW2:AW33" si="0">I2</f>
        <v>0</v>
      </c>
      <c r="AX2" s="14">
        <f t="shared" ref="AX2:AX33" si="1">AW2*G2</f>
        <v>0</v>
      </c>
      <c r="AY2" s="15"/>
      <c r="AZ2" s="13">
        <f t="shared" ref="AZ2:AZ33" si="2">K2</f>
        <v>0</v>
      </c>
      <c r="BA2" s="14">
        <f t="shared" ref="BA2:BA33" si="3">AZ2*G2</f>
        <v>0</v>
      </c>
      <c r="BB2" s="15"/>
      <c r="BC2" s="13">
        <f t="shared" ref="BC2:BC33" si="4">M2</f>
        <v>0</v>
      </c>
      <c r="BD2" s="14">
        <f t="shared" ref="BD2:BD33" si="5">BC2*G2</f>
        <v>0</v>
      </c>
      <c r="BE2" s="15"/>
      <c r="BF2" s="13">
        <f t="shared" ref="BF2:BF33" si="6">O2</f>
        <v>0</v>
      </c>
      <c r="BG2" s="14">
        <f t="shared" ref="BG2:BG33" si="7">BF2*G2</f>
        <v>0</v>
      </c>
      <c r="BH2" s="15"/>
      <c r="BI2" s="13">
        <f t="shared" ref="BI2:BI33" si="8">Q2</f>
        <v>0</v>
      </c>
      <c r="BJ2" s="14">
        <f t="shared" ref="BJ2:BJ33" si="9">BI2*G2</f>
        <v>0</v>
      </c>
      <c r="BK2" s="15"/>
      <c r="BL2" s="13">
        <f t="shared" ref="BL2:BL33" si="10">S2</f>
        <v>0</v>
      </c>
      <c r="BM2" s="14">
        <f t="shared" ref="BM2:BM33" si="11">BL2*G2</f>
        <v>0</v>
      </c>
      <c r="BN2" s="15"/>
      <c r="BO2" s="13">
        <f t="shared" ref="BO2:BO33" si="12">U2</f>
        <v>0</v>
      </c>
      <c r="BP2" s="14">
        <f t="shared" ref="BP2:BP33" si="13">BO2*G2</f>
        <v>0</v>
      </c>
      <c r="BQ2" s="15"/>
      <c r="BR2" s="13">
        <f t="shared" ref="BR2:BR33" si="14">W2</f>
        <v>0</v>
      </c>
      <c r="BS2" s="14">
        <f t="shared" ref="BS2:BS33" si="15">BR2*G2</f>
        <v>0</v>
      </c>
      <c r="BT2" s="15"/>
      <c r="BU2" s="13">
        <f t="shared" ref="BU2:BU33" si="16">Y2</f>
        <v>0</v>
      </c>
      <c r="BV2" s="14">
        <f t="shared" ref="BV2:BV33" si="17">BU2*G2</f>
        <v>0</v>
      </c>
      <c r="BW2" s="15"/>
      <c r="BX2" s="13">
        <f t="shared" ref="BX2:BX33" si="18">AA2</f>
        <v>0</v>
      </c>
      <c r="BY2" s="14">
        <f t="shared" ref="BY2:BY33" si="19">BX2*G2</f>
        <v>0</v>
      </c>
      <c r="BZ2" s="15"/>
      <c r="CA2" s="13">
        <f t="shared" ref="CA2:CA33" si="20">AC2</f>
        <v>0</v>
      </c>
      <c r="CB2" s="14">
        <f t="shared" ref="CB2:CB33" si="21">CA2*G2</f>
        <v>0</v>
      </c>
      <c r="CC2" s="15"/>
      <c r="CD2" s="13">
        <f t="shared" ref="CD2:CD33" si="22">AE2</f>
        <v>0</v>
      </c>
      <c r="CE2" s="14">
        <f t="shared" ref="CE2:CE33" si="23">CD2*G2</f>
        <v>0</v>
      </c>
      <c r="CF2" s="15"/>
      <c r="CG2" s="18">
        <f t="shared" ref="CG2:CG33" si="24">AG2</f>
        <v>0</v>
      </c>
      <c r="CH2" s="14">
        <f>CG2*JJ2</f>
        <v>0</v>
      </c>
      <c r="CI2" s="15"/>
      <c r="CJ2" s="18">
        <f t="shared" ref="CJ2:CJ33" si="25">AI2</f>
        <v>0</v>
      </c>
      <c r="CK2" s="14">
        <f t="shared" ref="CK2:CK33" si="26">CJ2*G2</f>
        <v>0</v>
      </c>
      <c r="CL2" s="15"/>
      <c r="CM2" s="18">
        <f t="shared" ref="CM2:CM33" si="27">AK2</f>
        <v>0</v>
      </c>
      <c r="CN2" s="14">
        <f t="shared" ref="CN2:CN33" si="28">CM2*G2</f>
        <v>0</v>
      </c>
      <c r="CO2" s="15"/>
      <c r="CP2" s="18">
        <f t="shared" ref="CP2:CP33" si="29">AM2</f>
        <v>0</v>
      </c>
      <c r="CQ2" s="14">
        <f t="shared" ref="CQ2:CQ33" si="30">CP2*G2</f>
        <v>0</v>
      </c>
      <c r="CR2" s="15"/>
      <c r="CS2" s="18">
        <f t="shared" ref="CS2:CS33" si="31">AO2</f>
        <v>0</v>
      </c>
      <c r="CT2" s="14">
        <f t="shared" ref="CT2:CT33" si="32">CS2*G2</f>
        <v>0</v>
      </c>
      <c r="CU2" s="15"/>
      <c r="CV2" s="13">
        <f t="shared" ref="CV2:CV33" si="33">AQ2</f>
        <v>0</v>
      </c>
      <c r="CW2" s="14">
        <f t="shared" ref="CW2:CW33" si="34">CV2*G2</f>
        <v>0</v>
      </c>
      <c r="CX2" s="15"/>
      <c r="CY2" s="13">
        <f t="shared" ref="CY2:CY33" si="35">AS2</f>
        <v>0</v>
      </c>
      <c r="CZ2" s="14">
        <f t="shared" ref="CZ2:CZ33" si="36">CY2*G2</f>
        <v>0</v>
      </c>
      <c r="DA2" s="15"/>
      <c r="DB2" s="13">
        <f t="shared" ref="DB2:DB33" si="37">AU2</f>
        <v>0</v>
      </c>
      <c r="DC2" s="14">
        <f t="shared" ref="DC2:DC33" si="38">DB2*G2</f>
        <v>0</v>
      </c>
      <c r="DD2" s="5"/>
      <c r="DE2" s="102">
        <v>177</v>
      </c>
      <c r="DF2" s="29"/>
      <c r="DG2" s="78">
        <f t="shared" ref="DG2:DG33" si="39">C2</f>
        <v>0</v>
      </c>
      <c r="DH2" s="29"/>
      <c r="DI2" s="78">
        <f t="shared" ref="DI2:DI33" si="40">SUM(I2:AV2)</f>
        <v>0</v>
      </c>
      <c r="DJ2" s="29"/>
      <c r="DK2" s="81">
        <f t="shared" ref="DK2:DK33" si="41">DE2+DG2-DI2</f>
        <v>177</v>
      </c>
      <c r="DL2" s="29"/>
      <c r="DM2" s="100">
        <f t="shared" ref="DM2:DM33" si="42">E2*DK2</f>
        <v>9558</v>
      </c>
      <c r="DN2" s="29"/>
      <c r="DO2" s="101" t="e">
        <f t="shared" ref="DO2:DO33" si="43">DK2/DI2</f>
        <v>#DIV/0!</v>
      </c>
      <c r="DP2" s="29"/>
      <c r="DQ2" s="100">
        <f t="shared" ref="DQ2:DQ33" si="44">G2*DK2</f>
        <v>10991.7</v>
      </c>
      <c r="DR2" s="29"/>
      <c r="DS2" s="147"/>
      <c r="DT2" s="147"/>
      <c r="DU2" s="147"/>
      <c r="DV2" s="147"/>
      <c r="DW2" s="147"/>
      <c r="DX2" s="147"/>
      <c r="DY2" s="147"/>
    </row>
    <row r="3" spans="1:129" ht="12" customHeight="1" thickBot="1" x14ac:dyDescent="0.35">
      <c r="A3" s="71" t="s">
        <v>19</v>
      </c>
      <c r="B3" s="32"/>
      <c r="C3" s="73"/>
      <c r="D3" s="34"/>
      <c r="E3" s="76">
        <v>36.93</v>
      </c>
      <c r="F3" s="34"/>
      <c r="G3" s="76">
        <v>42.47</v>
      </c>
      <c r="I3" s="7"/>
      <c r="J3" s="2"/>
      <c r="K3" s="7"/>
      <c r="L3" s="2"/>
      <c r="M3" s="7"/>
      <c r="N3" s="2"/>
      <c r="O3" s="7"/>
      <c r="P3" s="2"/>
      <c r="Q3" s="7"/>
      <c r="R3" s="2"/>
      <c r="S3" s="7"/>
      <c r="T3" s="2"/>
      <c r="U3" s="7"/>
      <c r="V3" s="2"/>
      <c r="W3" s="7"/>
      <c r="X3" s="2"/>
      <c r="Y3" s="7"/>
      <c r="Z3" s="2"/>
      <c r="AA3" s="7"/>
      <c r="AB3" s="2"/>
      <c r="AC3" s="7"/>
      <c r="AD3" s="2"/>
      <c r="AE3" s="7"/>
      <c r="AF3" s="1"/>
      <c r="AG3" s="7"/>
      <c r="AH3" s="2"/>
      <c r="AI3" s="7"/>
      <c r="AJ3" s="2"/>
      <c r="AK3" s="7"/>
      <c r="AL3" s="2"/>
      <c r="AM3" s="7"/>
      <c r="AN3" s="2"/>
      <c r="AO3" s="7"/>
      <c r="AP3" s="2"/>
      <c r="AQ3" s="7"/>
      <c r="AR3" s="2"/>
      <c r="AS3" s="7"/>
      <c r="AT3" s="2"/>
      <c r="AU3" s="7"/>
      <c r="AV3" s="2"/>
      <c r="AW3" s="13">
        <f t="shared" si="0"/>
        <v>0</v>
      </c>
      <c r="AX3" s="16">
        <f t="shared" si="1"/>
        <v>0</v>
      </c>
      <c r="AY3" s="17"/>
      <c r="AZ3" s="13">
        <f t="shared" si="2"/>
        <v>0</v>
      </c>
      <c r="BA3" s="16">
        <f t="shared" si="3"/>
        <v>0</v>
      </c>
      <c r="BB3" s="17"/>
      <c r="BC3" s="13">
        <f t="shared" si="4"/>
        <v>0</v>
      </c>
      <c r="BD3" s="16">
        <f t="shared" si="5"/>
        <v>0</v>
      </c>
      <c r="BE3" s="17"/>
      <c r="BF3" s="13">
        <f t="shared" si="6"/>
        <v>0</v>
      </c>
      <c r="BG3" s="16">
        <f t="shared" si="7"/>
        <v>0</v>
      </c>
      <c r="BH3" s="17"/>
      <c r="BI3" s="13">
        <f t="shared" si="8"/>
        <v>0</v>
      </c>
      <c r="BJ3" s="16">
        <f t="shared" si="9"/>
        <v>0</v>
      </c>
      <c r="BK3" s="17"/>
      <c r="BL3" s="13">
        <f t="shared" si="10"/>
        <v>0</v>
      </c>
      <c r="BM3" s="16">
        <f t="shared" si="11"/>
        <v>0</v>
      </c>
      <c r="BN3" s="17"/>
      <c r="BO3" s="13">
        <f t="shared" si="12"/>
        <v>0</v>
      </c>
      <c r="BP3" s="16">
        <f t="shared" si="13"/>
        <v>0</v>
      </c>
      <c r="BQ3" s="17"/>
      <c r="BR3" s="13">
        <f t="shared" si="14"/>
        <v>0</v>
      </c>
      <c r="BS3" s="16">
        <f t="shared" si="15"/>
        <v>0</v>
      </c>
      <c r="BT3" s="17"/>
      <c r="BU3" s="13">
        <f t="shared" si="16"/>
        <v>0</v>
      </c>
      <c r="BV3" s="16">
        <f t="shared" si="17"/>
        <v>0</v>
      </c>
      <c r="BW3" s="17"/>
      <c r="BX3" s="13">
        <f t="shared" si="18"/>
        <v>0</v>
      </c>
      <c r="BY3" s="16">
        <f t="shared" si="19"/>
        <v>0</v>
      </c>
      <c r="BZ3" s="17"/>
      <c r="CA3" s="13">
        <f t="shared" si="20"/>
        <v>0</v>
      </c>
      <c r="CB3" s="16">
        <f t="shared" si="21"/>
        <v>0</v>
      </c>
      <c r="CC3" s="17"/>
      <c r="CD3" s="13">
        <f t="shared" si="22"/>
        <v>0</v>
      </c>
      <c r="CE3" s="16">
        <f t="shared" si="23"/>
        <v>0</v>
      </c>
      <c r="CF3" s="17"/>
      <c r="CG3" s="18">
        <f t="shared" si="24"/>
        <v>0</v>
      </c>
      <c r="CH3" s="16">
        <f t="shared" ref="CH3:CH34" si="45">CG3*G3</f>
        <v>0</v>
      </c>
      <c r="CI3" s="17"/>
      <c r="CJ3" s="18">
        <f t="shared" si="25"/>
        <v>0</v>
      </c>
      <c r="CK3" s="16">
        <f t="shared" si="26"/>
        <v>0</v>
      </c>
      <c r="CL3" s="17"/>
      <c r="CM3" s="18">
        <f t="shared" si="27"/>
        <v>0</v>
      </c>
      <c r="CN3" s="16">
        <f t="shared" si="28"/>
        <v>0</v>
      </c>
      <c r="CO3" s="17"/>
      <c r="CP3" s="18">
        <f t="shared" si="29"/>
        <v>0</v>
      </c>
      <c r="CQ3" s="16">
        <f t="shared" si="30"/>
        <v>0</v>
      </c>
      <c r="CR3" s="17"/>
      <c r="CS3" s="18">
        <f t="shared" si="31"/>
        <v>0</v>
      </c>
      <c r="CT3" s="16">
        <f t="shared" si="32"/>
        <v>0</v>
      </c>
      <c r="CU3" s="17"/>
      <c r="CV3" s="13">
        <f t="shared" si="33"/>
        <v>0</v>
      </c>
      <c r="CW3" s="16">
        <f t="shared" si="34"/>
        <v>0</v>
      </c>
      <c r="CX3" s="17"/>
      <c r="CY3" s="13">
        <f t="shared" si="35"/>
        <v>0</v>
      </c>
      <c r="CZ3" s="16">
        <f t="shared" si="36"/>
        <v>0</v>
      </c>
      <c r="DA3" s="17"/>
      <c r="DB3" s="13">
        <f t="shared" si="37"/>
        <v>0</v>
      </c>
      <c r="DC3" s="16">
        <f t="shared" si="38"/>
        <v>0</v>
      </c>
      <c r="DD3" s="2"/>
      <c r="DE3" s="99">
        <v>178</v>
      </c>
      <c r="DF3" s="49"/>
      <c r="DG3" s="79">
        <f t="shared" si="39"/>
        <v>0</v>
      </c>
      <c r="DH3" s="49"/>
      <c r="DI3" s="79">
        <f t="shared" si="40"/>
        <v>0</v>
      </c>
      <c r="DJ3" s="49"/>
      <c r="DK3" s="82">
        <f t="shared" si="41"/>
        <v>178</v>
      </c>
      <c r="DL3" s="49"/>
      <c r="DM3" s="84">
        <f t="shared" si="42"/>
        <v>6573.54</v>
      </c>
      <c r="DN3" s="49"/>
      <c r="DO3" s="85" t="e">
        <f t="shared" si="43"/>
        <v>#DIV/0!</v>
      </c>
      <c r="DP3" s="49"/>
      <c r="DQ3" s="84">
        <f t="shared" si="44"/>
        <v>7559.66</v>
      </c>
      <c r="DR3" s="49"/>
      <c r="DS3" s="148"/>
      <c r="DT3" s="148"/>
      <c r="DU3" s="148"/>
      <c r="DV3" s="148"/>
      <c r="DW3" s="148"/>
      <c r="DX3" s="148"/>
      <c r="DY3" s="148"/>
    </row>
    <row r="4" spans="1:129" ht="12" customHeight="1" thickTop="1" x14ac:dyDescent="0.3">
      <c r="A4" s="31" t="s">
        <v>20</v>
      </c>
      <c r="B4" s="32"/>
      <c r="C4" s="52"/>
      <c r="D4" s="34"/>
      <c r="E4" s="35">
        <v>29.95</v>
      </c>
      <c r="F4" s="34"/>
      <c r="G4" s="33">
        <v>35.94</v>
      </c>
      <c r="I4" s="26">
        <v>1</v>
      </c>
      <c r="J4" s="27"/>
      <c r="K4" s="28">
        <v>4</v>
      </c>
      <c r="L4" s="12"/>
      <c r="M4" s="26">
        <v>2</v>
      </c>
      <c r="N4" s="12"/>
      <c r="O4" s="28">
        <v>3</v>
      </c>
      <c r="P4" s="12"/>
      <c r="Q4" s="26">
        <v>2</v>
      </c>
      <c r="R4" s="12"/>
      <c r="S4" s="28">
        <v>1</v>
      </c>
      <c r="T4" s="12"/>
      <c r="U4" s="26">
        <v>1</v>
      </c>
      <c r="V4" s="12"/>
      <c r="W4" s="28">
        <v>2</v>
      </c>
      <c r="X4" s="12"/>
      <c r="Y4" s="26">
        <v>1</v>
      </c>
      <c r="Z4" s="12"/>
      <c r="AA4" s="28">
        <v>1</v>
      </c>
      <c r="AB4" s="12"/>
      <c r="AC4" s="26">
        <v>1</v>
      </c>
      <c r="AD4" s="12"/>
      <c r="AE4" s="28"/>
      <c r="AF4" s="12"/>
      <c r="AG4" s="26"/>
      <c r="AH4" s="12"/>
      <c r="AI4" s="28"/>
      <c r="AJ4" s="12"/>
      <c r="AK4" s="26"/>
      <c r="AL4" s="12"/>
      <c r="AM4" s="28"/>
      <c r="AN4" s="12"/>
      <c r="AO4" s="26"/>
      <c r="AP4" s="12"/>
      <c r="AQ4" s="28"/>
      <c r="AR4" s="12"/>
      <c r="AS4" s="26"/>
      <c r="AT4" s="12"/>
      <c r="AU4" s="28"/>
      <c r="AW4" s="18">
        <f t="shared" si="0"/>
        <v>1</v>
      </c>
      <c r="AX4" s="19">
        <f t="shared" si="1"/>
        <v>35.94</v>
      </c>
      <c r="AY4" s="20"/>
      <c r="AZ4" s="18">
        <f t="shared" si="2"/>
        <v>4</v>
      </c>
      <c r="BA4" s="21">
        <f t="shared" si="3"/>
        <v>143.76</v>
      </c>
      <c r="BB4" s="20"/>
      <c r="BC4" s="18">
        <f t="shared" si="4"/>
        <v>2</v>
      </c>
      <c r="BD4" s="19">
        <f t="shared" si="5"/>
        <v>71.88</v>
      </c>
      <c r="BE4" s="20"/>
      <c r="BF4" s="18">
        <f t="shared" si="6"/>
        <v>3</v>
      </c>
      <c r="BG4" s="21">
        <f t="shared" si="7"/>
        <v>107.82</v>
      </c>
      <c r="BH4" s="20"/>
      <c r="BI4" s="18">
        <f t="shared" si="8"/>
        <v>2</v>
      </c>
      <c r="BJ4" s="19">
        <f t="shared" si="9"/>
        <v>71.88</v>
      </c>
      <c r="BK4" s="20"/>
      <c r="BL4" s="18">
        <f t="shared" si="10"/>
        <v>1</v>
      </c>
      <c r="BM4" s="21">
        <f t="shared" si="11"/>
        <v>35.94</v>
      </c>
      <c r="BN4" s="20"/>
      <c r="BO4" s="18">
        <f t="shared" si="12"/>
        <v>1</v>
      </c>
      <c r="BP4" s="19">
        <f t="shared" si="13"/>
        <v>35.94</v>
      </c>
      <c r="BQ4" s="20"/>
      <c r="BR4" s="18">
        <f t="shared" si="14"/>
        <v>2</v>
      </c>
      <c r="BS4" s="21">
        <f t="shared" si="15"/>
        <v>71.88</v>
      </c>
      <c r="BT4" s="20"/>
      <c r="BU4" s="18">
        <f t="shared" si="16"/>
        <v>1</v>
      </c>
      <c r="BV4" s="19">
        <f t="shared" si="17"/>
        <v>35.94</v>
      </c>
      <c r="BW4" s="20"/>
      <c r="BX4" s="18">
        <f t="shared" si="18"/>
        <v>1</v>
      </c>
      <c r="BY4" s="21">
        <f t="shared" si="19"/>
        <v>35.94</v>
      </c>
      <c r="BZ4" s="20"/>
      <c r="CA4" s="18">
        <f t="shared" si="20"/>
        <v>1</v>
      </c>
      <c r="CB4" s="19">
        <f t="shared" si="21"/>
        <v>35.94</v>
      </c>
      <c r="CC4" s="20"/>
      <c r="CD4" s="18">
        <f t="shared" si="22"/>
        <v>0</v>
      </c>
      <c r="CE4" s="21">
        <f t="shared" si="23"/>
        <v>0</v>
      </c>
      <c r="CF4" s="20"/>
      <c r="CG4" s="18">
        <f t="shared" si="24"/>
        <v>0</v>
      </c>
      <c r="CH4" s="21">
        <f t="shared" si="45"/>
        <v>0</v>
      </c>
      <c r="CI4" s="20"/>
      <c r="CJ4" s="18">
        <f t="shared" si="25"/>
        <v>0</v>
      </c>
      <c r="CK4" s="21">
        <f t="shared" si="26"/>
        <v>0</v>
      </c>
      <c r="CL4" s="20"/>
      <c r="CM4" s="18">
        <f t="shared" si="27"/>
        <v>0</v>
      </c>
      <c r="CN4" s="21">
        <f t="shared" si="28"/>
        <v>0</v>
      </c>
      <c r="CO4" s="20"/>
      <c r="CP4" s="18">
        <f t="shared" si="29"/>
        <v>0</v>
      </c>
      <c r="CQ4" s="21">
        <f t="shared" si="30"/>
        <v>0</v>
      </c>
      <c r="CR4" s="20"/>
      <c r="CS4" s="18">
        <f t="shared" si="31"/>
        <v>0</v>
      </c>
      <c r="CT4" s="19">
        <f t="shared" si="32"/>
        <v>0</v>
      </c>
      <c r="CU4" s="20"/>
      <c r="CV4" s="18">
        <f t="shared" si="33"/>
        <v>0</v>
      </c>
      <c r="CW4" s="21">
        <f t="shared" si="34"/>
        <v>0</v>
      </c>
      <c r="CX4" s="20"/>
      <c r="CY4" s="18">
        <f t="shared" si="35"/>
        <v>0</v>
      </c>
      <c r="CZ4" s="19">
        <f t="shared" si="36"/>
        <v>0</v>
      </c>
      <c r="DA4" s="20"/>
      <c r="DB4" s="18">
        <f t="shared" si="37"/>
        <v>0</v>
      </c>
      <c r="DC4" s="21">
        <f t="shared" si="38"/>
        <v>0</v>
      </c>
      <c r="DE4" s="98">
        <v>803</v>
      </c>
      <c r="DF4" s="32"/>
      <c r="DG4" s="61">
        <f t="shared" si="39"/>
        <v>0</v>
      </c>
      <c r="DH4" s="32"/>
      <c r="DI4" s="59">
        <f t="shared" si="40"/>
        <v>19</v>
      </c>
      <c r="DJ4" s="32"/>
      <c r="DK4" s="59">
        <f t="shared" si="41"/>
        <v>784</v>
      </c>
      <c r="DL4" s="32"/>
      <c r="DM4" s="96">
        <f t="shared" si="42"/>
        <v>23480.799999999999</v>
      </c>
      <c r="DN4" s="32"/>
      <c r="DO4" s="62">
        <f t="shared" si="43"/>
        <v>41.263157894736842</v>
      </c>
      <c r="DP4" s="32"/>
      <c r="DQ4" s="96">
        <f t="shared" si="44"/>
        <v>28176.959999999999</v>
      </c>
      <c r="DR4" s="32"/>
      <c r="DS4" s="61"/>
      <c r="DT4" s="32"/>
      <c r="DU4" s="63">
        <v>0</v>
      </c>
      <c r="DV4" s="32"/>
      <c r="DW4" s="64">
        <f t="shared" ref="DW4:DW35" si="46">DU4*1.2</f>
        <v>0</v>
      </c>
      <c r="DX4" s="32"/>
      <c r="DY4" s="63">
        <f t="shared" ref="DY4:DY35" si="47">DU4*DS4</f>
        <v>0</v>
      </c>
    </row>
    <row r="5" spans="1:129" ht="12" customHeight="1" x14ac:dyDescent="0.3">
      <c r="A5" s="36" t="s">
        <v>67</v>
      </c>
      <c r="B5" s="32"/>
      <c r="C5" s="51"/>
      <c r="D5" s="34"/>
      <c r="E5" s="35">
        <v>23</v>
      </c>
      <c r="F5" s="34"/>
      <c r="G5" s="33">
        <v>27.6</v>
      </c>
      <c r="I5" s="26">
        <v>2</v>
      </c>
      <c r="J5" s="27"/>
      <c r="K5" s="28">
        <v>7</v>
      </c>
      <c r="L5" s="12"/>
      <c r="M5" s="26">
        <v>4</v>
      </c>
      <c r="N5" s="12"/>
      <c r="O5" s="28">
        <v>5</v>
      </c>
      <c r="P5" s="12"/>
      <c r="Q5" s="26">
        <v>3</v>
      </c>
      <c r="R5" s="12"/>
      <c r="S5" s="28">
        <v>3</v>
      </c>
      <c r="T5" s="12"/>
      <c r="U5" s="26">
        <v>3</v>
      </c>
      <c r="V5" s="12"/>
      <c r="W5" s="28">
        <v>3</v>
      </c>
      <c r="X5" s="12"/>
      <c r="Y5" s="26">
        <v>3</v>
      </c>
      <c r="Z5" s="12"/>
      <c r="AA5" s="28">
        <v>2</v>
      </c>
      <c r="AB5" s="12"/>
      <c r="AC5" s="26">
        <v>4</v>
      </c>
      <c r="AD5" s="12"/>
      <c r="AE5" s="28"/>
      <c r="AF5" s="12"/>
      <c r="AG5" s="26"/>
      <c r="AH5" s="12"/>
      <c r="AI5" s="28"/>
      <c r="AJ5" s="12"/>
      <c r="AK5" s="26"/>
      <c r="AL5" s="12"/>
      <c r="AM5" s="28"/>
      <c r="AN5" s="12"/>
      <c r="AO5" s="26"/>
      <c r="AP5" s="12"/>
      <c r="AQ5" s="28"/>
      <c r="AR5" s="12"/>
      <c r="AS5" s="26"/>
      <c r="AT5" s="12"/>
      <c r="AU5" s="28"/>
      <c r="AW5" s="18">
        <f t="shared" si="0"/>
        <v>2</v>
      </c>
      <c r="AX5" s="19">
        <f t="shared" si="1"/>
        <v>55.2</v>
      </c>
      <c r="AY5" s="20"/>
      <c r="AZ5" s="13">
        <f t="shared" si="2"/>
        <v>7</v>
      </c>
      <c r="BA5" s="21">
        <f t="shared" si="3"/>
        <v>193.20000000000002</v>
      </c>
      <c r="BB5" s="20"/>
      <c r="BC5" s="13">
        <f t="shared" si="4"/>
        <v>4</v>
      </c>
      <c r="BD5" s="19">
        <f t="shared" si="5"/>
        <v>110.4</v>
      </c>
      <c r="BE5" s="20"/>
      <c r="BF5" s="13">
        <f t="shared" si="6"/>
        <v>5</v>
      </c>
      <c r="BG5" s="21">
        <f t="shared" si="7"/>
        <v>138</v>
      </c>
      <c r="BH5" s="20"/>
      <c r="BI5" s="13">
        <f t="shared" si="8"/>
        <v>3</v>
      </c>
      <c r="BJ5" s="19">
        <f t="shared" si="9"/>
        <v>82.800000000000011</v>
      </c>
      <c r="BK5" s="20"/>
      <c r="BL5" s="13">
        <f t="shared" si="10"/>
        <v>3</v>
      </c>
      <c r="BM5" s="21">
        <f t="shared" si="11"/>
        <v>82.800000000000011</v>
      </c>
      <c r="BN5" s="20"/>
      <c r="BO5" s="13">
        <f t="shared" si="12"/>
        <v>3</v>
      </c>
      <c r="BP5" s="19">
        <f t="shared" si="13"/>
        <v>82.800000000000011</v>
      </c>
      <c r="BQ5" s="20"/>
      <c r="BR5" s="13">
        <f t="shared" si="14"/>
        <v>3</v>
      </c>
      <c r="BS5" s="21">
        <f t="shared" si="15"/>
        <v>82.800000000000011</v>
      </c>
      <c r="BT5" s="20"/>
      <c r="BU5" s="13">
        <f t="shared" si="16"/>
        <v>3</v>
      </c>
      <c r="BV5" s="19">
        <f t="shared" si="17"/>
        <v>82.800000000000011</v>
      </c>
      <c r="BW5" s="20"/>
      <c r="BX5" s="13">
        <f t="shared" si="18"/>
        <v>2</v>
      </c>
      <c r="BY5" s="21">
        <f t="shared" si="19"/>
        <v>55.2</v>
      </c>
      <c r="BZ5" s="20"/>
      <c r="CA5" s="13">
        <f t="shared" si="20"/>
        <v>4</v>
      </c>
      <c r="CB5" s="19">
        <f t="shared" si="21"/>
        <v>110.4</v>
      </c>
      <c r="CC5" s="20"/>
      <c r="CD5" s="13">
        <f t="shared" si="22"/>
        <v>0</v>
      </c>
      <c r="CE5" s="21">
        <f t="shared" si="23"/>
        <v>0</v>
      </c>
      <c r="CF5" s="20"/>
      <c r="CG5" s="18">
        <f t="shared" si="24"/>
        <v>0</v>
      </c>
      <c r="CH5" s="21">
        <f t="shared" si="45"/>
        <v>0</v>
      </c>
      <c r="CI5" s="20"/>
      <c r="CJ5" s="18">
        <f t="shared" si="25"/>
        <v>0</v>
      </c>
      <c r="CK5" s="21">
        <f t="shared" si="26"/>
        <v>0</v>
      </c>
      <c r="CL5" s="20"/>
      <c r="CM5" s="18">
        <f t="shared" si="27"/>
        <v>0</v>
      </c>
      <c r="CN5" s="21">
        <f t="shared" si="28"/>
        <v>0</v>
      </c>
      <c r="CO5" s="20"/>
      <c r="CP5" s="18">
        <f t="shared" si="29"/>
        <v>0</v>
      </c>
      <c r="CQ5" s="21">
        <f t="shared" si="30"/>
        <v>0</v>
      </c>
      <c r="CR5" s="20"/>
      <c r="CS5" s="18">
        <f t="shared" si="31"/>
        <v>0</v>
      </c>
      <c r="CT5" s="19">
        <f t="shared" si="32"/>
        <v>0</v>
      </c>
      <c r="CU5" s="20"/>
      <c r="CV5" s="13">
        <f t="shared" si="33"/>
        <v>0</v>
      </c>
      <c r="CW5" s="21">
        <f t="shared" si="34"/>
        <v>0</v>
      </c>
      <c r="CX5" s="20"/>
      <c r="CY5" s="13">
        <f t="shared" si="35"/>
        <v>0</v>
      </c>
      <c r="CZ5" s="19">
        <f t="shared" si="36"/>
        <v>0</v>
      </c>
      <c r="DA5" s="20"/>
      <c r="DB5" s="13">
        <f t="shared" si="37"/>
        <v>0</v>
      </c>
      <c r="DC5" s="21">
        <f t="shared" si="38"/>
        <v>0</v>
      </c>
      <c r="DE5" s="97">
        <v>810</v>
      </c>
      <c r="DF5" s="32"/>
      <c r="DG5" s="61">
        <f t="shared" si="39"/>
        <v>0</v>
      </c>
      <c r="DH5" s="32"/>
      <c r="DI5" s="59">
        <f t="shared" si="40"/>
        <v>39</v>
      </c>
      <c r="DJ5" s="32"/>
      <c r="DK5" s="59">
        <f t="shared" si="41"/>
        <v>771</v>
      </c>
      <c r="DL5" s="32"/>
      <c r="DM5" s="96">
        <f t="shared" si="42"/>
        <v>17733</v>
      </c>
      <c r="DN5" s="32"/>
      <c r="DO5" s="62">
        <f t="shared" si="43"/>
        <v>19.76923076923077</v>
      </c>
      <c r="DP5" s="32"/>
      <c r="DQ5" s="96">
        <f t="shared" si="44"/>
        <v>21279.600000000002</v>
      </c>
      <c r="DR5" s="32"/>
      <c r="DS5" s="61">
        <v>600</v>
      </c>
      <c r="DT5" s="32"/>
      <c r="DU5" s="63">
        <v>28.75</v>
      </c>
      <c r="DV5" s="32"/>
      <c r="DW5" s="64">
        <f t="shared" si="46"/>
        <v>34.5</v>
      </c>
      <c r="DX5" s="32"/>
      <c r="DY5" s="63">
        <f t="shared" si="47"/>
        <v>17250</v>
      </c>
    </row>
    <row r="6" spans="1:129" ht="12" customHeight="1" x14ac:dyDescent="0.3">
      <c r="A6" s="37" t="s">
        <v>21</v>
      </c>
      <c r="B6" s="32"/>
      <c r="C6" s="51"/>
      <c r="D6" s="34"/>
      <c r="E6" s="35">
        <v>38.950000000000003</v>
      </c>
      <c r="F6" s="34"/>
      <c r="G6" s="33">
        <v>46.74</v>
      </c>
      <c r="I6" s="26">
        <v>1</v>
      </c>
      <c r="J6" s="27"/>
      <c r="K6" s="28">
        <v>2</v>
      </c>
      <c r="L6" s="12"/>
      <c r="M6" s="26">
        <v>1</v>
      </c>
      <c r="N6" s="12"/>
      <c r="O6" s="28"/>
      <c r="P6" s="12"/>
      <c r="Q6" s="26">
        <v>1</v>
      </c>
      <c r="R6" s="12"/>
      <c r="S6" s="28">
        <v>1</v>
      </c>
      <c r="T6" s="12"/>
      <c r="U6" s="26">
        <v>1</v>
      </c>
      <c r="V6" s="12"/>
      <c r="W6" s="28"/>
      <c r="X6" s="12"/>
      <c r="Y6" s="26">
        <v>1</v>
      </c>
      <c r="Z6" s="12"/>
      <c r="AA6" s="28"/>
      <c r="AB6" s="12"/>
      <c r="AC6" s="26">
        <v>1</v>
      </c>
      <c r="AD6" s="12"/>
      <c r="AE6" s="28"/>
      <c r="AF6" s="12"/>
      <c r="AG6" s="26"/>
      <c r="AH6" s="12"/>
      <c r="AI6" s="28"/>
      <c r="AJ6" s="12"/>
      <c r="AK6" s="26"/>
      <c r="AL6" s="12"/>
      <c r="AM6" s="28"/>
      <c r="AN6" s="12"/>
      <c r="AO6" s="26"/>
      <c r="AP6" s="12"/>
      <c r="AQ6" s="28"/>
      <c r="AR6" s="12"/>
      <c r="AS6" s="26"/>
      <c r="AT6" s="12"/>
      <c r="AU6" s="28"/>
      <c r="AW6" s="18">
        <f t="shared" si="0"/>
        <v>1</v>
      </c>
      <c r="AX6" s="19">
        <f t="shared" si="1"/>
        <v>46.74</v>
      </c>
      <c r="AY6" s="20"/>
      <c r="AZ6" s="13">
        <f t="shared" si="2"/>
        <v>2</v>
      </c>
      <c r="BA6" s="21">
        <f t="shared" si="3"/>
        <v>93.48</v>
      </c>
      <c r="BB6" s="20"/>
      <c r="BC6" s="13">
        <f t="shared" si="4"/>
        <v>1</v>
      </c>
      <c r="BD6" s="19">
        <f t="shared" si="5"/>
        <v>46.74</v>
      </c>
      <c r="BE6" s="20"/>
      <c r="BF6" s="13">
        <f t="shared" si="6"/>
        <v>0</v>
      </c>
      <c r="BG6" s="21">
        <f t="shared" si="7"/>
        <v>0</v>
      </c>
      <c r="BH6" s="20"/>
      <c r="BI6" s="13">
        <f t="shared" si="8"/>
        <v>1</v>
      </c>
      <c r="BJ6" s="19">
        <f t="shared" si="9"/>
        <v>46.74</v>
      </c>
      <c r="BK6" s="20"/>
      <c r="BL6" s="13">
        <f t="shared" si="10"/>
        <v>1</v>
      </c>
      <c r="BM6" s="21">
        <f t="shared" si="11"/>
        <v>46.74</v>
      </c>
      <c r="BN6" s="20"/>
      <c r="BO6" s="13">
        <f t="shared" si="12"/>
        <v>1</v>
      </c>
      <c r="BP6" s="19">
        <f t="shared" si="13"/>
        <v>46.74</v>
      </c>
      <c r="BQ6" s="20"/>
      <c r="BR6" s="13">
        <f t="shared" si="14"/>
        <v>0</v>
      </c>
      <c r="BS6" s="21">
        <f t="shared" si="15"/>
        <v>0</v>
      </c>
      <c r="BT6" s="20"/>
      <c r="BU6" s="13">
        <f t="shared" si="16"/>
        <v>1</v>
      </c>
      <c r="BV6" s="19">
        <f t="shared" si="17"/>
        <v>46.74</v>
      </c>
      <c r="BW6" s="20"/>
      <c r="BX6" s="13">
        <f t="shared" si="18"/>
        <v>0</v>
      </c>
      <c r="BY6" s="21">
        <f t="shared" si="19"/>
        <v>0</v>
      </c>
      <c r="BZ6" s="20"/>
      <c r="CA6" s="13">
        <f t="shared" si="20"/>
        <v>1</v>
      </c>
      <c r="CB6" s="19">
        <f t="shared" si="21"/>
        <v>46.74</v>
      </c>
      <c r="CC6" s="20"/>
      <c r="CD6" s="13">
        <f t="shared" si="22"/>
        <v>0</v>
      </c>
      <c r="CE6" s="21">
        <f t="shared" si="23"/>
        <v>0</v>
      </c>
      <c r="CF6" s="20"/>
      <c r="CG6" s="18">
        <f t="shared" si="24"/>
        <v>0</v>
      </c>
      <c r="CH6" s="21">
        <f t="shared" si="45"/>
        <v>0</v>
      </c>
      <c r="CI6" s="20"/>
      <c r="CJ6" s="18">
        <f t="shared" si="25"/>
        <v>0</v>
      </c>
      <c r="CK6" s="21">
        <f t="shared" si="26"/>
        <v>0</v>
      </c>
      <c r="CL6" s="20"/>
      <c r="CM6" s="18">
        <f t="shared" si="27"/>
        <v>0</v>
      </c>
      <c r="CN6" s="21">
        <f t="shared" si="28"/>
        <v>0</v>
      </c>
      <c r="CO6" s="20"/>
      <c r="CP6" s="18">
        <f t="shared" si="29"/>
        <v>0</v>
      </c>
      <c r="CQ6" s="21">
        <f t="shared" si="30"/>
        <v>0</v>
      </c>
      <c r="CR6" s="20"/>
      <c r="CS6" s="18">
        <f t="shared" si="31"/>
        <v>0</v>
      </c>
      <c r="CT6" s="19">
        <f t="shared" si="32"/>
        <v>0</v>
      </c>
      <c r="CU6" s="20"/>
      <c r="CV6" s="13">
        <f t="shared" si="33"/>
        <v>0</v>
      </c>
      <c r="CW6" s="21">
        <f t="shared" si="34"/>
        <v>0</v>
      </c>
      <c r="CX6" s="20"/>
      <c r="CY6" s="13">
        <f t="shared" si="35"/>
        <v>0</v>
      </c>
      <c r="CZ6" s="19">
        <f t="shared" si="36"/>
        <v>0</v>
      </c>
      <c r="DA6" s="20"/>
      <c r="DB6" s="13">
        <f t="shared" si="37"/>
        <v>0</v>
      </c>
      <c r="DC6" s="21">
        <f t="shared" si="38"/>
        <v>0</v>
      </c>
      <c r="DE6" s="97">
        <v>242</v>
      </c>
      <c r="DF6" s="32"/>
      <c r="DG6" s="61">
        <f t="shared" si="39"/>
        <v>0</v>
      </c>
      <c r="DH6" s="32"/>
      <c r="DI6" s="59">
        <f t="shared" si="40"/>
        <v>9</v>
      </c>
      <c r="DJ6" s="32"/>
      <c r="DK6" s="59">
        <f t="shared" si="41"/>
        <v>233</v>
      </c>
      <c r="DL6" s="32"/>
      <c r="DM6" s="96">
        <f t="shared" si="42"/>
        <v>9075.35</v>
      </c>
      <c r="DN6" s="32"/>
      <c r="DO6" s="62">
        <f t="shared" si="43"/>
        <v>25.888888888888889</v>
      </c>
      <c r="DP6" s="32"/>
      <c r="DQ6" s="96">
        <f t="shared" si="44"/>
        <v>10890.42</v>
      </c>
      <c r="DR6" s="32"/>
      <c r="DS6" s="61"/>
      <c r="DT6" s="32"/>
      <c r="DU6" s="63">
        <v>0</v>
      </c>
      <c r="DV6" s="32"/>
      <c r="DW6" s="64">
        <f t="shared" si="46"/>
        <v>0</v>
      </c>
      <c r="DX6" s="32"/>
      <c r="DY6" s="63">
        <f t="shared" si="47"/>
        <v>0</v>
      </c>
    </row>
    <row r="7" spans="1:129" ht="12" customHeight="1" x14ac:dyDescent="0.3">
      <c r="A7" s="36" t="s">
        <v>22</v>
      </c>
      <c r="B7" s="32"/>
      <c r="C7" s="51"/>
      <c r="D7" s="34"/>
      <c r="E7" s="35">
        <v>44.95</v>
      </c>
      <c r="F7" s="34"/>
      <c r="G7" s="33">
        <v>53.94</v>
      </c>
      <c r="I7" s="26">
        <v>1</v>
      </c>
      <c r="J7" s="27"/>
      <c r="K7" s="28">
        <v>1</v>
      </c>
      <c r="L7" s="12"/>
      <c r="M7" s="26"/>
      <c r="N7" s="12"/>
      <c r="O7" s="28"/>
      <c r="P7" s="12"/>
      <c r="Q7" s="26"/>
      <c r="R7" s="12"/>
      <c r="S7" s="28">
        <v>1</v>
      </c>
      <c r="T7" s="12"/>
      <c r="U7" s="26"/>
      <c r="V7" s="12"/>
      <c r="W7" s="28">
        <v>1</v>
      </c>
      <c r="X7" s="12"/>
      <c r="Y7" s="26"/>
      <c r="Z7" s="12"/>
      <c r="AA7" s="28"/>
      <c r="AB7" s="12"/>
      <c r="AC7" s="26"/>
      <c r="AD7" s="12"/>
      <c r="AE7" s="28"/>
      <c r="AF7" s="12"/>
      <c r="AG7" s="26"/>
      <c r="AH7" s="12"/>
      <c r="AI7" s="28"/>
      <c r="AJ7" s="12"/>
      <c r="AK7" s="26"/>
      <c r="AL7" s="12"/>
      <c r="AM7" s="28"/>
      <c r="AN7" s="12"/>
      <c r="AO7" s="26"/>
      <c r="AP7" s="12"/>
      <c r="AQ7" s="28"/>
      <c r="AR7" s="12"/>
      <c r="AS7" s="26"/>
      <c r="AT7" s="12"/>
      <c r="AU7" s="28"/>
      <c r="AW7" s="18">
        <f t="shared" si="0"/>
        <v>1</v>
      </c>
      <c r="AX7" s="19">
        <f t="shared" si="1"/>
        <v>53.94</v>
      </c>
      <c r="AY7" s="20"/>
      <c r="AZ7" s="13">
        <f t="shared" si="2"/>
        <v>1</v>
      </c>
      <c r="BA7" s="21">
        <f t="shared" si="3"/>
        <v>53.94</v>
      </c>
      <c r="BB7" s="20"/>
      <c r="BC7" s="13">
        <f t="shared" si="4"/>
        <v>0</v>
      </c>
      <c r="BD7" s="19">
        <f t="shared" si="5"/>
        <v>0</v>
      </c>
      <c r="BE7" s="20"/>
      <c r="BF7" s="13">
        <f t="shared" si="6"/>
        <v>0</v>
      </c>
      <c r="BG7" s="21">
        <f t="shared" si="7"/>
        <v>0</v>
      </c>
      <c r="BH7" s="20"/>
      <c r="BI7" s="13">
        <f t="shared" si="8"/>
        <v>0</v>
      </c>
      <c r="BJ7" s="19">
        <f t="shared" si="9"/>
        <v>0</v>
      </c>
      <c r="BK7" s="20"/>
      <c r="BL7" s="13">
        <f t="shared" si="10"/>
        <v>1</v>
      </c>
      <c r="BM7" s="21">
        <f t="shared" si="11"/>
        <v>53.94</v>
      </c>
      <c r="BN7" s="20"/>
      <c r="BO7" s="13">
        <f t="shared" si="12"/>
        <v>0</v>
      </c>
      <c r="BP7" s="19">
        <f t="shared" si="13"/>
        <v>0</v>
      </c>
      <c r="BQ7" s="20"/>
      <c r="BR7" s="13">
        <f t="shared" si="14"/>
        <v>1</v>
      </c>
      <c r="BS7" s="21">
        <f t="shared" si="15"/>
        <v>53.94</v>
      </c>
      <c r="BT7" s="20"/>
      <c r="BU7" s="13">
        <f t="shared" si="16"/>
        <v>0</v>
      </c>
      <c r="BV7" s="19">
        <f t="shared" si="17"/>
        <v>0</v>
      </c>
      <c r="BW7" s="20"/>
      <c r="BX7" s="13">
        <f t="shared" si="18"/>
        <v>0</v>
      </c>
      <c r="BY7" s="21">
        <f t="shared" si="19"/>
        <v>0</v>
      </c>
      <c r="BZ7" s="20"/>
      <c r="CA7" s="13">
        <f t="shared" si="20"/>
        <v>0</v>
      </c>
      <c r="CB7" s="19">
        <f t="shared" si="21"/>
        <v>0</v>
      </c>
      <c r="CC7" s="20"/>
      <c r="CD7" s="13">
        <f t="shared" si="22"/>
        <v>0</v>
      </c>
      <c r="CE7" s="21">
        <f t="shared" si="23"/>
        <v>0</v>
      </c>
      <c r="CF7" s="20"/>
      <c r="CG7" s="18">
        <f t="shared" si="24"/>
        <v>0</v>
      </c>
      <c r="CH7" s="21">
        <f t="shared" si="45"/>
        <v>0</v>
      </c>
      <c r="CI7" s="20"/>
      <c r="CJ7" s="18">
        <f t="shared" si="25"/>
        <v>0</v>
      </c>
      <c r="CK7" s="21">
        <f t="shared" si="26"/>
        <v>0</v>
      </c>
      <c r="CL7" s="20"/>
      <c r="CM7" s="18">
        <f t="shared" si="27"/>
        <v>0</v>
      </c>
      <c r="CN7" s="21">
        <f t="shared" si="28"/>
        <v>0</v>
      </c>
      <c r="CO7" s="20"/>
      <c r="CP7" s="18">
        <f t="shared" si="29"/>
        <v>0</v>
      </c>
      <c r="CQ7" s="21">
        <f t="shared" si="30"/>
        <v>0</v>
      </c>
      <c r="CR7" s="20"/>
      <c r="CS7" s="18">
        <f t="shared" si="31"/>
        <v>0</v>
      </c>
      <c r="CT7" s="19">
        <f t="shared" si="32"/>
        <v>0</v>
      </c>
      <c r="CU7" s="20"/>
      <c r="CV7" s="13">
        <f t="shared" si="33"/>
        <v>0</v>
      </c>
      <c r="CW7" s="21">
        <f t="shared" si="34"/>
        <v>0</v>
      </c>
      <c r="CX7" s="20"/>
      <c r="CY7" s="13">
        <f t="shared" si="35"/>
        <v>0</v>
      </c>
      <c r="CZ7" s="19">
        <f t="shared" si="36"/>
        <v>0</v>
      </c>
      <c r="DA7" s="20"/>
      <c r="DB7" s="13">
        <f t="shared" si="37"/>
        <v>0</v>
      </c>
      <c r="DC7" s="21">
        <f t="shared" si="38"/>
        <v>0</v>
      </c>
      <c r="DE7" s="97">
        <v>69</v>
      </c>
      <c r="DF7" s="32"/>
      <c r="DG7" s="61">
        <f t="shared" si="39"/>
        <v>0</v>
      </c>
      <c r="DH7" s="32"/>
      <c r="DI7" s="59">
        <f t="shared" si="40"/>
        <v>4</v>
      </c>
      <c r="DJ7" s="32"/>
      <c r="DK7" s="59">
        <f t="shared" si="41"/>
        <v>65</v>
      </c>
      <c r="DL7" s="32"/>
      <c r="DM7" s="96">
        <f t="shared" si="42"/>
        <v>2921.75</v>
      </c>
      <c r="DN7" s="32"/>
      <c r="DO7" s="62">
        <f t="shared" si="43"/>
        <v>16.25</v>
      </c>
      <c r="DP7" s="32"/>
      <c r="DQ7" s="96">
        <f t="shared" si="44"/>
        <v>3506.1</v>
      </c>
      <c r="DR7" s="32"/>
      <c r="DS7" s="61"/>
      <c r="DT7" s="32"/>
      <c r="DU7" s="63">
        <v>0</v>
      </c>
      <c r="DV7" s="32"/>
      <c r="DW7" s="64">
        <f t="shared" si="46"/>
        <v>0</v>
      </c>
      <c r="DX7" s="32"/>
      <c r="DY7" s="63">
        <f t="shared" si="47"/>
        <v>0</v>
      </c>
    </row>
    <row r="8" spans="1:129" ht="12" customHeight="1" x14ac:dyDescent="0.3">
      <c r="A8" s="37" t="s">
        <v>23</v>
      </c>
      <c r="B8" s="32"/>
      <c r="C8" s="51"/>
      <c r="D8" s="34"/>
      <c r="E8" s="35">
        <v>18.25</v>
      </c>
      <c r="F8" s="34"/>
      <c r="G8" s="33">
        <v>21.9</v>
      </c>
      <c r="I8" s="26">
        <v>1</v>
      </c>
      <c r="J8" s="27"/>
      <c r="K8" s="28">
        <v>2</v>
      </c>
      <c r="L8" s="12"/>
      <c r="M8" s="26">
        <v>1</v>
      </c>
      <c r="N8" s="12"/>
      <c r="O8" s="28">
        <v>1</v>
      </c>
      <c r="P8" s="12"/>
      <c r="Q8" s="26">
        <v>1</v>
      </c>
      <c r="R8" s="12"/>
      <c r="S8" s="28"/>
      <c r="T8" s="12"/>
      <c r="U8" s="26">
        <v>1</v>
      </c>
      <c r="V8" s="12"/>
      <c r="W8" s="28">
        <v>1</v>
      </c>
      <c r="X8" s="12"/>
      <c r="Y8" s="26">
        <v>1</v>
      </c>
      <c r="Z8" s="12"/>
      <c r="AA8" s="28"/>
      <c r="AB8" s="12"/>
      <c r="AC8" s="26">
        <v>1</v>
      </c>
      <c r="AD8" s="12"/>
      <c r="AE8" s="28"/>
      <c r="AF8" s="12"/>
      <c r="AG8" s="26"/>
      <c r="AH8" s="12"/>
      <c r="AI8" s="28"/>
      <c r="AJ8" s="12"/>
      <c r="AK8" s="26"/>
      <c r="AL8" s="12"/>
      <c r="AM8" s="28"/>
      <c r="AN8" s="12"/>
      <c r="AO8" s="26"/>
      <c r="AP8" s="12"/>
      <c r="AQ8" s="28"/>
      <c r="AR8" s="12"/>
      <c r="AS8" s="26"/>
      <c r="AT8" s="12"/>
      <c r="AU8" s="28"/>
      <c r="AW8" s="18">
        <f t="shared" si="0"/>
        <v>1</v>
      </c>
      <c r="AX8" s="19">
        <f t="shared" si="1"/>
        <v>21.9</v>
      </c>
      <c r="AY8" s="20"/>
      <c r="AZ8" s="13">
        <f t="shared" si="2"/>
        <v>2</v>
      </c>
      <c r="BA8" s="21">
        <f t="shared" si="3"/>
        <v>43.8</v>
      </c>
      <c r="BB8" s="20"/>
      <c r="BC8" s="13">
        <f t="shared" si="4"/>
        <v>1</v>
      </c>
      <c r="BD8" s="19">
        <f t="shared" si="5"/>
        <v>21.9</v>
      </c>
      <c r="BE8" s="20"/>
      <c r="BF8" s="13">
        <f t="shared" si="6"/>
        <v>1</v>
      </c>
      <c r="BG8" s="21">
        <f t="shared" si="7"/>
        <v>21.9</v>
      </c>
      <c r="BH8" s="20"/>
      <c r="BI8" s="13">
        <f t="shared" si="8"/>
        <v>1</v>
      </c>
      <c r="BJ8" s="19">
        <f t="shared" si="9"/>
        <v>21.9</v>
      </c>
      <c r="BK8" s="20"/>
      <c r="BL8" s="13">
        <f t="shared" si="10"/>
        <v>0</v>
      </c>
      <c r="BM8" s="21">
        <f t="shared" si="11"/>
        <v>0</v>
      </c>
      <c r="BN8" s="20"/>
      <c r="BO8" s="13">
        <f t="shared" si="12"/>
        <v>1</v>
      </c>
      <c r="BP8" s="19">
        <f t="shared" si="13"/>
        <v>21.9</v>
      </c>
      <c r="BQ8" s="20"/>
      <c r="BR8" s="13">
        <f t="shared" si="14"/>
        <v>1</v>
      </c>
      <c r="BS8" s="21">
        <f t="shared" si="15"/>
        <v>21.9</v>
      </c>
      <c r="BT8" s="20"/>
      <c r="BU8" s="13">
        <f t="shared" si="16"/>
        <v>1</v>
      </c>
      <c r="BV8" s="19">
        <f t="shared" si="17"/>
        <v>21.9</v>
      </c>
      <c r="BW8" s="20"/>
      <c r="BX8" s="13">
        <f t="shared" si="18"/>
        <v>0</v>
      </c>
      <c r="BY8" s="21">
        <f t="shared" si="19"/>
        <v>0</v>
      </c>
      <c r="BZ8" s="20"/>
      <c r="CA8" s="13">
        <f t="shared" si="20"/>
        <v>1</v>
      </c>
      <c r="CB8" s="19">
        <f t="shared" si="21"/>
        <v>21.9</v>
      </c>
      <c r="CC8" s="20"/>
      <c r="CD8" s="13">
        <f t="shared" si="22"/>
        <v>0</v>
      </c>
      <c r="CE8" s="21">
        <f t="shared" si="23"/>
        <v>0</v>
      </c>
      <c r="CF8" s="20"/>
      <c r="CG8" s="18">
        <f t="shared" si="24"/>
        <v>0</v>
      </c>
      <c r="CH8" s="21">
        <f t="shared" si="45"/>
        <v>0</v>
      </c>
      <c r="CI8" s="20"/>
      <c r="CJ8" s="18">
        <f t="shared" si="25"/>
        <v>0</v>
      </c>
      <c r="CK8" s="21">
        <f t="shared" si="26"/>
        <v>0</v>
      </c>
      <c r="CL8" s="20"/>
      <c r="CM8" s="18">
        <f t="shared" si="27"/>
        <v>0</v>
      </c>
      <c r="CN8" s="21">
        <f t="shared" si="28"/>
        <v>0</v>
      </c>
      <c r="CO8" s="20"/>
      <c r="CP8" s="18">
        <f t="shared" si="29"/>
        <v>0</v>
      </c>
      <c r="CQ8" s="21">
        <f t="shared" si="30"/>
        <v>0</v>
      </c>
      <c r="CR8" s="20"/>
      <c r="CS8" s="18">
        <f t="shared" si="31"/>
        <v>0</v>
      </c>
      <c r="CT8" s="19">
        <f t="shared" si="32"/>
        <v>0</v>
      </c>
      <c r="CU8" s="20"/>
      <c r="CV8" s="13">
        <f t="shared" si="33"/>
        <v>0</v>
      </c>
      <c r="CW8" s="21">
        <f t="shared" si="34"/>
        <v>0</v>
      </c>
      <c r="CX8" s="20"/>
      <c r="CY8" s="13">
        <f t="shared" si="35"/>
        <v>0</v>
      </c>
      <c r="CZ8" s="19">
        <f t="shared" si="36"/>
        <v>0</v>
      </c>
      <c r="DA8" s="20"/>
      <c r="DB8" s="13">
        <f t="shared" si="37"/>
        <v>0</v>
      </c>
      <c r="DC8" s="21">
        <f t="shared" si="38"/>
        <v>0</v>
      </c>
      <c r="DE8" s="97">
        <v>126</v>
      </c>
      <c r="DF8" s="32"/>
      <c r="DG8" s="61">
        <f t="shared" si="39"/>
        <v>0</v>
      </c>
      <c r="DH8" s="32"/>
      <c r="DI8" s="59">
        <f t="shared" si="40"/>
        <v>10</v>
      </c>
      <c r="DJ8" s="32"/>
      <c r="DK8" s="59">
        <f t="shared" si="41"/>
        <v>116</v>
      </c>
      <c r="DL8" s="32"/>
      <c r="DM8" s="96">
        <f t="shared" si="42"/>
        <v>2117</v>
      </c>
      <c r="DN8" s="32"/>
      <c r="DO8" s="62">
        <f t="shared" si="43"/>
        <v>11.6</v>
      </c>
      <c r="DP8" s="32"/>
      <c r="DQ8" s="96">
        <f t="shared" si="44"/>
        <v>2540.3999999999996</v>
      </c>
      <c r="DR8" s="32"/>
      <c r="DS8" s="61"/>
      <c r="DT8" s="32"/>
      <c r="DU8" s="63">
        <v>0</v>
      </c>
      <c r="DV8" s="32"/>
      <c r="DW8" s="64">
        <f t="shared" si="46"/>
        <v>0</v>
      </c>
      <c r="DX8" s="32"/>
      <c r="DY8" s="63">
        <f t="shared" si="47"/>
        <v>0</v>
      </c>
    </row>
    <row r="9" spans="1:129" ht="12" customHeight="1" x14ac:dyDescent="0.3">
      <c r="A9" s="36" t="s">
        <v>24</v>
      </c>
      <c r="B9" s="32"/>
      <c r="C9" s="51"/>
      <c r="D9" s="34"/>
      <c r="E9" s="38">
        <v>29.95</v>
      </c>
      <c r="F9" s="34"/>
      <c r="G9" s="33">
        <v>35.94</v>
      </c>
      <c r="I9" s="26"/>
      <c r="J9" s="27"/>
      <c r="K9" s="28"/>
      <c r="L9" s="12"/>
      <c r="M9" s="26">
        <v>1</v>
      </c>
      <c r="N9" s="12"/>
      <c r="O9" s="28"/>
      <c r="P9" s="12"/>
      <c r="Q9" s="26">
        <v>1</v>
      </c>
      <c r="R9" s="12"/>
      <c r="S9" s="28">
        <v>1</v>
      </c>
      <c r="T9" s="12"/>
      <c r="U9" s="26"/>
      <c r="V9" s="12"/>
      <c r="W9" s="28"/>
      <c r="X9" s="12"/>
      <c r="Y9" s="26"/>
      <c r="Z9" s="12"/>
      <c r="AA9" s="28"/>
      <c r="AB9" s="12"/>
      <c r="AC9" s="26"/>
      <c r="AD9" s="12"/>
      <c r="AE9" s="28"/>
      <c r="AF9" s="12"/>
      <c r="AG9" s="26"/>
      <c r="AH9" s="12"/>
      <c r="AI9" s="28"/>
      <c r="AJ9" s="12"/>
      <c r="AK9" s="26"/>
      <c r="AL9" s="12"/>
      <c r="AM9" s="28"/>
      <c r="AN9" s="12"/>
      <c r="AO9" s="26"/>
      <c r="AP9" s="12"/>
      <c r="AQ9" s="28"/>
      <c r="AR9" s="12"/>
      <c r="AS9" s="26"/>
      <c r="AT9" s="12"/>
      <c r="AU9" s="28"/>
      <c r="AW9" s="18">
        <f t="shared" si="0"/>
        <v>0</v>
      </c>
      <c r="AX9" s="19">
        <f t="shared" si="1"/>
        <v>0</v>
      </c>
      <c r="AY9" s="20"/>
      <c r="AZ9" s="13">
        <f t="shared" si="2"/>
        <v>0</v>
      </c>
      <c r="BA9" s="21">
        <f t="shared" si="3"/>
        <v>0</v>
      </c>
      <c r="BB9" s="20"/>
      <c r="BC9" s="13">
        <f t="shared" si="4"/>
        <v>1</v>
      </c>
      <c r="BD9" s="19">
        <f t="shared" si="5"/>
        <v>35.94</v>
      </c>
      <c r="BE9" s="20"/>
      <c r="BF9" s="13">
        <f t="shared" si="6"/>
        <v>0</v>
      </c>
      <c r="BG9" s="21">
        <f t="shared" si="7"/>
        <v>0</v>
      </c>
      <c r="BH9" s="20"/>
      <c r="BI9" s="13">
        <f t="shared" si="8"/>
        <v>1</v>
      </c>
      <c r="BJ9" s="19">
        <f t="shared" si="9"/>
        <v>35.94</v>
      </c>
      <c r="BK9" s="20"/>
      <c r="BL9" s="13">
        <f t="shared" si="10"/>
        <v>1</v>
      </c>
      <c r="BM9" s="21">
        <f t="shared" si="11"/>
        <v>35.94</v>
      </c>
      <c r="BN9" s="20"/>
      <c r="BO9" s="13">
        <f t="shared" si="12"/>
        <v>0</v>
      </c>
      <c r="BP9" s="19">
        <f t="shared" si="13"/>
        <v>0</v>
      </c>
      <c r="BQ9" s="20"/>
      <c r="BR9" s="13">
        <f t="shared" si="14"/>
        <v>0</v>
      </c>
      <c r="BS9" s="21">
        <f t="shared" si="15"/>
        <v>0</v>
      </c>
      <c r="BT9" s="20"/>
      <c r="BU9" s="13">
        <f t="shared" si="16"/>
        <v>0</v>
      </c>
      <c r="BV9" s="19">
        <f t="shared" si="17"/>
        <v>0</v>
      </c>
      <c r="BW9" s="20"/>
      <c r="BX9" s="13">
        <f t="shared" si="18"/>
        <v>0</v>
      </c>
      <c r="BY9" s="21">
        <f t="shared" si="19"/>
        <v>0</v>
      </c>
      <c r="BZ9" s="20"/>
      <c r="CA9" s="13">
        <f t="shared" si="20"/>
        <v>0</v>
      </c>
      <c r="CB9" s="19">
        <f t="shared" si="21"/>
        <v>0</v>
      </c>
      <c r="CC9" s="20"/>
      <c r="CD9" s="13">
        <f t="shared" si="22"/>
        <v>0</v>
      </c>
      <c r="CE9" s="21">
        <f t="shared" si="23"/>
        <v>0</v>
      </c>
      <c r="CF9" s="20"/>
      <c r="CG9" s="18">
        <f t="shared" si="24"/>
        <v>0</v>
      </c>
      <c r="CH9" s="21">
        <f t="shared" si="45"/>
        <v>0</v>
      </c>
      <c r="CI9" s="20"/>
      <c r="CJ9" s="18">
        <f t="shared" si="25"/>
        <v>0</v>
      </c>
      <c r="CK9" s="21">
        <f t="shared" si="26"/>
        <v>0</v>
      </c>
      <c r="CL9" s="20"/>
      <c r="CM9" s="18">
        <f t="shared" si="27"/>
        <v>0</v>
      </c>
      <c r="CN9" s="21">
        <f t="shared" si="28"/>
        <v>0</v>
      </c>
      <c r="CO9" s="20"/>
      <c r="CP9" s="18">
        <f t="shared" si="29"/>
        <v>0</v>
      </c>
      <c r="CQ9" s="21">
        <f t="shared" si="30"/>
        <v>0</v>
      </c>
      <c r="CR9" s="20"/>
      <c r="CS9" s="18">
        <f t="shared" si="31"/>
        <v>0</v>
      </c>
      <c r="CT9" s="19">
        <f t="shared" si="32"/>
        <v>0</v>
      </c>
      <c r="CU9" s="20"/>
      <c r="CV9" s="13">
        <f t="shared" si="33"/>
        <v>0</v>
      </c>
      <c r="CW9" s="21">
        <f t="shared" si="34"/>
        <v>0</v>
      </c>
      <c r="CX9" s="20"/>
      <c r="CY9" s="13">
        <f t="shared" si="35"/>
        <v>0</v>
      </c>
      <c r="CZ9" s="19">
        <f t="shared" si="36"/>
        <v>0</v>
      </c>
      <c r="DA9" s="20"/>
      <c r="DB9" s="13">
        <f t="shared" si="37"/>
        <v>0</v>
      </c>
      <c r="DC9" s="21">
        <f t="shared" si="38"/>
        <v>0</v>
      </c>
      <c r="DE9" s="97">
        <v>41</v>
      </c>
      <c r="DF9" s="32"/>
      <c r="DG9" s="61">
        <f t="shared" si="39"/>
        <v>0</v>
      </c>
      <c r="DH9" s="32"/>
      <c r="DI9" s="59">
        <f t="shared" si="40"/>
        <v>3</v>
      </c>
      <c r="DJ9" s="32"/>
      <c r="DK9" s="59">
        <f t="shared" si="41"/>
        <v>38</v>
      </c>
      <c r="DL9" s="32"/>
      <c r="DM9" s="96">
        <f t="shared" si="42"/>
        <v>1138.0999999999999</v>
      </c>
      <c r="DN9" s="32"/>
      <c r="DO9" s="62">
        <f t="shared" si="43"/>
        <v>12.666666666666666</v>
      </c>
      <c r="DP9" s="32"/>
      <c r="DQ9" s="96">
        <f t="shared" si="44"/>
        <v>1365.7199999999998</v>
      </c>
      <c r="DR9" s="32"/>
      <c r="DS9" s="61"/>
      <c r="DT9" s="32"/>
      <c r="DU9" s="63">
        <v>0</v>
      </c>
      <c r="DV9" s="32"/>
      <c r="DW9" s="64">
        <f t="shared" si="46"/>
        <v>0</v>
      </c>
      <c r="DX9" s="32"/>
      <c r="DY9" s="63">
        <f t="shared" si="47"/>
        <v>0</v>
      </c>
    </row>
    <row r="10" spans="1:129" ht="12" customHeight="1" x14ac:dyDescent="0.3">
      <c r="A10" s="37" t="s">
        <v>73</v>
      </c>
      <c r="B10" s="32"/>
      <c r="C10" s="51"/>
      <c r="D10" s="34"/>
      <c r="E10" s="38">
        <v>22.95</v>
      </c>
      <c r="F10" s="34"/>
      <c r="G10" s="33">
        <v>27.54</v>
      </c>
      <c r="I10" s="26"/>
      <c r="J10" s="27"/>
      <c r="K10" s="28">
        <v>1</v>
      </c>
      <c r="L10" s="12"/>
      <c r="M10" s="26"/>
      <c r="N10" s="12"/>
      <c r="O10" s="28"/>
      <c r="P10" s="12"/>
      <c r="Q10" s="26"/>
      <c r="R10" s="12"/>
      <c r="S10" s="28"/>
      <c r="T10" s="12"/>
      <c r="U10" s="26"/>
      <c r="V10" s="12"/>
      <c r="W10" s="28"/>
      <c r="X10" s="12"/>
      <c r="Y10" s="26"/>
      <c r="Z10" s="12"/>
      <c r="AA10" s="28"/>
      <c r="AB10" s="12"/>
      <c r="AC10" s="26"/>
      <c r="AD10" s="12"/>
      <c r="AE10" s="28"/>
      <c r="AF10" s="12"/>
      <c r="AG10" s="26"/>
      <c r="AH10" s="12"/>
      <c r="AI10" s="28"/>
      <c r="AJ10" s="12"/>
      <c r="AK10" s="26"/>
      <c r="AL10" s="12"/>
      <c r="AM10" s="28"/>
      <c r="AN10" s="12"/>
      <c r="AO10" s="26"/>
      <c r="AP10" s="12"/>
      <c r="AQ10" s="28"/>
      <c r="AR10" s="12"/>
      <c r="AS10" s="26"/>
      <c r="AT10" s="12"/>
      <c r="AU10" s="28"/>
      <c r="AW10" s="18">
        <f t="shared" si="0"/>
        <v>0</v>
      </c>
      <c r="AX10" s="19">
        <f t="shared" si="1"/>
        <v>0</v>
      </c>
      <c r="AY10" s="20"/>
      <c r="AZ10" s="13">
        <f t="shared" si="2"/>
        <v>1</v>
      </c>
      <c r="BA10" s="21">
        <f t="shared" si="3"/>
        <v>27.54</v>
      </c>
      <c r="BB10" s="20"/>
      <c r="BC10" s="13">
        <f t="shared" si="4"/>
        <v>0</v>
      </c>
      <c r="BD10" s="19">
        <f t="shared" si="5"/>
        <v>0</v>
      </c>
      <c r="BE10" s="20"/>
      <c r="BF10" s="13">
        <f t="shared" si="6"/>
        <v>0</v>
      </c>
      <c r="BG10" s="21">
        <f t="shared" si="7"/>
        <v>0</v>
      </c>
      <c r="BH10" s="20"/>
      <c r="BI10" s="13">
        <f t="shared" si="8"/>
        <v>0</v>
      </c>
      <c r="BJ10" s="19">
        <f t="shared" si="9"/>
        <v>0</v>
      </c>
      <c r="BK10" s="20"/>
      <c r="BL10" s="13">
        <f t="shared" si="10"/>
        <v>0</v>
      </c>
      <c r="BM10" s="21">
        <f t="shared" si="11"/>
        <v>0</v>
      </c>
      <c r="BN10" s="20"/>
      <c r="BO10" s="13">
        <f t="shared" si="12"/>
        <v>0</v>
      </c>
      <c r="BP10" s="19">
        <f t="shared" si="13"/>
        <v>0</v>
      </c>
      <c r="BQ10" s="20"/>
      <c r="BR10" s="13">
        <f t="shared" si="14"/>
        <v>0</v>
      </c>
      <c r="BS10" s="21">
        <f t="shared" si="15"/>
        <v>0</v>
      </c>
      <c r="BT10" s="20"/>
      <c r="BU10" s="13">
        <f t="shared" si="16"/>
        <v>0</v>
      </c>
      <c r="BV10" s="19">
        <f t="shared" si="17"/>
        <v>0</v>
      </c>
      <c r="BW10" s="20"/>
      <c r="BX10" s="13">
        <f t="shared" si="18"/>
        <v>0</v>
      </c>
      <c r="BY10" s="21">
        <f t="shared" si="19"/>
        <v>0</v>
      </c>
      <c r="BZ10" s="20"/>
      <c r="CA10" s="13">
        <f t="shared" si="20"/>
        <v>0</v>
      </c>
      <c r="CB10" s="19">
        <f t="shared" si="21"/>
        <v>0</v>
      </c>
      <c r="CC10" s="20"/>
      <c r="CD10" s="13">
        <f t="shared" si="22"/>
        <v>0</v>
      </c>
      <c r="CE10" s="21">
        <f t="shared" si="23"/>
        <v>0</v>
      </c>
      <c r="CF10" s="20"/>
      <c r="CG10" s="18">
        <f t="shared" si="24"/>
        <v>0</v>
      </c>
      <c r="CH10" s="21">
        <f t="shared" si="45"/>
        <v>0</v>
      </c>
      <c r="CI10" s="20"/>
      <c r="CJ10" s="18">
        <f t="shared" si="25"/>
        <v>0</v>
      </c>
      <c r="CK10" s="21">
        <f t="shared" si="26"/>
        <v>0</v>
      </c>
      <c r="CL10" s="20"/>
      <c r="CM10" s="18">
        <f t="shared" si="27"/>
        <v>0</v>
      </c>
      <c r="CN10" s="21">
        <f t="shared" si="28"/>
        <v>0</v>
      </c>
      <c r="CO10" s="20"/>
      <c r="CP10" s="18">
        <f t="shared" si="29"/>
        <v>0</v>
      </c>
      <c r="CQ10" s="21">
        <f t="shared" si="30"/>
        <v>0</v>
      </c>
      <c r="CR10" s="20"/>
      <c r="CS10" s="18">
        <f t="shared" si="31"/>
        <v>0</v>
      </c>
      <c r="CT10" s="19">
        <f t="shared" si="32"/>
        <v>0</v>
      </c>
      <c r="CU10" s="20"/>
      <c r="CV10" s="13">
        <f t="shared" si="33"/>
        <v>0</v>
      </c>
      <c r="CW10" s="21">
        <f t="shared" si="34"/>
        <v>0</v>
      </c>
      <c r="CX10" s="20"/>
      <c r="CY10" s="13">
        <f t="shared" si="35"/>
        <v>0</v>
      </c>
      <c r="CZ10" s="19">
        <f t="shared" si="36"/>
        <v>0</v>
      </c>
      <c r="DA10" s="20"/>
      <c r="DB10" s="13">
        <f t="shared" si="37"/>
        <v>0</v>
      </c>
      <c r="DC10" s="21">
        <f t="shared" si="38"/>
        <v>0</v>
      </c>
      <c r="DE10" s="97">
        <v>98</v>
      </c>
      <c r="DF10" s="32"/>
      <c r="DG10" s="61">
        <f t="shared" si="39"/>
        <v>0</v>
      </c>
      <c r="DH10" s="32"/>
      <c r="DI10" s="59">
        <f t="shared" si="40"/>
        <v>1</v>
      </c>
      <c r="DJ10" s="32"/>
      <c r="DK10" s="59">
        <f t="shared" si="41"/>
        <v>97</v>
      </c>
      <c r="DL10" s="32"/>
      <c r="DM10" s="96">
        <f t="shared" si="42"/>
        <v>2226.15</v>
      </c>
      <c r="DN10" s="32"/>
      <c r="DO10" s="62">
        <f t="shared" si="43"/>
        <v>97</v>
      </c>
      <c r="DP10" s="32"/>
      <c r="DQ10" s="96">
        <f t="shared" si="44"/>
        <v>2671.38</v>
      </c>
      <c r="DR10" s="32"/>
      <c r="DS10" s="61"/>
      <c r="DT10" s="32"/>
      <c r="DU10" s="63">
        <v>0</v>
      </c>
      <c r="DV10" s="32"/>
      <c r="DW10" s="64">
        <f t="shared" si="46"/>
        <v>0</v>
      </c>
      <c r="DX10" s="32"/>
      <c r="DY10" s="63">
        <f t="shared" si="47"/>
        <v>0</v>
      </c>
    </row>
    <row r="11" spans="1:129" ht="12" customHeight="1" x14ac:dyDescent="0.3">
      <c r="A11" s="36" t="s">
        <v>68</v>
      </c>
      <c r="B11" s="32"/>
      <c r="C11" s="51"/>
      <c r="D11" s="34"/>
      <c r="E11" s="38">
        <v>21.99</v>
      </c>
      <c r="F11" s="34"/>
      <c r="G11" s="33">
        <v>26.39</v>
      </c>
      <c r="I11" s="26"/>
      <c r="J11" s="27"/>
      <c r="K11" s="28">
        <v>2</v>
      </c>
      <c r="L11" s="12"/>
      <c r="M11" s="26">
        <v>1</v>
      </c>
      <c r="N11" s="12"/>
      <c r="O11" s="28">
        <v>1</v>
      </c>
      <c r="P11" s="12"/>
      <c r="Q11" s="26">
        <v>1</v>
      </c>
      <c r="R11" s="12"/>
      <c r="S11" s="28">
        <v>1</v>
      </c>
      <c r="T11" s="12"/>
      <c r="U11" s="26">
        <v>1</v>
      </c>
      <c r="V11" s="12"/>
      <c r="W11" s="28">
        <v>1</v>
      </c>
      <c r="X11" s="12"/>
      <c r="Y11" s="26">
        <v>1</v>
      </c>
      <c r="Z11" s="12"/>
      <c r="AA11" s="28"/>
      <c r="AB11" s="12"/>
      <c r="AC11" s="26">
        <v>1</v>
      </c>
      <c r="AD11" s="12"/>
      <c r="AE11" s="28"/>
      <c r="AF11" s="12"/>
      <c r="AG11" s="26"/>
      <c r="AH11" s="12"/>
      <c r="AI11" s="28"/>
      <c r="AJ11" s="12"/>
      <c r="AK11" s="26"/>
      <c r="AL11" s="12"/>
      <c r="AM11" s="28"/>
      <c r="AN11" s="12"/>
      <c r="AO11" s="26"/>
      <c r="AP11" s="12"/>
      <c r="AQ11" s="28"/>
      <c r="AR11" s="12"/>
      <c r="AS11" s="26"/>
      <c r="AT11" s="12"/>
      <c r="AU11" s="28"/>
      <c r="AW11" s="18">
        <f t="shared" si="0"/>
        <v>0</v>
      </c>
      <c r="AX11" s="19">
        <f t="shared" si="1"/>
        <v>0</v>
      </c>
      <c r="AY11" s="20"/>
      <c r="AZ11" s="13">
        <f t="shared" si="2"/>
        <v>2</v>
      </c>
      <c r="BA11" s="21">
        <f t="shared" si="3"/>
        <v>52.78</v>
      </c>
      <c r="BB11" s="20"/>
      <c r="BC11" s="13">
        <f t="shared" si="4"/>
        <v>1</v>
      </c>
      <c r="BD11" s="19">
        <f t="shared" si="5"/>
        <v>26.39</v>
      </c>
      <c r="BE11" s="20"/>
      <c r="BF11" s="13">
        <f t="shared" si="6"/>
        <v>1</v>
      </c>
      <c r="BG11" s="21">
        <f t="shared" si="7"/>
        <v>26.39</v>
      </c>
      <c r="BH11" s="20"/>
      <c r="BI11" s="13">
        <f t="shared" si="8"/>
        <v>1</v>
      </c>
      <c r="BJ11" s="19">
        <f t="shared" si="9"/>
        <v>26.39</v>
      </c>
      <c r="BK11" s="20"/>
      <c r="BL11" s="13">
        <f t="shared" si="10"/>
        <v>1</v>
      </c>
      <c r="BM11" s="21">
        <f t="shared" si="11"/>
        <v>26.39</v>
      </c>
      <c r="BN11" s="20"/>
      <c r="BO11" s="13">
        <f t="shared" si="12"/>
        <v>1</v>
      </c>
      <c r="BP11" s="19">
        <f t="shared" si="13"/>
        <v>26.39</v>
      </c>
      <c r="BQ11" s="20"/>
      <c r="BR11" s="13">
        <f t="shared" si="14"/>
        <v>1</v>
      </c>
      <c r="BS11" s="21">
        <f t="shared" si="15"/>
        <v>26.39</v>
      </c>
      <c r="BT11" s="20"/>
      <c r="BU11" s="13">
        <f t="shared" si="16"/>
        <v>1</v>
      </c>
      <c r="BV11" s="19">
        <f t="shared" si="17"/>
        <v>26.39</v>
      </c>
      <c r="BW11" s="20"/>
      <c r="BX11" s="13">
        <f t="shared" si="18"/>
        <v>0</v>
      </c>
      <c r="BY11" s="21">
        <f t="shared" si="19"/>
        <v>0</v>
      </c>
      <c r="BZ11" s="20"/>
      <c r="CA11" s="13">
        <f t="shared" si="20"/>
        <v>1</v>
      </c>
      <c r="CB11" s="19">
        <f t="shared" si="21"/>
        <v>26.39</v>
      </c>
      <c r="CC11" s="20"/>
      <c r="CD11" s="13">
        <f t="shared" si="22"/>
        <v>0</v>
      </c>
      <c r="CE11" s="21">
        <f t="shared" si="23"/>
        <v>0</v>
      </c>
      <c r="CF11" s="20"/>
      <c r="CG11" s="18">
        <f t="shared" si="24"/>
        <v>0</v>
      </c>
      <c r="CH11" s="21">
        <f t="shared" si="45"/>
        <v>0</v>
      </c>
      <c r="CI11" s="20"/>
      <c r="CJ11" s="18">
        <f t="shared" si="25"/>
        <v>0</v>
      </c>
      <c r="CK11" s="21">
        <f t="shared" si="26"/>
        <v>0</v>
      </c>
      <c r="CL11" s="20"/>
      <c r="CM11" s="18">
        <f t="shared" si="27"/>
        <v>0</v>
      </c>
      <c r="CN11" s="21">
        <f t="shared" si="28"/>
        <v>0</v>
      </c>
      <c r="CO11" s="20"/>
      <c r="CP11" s="18">
        <f t="shared" si="29"/>
        <v>0</v>
      </c>
      <c r="CQ11" s="21">
        <f t="shared" si="30"/>
        <v>0</v>
      </c>
      <c r="CR11" s="20"/>
      <c r="CS11" s="18">
        <f t="shared" si="31"/>
        <v>0</v>
      </c>
      <c r="CT11" s="19">
        <f t="shared" si="32"/>
        <v>0</v>
      </c>
      <c r="CU11" s="20"/>
      <c r="CV11" s="13">
        <f t="shared" si="33"/>
        <v>0</v>
      </c>
      <c r="CW11" s="21">
        <f t="shared" si="34"/>
        <v>0</v>
      </c>
      <c r="CX11" s="20"/>
      <c r="CY11" s="13">
        <f t="shared" si="35"/>
        <v>0</v>
      </c>
      <c r="CZ11" s="19">
        <f t="shared" si="36"/>
        <v>0</v>
      </c>
      <c r="DA11" s="20"/>
      <c r="DB11" s="13">
        <f t="shared" si="37"/>
        <v>0</v>
      </c>
      <c r="DC11" s="21">
        <f t="shared" si="38"/>
        <v>0</v>
      </c>
      <c r="DE11" s="97">
        <v>378</v>
      </c>
      <c r="DF11" s="32"/>
      <c r="DG11" s="61">
        <f t="shared" si="39"/>
        <v>0</v>
      </c>
      <c r="DH11" s="32"/>
      <c r="DI11" s="59">
        <f t="shared" si="40"/>
        <v>10</v>
      </c>
      <c r="DJ11" s="32"/>
      <c r="DK11" s="59">
        <f t="shared" si="41"/>
        <v>368</v>
      </c>
      <c r="DL11" s="32"/>
      <c r="DM11" s="96">
        <f t="shared" si="42"/>
        <v>8092.32</v>
      </c>
      <c r="DN11" s="32"/>
      <c r="DO11" s="62">
        <f t="shared" si="43"/>
        <v>36.799999999999997</v>
      </c>
      <c r="DP11" s="32"/>
      <c r="DQ11" s="96">
        <f t="shared" si="44"/>
        <v>9711.52</v>
      </c>
      <c r="DR11" s="32"/>
      <c r="DS11" s="61"/>
      <c r="DT11" s="32"/>
      <c r="DU11" s="63">
        <v>0</v>
      </c>
      <c r="DV11" s="32"/>
      <c r="DW11" s="64">
        <f t="shared" si="46"/>
        <v>0</v>
      </c>
      <c r="DX11" s="32"/>
      <c r="DY11" s="63">
        <f t="shared" si="47"/>
        <v>0</v>
      </c>
    </row>
    <row r="12" spans="1:129" ht="12" customHeight="1" x14ac:dyDescent="0.3">
      <c r="A12" s="37" t="s">
        <v>69</v>
      </c>
      <c r="B12" s="32"/>
      <c r="C12" s="51"/>
      <c r="D12" s="34"/>
      <c r="E12" s="38">
        <v>18.745000000000001</v>
      </c>
      <c r="F12" s="34"/>
      <c r="G12" s="33">
        <v>22.49</v>
      </c>
      <c r="I12" s="26"/>
      <c r="J12" s="27"/>
      <c r="K12" s="28">
        <v>2</v>
      </c>
      <c r="L12" s="12"/>
      <c r="M12" s="26">
        <v>1</v>
      </c>
      <c r="N12" s="12"/>
      <c r="O12" s="28">
        <v>1</v>
      </c>
      <c r="P12" s="12"/>
      <c r="Q12" s="26">
        <v>1</v>
      </c>
      <c r="R12" s="12"/>
      <c r="S12" s="28">
        <v>1</v>
      </c>
      <c r="T12" s="12"/>
      <c r="U12" s="26">
        <v>1</v>
      </c>
      <c r="V12" s="12"/>
      <c r="W12" s="28">
        <v>2</v>
      </c>
      <c r="X12" s="12"/>
      <c r="Y12" s="26">
        <v>1</v>
      </c>
      <c r="Z12" s="12"/>
      <c r="AA12" s="28"/>
      <c r="AB12" s="12"/>
      <c r="AC12" s="26">
        <v>2</v>
      </c>
      <c r="AD12" s="12"/>
      <c r="AE12" s="28"/>
      <c r="AF12" s="12"/>
      <c r="AG12" s="26"/>
      <c r="AH12" s="12"/>
      <c r="AI12" s="28"/>
      <c r="AJ12" s="12"/>
      <c r="AK12" s="26"/>
      <c r="AL12" s="12"/>
      <c r="AM12" s="28"/>
      <c r="AN12" s="12"/>
      <c r="AO12" s="26"/>
      <c r="AP12" s="12"/>
      <c r="AQ12" s="28"/>
      <c r="AR12" s="12"/>
      <c r="AS12" s="26"/>
      <c r="AT12" s="12"/>
      <c r="AU12" s="28"/>
      <c r="AW12" s="18">
        <f t="shared" si="0"/>
        <v>0</v>
      </c>
      <c r="AX12" s="19">
        <f t="shared" si="1"/>
        <v>0</v>
      </c>
      <c r="AY12" s="20"/>
      <c r="AZ12" s="13">
        <f t="shared" si="2"/>
        <v>2</v>
      </c>
      <c r="BA12" s="21">
        <f t="shared" si="3"/>
        <v>44.98</v>
      </c>
      <c r="BB12" s="20"/>
      <c r="BC12" s="13">
        <f t="shared" si="4"/>
        <v>1</v>
      </c>
      <c r="BD12" s="19">
        <f t="shared" si="5"/>
        <v>22.49</v>
      </c>
      <c r="BE12" s="20"/>
      <c r="BF12" s="13">
        <f t="shared" si="6"/>
        <v>1</v>
      </c>
      <c r="BG12" s="21">
        <f t="shared" si="7"/>
        <v>22.49</v>
      </c>
      <c r="BH12" s="20"/>
      <c r="BI12" s="13">
        <f t="shared" si="8"/>
        <v>1</v>
      </c>
      <c r="BJ12" s="19">
        <f t="shared" si="9"/>
        <v>22.49</v>
      </c>
      <c r="BK12" s="20"/>
      <c r="BL12" s="13">
        <f t="shared" si="10"/>
        <v>1</v>
      </c>
      <c r="BM12" s="21">
        <f t="shared" si="11"/>
        <v>22.49</v>
      </c>
      <c r="BN12" s="20"/>
      <c r="BO12" s="13">
        <f t="shared" si="12"/>
        <v>1</v>
      </c>
      <c r="BP12" s="19">
        <f t="shared" si="13"/>
        <v>22.49</v>
      </c>
      <c r="BQ12" s="20"/>
      <c r="BR12" s="13">
        <f t="shared" si="14"/>
        <v>2</v>
      </c>
      <c r="BS12" s="21">
        <f t="shared" si="15"/>
        <v>44.98</v>
      </c>
      <c r="BT12" s="20"/>
      <c r="BU12" s="13">
        <f t="shared" si="16"/>
        <v>1</v>
      </c>
      <c r="BV12" s="19">
        <f t="shared" si="17"/>
        <v>22.49</v>
      </c>
      <c r="BW12" s="20"/>
      <c r="BX12" s="13">
        <f t="shared" si="18"/>
        <v>0</v>
      </c>
      <c r="BY12" s="21">
        <f t="shared" si="19"/>
        <v>0</v>
      </c>
      <c r="BZ12" s="20"/>
      <c r="CA12" s="13">
        <f t="shared" si="20"/>
        <v>2</v>
      </c>
      <c r="CB12" s="19">
        <f t="shared" si="21"/>
        <v>44.98</v>
      </c>
      <c r="CC12" s="20"/>
      <c r="CD12" s="13">
        <f t="shared" si="22"/>
        <v>0</v>
      </c>
      <c r="CE12" s="21">
        <f t="shared" si="23"/>
        <v>0</v>
      </c>
      <c r="CF12" s="20"/>
      <c r="CG12" s="18">
        <f t="shared" si="24"/>
        <v>0</v>
      </c>
      <c r="CH12" s="21">
        <f t="shared" si="45"/>
        <v>0</v>
      </c>
      <c r="CI12" s="20"/>
      <c r="CJ12" s="18">
        <f t="shared" si="25"/>
        <v>0</v>
      </c>
      <c r="CK12" s="21">
        <f t="shared" si="26"/>
        <v>0</v>
      </c>
      <c r="CL12" s="20"/>
      <c r="CM12" s="18">
        <f t="shared" si="27"/>
        <v>0</v>
      </c>
      <c r="CN12" s="21">
        <f t="shared" si="28"/>
        <v>0</v>
      </c>
      <c r="CO12" s="20"/>
      <c r="CP12" s="18">
        <f t="shared" si="29"/>
        <v>0</v>
      </c>
      <c r="CQ12" s="21">
        <f t="shared" si="30"/>
        <v>0</v>
      </c>
      <c r="CR12" s="20"/>
      <c r="CS12" s="18">
        <f t="shared" si="31"/>
        <v>0</v>
      </c>
      <c r="CT12" s="19">
        <f t="shared" si="32"/>
        <v>0</v>
      </c>
      <c r="CU12" s="20"/>
      <c r="CV12" s="13">
        <f t="shared" si="33"/>
        <v>0</v>
      </c>
      <c r="CW12" s="21">
        <f t="shared" si="34"/>
        <v>0</v>
      </c>
      <c r="CX12" s="20"/>
      <c r="CY12" s="13">
        <f t="shared" si="35"/>
        <v>0</v>
      </c>
      <c r="CZ12" s="19">
        <f t="shared" si="36"/>
        <v>0</v>
      </c>
      <c r="DA12" s="20"/>
      <c r="DB12" s="13">
        <f t="shared" si="37"/>
        <v>0</v>
      </c>
      <c r="DC12" s="21">
        <f t="shared" si="38"/>
        <v>0</v>
      </c>
      <c r="DE12" s="97">
        <v>517</v>
      </c>
      <c r="DF12" s="32"/>
      <c r="DG12" s="61">
        <f t="shared" si="39"/>
        <v>0</v>
      </c>
      <c r="DH12" s="32"/>
      <c r="DI12" s="59">
        <f t="shared" si="40"/>
        <v>12</v>
      </c>
      <c r="DJ12" s="32"/>
      <c r="DK12" s="59">
        <f t="shared" si="41"/>
        <v>505</v>
      </c>
      <c r="DL12" s="32"/>
      <c r="DM12" s="96">
        <f t="shared" si="42"/>
        <v>9466.2250000000004</v>
      </c>
      <c r="DN12" s="32"/>
      <c r="DO12" s="62">
        <f t="shared" si="43"/>
        <v>42.083333333333336</v>
      </c>
      <c r="DP12" s="32"/>
      <c r="DQ12" s="96">
        <f t="shared" si="44"/>
        <v>11357.449999999999</v>
      </c>
      <c r="DR12" s="32"/>
      <c r="DS12" s="61"/>
      <c r="DT12" s="32"/>
      <c r="DU12" s="63">
        <v>0</v>
      </c>
      <c r="DV12" s="32"/>
      <c r="DW12" s="64">
        <f t="shared" si="46"/>
        <v>0</v>
      </c>
      <c r="DX12" s="32"/>
      <c r="DY12" s="63">
        <f t="shared" si="47"/>
        <v>0</v>
      </c>
    </row>
    <row r="13" spans="1:129" ht="12" customHeight="1" x14ac:dyDescent="0.3">
      <c r="A13" s="39" t="s">
        <v>78</v>
      </c>
      <c r="B13" s="29"/>
      <c r="C13" s="51"/>
      <c r="D13" s="30"/>
      <c r="E13" s="38">
        <v>15.62</v>
      </c>
      <c r="F13" s="30"/>
      <c r="G13" s="33">
        <v>18.739999999999998</v>
      </c>
      <c r="H13" s="5"/>
      <c r="I13" s="26">
        <v>1</v>
      </c>
      <c r="J13" s="27"/>
      <c r="K13" s="28">
        <v>1</v>
      </c>
      <c r="L13" s="12"/>
      <c r="M13" s="26">
        <v>1</v>
      </c>
      <c r="N13" s="12"/>
      <c r="O13" s="28">
        <v>1</v>
      </c>
      <c r="P13" s="12"/>
      <c r="Q13" s="26">
        <v>1</v>
      </c>
      <c r="R13" s="12"/>
      <c r="S13" s="28"/>
      <c r="T13" s="12"/>
      <c r="U13" s="26">
        <v>1</v>
      </c>
      <c r="V13" s="12"/>
      <c r="W13" s="28">
        <v>2</v>
      </c>
      <c r="X13" s="12"/>
      <c r="Y13" s="26"/>
      <c r="Z13" s="12"/>
      <c r="AA13" s="28"/>
      <c r="AB13" s="12"/>
      <c r="AC13" s="26"/>
      <c r="AD13" s="12"/>
      <c r="AE13" s="28"/>
      <c r="AF13" s="12"/>
      <c r="AG13" s="26"/>
      <c r="AH13" s="12"/>
      <c r="AI13" s="28"/>
      <c r="AJ13" s="12"/>
      <c r="AK13" s="26"/>
      <c r="AL13" s="12"/>
      <c r="AM13" s="28"/>
      <c r="AN13" s="12"/>
      <c r="AO13" s="26"/>
      <c r="AP13" s="12"/>
      <c r="AQ13" s="28"/>
      <c r="AR13" s="12"/>
      <c r="AS13" s="26"/>
      <c r="AT13" s="12"/>
      <c r="AU13" s="28"/>
      <c r="AW13" s="18">
        <f t="shared" si="0"/>
        <v>1</v>
      </c>
      <c r="AX13" s="19">
        <f t="shared" si="1"/>
        <v>18.739999999999998</v>
      </c>
      <c r="AY13" s="20"/>
      <c r="AZ13" s="13">
        <f t="shared" si="2"/>
        <v>1</v>
      </c>
      <c r="BA13" s="21">
        <f t="shared" si="3"/>
        <v>18.739999999999998</v>
      </c>
      <c r="BB13" s="20"/>
      <c r="BC13" s="13">
        <f t="shared" si="4"/>
        <v>1</v>
      </c>
      <c r="BD13" s="19">
        <f t="shared" si="5"/>
        <v>18.739999999999998</v>
      </c>
      <c r="BE13" s="20"/>
      <c r="BF13" s="13">
        <f t="shared" si="6"/>
        <v>1</v>
      </c>
      <c r="BG13" s="21">
        <f t="shared" si="7"/>
        <v>18.739999999999998</v>
      </c>
      <c r="BH13" s="20"/>
      <c r="BI13" s="13">
        <f t="shared" si="8"/>
        <v>1</v>
      </c>
      <c r="BJ13" s="19">
        <f t="shared" si="9"/>
        <v>18.739999999999998</v>
      </c>
      <c r="BK13" s="20"/>
      <c r="BL13" s="13">
        <f t="shared" si="10"/>
        <v>0</v>
      </c>
      <c r="BM13" s="21">
        <f t="shared" si="11"/>
        <v>0</v>
      </c>
      <c r="BN13" s="20"/>
      <c r="BO13" s="13">
        <f t="shared" si="12"/>
        <v>1</v>
      </c>
      <c r="BP13" s="19">
        <f t="shared" si="13"/>
        <v>18.739999999999998</v>
      </c>
      <c r="BQ13" s="20"/>
      <c r="BR13" s="13">
        <f t="shared" si="14"/>
        <v>2</v>
      </c>
      <c r="BS13" s="21">
        <f t="shared" si="15"/>
        <v>37.479999999999997</v>
      </c>
      <c r="BT13" s="20"/>
      <c r="BU13" s="13">
        <f t="shared" si="16"/>
        <v>0</v>
      </c>
      <c r="BV13" s="19">
        <f t="shared" si="17"/>
        <v>0</v>
      </c>
      <c r="BW13" s="20"/>
      <c r="BX13" s="13">
        <f t="shared" si="18"/>
        <v>0</v>
      </c>
      <c r="BY13" s="21">
        <f t="shared" si="19"/>
        <v>0</v>
      </c>
      <c r="BZ13" s="20"/>
      <c r="CA13" s="13">
        <f t="shared" si="20"/>
        <v>0</v>
      </c>
      <c r="CB13" s="19">
        <f t="shared" si="21"/>
        <v>0</v>
      </c>
      <c r="CC13" s="20"/>
      <c r="CD13" s="13">
        <f t="shared" si="22"/>
        <v>0</v>
      </c>
      <c r="CE13" s="21">
        <f t="shared" si="23"/>
        <v>0</v>
      </c>
      <c r="CF13" s="20"/>
      <c r="CG13" s="18">
        <f t="shared" si="24"/>
        <v>0</v>
      </c>
      <c r="CH13" s="21">
        <f t="shared" si="45"/>
        <v>0</v>
      </c>
      <c r="CI13" s="20"/>
      <c r="CJ13" s="18">
        <f t="shared" si="25"/>
        <v>0</v>
      </c>
      <c r="CK13" s="21">
        <f t="shared" si="26"/>
        <v>0</v>
      </c>
      <c r="CL13" s="20"/>
      <c r="CM13" s="18">
        <f t="shared" si="27"/>
        <v>0</v>
      </c>
      <c r="CN13" s="21">
        <f t="shared" si="28"/>
        <v>0</v>
      </c>
      <c r="CO13" s="20"/>
      <c r="CP13" s="18">
        <f t="shared" si="29"/>
        <v>0</v>
      </c>
      <c r="CQ13" s="21">
        <f t="shared" si="30"/>
        <v>0</v>
      </c>
      <c r="CR13" s="20"/>
      <c r="CS13" s="18">
        <f t="shared" si="31"/>
        <v>0</v>
      </c>
      <c r="CT13" s="19">
        <f t="shared" si="32"/>
        <v>0</v>
      </c>
      <c r="CU13" s="20"/>
      <c r="CV13" s="13">
        <f t="shared" si="33"/>
        <v>0</v>
      </c>
      <c r="CW13" s="21">
        <f t="shared" si="34"/>
        <v>0</v>
      </c>
      <c r="CX13" s="20"/>
      <c r="CY13" s="13">
        <f t="shared" si="35"/>
        <v>0</v>
      </c>
      <c r="CZ13" s="19">
        <f t="shared" si="36"/>
        <v>0</v>
      </c>
      <c r="DA13" s="20"/>
      <c r="DB13" s="13">
        <f t="shared" si="37"/>
        <v>0</v>
      </c>
      <c r="DC13" s="21">
        <f t="shared" si="38"/>
        <v>0</v>
      </c>
      <c r="DE13" s="97">
        <v>15</v>
      </c>
      <c r="DF13" s="32"/>
      <c r="DG13" s="61">
        <f t="shared" si="39"/>
        <v>0</v>
      </c>
      <c r="DH13" s="32"/>
      <c r="DI13" s="59">
        <f t="shared" si="40"/>
        <v>8</v>
      </c>
      <c r="DJ13" s="32"/>
      <c r="DK13" s="59">
        <f t="shared" si="41"/>
        <v>7</v>
      </c>
      <c r="DL13" s="32"/>
      <c r="DM13" s="96">
        <f t="shared" si="42"/>
        <v>109.33999999999999</v>
      </c>
      <c r="DN13" s="32"/>
      <c r="DO13" s="62">
        <f t="shared" si="43"/>
        <v>0.875</v>
      </c>
      <c r="DP13" s="32"/>
      <c r="DQ13" s="96">
        <f t="shared" si="44"/>
        <v>131.17999999999998</v>
      </c>
      <c r="DR13" s="32"/>
      <c r="DS13" s="61">
        <v>308</v>
      </c>
      <c r="DT13" s="32"/>
      <c r="DU13" s="63">
        <v>27.5</v>
      </c>
      <c r="DV13" s="32"/>
      <c r="DW13" s="64">
        <f t="shared" si="46"/>
        <v>33</v>
      </c>
      <c r="DX13" s="32"/>
      <c r="DY13" s="63">
        <f t="shared" si="47"/>
        <v>8470</v>
      </c>
    </row>
    <row r="14" spans="1:129" ht="12" customHeight="1" x14ac:dyDescent="0.3">
      <c r="A14" s="40" t="s">
        <v>77</v>
      </c>
      <c r="B14" s="32"/>
      <c r="C14" s="51"/>
      <c r="D14" s="34"/>
      <c r="E14" s="38">
        <v>11.07</v>
      </c>
      <c r="F14" s="34"/>
      <c r="G14" s="33">
        <v>13.28</v>
      </c>
      <c r="I14" s="26"/>
      <c r="J14" s="27"/>
      <c r="K14" s="28">
        <v>1</v>
      </c>
      <c r="L14" s="12"/>
      <c r="M14" s="26"/>
      <c r="N14" s="12"/>
      <c r="O14" s="28">
        <v>1</v>
      </c>
      <c r="P14" s="12"/>
      <c r="Q14" s="26">
        <v>1</v>
      </c>
      <c r="R14" s="12"/>
      <c r="S14" s="28"/>
      <c r="T14" s="12"/>
      <c r="U14" s="26">
        <v>1</v>
      </c>
      <c r="V14" s="12"/>
      <c r="W14" s="28">
        <v>1</v>
      </c>
      <c r="X14" s="12"/>
      <c r="Y14" s="26"/>
      <c r="Z14" s="12"/>
      <c r="AA14" s="28"/>
      <c r="AB14" s="12"/>
      <c r="AC14" s="26">
        <v>1</v>
      </c>
      <c r="AD14" s="12"/>
      <c r="AE14" s="28"/>
      <c r="AF14" s="12"/>
      <c r="AG14" s="26"/>
      <c r="AH14" s="12"/>
      <c r="AI14" s="28"/>
      <c r="AJ14" s="12"/>
      <c r="AK14" s="26"/>
      <c r="AL14" s="12"/>
      <c r="AM14" s="28"/>
      <c r="AN14" s="12"/>
      <c r="AO14" s="26"/>
      <c r="AP14" s="12"/>
      <c r="AQ14" s="28"/>
      <c r="AR14" s="12"/>
      <c r="AS14" s="26"/>
      <c r="AT14" s="12"/>
      <c r="AU14" s="28"/>
      <c r="AW14" s="18">
        <f t="shared" si="0"/>
        <v>0</v>
      </c>
      <c r="AX14" s="19">
        <f t="shared" si="1"/>
        <v>0</v>
      </c>
      <c r="AY14" s="20"/>
      <c r="AZ14" s="13">
        <f t="shared" si="2"/>
        <v>1</v>
      </c>
      <c r="BA14" s="21">
        <f t="shared" si="3"/>
        <v>13.28</v>
      </c>
      <c r="BB14" s="20"/>
      <c r="BC14" s="13">
        <f t="shared" si="4"/>
        <v>0</v>
      </c>
      <c r="BD14" s="19">
        <f t="shared" si="5"/>
        <v>0</v>
      </c>
      <c r="BE14" s="20"/>
      <c r="BF14" s="13">
        <f t="shared" si="6"/>
        <v>1</v>
      </c>
      <c r="BG14" s="21">
        <f t="shared" si="7"/>
        <v>13.28</v>
      </c>
      <c r="BH14" s="20"/>
      <c r="BI14" s="13">
        <f t="shared" si="8"/>
        <v>1</v>
      </c>
      <c r="BJ14" s="19">
        <f t="shared" si="9"/>
        <v>13.28</v>
      </c>
      <c r="BK14" s="20"/>
      <c r="BL14" s="13">
        <f t="shared" si="10"/>
        <v>0</v>
      </c>
      <c r="BM14" s="21">
        <f t="shared" si="11"/>
        <v>0</v>
      </c>
      <c r="BN14" s="20"/>
      <c r="BO14" s="13">
        <f t="shared" si="12"/>
        <v>1</v>
      </c>
      <c r="BP14" s="19">
        <f t="shared" si="13"/>
        <v>13.28</v>
      </c>
      <c r="BQ14" s="20"/>
      <c r="BR14" s="13">
        <f t="shared" si="14"/>
        <v>1</v>
      </c>
      <c r="BS14" s="21">
        <f t="shared" si="15"/>
        <v>13.28</v>
      </c>
      <c r="BT14" s="20"/>
      <c r="BU14" s="13">
        <f t="shared" si="16"/>
        <v>0</v>
      </c>
      <c r="BV14" s="19">
        <f t="shared" si="17"/>
        <v>0</v>
      </c>
      <c r="BW14" s="20"/>
      <c r="BX14" s="13">
        <f t="shared" si="18"/>
        <v>0</v>
      </c>
      <c r="BY14" s="21">
        <f t="shared" si="19"/>
        <v>0</v>
      </c>
      <c r="BZ14" s="20"/>
      <c r="CA14" s="13">
        <f t="shared" si="20"/>
        <v>1</v>
      </c>
      <c r="CB14" s="19">
        <f t="shared" si="21"/>
        <v>13.28</v>
      </c>
      <c r="CC14" s="20"/>
      <c r="CD14" s="13">
        <f t="shared" si="22"/>
        <v>0</v>
      </c>
      <c r="CE14" s="21">
        <f t="shared" si="23"/>
        <v>0</v>
      </c>
      <c r="CF14" s="20"/>
      <c r="CG14" s="18">
        <f t="shared" si="24"/>
        <v>0</v>
      </c>
      <c r="CH14" s="21">
        <f t="shared" si="45"/>
        <v>0</v>
      </c>
      <c r="CI14" s="20"/>
      <c r="CJ14" s="18">
        <f t="shared" si="25"/>
        <v>0</v>
      </c>
      <c r="CK14" s="21">
        <f t="shared" si="26"/>
        <v>0</v>
      </c>
      <c r="CL14" s="20"/>
      <c r="CM14" s="18">
        <f t="shared" si="27"/>
        <v>0</v>
      </c>
      <c r="CN14" s="21">
        <f t="shared" si="28"/>
        <v>0</v>
      </c>
      <c r="CO14" s="20"/>
      <c r="CP14" s="18">
        <f t="shared" si="29"/>
        <v>0</v>
      </c>
      <c r="CQ14" s="21">
        <f t="shared" si="30"/>
        <v>0</v>
      </c>
      <c r="CR14" s="20"/>
      <c r="CS14" s="18">
        <f t="shared" si="31"/>
        <v>0</v>
      </c>
      <c r="CT14" s="19">
        <f t="shared" si="32"/>
        <v>0</v>
      </c>
      <c r="CU14" s="20"/>
      <c r="CV14" s="13">
        <f t="shared" si="33"/>
        <v>0</v>
      </c>
      <c r="CW14" s="21">
        <f t="shared" si="34"/>
        <v>0</v>
      </c>
      <c r="CX14" s="20"/>
      <c r="CY14" s="13">
        <f t="shared" si="35"/>
        <v>0</v>
      </c>
      <c r="CZ14" s="19">
        <f t="shared" si="36"/>
        <v>0</v>
      </c>
      <c r="DA14" s="20"/>
      <c r="DB14" s="13">
        <f t="shared" si="37"/>
        <v>0</v>
      </c>
      <c r="DC14" s="21">
        <f t="shared" si="38"/>
        <v>0</v>
      </c>
      <c r="DE14" s="97">
        <v>120</v>
      </c>
      <c r="DF14" s="32"/>
      <c r="DG14" s="61">
        <f t="shared" si="39"/>
        <v>0</v>
      </c>
      <c r="DH14" s="32"/>
      <c r="DI14" s="59">
        <f t="shared" si="40"/>
        <v>6</v>
      </c>
      <c r="DJ14" s="32"/>
      <c r="DK14" s="59">
        <f t="shared" si="41"/>
        <v>114</v>
      </c>
      <c r="DL14" s="32"/>
      <c r="DM14" s="96">
        <f t="shared" si="42"/>
        <v>1261.98</v>
      </c>
      <c r="DN14" s="32"/>
      <c r="DO14" s="62">
        <f t="shared" si="43"/>
        <v>19</v>
      </c>
      <c r="DP14" s="32"/>
      <c r="DQ14" s="96">
        <f t="shared" si="44"/>
        <v>1513.9199999999998</v>
      </c>
      <c r="DR14" s="32"/>
      <c r="DS14" s="61"/>
      <c r="DT14" s="32"/>
      <c r="DU14" s="63">
        <v>0</v>
      </c>
      <c r="DV14" s="32"/>
      <c r="DW14" s="64">
        <f t="shared" si="46"/>
        <v>0</v>
      </c>
      <c r="DX14" s="32"/>
      <c r="DY14" s="63">
        <f t="shared" si="47"/>
        <v>0</v>
      </c>
    </row>
    <row r="15" spans="1:129" ht="12" customHeight="1" x14ac:dyDescent="0.3">
      <c r="A15" s="41" t="s">
        <v>79</v>
      </c>
      <c r="B15" s="32"/>
      <c r="C15" s="51"/>
      <c r="D15" s="34"/>
      <c r="E15" s="38">
        <v>13.03</v>
      </c>
      <c r="F15" s="34"/>
      <c r="G15" s="33">
        <v>15.64</v>
      </c>
      <c r="I15" s="26"/>
      <c r="J15" s="27"/>
      <c r="K15" s="28">
        <v>1</v>
      </c>
      <c r="L15" s="12"/>
      <c r="M15" s="26">
        <v>1</v>
      </c>
      <c r="N15" s="12"/>
      <c r="O15" s="28"/>
      <c r="P15" s="12"/>
      <c r="Q15" s="26"/>
      <c r="R15" s="12"/>
      <c r="S15" s="28"/>
      <c r="T15" s="12"/>
      <c r="U15" s="26"/>
      <c r="V15" s="12"/>
      <c r="W15" s="28"/>
      <c r="X15" s="12"/>
      <c r="Y15" s="26"/>
      <c r="Z15" s="12"/>
      <c r="AA15" s="28"/>
      <c r="AB15" s="12"/>
      <c r="AC15" s="26"/>
      <c r="AD15" s="12"/>
      <c r="AE15" s="28"/>
      <c r="AF15" s="12"/>
      <c r="AG15" s="26"/>
      <c r="AH15" s="12"/>
      <c r="AI15" s="28"/>
      <c r="AJ15" s="12"/>
      <c r="AK15" s="26"/>
      <c r="AL15" s="12"/>
      <c r="AM15" s="28"/>
      <c r="AN15" s="12"/>
      <c r="AO15" s="26"/>
      <c r="AP15" s="12"/>
      <c r="AQ15" s="28"/>
      <c r="AR15" s="12"/>
      <c r="AS15" s="26"/>
      <c r="AT15" s="12"/>
      <c r="AU15" s="28"/>
      <c r="AW15" s="18">
        <f t="shared" si="0"/>
        <v>0</v>
      </c>
      <c r="AX15" s="19">
        <f t="shared" si="1"/>
        <v>0</v>
      </c>
      <c r="AY15" s="20"/>
      <c r="AZ15" s="13">
        <f t="shared" si="2"/>
        <v>1</v>
      </c>
      <c r="BA15" s="21">
        <f t="shared" si="3"/>
        <v>15.64</v>
      </c>
      <c r="BB15" s="20"/>
      <c r="BC15" s="13">
        <f t="shared" si="4"/>
        <v>1</v>
      </c>
      <c r="BD15" s="19">
        <f t="shared" si="5"/>
        <v>15.64</v>
      </c>
      <c r="BE15" s="20"/>
      <c r="BF15" s="13">
        <f t="shared" si="6"/>
        <v>0</v>
      </c>
      <c r="BG15" s="21">
        <f t="shared" si="7"/>
        <v>0</v>
      </c>
      <c r="BH15" s="20"/>
      <c r="BI15" s="13">
        <f t="shared" si="8"/>
        <v>0</v>
      </c>
      <c r="BJ15" s="19">
        <f t="shared" si="9"/>
        <v>0</v>
      </c>
      <c r="BK15" s="20"/>
      <c r="BL15" s="13">
        <f t="shared" si="10"/>
        <v>0</v>
      </c>
      <c r="BM15" s="21">
        <f t="shared" si="11"/>
        <v>0</v>
      </c>
      <c r="BN15" s="20"/>
      <c r="BO15" s="13">
        <f t="shared" si="12"/>
        <v>0</v>
      </c>
      <c r="BP15" s="19">
        <f t="shared" si="13"/>
        <v>0</v>
      </c>
      <c r="BQ15" s="20"/>
      <c r="BR15" s="13">
        <f t="shared" si="14"/>
        <v>0</v>
      </c>
      <c r="BS15" s="21">
        <f t="shared" si="15"/>
        <v>0</v>
      </c>
      <c r="BT15" s="20"/>
      <c r="BU15" s="13">
        <f t="shared" si="16"/>
        <v>0</v>
      </c>
      <c r="BV15" s="19">
        <f t="shared" si="17"/>
        <v>0</v>
      </c>
      <c r="BW15" s="20"/>
      <c r="BX15" s="13">
        <f t="shared" si="18"/>
        <v>0</v>
      </c>
      <c r="BY15" s="21">
        <f t="shared" si="19"/>
        <v>0</v>
      </c>
      <c r="BZ15" s="20"/>
      <c r="CA15" s="13">
        <f t="shared" si="20"/>
        <v>0</v>
      </c>
      <c r="CB15" s="19">
        <f t="shared" si="21"/>
        <v>0</v>
      </c>
      <c r="CC15" s="20"/>
      <c r="CD15" s="13">
        <f t="shared" si="22"/>
        <v>0</v>
      </c>
      <c r="CE15" s="21">
        <f t="shared" si="23"/>
        <v>0</v>
      </c>
      <c r="CF15" s="20"/>
      <c r="CG15" s="18">
        <f t="shared" si="24"/>
        <v>0</v>
      </c>
      <c r="CH15" s="21">
        <f t="shared" si="45"/>
        <v>0</v>
      </c>
      <c r="CI15" s="20"/>
      <c r="CJ15" s="18">
        <f t="shared" si="25"/>
        <v>0</v>
      </c>
      <c r="CK15" s="21">
        <f t="shared" si="26"/>
        <v>0</v>
      </c>
      <c r="CL15" s="20"/>
      <c r="CM15" s="18">
        <f t="shared" si="27"/>
        <v>0</v>
      </c>
      <c r="CN15" s="21">
        <f t="shared" si="28"/>
        <v>0</v>
      </c>
      <c r="CO15" s="20"/>
      <c r="CP15" s="18">
        <f t="shared" si="29"/>
        <v>0</v>
      </c>
      <c r="CQ15" s="21">
        <f t="shared" si="30"/>
        <v>0</v>
      </c>
      <c r="CR15" s="20"/>
      <c r="CS15" s="18">
        <f t="shared" si="31"/>
        <v>0</v>
      </c>
      <c r="CT15" s="19">
        <f t="shared" si="32"/>
        <v>0</v>
      </c>
      <c r="CU15" s="20"/>
      <c r="CV15" s="13">
        <f t="shared" si="33"/>
        <v>0</v>
      </c>
      <c r="CW15" s="21">
        <f t="shared" si="34"/>
        <v>0</v>
      </c>
      <c r="CX15" s="20"/>
      <c r="CY15" s="13">
        <f t="shared" si="35"/>
        <v>0</v>
      </c>
      <c r="CZ15" s="19">
        <f t="shared" si="36"/>
        <v>0</v>
      </c>
      <c r="DA15" s="20"/>
      <c r="DB15" s="13">
        <f t="shared" si="37"/>
        <v>0</v>
      </c>
      <c r="DC15" s="21">
        <f t="shared" si="38"/>
        <v>0</v>
      </c>
      <c r="DE15" s="97">
        <v>51</v>
      </c>
      <c r="DF15" s="32"/>
      <c r="DG15" s="61">
        <f t="shared" si="39"/>
        <v>0</v>
      </c>
      <c r="DH15" s="32"/>
      <c r="DI15" s="59">
        <f t="shared" si="40"/>
        <v>2</v>
      </c>
      <c r="DJ15" s="32"/>
      <c r="DK15" s="59">
        <f t="shared" si="41"/>
        <v>49</v>
      </c>
      <c r="DL15" s="32"/>
      <c r="DM15" s="96">
        <f t="shared" si="42"/>
        <v>638.46999999999991</v>
      </c>
      <c r="DN15" s="32"/>
      <c r="DO15" s="62">
        <f t="shared" si="43"/>
        <v>24.5</v>
      </c>
      <c r="DP15" s="32"/>
      <c r="DQ15" s="96">
        <f t="shared" si="44"/>
        <v>766.36</v>
      </c>
      <c r="DR15" s="32"/>
      <c r="DS15" s="61"/>
      <c r="DT15" s="32"/>
      <c r="DU15" s="63">
        <v>0</v>
      </c>
      <c r="DV15" s="32"/>
      <c r="DW15" s="64">
        <f t="shared" si="46"/>
        <v>0</v>
      </c>
      <c r="DX15" s="32"/>
      <c r="DY15" s="63">
        <f t="shared" si="47"/>
        <v>0</v>
      </c>
    </row>
    <row r="16" spans="1:129" ht="12.45" customHeight="1" x14ac:dyDescent="0.3">
      <c r="A16" s="37" t="s">
        <v>76</v>
      </c>
      <c r="B16" s="32"/>
      <c r="C16" s="51"/>
      <c r="D16" s="34"/>
      <c r="E16" s="38">
        <v>18.95</v>
      </c>
      <c r="F16" s="34"/>
      <c r="G16" s="33">
        <v>22.74</v>
      </c>
      <c r="I16" s="26"/>
      <c r="J16" s="27"/>
      <c r="K16" s="28">
        <v>1</v>
      </c>
      <c r="L16" s="12"/>
      <c r="M16" s="26">
        <v>1</v>
      </c>
      <c r="N16" s="12"/>
      <c r="O16" s="28">
        <v>1</v>
      </c>
      <c r="P16" s="12"/>
      <c r="Q16" s="26">
        <v>1</v>
      </c>
      <c r="R16" s="12"/>
      <c r="S16" s="28"/>
      <c r="T16" s="12"/>
      <c r="U16" s="26"/>
      <c r="V16" s="12"/>
      <c r="W16" s="28">
        <v>1</v>
      </c>
      <c r="X16" s="12"/>
      <c r="Y16" s="26"/>
      <c r="Z16" s="12"/>
      <c r="AA16" s="28"/>
      <c r="AB16" s="12"/>
      <c r="AC16" s="26"/>
      <c r="AD16" s="12"/>
      <c r="AE16" s="28"/>
      <c r="AF16" s="12"/>
      <c r="AG16" s="26"/>
      <c r="AH16" s="12"/>
      <c r="AI16" s="28"/>
      <c r="AJ16" s="12"/>
      <c r="AK16" s="26"/>
      <c r="AL16" s="12"/>
      <c r="AM16" s="28"/>
      <c r="AN16" s="12"/>
      <c r="AO16" s="26"/>
      <c r="AP16" s="12"/>
      <c r="AQ16" s="28"/>
      <c r="AR16" s="12"/>
      <c r="AS16" s="26"/>
      <c r="AT16" s="12"/>
      <c r="AU16" s="28"/>
      <c r="AW16" s="18">
        <f t="shared" si="0"/>
        <v>0</v>
      </c>
      <c r="AX16" s="19">
        <f t="shared" si="1"/>
        <v>0</v>
      </c>
      <c r="AY16" s="20"/>
      <c r="AZ16" s="13">
        <f t="shared" si="2"/>
        <v>1</v>
      </c>
      <c r="BA16" s="21">
        <f t="shared" si="3"/>
        <v>22.74</v>
      </c>
      <c r="BB16" s="20"/>
      <c r="BC16" s="13">
        <f t="shared" si="4"/>
        <v>1</v>
      </c>
      <c r="BD16" s="19">
        <f t="shared" si="5"/>
        <v>22.74</v>
      </c>
      <c r="BE16" s="20"/>
      <c r="BF16" s="13">
        <f t="shared" si="6"/>
        <v>1</v>
      </c>
      <c r="BG16" s="21">
        <f t="shared" si="7"/>
        <v>22.74</v>
      </c>
      <c r="BH16" s="20"/>
      <c r="BI16" s="13">
        <f t="shared" si="8"/>
        <v>1</v>
      </c>
      <c r="BJ16" s="19">
        <f t="shared" si="9"/>
        <v>22.74</v>
      </c>
      <c r="BK16" s="20"/>
      <c r="BL16" s="13">
        <f t="shared" si="10"/>
        <v>0</v>
      </c>
      <c r="BM16" s="21">
        <f t="shared" si="11"/>
        <v>0</v>
      </c>
      <c r="BN16" s="20"/>
      <c r="BO16" s="13">
        <f t="shared" si="12"/>
        <v>0</v>
      </c>
      <c r="BP16" s="19">
        <f t="shared" si="13"/>
        <v>0</v>
      </c>
      <c r="BQ16" s="20"/>
      <c r="BR16" s="13">
        <f t="shared" si="14"/>
        <v>1</v>
      </c>
      <c r="BS16" s="21">
        <f t="shared" si="15"/>
        <v>22.74</v>
      </c>
      <c r="BT16" s="20"/>
      <c r="BU16" s="13">
        <f t="shared" si="16"/>
        <v>0</v>
      </c>
      <c r="BV16" s="19">
        <f t="shared" si="17"/>
        <v>0</v>
      </c>
      <c r="BW16" s="20"/>
      <c r="BX16" s="13">
        <f t="shared" si="18"/>
        <v>0</v>
      </c>
      <c r="BY16" s="21">
        <f t="shared" si="19"/>
        <v>0</v>
      </c>
      <c r="BZ16" s="20"/>
      <c r="CA16" s="13">
        <f t="shared" si="20"/>
        <v>0</v>
      </c>
      <c r="CB16" s="19">
        <f t="shared" si="21"/>
        <v>0</v>
      </c>
      <c r="CC16" s="20"/>
      <c r="CD16" s="13">
        <f t="shared" si="22"/>
        <v>0</v>
      </c>
      <c r="CE16" s="21">
        <f t="shared" si="23"/>
        <v>0</v>
      </c>
      <c r="CF16" s="20"/>
      <c r="CG16" s="18">
        <f t="shared" si="24"/>
        <v>0</v>
      </c>
      <c r="CH16" s="21">
        <f t="shared" si="45"/>
        <v>0</v>
      </c>
      <c r="CI16" s="20"/>
      <c r="CJ16" s="18">
        <f t="shared" si="25"/>
        <v>0</v>
      </c>
      <c r="CK16" s="21">
        <f t="shared" si="26"/>
        <v>0</v>
      </c>
      <c r="CL16" s="20"/>
      <c r="CM16" s="18">
        <f t="shared" si="27"/>
        <v>0</v>
      </c>
      <c r="CN16" s="21">
        <f t="shared" si="28"/>
        <v>0</v>
      </c>
      <c r="CO16" s="20"/>
      <c r="CP16" s="18">
        <f t="shared" si="29"/>
        <v>0</v>
      </c>
      <c r="CQ16" s="21">
        <f t="shared" si="30"/>
        <v>0</v>
      </c>
      <c r="CR16" s="20"/>
      <c r="CS16" s="18">
        <f t="shared" si="31"/>
        <v>0</v>
      </c>
      <c r="CT16" s="19">
        <f t="shared" si="32"/>
        <v>0</v>
      </c>
      <c r="CU16" s="20"/>
      <c r="CV16" s="13">
        <f t="shared" si="33"/>
        <v>0</v>
      </c>
      <c r="CW16" s="21">
        <f t="shared" si="34"/>
        <v>0</v>
      </c>
      <c r="CX16" s="20"/>
      <c r="CY16" s="13">
        <f t="shared" si="35"/>
        <v>0</v>
      </c>
      <c r="CZ16" s="19">
        <f t="shared" si="36"/>
        <v>0</v>
      </c>
      <c r="DA16" s="20"/>
      <c r="DB16" s="13">
        <f t="shared" si="37"/>
        <v>0</v>
      </c>
      <c r="DC16" s="21">
        <f t="shared" si="38"/>
        <v>0</v>
      </c>
      <c r="DE16" s="97">
        <v>69</v>
      </c>
      <c r="DF16" s="32"/>
      <c r="DG16" s="61">
        <f t="shared" si="39"/>
        <v>0</v>
      </c>
      <c r="DH16" s="32"/>
      <c r="DI16" s="59">
        <f t="shared" si="40"/>
        <v>5</v>
      </c>
      <c r="DJ16" s="32"/>
      <c r="DK16" s="59">
        <f t="shared" si="41"/>
        <v>64</v>
      </c>
      <c r="DL16" s="32"/>
      <c r="DM16" s="96">
        <f t="shared" si="42"/>
        <v>1212.8</v>
      </c>
      <c r="DN16" s="32"/>
      <c r="DO16" s="62">
        <f t="shared" si="43"/>
        <v>12.8</v>
      </c>
      <c r="DP16" s="32"/>
      <c r="DQ16" s="96">
        <f t="shared" si="44"/>
        <v>1455.36</v>
      </c>
      <c r="DR16" s="32"/>
      <c r="DS16" s="61"/>
      <c r="DT16" s="32"/>
      <c r="DU16" s="63">
        <v>0</v>
      </c>
      <c r="DV16" s="32"/>
      <c r="DW16" s="64">
        <f t="shared" si="46"/>
        <v>0</v>
      </c>
      <c r="DX16" s="32"/>
      <c r="DY16" s="63">
        <f t="shared" si="47"/>
        <v>0</v>
      </c>
    </row>
    <row r="17" spans="1:129" ht="12" customHeight="1" x14ac:dyDescent="0.3">
      <c r="A17" s="42" t="s">
        <v>25</v>
      </c>
      <c r="B17" s="32"/>
      <c r="C17" s="51"/>
      <c r="D17" s="34"/>
      <c r="E17" s="38">
        <v>22.95</v>
      </c>
      <c r="F17" s="34"/>
      <c r="G17" s="33">
        <v>27.54</v>
      </c>
      <c r="I17" s="26"/>
      <c r="J17" s="27"/>
      <c r="K17" s="28">
        <v>1</v>
      </c>
      <c r="L17" s="12"/>
      <c r="M17" s="26"/>
      <c r="N17" s="12"/>
      <c r="O17" s="28"/>
      <c r="P17" s="12"/>
      <c r="Q17" s="26"/>
      <c r="R17" s="12"/>
      <c r="S17" s="28"/>
      <c r="T17" s="12"/>
      <c r="U17" s="26"/>
      <c r="V17" s="12"/>
      <c r="W17" s="28"/>
      <c r="X17" s="12"/>
      <c r="Y17" s="26"/>
      <c r="Z17" s="12"/>
      <c r="AA17" s="28"/>
      <c r="AB17" s="12"/>
      <c r="AC17" s="26"/>
      <c r="AD17" s="12"/>
      <c r="AE17" s="28"/>
      <c r="AF17" s="12"/>
      <c r="AG17" s="26"/>
      <c r="AH17" s="12"/>
      <c r="AI17" s="28"/>
      <c r="AJ17" s="12"/>
      <c r="AK17" s="26"/>
      <c r="AL17" s="12"/>
      <c r="AM17" s="28"/>
      <c r="AN17" s="12"/>
      <c r="AO17" s="26"/>
      <c r="AP17" s="12"/>
      <c r="AQ17" s="28"/>
      <c r="AR17" s="12"/>
      <c r="AS17" s="26"/>
      <c r="AT17" s="12"/>
      <c r="AU17" s="28"/>
      <c r="AW17" s="18">
        <f t="shared" si="0"/>
        <v>0</v>
      </c>
      <c r="AX17" s="19">
        <f t="shared" si="1"/>
        <v>0</v>
      </c>
      <c r="AY17" s="20"/>
      <c r="AZ17" s="13">
        <f t="shared" si="2"/>
        <v>1</v>
      </c>
      <c r="BA17" s="21">
        <f t="shared" si="3"/>
        <v>27.54</v>
      </c>
      <c r="BB17" s="20"/>
      <c r="BC17" s="13">
        <f t="shared" si="4"/>
        <v>0</v>
      </c>
      <c r="BD17" s="19">
        <f t="shared" si="5"/>
        <v>0</v>
      </c>
      <c r="BE17" s="20"/>
      <c r="BF17" s="13">
        <f t="shared" si="6"/>
        <v>0</v>
      </c>
      <c r="BG17" s="21">
        <f t="shared" si="7"/>
        <v>0</v>
      </c>
      <c r="BH17" s="20"/>
      <c r="BI17" s="13">
        <f t="shared" si="8"/>
        <v>0</v>
      </c>
      <c r="BJ17" s="19">
        <f t="shared" si="9"/>
        <v>0</v>
      </c>
      <c r="BK17" s="20"/>
      <c r="BL17" s="13">
        <f t="shared" si="10"/>
        <v>0</v>
      </c>
      <c r="BM17" s="21">
        <f t="shared" si="11"/>
        <v>0</v>
      </c>
      <c r="BN17" s="20"/>
      <c r="BO17" s="13">
        <f t="shared" si="12"/>
        <v>0</v>
      </c>
      <c r="BP17" s="19">
        <f t="shared" si="13"/>
        <v>0</v>
      </c>
      <c r="BQ17" s="20"/>
      <c r="BR17" s="13">
        <f t="shared" si="14"/>
        <v>0</v>
      </c>
      <c r="BS17" s="21">
        <f t="shared" si="15"/>
        <v>0</v>
      </c>
      <c r="BT17" s="20"/>
      <c r="BU17" s="13">
        <f t="shared" si="16"/>
        <v>0</v>
      </c>
      <c r="BV17" s="19">
        <f t="shared" si="17"/>
        <v>0</v>
      </c>
      <c r="BW17" s="20"/>
      <c r="BX17" s="13">
        <f t="shared" si="18"/>
        <v>0</v>
      </c>
      <c r="BY17" s="21">
        <f t="shared" si="19"/>
        <v>0</v>
      </c>
      <c r="BZ17" s="20"/>
      <c r="CA17" s="13">
        <f t="shared" si="20"/>
        <v>0</v>
      </c>
      <c r="CB17" s="19">
        <f t="shared" si="21"/>
        <v>0</v>
      </c>
      <c r="CC17" s="20"/>
      <c r="CD17" s="13">
        <f t="shared" si="22"/>
        <v>0</v>
      </c>
      <c r="CE17" s="21">
        <f t="shared" si="23"/>
        <v>0</v>
      </c>
      <c r="CF17" s="20"/>
      <c r="CG17" s="18">
        <f t="shared" si="24"/>
        <v>0</v>
      </c>
      <c r="CH17" s="21">
        <f t="shared" si="45"/>
        <v>0</v>
      </c>
      <c r="CI17" s="20"/>
      <c r="CJ17" s="18">
        <f t="shared" si="25"/>
        <v>0</v>
      </c>
      <c r="CK17" s="21">
        <f t="shared" si="26"/>
        <v>0</v>
      </c>
      <c r="CL17" s="20"/>
      <c r="CM17" s="18">
        <f t="shared" si="27"/>
        <v>0</v>
      </c>
      <c r="CN17" s="21">
        <f t="shared" si="28"/>
        <v>0</v>
      </c>
      <c r="CO17" s="20"/>
      <c r="CP17" s="18">
        <f t="shared" si="29"/>
        <v>0</v>
      </c>
      <c r="CQ17" s="21">
        <f t="shared" si="30"/>
        <v>0</v>
      </c>
      <c r="CR17" s="20"/>
      <c r="CS17" s="18">
        <f t="shared" si="31"/>
        <v>0</v>
      </c>
      <c r="CT17" s="19">
        <f t="shared" si="32"/>
        <v>0</v>
      </c>
      <c r="CU17" s="20"/>
      <c r="CV17" s="13">
        <f t="shared" si="33"/>
        <v>0</v>
      </c>
      <c r="CW17" s="21">
        <f t="shared" si="34"/>
        <v>0</v>
      </c>
      <c r="CX17" s="20"/>
      <c r="CY17" s="13">
        <f t="shared" si="35"/>
        <v>0</v>
      </c>
      <c r="CZ17" s="19">
        <f t="shared" si="36"/>
        <v>0</v>
      </c>
      <c r="DA17" s="20"/>
      <c r="DB17" s="13">
        <f t="shared" si="37"/>
        <v>0</v>
      </c>
      <c r="DC17" s="21">
        <f t="shared" si="38"/>
        <v>0</v>
      </c>
      <c r="DE17" s="97">
        <v>83</v>
      </c>
      <c r="DF17" s="32"/>
      <c r="DG17" s="61">
        <f t="shared" si="39"/>
        <v>0</v>
      </c>
      <c r="DH17" s="32"/>
      <c r="DI17" s="59">
        <f t="shared" si="40"/>
        <v>1</v>
      </c>
      <c r="DJ17" s="32"/>
      <c r="DK17" s="59">
        <f t="shared" si="41"/>
        <v>82</v>
      </c>
      <c r="DL17" s="32"/>
      <c r="DM17" s="96">
        <f t="shared" si="42"/>
        <v>1881.8999999999999</v>
      </c>
      <c r="DN17" s="32"/>
      <c r="DO17" s="62">
        <f t="shared" si="43"/>
        <v>82</v>
      </c>
      <c r="DP17" s="32"/>
      <c r="DQ17" s="96">
        <f t="shared" si="44"/>
        <v>2258.2799999999997</v>
      </c>
      <c r="DR17" s="32"/>
      <c r="DS17" s="61"/>
      <c r="DT17" s="32"/>
      <c r="DU17" s="63">
        <v>0</v>
      </c>
      <c r="DV17" s="32"/>
      <c r="DW17" s="64">
        <f t="shared" si="46"/>
        <v>0</v>
      </c>
      <c r="DX17" s="32"/>
      <c r="DY17" s="63">
        <f t="shared" si="47"/>
        <v>0</v>
      </c>
    </row>
    <row r="18" spans="1:129" ht="12" customHeight="1" x14ac:dyDescent="0.3">
      <c r="A18" s="37" t="s">
        <v>26</v>
      </c>
      <c r="B18" s="32"/>
      <c r="C18" s="51"/>
      <c r="D18" s="34"/>
      <c r="E18" s="38">
        <v>33.950000000000003</v>
      </c>
      <c r="F18" s="34"/>
      <c r="G18" s="33">
        <v>40.74</v>
      </c>
      <c r="I18" s="26">
        <v>1</v>
      </c>
      <c r="J18" s="27"/>
      <c r="K18" s="28">
        <v>1</v>
      </c>
      <c r="L18" s="12"/>
      <c r="M18" s="26">
        <v>1</v>
      </c>
      <c r="N18" s="12"/>
      <c r="O18" s="28">
        <v>2</v>
      </c>
      <c r="P18" s="12"/>
      <c r="Q18" s="26">
        <v>2</v>
      </c>
      <c r="R18" s="12"/>
      <c r="S18" s="28">
        <v>1</v>
      </c>
      <c r="T18" s="12"/>
      <c r="U18" s="26">
        <v>1</v>
      </c>
      <c r="V18" s="12"/>
      <c r="W18" s="28">
        <v>1</v>
      </c>
      <c r="X18" s="12"/>
      <c r="Y18" s="26">
        <v>1</v>
      </c>
      <c r="Z18" s="12"/>
      <c r="AA18" s="28">
        <v>1</v>
      </c>
      <c r="AB18" s="12"/>
      <c r="AC18" s="26">
        <v>1</v>
      </c>
      <c r="AD18" s="12"/>
      <c r="AE18" s="28"/>
      <c r="AF18" s="12"/>
      <c r="AG18" s="26"/>
      <c r="AH18" s="12"/>
      <c r="AI18" s="28"/>
      <c r="AJ18" s="12"/>
      <c r="AK18" s="26"/>
      <c r="AL18" s="12"/>
      <c r="AM18" s="28"/>
      <c r="AN18" s="12"/>
      <c r="AO18" s="26"/>
      <c r="AP18" s="12"/>
      <c r="AQ18" s="28"/>
      <c r="AR18" s="12"/>
      <c r="AS18" s="26"/>
      <c r="AT18" s="12"/>
      <c r="AU18" s="28"/>
      <c r="AW18" s="18">
        <f t="shared" si="0"/>
        <v>1</v>
      </c>
      <c r="AX18" s="19">
        <f t="shared" si="1"/>
        <v>40.74</v>
      </c>
      <c r="AY18" s="20"/>
      <c r="AZ18" s="13">
        <f t="shared" si="2"/>
        <v>1</v>
      </c>
      <c r="BA18" s="21">
        <f t="shared" si="3"/>
        <v>40.74</v>
      </c>
      <c r="BB18" s="20"/>
      <c r="BC18" s="13">
        <f t="shared" si="4"/>
        <v>1</v>
      </c>
      <c r="BD18" s="19">
        <f t="shared" si="5"/>
        <v>40.74</v>
      </c>
      <c r="BE18" s="20"/>
      <c r="BF18" s="13">
        <f t="shared" si="6"/>
        <v>2</v>
      </c>
      <c r="BG18" s="21">
        <f t="shared" si="7"/>
        <v>81.48</v>
      </c>
      <c r="BH18" s="20"/>
      <c r="BI18" s="13">
        <f t="shared" si="8"/>
        <v>2</v>
      </c>
      <c r="BJ18" s="19">
        <f t="shared" si="9"/>
        <v>81.48</v>
      </c>
      <c r="BK18" s="20"/>
      <c r="BL18" s="13">
        <f t="shared" si="10"/>
        <v>1</v>
      </c>
      <c r="BM18" s="21">
        <f t="shared" si="11"/>
        <v>40.74</v>
      </c>
      <c r="BN18" s="20"/>
      <c r="BO18" s="13">
        <f t="shared" si="12"/>
        <v>1</v>
      </c>
      <c r="BP18" s="19">
        <f t="shared" si="13"/>
        <v>40.74</v>
      </c>
      <c r="BQ18" s="20"/>
      <c r="BR18" s="13">
        <f t="shared" si="14"/>
        <v>1</v>
      </c>
      <c r="BS18" s="21">
        <f t="shared" si="15"/>
        <v>40.74</v>
      </c>
      <c r="BT18" s="20"/>
      <c r="BU18" s="13">
        <f t="shared" si="16"/>
        <v>1</v>
      </c>
      <c r="BV18" s="19">
        <f t="shared" si="17"/>
        <v>40.74</v>
      </c>
      <c r="BW18" s="20"/>
      <c r="BX18" s="13">
        <f t="shared" si="18"/>
        <v>1</v>
      </c>
      <c r="BY18" s="21">
        <f t="shared" si="19"/>
        <v>40.74</v>
      </c>
      <c r="BZ18" s="20"/>
      <c r="CA18" s="13">
        <f t="shared" si="20"/>
        <v>1</v>
      </c>
      <c r="CB18" s="19">
        <f t="shared" si="21"/>
        <v>40.74</v>
      </c>
      <c r="CC18" s="20"/>
      <c r="CD18" s="13">
        <f t="shared" si="22"/>
        <v>0</v>
      </c>
      <c r="CE18" s="21">
        <f t="shared" si="23"/>
        <v>0</v>
      </c>
      <c r="CF18" s="20"/>
      <c r="CG18" s="18">
        <f t="shared" si="24"/>
        <v>0</v>
      </c>
      <c r="CH18" s="21">
        <f t="shared" si="45"/>
        <v>0</v>
      </c>
      <c r="CI18" s="20"/>
      <c r="CJ18" s="18">
        <f t="shared" si="25"/>
        <v>0</v>
      </c>
      <c r="CK18" s="21">
        <f t="shared" si="26"/>
        <v>0</v>
      </c>
      <c r="CL18" s="20"/>
      <c r="CM18" s="18">
        <f t="shared" si="27"/>
        <v>0</v>
      </c>
      <c r="CN18" s="21">
        <f t="shared" si="28"/>
        <v>0</v>
      </c>
      <c r="CO18" s="20"/>
      <c r="CP18" s="18">
        <f t="shared" si="29"/>
        <v>0</v>
      </c>
      <c r="CQ18" s="21">
        <f t="shared" si="30"/>
        <v>0</v>
      </c>
      <c r="CR18" s="20"/>
      <c r="CS18" s="18">
        <f t="shared" si="31"/>
        <v>0</v>
      </c>
      <c r="CT18" s="19">
        <f t="shared" si="32"/>
        <v>0</v>
      </c>
      <c r="CU18" s="20"/>
      <c r="CV18" s="13">
        <f t="shared" si="33"/>
        <v>0</v>
      </c>
      <c r="CW18" s="21">
        <f t="shared" si="34"/>
        <v>0</v>
      </c>
      <c r="CX18" s="20"/>
      <c r="CY18" s="13">
        <f t="shared" si="35"/>
        <v>0</v>
      </c>
      <c r="CZ18" s="19">
        <f t="shared" si="36"/>
        <v>0</v>
      </c>
      <c r="DA18" s="20"/>
      <c r="DB18" s="13">
        <f t="shared" si="37"/>
        <v>0</v>
      </c>
      <c r="DC18" s="21">
        <f t="shared" si="38"/>
        <v>0</v>
      </c>
      <c r="DE18" s="97">
        <v>381</v>
      </c>
      <c r="DF18" s="32"/>
      <c r="DG18" s="61">
        <f t="shared" si="39"/>
        <v>0</v>
      </c>
      <c r="DH18" s="32"/>
      <c r="DI18" s="59">
        <f t="shared" si="40"/>
        <v>13</v>
      </c>
      <c r="DJ18" s="32"/>
      <c r="DK18" s="59">
        <f t="shared" si="41"/>
        <v>368</v>
      </c>
      <c r="DL18" s="32"/>
      <c r="DM18" s="96">
        <f t="shared" si="42"/>
        <v>12493.6</v>
      </c>
      <c r="DN18" s="32"/>
      <c r="DO18" s="62">
        <f t="shared" si="43"/>
        <v>28.307692307692307</v>
      </c>
      <c r="DP18" s="32"/>
      <c r="DQ18" s="96">
        <f t="shared" si="44"/>
        <v>14992.320000000002</v>
      </c>
      <c r="DR18" s="32"/>
      <c r="DS18" s="61"/>
      <c r="DT18" s="32"/>
      <c r="DU18" s="63">
        <v>0</v>
      </c>
      <c r="DV18" s="32"/>
      <c r="DW18" s="64">
        <f t="shared" si="46"/>
        <v>0</v>
      </c>
      <c r="DX18" s="32"/>
      <c r="DY18" s="63">
        <f t="shared" si="47"/>
        <v>0</v>
      </c>
    </row>
    <row r="19" spans="1:129" ht="12" customHeight="1" x14ac:dyDescent="0.3">
      <c r="A19" s="36" t="s">
        <v>27</v>
      </c>
      <c r="B19" s="32"/>
      <c r="C19" s="51"/>
      <c r="D19" s="34"/>
      <c r="E19" s="38">
        <v>15.85</v>
      </c>
      <c r="F19" s="34"/>
      <c r="G19" s="33">
        <v>19.02</v>
      </c>
      <c r="I19" s="26"/>
      <c r="J19" s="27"/>
      <c r="K19" s="28">
        <v>1</v>
      </c>
      <c r="L19" s="12"/>
      <c r="M19" s="26"/>
      <c r="N19" s="12"/>
      <c r="O19" s="28"/>
      <c r="P19" s="12"/>
      <c r="Q19" s="26"/>
      <c r="R19" s="12"/>
      <c r="S19" s="28"/>
      <c r="T19" s="12"/>
      <c r="U19" s="26"/>
      <c r="V19" s="12"/>
      <c r="W19" s="28"/>
      <c r="X19" s="12"/>
      <c r="Y19" s="26"/>
      <c r="Z19" s="12"/>
      <c r="AA19" s="28"/>
      <c r="AB19" s="12"/>
      <c r="AC19" s="26"/>
      <c r="AD19" s="12"/>
      <c r="AE19" s="28"/>
      <c r="AF19" s="12"/>
      <c r="AG19" s="26"/>
      <c r="AH19" s="12"/>
      <c r="AI19" s="28"/>
      <c r="AJ19" s="12"/>
      <c r="AK19" s="26"/>
      <c r="AL19" s="12"/>
      <c r="AM19" s="28"/>
      <c r="AN19" s="12"/>
      <c r="AO19" s="26"/>
      <c r="AP19" s="12"/>
      <c r="AQ19" s="28"/>
      <c r="AR19" s="12"/>
      <c r="AS19" s="26"/>
      <c r="AT19" s="12"/>
      <c r="AU19" s="28"/>
      <c r="AW19" s="18">
        <f t="shared" si="0"/>
        <v>0</v>
      </c>
      <c r="AX19" s="19">
        <f t="shared" si="1"/>
        <v>0</v>
      </c>
      <c r="AY19" s="20"/>
      <c r="AZ19" s="13">
        <f t="shared" si="2"/>
        <v>1</v>
      </c>
      <c r="BA19" s="21">
        <f t="shared" si="3"/>
        <v>19.02</v>
      </c>
      <c r="BB19" s="20"/>
      <c r="BC19" s="13">
        <f t="shared" si="4"/>
        <v>0</v>
      </c>
      <c r="BD19" s="19">
        <f t="shared" si="5"/>
        <v>0</v>
      </c>
      <c r="BE19" s="20"/>
      <c r="BF19" s="13">
        <f t="shared" si="6"/>
        <v>0</v>
      </c>
      <c r="BG19" s="21">
        <f t="shared" si="7"/>
        <v>0</v>
      </c>
      <c r="BH19" s="20"/>
      <c r="BI19" s="13">
        <f t="shared" si="8"/>
        <v>0</v>
      </c>
      <c r="BJ19" s="19">
        <f t="shared" si="9"/>
        <v>0</v>
      </c>
      <c r="BK19" s="20"/>
      <c r="BL19" s="13">
        <f t="shared" si="10"/>
        <v>0</v>
      </c>
      <c r="BM19" s="21">
        <f t="shared" si="11"/>
        <v>0</v>
      </c>
      <c r="BN19" s="20"/>
      <c r="BO19" s="13">
        <f t="shared" si="12"/>
        <v>0</v>
      </c>
      <c r="BP19" s="19">
        <f t="shared" si="13"/>
        <v>0</v>
      </c>
      <c r="BQ19" s="20"/>
      <c r="BR19" s="13">
        <f t="shared" si="14"/>
        <v>0</v>
      </c>
      <c r="BS19" s="21">
        <f t="shared" si="15"/>
        <v>0</v>
      </c>
      <c r="BT19" s="20"/>
      <c r="BU19" s="13">
        <f t="shared" si="16"/>
        <v>0</v>
      </c>
      <c r="BV19" s="19">
        <f t="shared" si="17"/>
        <v>0</v>
      </c>
      <c r="BW19" s="20"/>
      <c r="BX19" s="13">
        <f t="shared" si="18"/>
        <v>0</v>
      </c>
      <c r="BY19" s="21">
        <f t="shared" si="19"/>
        <v>0</v>
      </c>
      <c r="BZ19" s="20"/>
      <c r="CA19" s="13">
        <f t="shared" si="20"/>
        <v>0</v>
      </c>
      <c r="CB19" s="19">
        <f t="shared" si="21"/>
        <v>0</v>
      </c>
      <c r="CC19" s="20"/>
      <c r="CD19" s="13">
        <f t="shared" si="22"/>
        <v>0</v>
      </c>
      <c r="CE19" s="21">
        <f t="shared" si="23"/>
        <v>0</v>
      </c>
      <c r="CF19" s="20"/>
      <c r="CG19" s="18">
        <f t="shared" si="24"/>
        <v>0</v>
      </c>
      <c r="CH19" s="21">
        <f t="shared" si="45"/>
        <v>0</v>
      </c>
      <c r="CI19" s="20"/>
      <c r="CJ19" s="18">
        <f t="shared" si="25"/>
        <v>0</v>
      </c>
      <c r="CK19" s="21">
        <f t="shared" si="26"/>
        <v>0</v>
      </c>
      <c r="CL19" s="20"/>
      <c r="CM19" s="18">
        <f t="shared" si="27"/>
        <v>0</v>
      </c>
      <c r="CN19" s="21">
        <f t="shared" si="28"/>
        <v>0</v>
      </c>
      <c r="CO19" s="20"/>
      <c r="CP19" s="18">
        <f t="shared" si="29"/>
        <v>0</v>
      </c>
      <c r="CQ19" s="21">
        <f t="shared" si="30"/>
        <v>0</v>
      </c>
      <c r="CR19" s="20"/>
      <c r="CS19" s="18">
        <f t="shared" si="31"/>
        <v>0</v>
      </c>
      <c r="CT19" s="19">
        <f t="shared" si="32"/>
        <v>0</v>
      </c>
      <c r="CU19" s="20"/>
      <c r="CV19" s="13">
        <f t="shared" si="33"/>
        <v>0</v>
      </c>
      <c r="CW19" s="21">
        <f t="shared" si="34"/>
        <v>0</v>
      </c>
      <c r="CX19" s="20"/>
      <c r="CY19" s="13">
        <f t="shared" si="35"/>
        <v>0</v>
      </c>
      <c r="CZ19" s="19">
        <f t="shared" si="36"/>
        <v>0</v>
      </c>
      <c r="DA19" s="20"/>
      <c r="DB19" s="13">
        <f t="shared" si="37"/>
        <v>0</v>
      </c>
      <c r="DC19" s="21">
        <f t="shared" si="38"/>
        <v>0</v>
      </c>
      <c r="DE19" s="97">
        <v>42</v>
      </c>
      <c r="DF19" s="32"/>
      <c r="DG19" s="61">
        <f t="shared" si="39"/>
        <v>0</v>
      </c>
      <c r="DH19" s="32"/>
      <c r="DI19" s="59">
        <f t="shared" si="40"/>
        <v>1</v>
      </c>
      <c r="DJ19" s="32"/>
      <c r="DK19" s="59">
        <f t="shared" si="41"/>
        <v>41</v>
      </c>
      <c r="DL19" s="32"/>
      <c r="DM19" s="96">
        <f t="shared" si="42"/>
        <v>649.85</v>
      </c>
      <c r="DN19" s="32"/>
      <c r="DO19" s="62">
        <f t="shared" si="43"/>
        <v>41</v>
      </c>
      <c r="DP19" s="32"/>
      <c r="DQ19" s="96">
        <f t="shared" si="44"/>
        <v>779.81999999999994</v>
      </c>
      <c r="DR19" s="32"/>
      <c r="DS19" s="61"/>
      <c r="DT19" s="32"/>
      <c r="DU19" s="63">
        <v>0</v>
      </c>
      <c r="DV19" s="32"/>
      <c r="DW19" s="64">
        <f t="shared" si="46"/>
        <v>0</v>
      </c>
      <c r="DX19" s="32"/>
      <c r="DY19" s="63">
        <f t="shared" si="47"/>
        <v>0</v>
      </c>
    </row>
    <row r="20" spans="1:129" ht="12" customHeight="1" x14ac:dyDescent="0.3">
      <c r="A20" s="37" t="s">
        <v>75</v>
      </c>
      <c r="B20" s="32"/>
      <c r="C20" s="51"/>
      <c r="D20" s="34"/>
      <c r="E20" s="38">
        <v>21.95</v>
      </c>
      <c r="F20" s="34"/>
      <c r="G20" s="33">
        <v>26.34</v>
      </c>
      <c r="I20" s="26"/>
      <c r="J20" s="27"/>
      <c r="K20" s="28">
        <v>1</v>
      </c>
      <c r="L20" s="12"/>
      <c r="M20" s="26">
        <v>1</v>
      </c>
      <c r="N20" s="12"/>
      <c r="O20" s="28"/>
      <c r="P20" s="12"/>
      <c r="Q20" s="26">
        <v>1</v>
      </c>
      <c r="R20" s="12"/>
      <c r="S20" s="28">
        <v>1</v>
      </c>
      <c r="T20" s="12"/>
      <c r="U20" s="26">
        <v>1</v>
      </c>
      <c r="V20" s="12"/>
      <c r="W20" s="28">
        <v>1</v>
      </c>
      <c r="X20" s="12"/>
      <c r="Y20" s="26">
        <v>1</v>
      </c>
      <c r="Z20" s="12"/>
      <c r="AA20" s="28"/>
      <c r="AB20" s="12"/>
      <c r="AC20" s="26">
        <v>1</v>
      </c>
      <c r="AD20" s="12"/>
      <c r="AE20" s="28"/>
      <c r="AF20" s="12"/>
      <c r="AG20" s="26"/>
      <c r="AH20" s="12"/>
      <c r="AI20" s="28"/>
      <c r="AJ20" s="12"/>
      <c r="AK20" s="26"/>
      <c r="AL20" s="12"/>
      <c r="AM20" s="28"/>
      <c r="AN20" s="12"/>
      <c r="AO20" s="26">
        <v>7</v>
      </c>
      <c r="AP20" s="12"/>
      <c r="AQ20" s="28"/>
      <c r="AR20" s="12"/>
      <c r="AS20" s="26"/>
      <c r="AT20" s="12"/>
      <c r="AU20" s="28">
        <v>4</v>
      </c>
      <c r="AW20" s="18">
        <f t="shared" si="0"/>
        <v>0</v>
      </c>
      <c r="AX20" s="19">
        <f t="shared" si="1"/>
        <v>0</v>
      </c>
      <c r="AY20" s="20"/>
      <c r="AZ20" s="13">
        <f t="shared" si="2"/>
        <v>1</v>
      </c>
      <c r="BA20" s="21">
        <f t="shared" si="3"/>
        <v>26.34</v>
      </c>
      <c r="BB20" s="20"/>
      <c r="BC20" s="13">
        <f t="shared" si="4"/>
        <v>1</v>
      </c>
      <c r="BD20" s="19">
        <f t="shared" si="5"/>
        <v>26.34</v>
      </c>
      <c r="BE20" s="20"/>
      <c r="BF20" s="13">
        <f t="shared" si="6"/>
        <v>0</v>
      </c>
      <c r="BG20" s="21">
        <f t="shared" si="7"/>
        <v>0</v>
      </c>
      <c r="BH20" s="20"/>
      <c r="BI20" s="13">
        <f t="shared" si="8"/>
        <v>1</v>
      </c>
      <c r="BJ20" s="19">
        <f t="shared" si="9"/>
        <v>26.34</v>
      </c>
      <c r="BK20" s="20"/>
      <c r="BL20" s="13">
        <f t="shared" si="10"/>
        <v>1</v>
      </c>
      <c r="BM20" s="21">
        <f t="shared" si="11"/>
        <v>26.34</v>
      </c>
      <c r="BN20" s="20"/>
      <c r="BO20" s="13">
        <f t="shared" si="12"/>
        <v>1</v>
      </c>
      <c r="BP20" s="19">
        <f t="shared" si="13"/>
        <v>26.34</v>
      </c>
      <c r="BQ20" s="20"/>
      <c r="BR20" s="13">
        <f t="shared" si="14"/>
        <v>1</v>
      </c>
      <c r="BS20" s="21">
        <f t="shared" si="15"/>
        <v>26.34</v>
      </c>
      <c r="BT20" s="20"/>
      <c r="BU20" s="13">
        <f t="shared" si="16"/>
        <v>1</v>
      </c>
      <c r="BV20" s="19">
        <f t="shared" si="17"/>
        <v>26.34</v>
      </c>
      <c r="BW20" s="20"/>
      <c r="BX20" s="13">
        <f t="shared" si="18"/>
        <v>0</v>
      </c>
      <c r="BY20" s="21">
        <f t="shared" si="19"/>
        <v>0</v>
      </c>
      <c r="BZ20" s="20"/>
      <c r="CA20" s="13">
        <f t="shared" si="20"/>
        <v>1</v>
      </c>
      <c r="CB20" s="19">
        <f t="shared" si="21"/>
        <v>26.34</v>
      </c>
      <c r="CC20" s="20"/>
      <c r="CD20" s="13">
        <f t="shared" si="22"/>
        <v>0</v>
      </c>
      <c r="CE20" s="21">
        <f t="shared" si="23"/>
        <v>0</v>
      </c>
      <c r="CF20" s="20"/>
      <c r="CG20" s="18">
        <f t="shared" si="24"/>
        <v>0</v>
      </c>
      <c r="CH20" s="21">
        <f t="shared" si="45"/>
        <v>0</v>
      </c>
      <c r="CI20" s="20"/>
      <c r="CJ20" s="18">
        <f t="shared" si="25"/>
        <v>0</v>
      </c>
      <c r="CK20" s="21">
        <f t="shared" si="26"/>
        <v>0</v>
      </c>
      <c r="CL20" s="20"/>
      <c r="CM20" s="18">
        <f t="shared" si="27"/>
        <v>0</v>
      </c>
      <c r="CN20" s="21">
        <f t="shared" si="28"/>
        <v>0</v>
      </c>
      <c r="CO20" s="20"/>
      <c r="CP20" s="18">
        <f t="shared" si="29"/>
        <v>0</v>
      </c>
      <c r="CQ20" s="21">
        <f t="shared" si="30"/>
        <v>0</v>
      </c>
      <c r="CR20" s="20"/>
      <c r="CS20" s="18">
        <f t="shared" si="31"/>
        <v>7</v>
      </c>
      <c r="CT20" s="19">
        <f t="shared" si="32"/>
        <v>184.38</v>
      </c>
      <c r="CU20" s="20"/>
      <c r="CV20" s="13">
        <f t="shared" si="33"/>
        <v>0</v>
      </c>
      <c r="CW20" s="21">
        <f t="shared" si="34"/>
        <v>0</v>
      </c>
      <c r="CX20" s="20"/>
      <c r="CY20" s="13">
        <f t="shared" si="35"/>
        <v>0</v>
      </c>
      <c r="CZ20" s="19">
        <f t="shared" si="36"/>
        <v>0</v>
      </c>
      <c r="DA20" s="20"/>
      <c r="DB20" s="13">
        <f t="shared" si="37"/>
        <v>4</v>
      </c>
      <c r="DC20" s="21">
        <f t="shared" si="38"/>
        <v>105.36</v>
      </c>
      <c r="DE20" s="97">
        <v>1789</v>
      </c>
      <c r="DF20" s="32"/>
      <c r="DG20" s="61">
        <f t="shared" si="39"/>
        <v>0</v>
      </c>
      <c r="DH20" s="32"/>
      <c r="DI20" s="59">
        <f t="shared" si="40"/>
        <v>19</v>
      </c>
      <c r="DJ20" s="32"/>
      <c r="DK20" s="59">
        <f t="shared" si="41"/>
        <v>1770</v>
      </c>
      <c r="DL20" s="32"/>
      <c r="DM20" s="96">
        <f t="shared" si="42"/>
        <v>38851.5</v>
      </c>
      <c r="DN20" s="32"/>
      <c r="DO20" s="62">
        <f t="shared" si="43"/>
        <v>93.15789473684211</v>
      </c>
      <c r="DP20" s="32"/>
      <c r="DQ20" s="96">
        <f t="shared" si="44"/>
        <v>46621.8</v>
      </c>
      <c r="DR20" s="32"/>
      <c r="DS20" s="61"/>
      <c r="DT20" s="32"/>
      <c r="DU20" s="63">
        <v>0</v>
      </c>
      <c r="DV20" s="32"/>
      <c r="DW20" s="64">
        <f t="shared" si="46"/>
        <v>0</v>
      </c>
      <c r="DX20" s="32"/>
      <c r="DY20" s="63">
        <f t="shared" si="47"/>
        <v>0</v>
      </c>
    </row>
    <row r="21" spans="1:129" ht="12" customHeight="1" x14ac:dyDescent="0.3">
      <c r="A21" s="36" t="s">
        <v>28</v>
      </c>
      <c r="B21" s="32"/>
      <c r="C21" s="51"/>
      <c r="D21" s="34"/>
      <c r="E21" s="38">
        <v>33.5</v>
      </c>
      <c r="F21" s="34"/>
      <c r="G21" s="33">
        <v>40.200000000000003</v>
      </c>
      <c r="I21" s="26">
        <v>1</v>
      </c>
      <c r="J21" s="27"/>
      <c r="K21" s="28">
        <v>1</v>
      </c>
      <c r="L21" s="12"/>
      <c r="M21" s="26">
        <v>1</v>
      </c>
      <c r="N21" s="12"/>
      <c r="O21" s="28"/>
      <c r="P21" s="12"/>
      <c r="Q21" s="26"/>
      <c r="R21" s="12"/>
      <c r="S21" s="28"/>
      <c r="T21" s="12"/>
      <c r="U21" s="26"/>
      <c r="V21" s="12"/>
      <c r="W21" s="28">
        <v>1</v>
      </c>
      <c r="X21" s="12"/>
      <c r="Y21" s="26">
        <v>1</v>
      </c>
      <c r="Z21" s="12"/>
      <c r="AA21" s="28"/>
      <c r="AB21" s="12"/>
      <c r="AC21" s="26"/>
      <c r="AD21" s="12"/>
      <c r="AE21" s="28"/>
      <c r="AF21" s="12"/>
      <c r="AG21" s="26"/>
      <c r="AH21" s="12"/>
      <c r="AI21" s="28"/>
      <c r="AJ21" s="12"/>
      <c r="AK21" s="26"/>
      <c r="AL21" s="12"/>
      <c r="AM21" s="28"/>
      <c r="AN21" s="12"/>
      <c r="AO21" s="26">
        <v>6</v>
      </c>
      <c r="AP21" s="12"/>
      <c r="AQ21" s="28"/>
      <c r="AR21" s="12"/>
      <c r="AS21" s="26">
        <v>2</v>
      </c>
      <c r="AT21" s="12"/>
      <c r="AU21" s="28"/>
      <c r="AW21" s="18">
        <f t="shared" si="0"/>
        <v>1</v>
      </c>
      <c r="AX21" s="19">
        <f t="shared" si="1"/>
        <v>40.200000000000003</v>
      </c>
      <c r="AY21" s="20"/>
      <c r="AZ21" s="13">
        <f t="shared" si="2"/>
        <v>1</v>
      </c>
      <c r="BA21" s="21">
        <f t="shared" si="3"/>
        <v>40.200000000000003</v>
      </c>
      <c r="BB21" s="20"/>
      <c r="BC21" s="13">
        <f t="shared" si="4"/>
        <v>1</v>
      </c>
      <c r="BD21" s="19">
        <f t="shared" si="5"/>
        <v>40.200000000000003</v>
      </c>
      <c r="BE21" s="20"/>
      <c r="BF21" s="13">
        <f t="shared" si="6"/>
        <v>0</v>
      </c>
      <c r="BG21" s="21">
        <f t="shared" si="7"/>
        <v>0</v>
      </c>
      <c r="BH21" s="20"/>
      <c r="BI21" s="13">
        <f t="shared" si="8"/>
        <v>0</v>
      </c>
      <c r="BJ21" s="19">
        <f t="shared" si="9"/>
        <v>0</v>
      </c>
      <c r="BK21" s="20"/>
      <c r="BL21" s="13">
        <f t="shared" si="10"/>
        <v>0</v>
      </c>
      <c r="BM21" s="21">
        <f t="shared" si="11"/>
        <v>0</v>
      </c>
      <c r="BN21" s="20"/>
      <c r="BO21" s="13">
        <f t="shared" si="12"/>
        <v>0</v>
      </c>
      <c r="BP21" s="19">
        <f t="shared" si="13"/>
        <v>0</v>
      </c>
      <c r="BQ21" s="20"/>
      <c r="BR21" s="13">
        <f t="shared" si="14"/>
        <v>1</v>
      </c>
      <c r="BS21" s="21">
        <f t="shared" si="15"/>
        <v>40.200000000000003</v>
      </c>
      <c r="BT21" s="20"/>
      <c r="BU21" s="13">
        <f t="shared" si="16"/>
        <v>1</v>
      </c>
      <c r="BV21" s="19">
        <f t="shared" si="17"/>
        <v>40.200000000000003</v>
      </c>
      <c r="BW21" s="20"/>
      <c r="BX21" s="13">
        <f t="shared" si="18"/>
        <v>0</v>
      </c>
      <c r="BY21" s="21">
        <f t="shared" si="19"/>
        <v>0</v>
      </c>
      <c r="BZ21" s="20"/>
      <c r="CA21" s="13">
        <f t="shared" si="20"/>
        <v>0</v>
      </c>
      <c r="CB21" s="19">
        <f t="shared" si="21"/>
        <v>0</v>
      </c>
      <c r="CC21" s="20"/>
      <c r="CD21" s="13">
        <f t="shared" si="22"/>
        <v>0</v>
      </c>
      <c r="CE21" s="21">
        <f t="shared" si="23"/>
        <v>0</v>
      </c>
      <c r="CF21" s="20"/>
      <c r="CG21" s="18">
        <f t="shared" si="24"/>
        <v>0</v>
      </c>
      <c r="CH21" s="21">
        <f t="shared" si="45"/>
        <v>0</v>
      </c>
      <c r="CI21" s="20"/>
      <c r="CJ21" s="18">
        <f t="shared" si="25"/>
        <v>0</v>
      </c>
      <c r="CK21" s="21">
        <f t="shared" si="26"/>
        <v>0</v>
      </c>
      <c r="CL21" s="20"/>
      <c r="CM21" s="18">
        <f t="shared" si="27"/>
        <v>0</v>
      </c>
      <c r="CN21" s="21">
        <f t="shared" si="28"/>
        <v>0</v>
      </c>
      <c r="CO21" s="20"/>
      <c r="CP21" s="18">
        <f t="shared" si="29"/>
        <v>0</v>
      </c>
      <c r="CQ21" s="21">
        <f t="shared" si="30"/>
        <v>0</v>
      </c>
      <c r="CR21" s="20"/>
      <c r="CS21" s="18">
        <f t="shared" si="31"/>
        <v>6</v>
      </c>
      <c r="CT21" s="19">
        <f t="shared" si="32"/>
        <v>241.20000000000002</v>
      </c>
      <c r="CU21" s="20"/>
      <c r="CV21" s="13">
        <f t="shared" si="33"/>
        <v>0</v>
      </c>
      <c r="CW21" s="21">
        <f t="shared" si="34"/>
        <v>0</v>
      </c>
      <c r="CX21" s="20"/>
      <c r="CY21" s="13">
        <f t="shared" si="35"/>
        <v>2</v>
      </c>
      <c r="CZ21" s="19">
        <f t="shared" si="36"/>
        <v>80.400000000000006</v>
      </c>
      <c r="DA21" s="20"/>
      <c r="DB21" s="13">
        <f t="shared" si="37"/>
        <v>0</v>
      </c>
      <c r="DC21" s="21">
        <f t="shared" si="38"/>
        <v>0</v>
      </c>
      <c r="DE21" s="97">
        <v>77</v>
      </c>
      <c r="DF21" s="32"/>
      <c r="DG21" s="61">
        <f t="shared" si="39"/>
        <v>0</v>
      </c>
      <c r="DH21" s="32"/>
      <c r="DI21" s="59">
        <f t="shared" si="40"/>
        <v>13</v>
      </c>
      <c r="DJ21" s="32"/>
      <c r="DK21" s="59">
        <f t="shared" si="41"/>
        <v>64</v>
      </c>
      <c r="DL21" s="32"/>
      <c r="DM21" s="96">
        <f t="shared" si="42"/>
        <v>2144</v>
      </c>
      <c r="DN21" s="32"/>
      <c r="DO21" s="62">
        <f t="shared" si="43"/>
        <v>4.9230769230769234</v>
      </c>
      <c r="DP21" s="32"/>
      <c r="DQ21" s="96">
        <f t="shared" si="44"/>
        <v>2572.8000000000002</v>
      </c>
      <c r="DR21" s="32"/>
      <c r="DS21" s="61">
        <v>90</v>
      </c>
      <c r="DT21" s="32"/>
      <c r="DU21" s="63">
        <v>39.950000000000003</v>
      </c>
      <c r="DV21" s="32"/>
      <c r="DW21" s="64">
        <f t="shared" si="46"/>
        <v>47.940000000000005</v>
      </c>
      <c r="DX21" s="32"/>
      <c r="DY21" s="63">
        <f t="shared" si="47"/>
        <v>3595.5000000000005</v>
      </c>
    </row>
    <row r="22" spans="1:129" ht="12.45" customHeight="1" x14ac:dyDescent="0.3">
      <c r="A22" s="37" t="s">
        <v>29</v>
      </c>
      <c r="B22" s="32"/>
      <c r="C22" s="51"/>
      <c r="D22" s="34"/>
      <c r="E22" s="38">
        <v>35.71</v>
      </c>
      <c r="F22" s="34"/>
      <c r="G22" s="33">
        <v>42.85</v>
      </c>
      <c r="I22" s="26"/>
      <c r="J22" s="27"/>
      <c r="K22" s="28"/>
      <c r="L22" s="12"/>
      <c r="M22" s="26"/>
      <c r="N22" s="12"/>
      <c r="O22" s="28"/>
      <c r="P22" s="12"/>
      <c r="Q22" s="26"/>
      <c r="R22" s="12"/>
      <c r="S22" s="28"/>
      <c r="T22" s="12"/>
      <c r="U22" s="26"/>
      <c r="V22" s="12"/>
      <c r="W22" s="28"/>
      <c r="X22" s="12"/>
      <c r="Y22" s="26"/>
      <c r="Z22" s="12"/>
      <c r="AA22" s="28"/>
      <c r="AB22" s="12"/>
      <c r="AC22" s="26"/>
      <c r="AD22" s="12"/>
      <c r="AE22" s="28"/>
      <c r="AF22" s="12"/>
      <c r="AG22" s="26"/>
      <c r="AH22" s="12"/>
      <c r="AI22" s="28"/>
      <c r="AJ22" s="12"/>
      <c r="AK22" s="26"/>
      <c r="AL22" s="12"/>
      <c r="AM22" s="28"/>
      <c r="AN22" s="12"/>
      <c r="AO22" s="26"/>
      <c r="AP22" s="12"/>
      <c r="AQ22" s="28"/>
      <c r="AR22" s="12"/>
      <c r="AS22" s="26"/>
      <c r="AT22" s="12"/>
      <c r="AU22" s="28"/>
      <c r="AW22" s="18">
        <f t="shared" si="0"/>
        <v>0</v>
      </c>
      <c r="AX22" s="19">
        <f t="shared" si="1"/>
        <v>0</v>
      </c>
      <c r="AY22" s="20"/>
      <c r="AZ22" s="13">
        <f t="shared" si="2"/>
        <v>0</v>
      </c>
      <c r="BA22" s="21">
        <f t="shared" si="3"/>
        <v>0</v>
      </c>
      <c r="BB22" s="20"/>
      <c r="BC22" s="13">
        <f t="shared" si="4"/>
        <v>0</v>
      </c>
      <c r="BD22" s="19">
        <f t="shared" si="5"/>
        <v>0</v>
      </c>
      <c r="BE22" s="20"/>
      <c r="BF22" s="13">
        <f t="shared" si="6"/>
        <v>0</v>
      </c>
      <c r="BG22" s="21">
        <f t="shared" si="7"/>
        <v>0</v>
      </c>
      <c r="BH22" s="20"/>
      <c r="BI22" s="13">
        <f t="shared" si="8"/>
        <v>0</v>
      </c>
      <c r="BJ22" s="19">
        <f t="shared" si="9"/>
        <v>0</v>
      </c>
      <c r="BK22" s="20"/>
      <c r="BL22" s="13">
        <f t="shared" si="10"/>
        <v>0</v>
      </c>
      <c r="BM22" s="21">
        <f t="shared" si="11"/>
        <v>0</v>
      </c>
      <c r="BN22" s="20"/>
      <c r="BO22" s="13">
        <f t="shared" si="12"/>
        <v>0</v>
      </c>
      <c r="BP22" s="19">
        <f t="shared" si="13"/>
        <v>0</v>
      </c>
      <c r="BQ22" s="20"/>
      <c r="BR22" s="13">
        <f t="shared" si="14"/>
        <v>0</v>
      </c>
      <c r="BS22" s="21">
        <f t="shared" si="15"/>
        <v>0</v>
      </c>
      <c r="BT22" s="20"/>
      <c r="BU22" s="13">
        <f t="shared" si="16"/>
        <v>0</v>
      </c>
      <c r="BV22" s="19">
        <f t="shared" si="17"/>
        <v>0</v>
      </c>
      <c r="BW22" s="20"/>
      <c r="BX22" s="13">
        <f t="shared" si="18"/>
        <v>0</v>
      </c>
      <c r="BY22" s="21">
        <f t="shared" si="19"/>
        <v>0</v>
      </c>
      <c r="BZ22" s="20"/>
      <c r="CA22" s="13">
        <f t="shared" si="20"/>
        <v>0</v>
      </c>
      <c r="CB22" s="19">
        <f t="shared" si="21"/>
        <v>0</v>
      </c>
      <c r="CC22" s="20"/>
      <c r="CD22" s="13">
        <f t="shared" si="22"/>
        <v>0</v>
      </c>
      <c r="CE22" s="21">
        <f t="shared" si="23"/>
        <v>0</v>
      </c>
      <c r="CF22" s="20"/>
      <c r="CG22" s="18">
        <f t="shared" si="24"/>
        <v>0</v>
      </c>
      <c r="CH22" s="21">
        <f t="shared" si="45"/>
        <v>0</v>
      </c>
      <c r="CI22" s="20"/>
      <c r="CJ22" s="18">
        <f t="shared" si="25"/>
        <v>0</v>
      </c>
      <c r="CK22" s="21">
        <f t="shared" si="26"/>
        <v>0</v>
      </c>
      <c r="CL22" s="20"/>
      <c r="CM22" s="18">
        <f t="shared" si="27"/>
        <v>0</v>
      </c>
      <c r="CN22" s="21">
        <f t="shared" si="28"/>
        <v>0</v>
      </c>
      <c r="CO22" s="20"/>
      <c r="CP22" s="18">
        <f t="shared" si="29"/>
        <v>0</v>
      </c>
      <c r="CQ22" s="21">
        <f t="shared" si="30"/>
        <v>0</v>
      </c>
      <c r="CR22" s="20"/>
      <c r="CS22" s="18">
        <f t="shared" si="31"/>
        <v>0</v>
      </c>
      <c r="CT22" s="19">
        <f t="shared" si="32"/>
        <v>0</v>
      </c>
      <c r="CU22" s="20"/>
      <c r="CV22" s="13">
        <f t="shared" si="33"/>
        <v>0</v>
      </c>
      <c r="CW22" s="21">
        <f t="shared" si="34"/>
        <v>0</v>
      </c>
      <c r="CX22" s="20"/>
      <c r="CY22" s="13">
        <f t="shared" si="35"/>
        <v>0</v>
      </c>
      <c r="CZ22" s="19">
        <f t="shared" si="36"/>
        <v>0</v>
      </c>
      <c r="DA22" s="20"/>
      <c r="DB22" s="13">
        <f t="shared" si="37"/>
        <v>0</v>
      </c>
      <c r="DC22" s="21">
        <f t="shared" si="38"/>
        <v>0</v>
      </c>
      <c r="DE22" s="97">
        <v>13</v>
      </c>
      <c r="DF22" s="32"/>
      <c r="DG22" s="61">
        <f t="shared" si="39"/>
        <v>0</v>
      </c>
      <c r="DH22" s="32"/>
      <c r="DI22" s="59">
        <f t="shared" si="40"/>
        <v>0</v>
      </c>
      <c r="DJ22" s="32"/>
      <c r="DK22" s="59">
        <f t="shared" si="41"/>
        <v>13</v>
      </c>
      <c r="DL22" s="32"/>
      <c r="DM22" s="96">
        <f t="shared" si="42"/>
        <v>464.23</v>
      </c>
      <c r="DN22" s="32"/>
      <c r="DO22" s="62" t="e">
        <f t="shared" si="43"/>
        <v>#DIV/0!</v>
      </c>
      <c r="DP22" s="32"/>
      <c r="DQ22" s="96">
        <f t="shared" si="44"/>
        <v>557.05000000000007</v>
      </c>
      <c r="DR22" s="32"/>
      <c r="DS22" s="61"/>
      <c r="DT22" s="32"/>
      <c r="DU22" s="63">
        <v>0</v>
      </c>
      <c r="DV22" s="32"/>
      <c r="DW22" s="64">
        <f t="shared" si="46"/>
        <v>0</v>
      </c>
      <c r="DX22" s="32"/>
      <c r="DY22" s="63">
        <f t="shared" si="47"/>
        <v>0</v>
      </c>
    </row>
    <row r="23" spans="1:129" ht="12" customHeight="1" x14ac:dyDescent="0.3">
      <c r="A23" s="36" t="s">
        <v>51</v>
      </c>
      <c r="B23" s="32"/>
      <c r="C23" s="51"/>
      <c r="D23" s="34"/>
      <c r="E23" s="38">
        <v>77.2</v>
      </c>
      <c r="F23" s="34"/>
      <c r="G23" s="33">
        <v>96.5</v>
      </c>
      <c r="I23" s="26"/>
      <c r="J23" s="27"/>
      <c r="K23" s="28"/>
      <c r="L23" s="12"/>
      <c r="M23" s="26"/>
      <c r="N23" s="12"/>
      <c r="O23" s="28"/>
      <c r="P23" s="12"/>
      <c r="Q23" s="26"/>
      <c r="R23" s="12"/>
      <c r="S23" s="28"/>
      <c r="T23" s="12"/>
      <c r="U23" s="26"/>
      <c r="V23" s="12"/>
      <c r="W23" s="28">
        <v>1</v>
      </c>
      <c r="X23" s="12"/>
      <c r="Y23" s="26"/>
      <c r="Z23" s="12"/>
      <c r="AA23" s="28"/>
      <c r="AB23" s="12"/>
      <c r="AC23" s="26"/>
      <c r="AD23" s="12"/>
      <c r="AE23" s="28"/>
      <c r="AF23" s="12"/>
      <c r="AG23" s="26"/>
      <c r="AH23" s="12"/>
      <c r="AI23" s="28"/>
      <c r="AJ23" s="12"/>
      <c r="AK23" s="26"/>
      <c r="AL23" s="12"/>
      <c r="AM23" s="28"/>
      <c r="AN23" s="12"/>
      <c r="AO23" s="26"/>
      <c r="AP23" s="12"/>
      <c r="AQ23" s="28"/>
      <c r="AR23" s="12"/>
      <c r="AS23" s="26"/>
      <c r="AT23" s="12"/>
      <c r="AU23" s="28"/>
      <c r="AW23" s="18">
        <f t="shared" si="0"/>
        <v>0</v>
      </c>
      <c r="AX23" s="19">
        <f t="shared" si="1"/>
        <v>0</v>
      </c>
      <c r="AY23" s="20"/>
      <c r="AZ23" s="13">
        <f t="shared" si="2"/>
        <v>0</v>
      </c>
      <c r="BA23" s="21">
        <f t="shared" si="3"/>
        <v>0</v>
      </c>
      <c r="BB23" s="20"/>
      <c r="BC23" s="13">
        <f t="shared" si="4"/>
        <v>0</v>
      </c>
      <c r="BD23" s="19">
        <f t="shared" si="5"/>
        <v>0</v>
      </c>
      <c r="BE23" s="20"/>
      <c r="BF23" s="13">
        <f t="shared" si="6"/>
        <v>0</v>
      </c>
      <c r="BG23" s="21">
        <f t="shared" si="7"/>
        <v>0</v>
      </c>
      <c r="BH23" s="20"/>
      <c r="BI23" s="13">
        <f t="shared" si="8"/>
        <v>0</v>
      </c>
      <c r="BJ23" s="19">
        <f t="shared" si="9"/>
        <v>0</v>
      </c>
      <c r="BK23" s="20"/>
      <c r="BL23" s="13">
        <f t="shared" si="10"/>
        <v>0</v>
      </c>
      <c r="BM23" s="21">
        <f t="shared" si="11"/>
        <v>0</v>
      </c>
      <c r="BN23" s="20"/>
      <c r="BO23" s="13">
        <f t="shared" si="12"/>
        <v>0</v>
      </c>
      <c r="BP23" s="19">
        <f t="shared" si="13"/>
        <v>0</v>
      </c>
      <c r="BQ23" s="20"/>
      <c r="BR23" s="13">
        <f t="shared" si="14"/>
        <v>1</v>
      </c>
      <c r="BS23" s="21">
        <f t="shared" si="15"/>
        <v>96.5</v>
      </c>
      <c r="BT23" s="20"/>
      <c r="BU23" s="13">
        <f t="shared" si="16"/>
        <v>0</v>
      </c>
      <c r="BV23" s="19">
        <f t="shared" si="17"/>
        <v>0</v>
      </c>
      <c r="BW23" s="20"/>
      <c r="BX23" s="13">
        <f t="shared" si="18"/>
        <v>0</v>
      </c>
      <c r="BY23" s="21">
        <f t="shared" si="19"/>
        <v>0</v>
      </c>
      <c r="BZ23" s="20"/>
      <c r="CA23" s="13">
        <f t="shared" si="20"/>
        <v>0</v>
      </c>
      <c r="CB23" s="19">
        <f t="shared" si="21"/>
        <v>0</v>
      </c>
      <c r="CC23" s="20"/>
      <c r="CD23" s="13">
        <f t="shared" si="22"/>
        <v>0</v>
      </c>
      <c r="CE23" s="21">
        <f t="shared" si="23"/>
        <v>0</v>
      </c>
      <c r="CF23" s="20"/>
      <c r="CG23" s="18">
        <f t="shared" si="24"/>
        <v>0</v>
      </c>
      <c r="CH23" s="21">
        <f t="shared" si="45"/>
        <v>0</v>
      </c>
      <c r="CI23" s="20"/>
      <c r="CJ23" s="18">
        <f t="shared" si="25"/>
        <v>0</v>
      </c>
      <c r="CK23" s="21">
        <f t="shared" si="26"/>
        <v>0</v>
      </c>
      <c r="CL23" s="20"/>
      <c r="CM23" s="18">
        <f t="shared" si="27"/>
        <v>0</v>
      </c>
      <c r="CN23" s="21">
        <f t="shared" si="28"/>
        <v>0</v>
      </c>
      <c r="CO23" s="20"/>
      <c r="CP23" s="18">
        <f t="shared" si="29"/>
        <v>0</v>
      </c>
      <c r="CQ23" s="21">
        <f t="shared" si="30"/>
        <v>0</v>
      </c>
      <c r="CR23" s="20"/>
      <c r="CS23" s="18">
        <f t="shared" si="31"/>
        <v>0</v>
      </c>
      <c r="CT23" s="19">
        <f t="shared" si="32"/>
        <v>0</v>
      </c>
      <c r="CU23" s="20"/>
      <c r="CV23" s="13">
        <f t="shared" si="33"/>
        <v>0</v>
      </c>
      <c r="CW23" s="21">
        <f t="shared" si="34"/>
        <v>0</v>
      </c>
      <c r="CX23" s="20"/>
      <c r="CY23" s="13">
        <f t="shared" si="35"/>
        <v>0</v>
      </c>
      <c r="CZ23" s="19">
        <f t="shared" si="36"/>
        <v>0</v>
      </c>
      <c r="DA23" s="20"/>
      <c r="DB23" s="13">
        <f t="shared" si="37"/>
        <v>0</v>
      </c>
      <c r="DC23" s="21">
        <f t="shared" si="38"/>
        <v>0</v>
      </c>
      <c r="DE23" s="97">
        <v>155</v>
      </c>
      <c r="DF23" s="32"/>
      <c r="DG23" s="61">
        <f t="shared" si="39"/>
        <v>0</v>
      </c>
      <c r="DH23" s="32"/>
      <c r="DI23" s="59">
        <f t="shared" si="40"/>
        <v>1</v>
      </c>
      <c r="DJ23" s="32"/>
      <c r="DK23" s="59">
        <f t="shared" si="41"/>
        <v>154</v>
      </c>
      <c r="DL23" s="32"/>
      <c r="DM23" s="96">
        <f t="shared" si="42"/>
        <v>11888.800000000001</v>
      </c>
      <c r="DN23" s="32"/>
      <c r="DO23" s="62">
        <f t="shared" si="43"/>
        <v>154</v>
      </c>
      <c r="DP23" s="32"/>
      <c r="DQ23" s="96">
        <f t="shared" si="44"/>
        <v>14861</v>
      </c>
      <c r="DR23" s="32"/>
      <c r="DS23" s="61"/>
      <c r="DT23" s="32"/>
      <c r="DU23" s="63">
        <v>0</v>
      </c>
      <c r="DV23" s="32"/>
      <c r="DW23" s="64">
        <f t="shared" si="46"/>
        <v>0</v>
      </c>
      <c r="DX23" s="32"/>
      <c r="DY23" s="63">
        <f t="shared" si="47"/>
        <v>0</v>
      </c>
    </row>
    <row r="24" spans="1:129" ht="12" customHeight="1" x14ac:dyDescent="0.3">
      <c r="A24" s="37" t="s">
        <v>74</v>
      </c>
      <c r="B24" s="32"/>
      <c r="C24" s="51"/>
      <c r="D24" s="34"/>
      <c r="E24" s="38">
        <v>13.8</v>
      </c>
      <c r="F24" s="34"/>
      <c r="G24" s="33">
        <v>16.559999999999999</v>
      </c>
      <c r="I24" s="26"/>
      <c r="J24" s="27"/>
      <c r="K24" s="28">
        <v>4</v>
      </c>
      <c r="L24" s="12"/>
      <c r="M24" s="26">
        <v>1</v>
      </c>
      <c r="N24" s="12"/>
      <c r="O24" s="28">
        <v>2</v>
      </c>
      <c r="P24" s="12"/>
      <c r="Q24" s="26">
        <v>1</v>
      </c>
      <c r="R24" s="12"/>
      <c r="S24" s="28">
        <v>1</v>
      </c>
      <c r="T24" s="12"/>
      <c r="U24" s="26">
        <v>1</v>
      </c>
      <c r="V24" s="12"/>
      <c r="W24" s="28">
        <v>2</v>
      </c>
      <c r="X24" s="12"/>
      <c r="Y24" s="26">
        <v>2</v>
      </c>
      <c r="Z24" s="12"/>
      <c r="AA24" s="28"/>
      <c r="AB24" s="12"/>
      <c r="AC24" s="26">
        <v>1</v>
      </c>
      <c r="AD24" s="12"/>
      <c r="AE24" s="28"/>
      <c r="AF24" s="12"/>
      <c r="AG24" s="26"/>
      <c r="AH24" s="12"/>
      <c r="AI24" s="28"/>
      <c r="AJ24" s="12"/>
      <c r="AK24" s="26"/>
      <c r="AL24" s="12"/>
      <c r="AM24" s="28"/>
      <c r="AN24" s="12"/>
      <c r="AO24" s="26"/>
      <c r="AP24" s="12"/>
      <c r="AQ24" s="28"/>
      <c r="AR24" s="12"/>
      <c r="AS24" s="26"/>
      <c r="AT24" s="12"/>
      <c r="AU24" s="28"/>
      <c r="AW24" s="18">
        <f t="shared" si="0"/>
        <v>0</v>
      </c>
      <c r="AX24" s="19">
        <f t="shared" si="1"/>
        <v>0</v>
      </c>
      <c r="AY24" s="20"/>
      <c r="AZ24" s="13">
        <f t="shared" si="2"/>
        <v>4</v>
      </c>
      <c r="BA24" s="21">
        <f t="shared" si="3"/>
        <v>66.239999999999995</v>
      </c>
      <c r="BB24" s="20"/>
      <c r="BC24" s="13">
        <f t="shared" si="4"/>
        <v>1</v>
      </c>
      <c r="BD24" s="19">
        <f t="shared" si="5"/>
        <v>16.559999999999999</v>
      </c>
      <c r="BE24" s="20"/>
      <c r="BF24" s="13">
        <f t="shared" si="6"/>
        <v>2</v>
      </c>
      <c r="BG24" s="21">
        <f t="shared" si="7"/>
        <v>33.119999999999997</v>
      </c>
      <c r="BH24" s="20"/>
      <c r="BI24" s="13">
        <f t="shared" si="8"/>
        <v>1</v>
      </c>
      <c r="BJ24" s="19">
        <f t="shared" si="9"/>
        <v>16.559999999999999</v>
      </c>
      <c r="BK24" s="20"/>
      <c r="BL24" s="13">
        <f t="shared" si="10"/>
        <v>1</v>
      </c>
      <c r="BM24" s="21">
        <f t="shared" si="11"/>
        <v>16.559999999999999</v>
      </c>
      <c r="BN24" s="20"/>
      <c r="BO24" s="13">
        <f t="shared" si="12"/>
        <v>1</v>
      </c>
      <c r="BP24" s="19">
        <f t="shared" si="13"/>
        <v>16.559999999999999</v>
      </c>
      <c r="BQ24" s="20"/>
      <c r="BR24" s="13">
        <f t="shared" si="14"/>
        <v>2</v>
      </c>
      <c r="BS24" s="21">
        <f t="shared" si="15"/>
        <v>33.119999999999997</v>
      </c>
      <c r="BT24" s="20"/>
      <c r="BU24" s="13">
        <f t="shared" si="16"/>
        <v>2</v>
      </c>
      <c r="BV24" s="19">
        <f t="shared" si="17"/>
        <v>33.119999999999997</v>
      </c>
      <c r="BW24" s="20"/>
      <c r="BX24" s="13">
        <f t="shared" si="18"/>
        <v>0</v>
      </c>
      <c r="BY24" s="21">
        <f t="shared" si="19"/>
        <v>0</v>
      </c>
      <c r="BZ24" s="20"/>
      <c r="CA24" s="13">
        <f t="shared" si="20"/>
        <v>1</v>
      </c>
      <c r="CB24" s="19">
        <f t="shared" si="21"/>
        <v>16.559999999999999</v>
      </c>
      <c r="CC24" s="20"/>
      <c r="CD24" s="13">
        <f t="shared" si="22"/>
        <v>0</v>
      </c>
      <c r="CE24" s="21">
        <f t="shared" si="23"/>
        <v>0</v>
      </c>
      <c r="CF24" s="20"/>
      <c r="CG24" s="18">
        <f t="shared" si="24"/>
        <v>0</v>
      </c>
      <c r="CH24" s="21">
        <f t="shared" si="45"/>
        <v>0</v>
      </c>
      <c r="CI24" s="20"/>
      <c r="CJ24" s="18">
        <f t="shared" si="25"/>
        <v>0</v>
      </c>
      <c r="CK24" s="21">
        <f t="shared" si="26"/>
        <v>0</v>
      </c>
      <c r="CL24" s="20"/>
      <c r="CM24" s="18">
        <f t="shared" si="27"/>
        <v>0</v>
      </c>
      <c r="CN24" s="21">
        <f t="shared" si="28"/>
        <v>0</v>
      </c>
      <c r="CO24" s="20"/>
      <c r="CP24" s="18">
        <f t="shared" si="29"/>
        <v>0</v>
      </c>
      <c r="CQ24" s="21">
        <f t="shared" si="30"/>
        <v>0</v>
      </c>
      <c r="CR24" s="20"/>
      <c r="CS24" s="18">
        <f t="shared" si="31"/>
        <v>0</v>
      </c>
      <c r="CT24" s="19">
        <f t="shared" si="32"/>
        <v>0</v>
      </c>
      <c r="CU24" s="20"/>
      <c r="CV24" s="13">
        <f t="shared" si="33"/>
        <v>0</v>
      </c>
      <c r="CW24" s="21">
        <f t="shared" si="34"/>
        <v>0</v>
      </c>
      <c r="CX24" s="20"/>
      <c r="CY24" s="13">
        <f t="shared" si="35"/>
        <v>0</v>
      </c>
      <c r="CZ24" s="19">
        <f t="shared" si="36"/>
        <v>0</v>
      </c>
      <c r="DA24" s="20"/>
      <c r="DB24" s="13">
        <f t="shared" si="37"/>
        <v>0</v>
      </c>
      <c r="DC24" s="21">
        <f t="shared" si="38"/>
        <v>0</v>
      </c>
      <c r="DE24" s="97">
        <v>614</v>
      </c>
      <c r="DF24" s="32"/>
      <c r="DG24" s="61">
        <f t="shared" si="39"/>
        <v>0</v>
      </c>
      <c r="DH24" s="32"/>
      <c r="DI24" s="59">
        <f t="shared" si="40"/>
        <v>15</v>
      </c>
      <c r="DJ24" s="32"/>
      <c r="DK24" s="59">
        <f t="shared" si="41"/>
        <v>599</v>
      </c>
      <c r="DL24" s="32"/>
      <c r="DM24" s="96">
        <f t="shared" si="42"/>
        <v>8266.2000000000007</v>
      </c>
      <c r="DN24" s="32"/>
      <c r="DO24" s="62">
        <f t="shared" si="43"/>
        <v>39.93333333333333</v>
      </c>
      <c r="DP24" s="32"/>
      <c r="DQ24" s="96">
        <f t="shared" si="44"/>
        <v>9919.4399999999987</v>
      </c>
      <c r="DR24" s="32"/>
      <c r="DS24" s="61"/>
      <c r="DT24" s="32"/>
      <c r="DU24" s="63">
        <v>0</v>
      </c>
      <c r="DV24" s="32"/>
      <c r="DW24" s="64">
        <f t="shared" si="46"/>
        <v>0</v>
      </c>
      <c r="DX24" s="32"/>
      <c r="DY24" s="63">
        <f t="shared" si="47"/>
        <v>0</v>
      </c>
    </row>
    <row r="25" spans="1:129" ht="12" customHeight="1" x14ac:dyDescent="0.3">
      <c r="A25" s="36" t="s">
        <v>70</v>
      </c>
      <c r="B25" s="32"/>
      <c r="C25" s="51"/>
      <c r="D25" s="34"/>
      <c r="E25" s="38">
        <v>27.99</v>
      </c>
      <c r="F25" s="34"/>
      <c r="G25" s="33">
        <v>33.590000000000003</v>
      </c>
      <c r="I25" s="26">
        <v>2</v>
      </c>
      <c r="J25" s="27"/>
      <c r="K25" s="28">
        <v>3</v>
      </c>
      <c r="L25" s="12"/>
      <c r="M25" s="26">
        <v>3</v>
      </c>
      <c r="N25" s="12"/>
      <c r="O25" s="28">
        <v>2</v>
      </c>
      <c r="P25" s="12"/>
      <c r="Q25" s="26">
        <v>1</v>
      </c>
      <c r="R25" s="12"/>
      <c r="S25" s="28">
        <v>1</v>
      </c>
      <c r="T25" s="12"/>
      <c r="U25" s="26">
        <v>2</v>
      </c>
      <c r="V25" s="12"/>
      <c r="W25" s="28">
        <v>1</v>
      </c>
      <c r="X25" s="12"/>
      <c r="Y25" s="26">
        <v>2</v>
      </c>
      <c r="Z25" s="12"/>
      <c r="AA25" s="28">
        <v>1</v>
      </c>
      <c r="AB25" s="12"/>
      <c r="AC25" s="26">
        <v>1</v>
      </c>
      <c r="AD25" s="12"/>
      <c r="AE25" s="28"/>
      <c r="AF25" s="12"/>
      <c r="AG25" s="26"/>
      <c r="AH25" s="12"/>
      <c r="AI25" s="28"/>
      <c r="AJ25" s="12"/>
      <c r="AK25" s="26"/>
      <c r="AL25" s="12"/>
      <c r="AM25" s="28"/>
      <c r="AN25" s="12"/>
      <c r="AO25" s="26"/>
      <c r="AP25" s="12"/>
      <c r="AQ25" s="28"/>
      <c r="AR25" s="12"/>
      <c r="AS25" s="26"/>
      <c r="AT25" s="12"/>
      <c r="AU25" s="28"/>
      <c r="AW25" s="18">
        <f t="shared" si="0"/>
        <v>2</v>
      </c>
      <c r="AX25" s="19">
        <f t="shared" si="1"/>
        <v>67.180000000000007</v>
      </c>
      <c r="AY25" s="20"/>
      <c r="AZ25" s="13">
        <f t="shared" si="2"/>
        <v>3</v>
      </c>
      <c r="BA25" s="21">
        <f t="shared" si="3"/>
        <v>100.77000000000001</v>
      </c>
      <c r="BB25" s="20"/>
      <c r="BC25" s="13">
        <f t="shared" si="4"/>
        <v>3</v>
      </c>
      <c r="BD25" s="19">
        <f t="shared" si="5"/>
        <v>100.77000000000001</v>
      </c>
      <c r="BE25" s="20"/>
      <c r="BF25" s="13">
        <f t="shared" si="6"/>
        <v>2</v>
      </c>
      <c r="BG25" s="21">
        <f t="shared" si="7"/>
        <v>67.180000000000007</v>
      </c>
      <c r="BH25" s="20"/>
      <c r="BI25" s="13">
        <f t="shared" si="8"/>
        <v>1</v>
      </c>
      <c r="BJ25" s="19">
        <f t="shared" si="9"/>
        <v>33.590000000000003</v>
      </c>
      <c r="BK25" s="20"/>
      <c r="BL25" s="13">
        <f t="shared" si="10"/>
        <v>1</v>
      </c>
      <c r="BM25" s="21">
        <f t="shared" si="11"/>
        <v>33.590000000000003</v>
      </c>
      <c r="BN25" s="20"/>
      <c r="BO25" s="13">
        <f t="shared" si="12"/>
        <v>2</v>
      </c>
      <c r="BP25" s="19">
        <f t="shared" si="13"/>
        <v>67.180000000000007</v>
      </c>
      <c r="BQ25" s="20"/>
      <c r="BR25" s="13">
        <f t="shared" si="14"/>
        <v>1</v>
      </c>
      <c r="BS25" s="21">
        <f t="shared" si="15"/>
        <v>33.590000000000003</v>
      </c>
      <c r="BT25" s="20"/>
      <c r="BU25" s="13">
        <f t="shared" si="16"/>
        <v>2</v>
      </c>
      <c r="BV25" s="19">
        <f t="shared" si="17"/>
        <v>67.180000000000007</v>
      </c>
      <c r="BW25" s="20"/>
      <c r="BX25" s="13">
        <f t="shared" si="18"/>
        <v>1</v>
      </c>
      <c r="BY25" s="21">
        <f t="shared" si="19"/>
        <v>33.590000000000003</v>
      </c>
      <c r="BZ25" s="20"/>
      <c r="CA25" s="13">
        <f t="shared" si="20"/>
        <v>1</v>
      </c>
      <c r="CB25" s="19">
        <f t="shared" si="21"/>
        <v>33.590000000000003</v>
      </c>
      <c r="CC25" s="20"/>
      <c r="CD25" s="13">
        <f t="shared" si="22"/>
        <v>0</v>
      </c>
      <c r="CE25" s="21">
        <f t="shared" si="23"/>
        <v>0</v>
      </c>
      <c r="CF25" s="20"/>
      <c r="CG25" s="18">
        <f t="shared" si="24"/>
        <v>0</v>
      </c>
      <c r="CH25" s="21">
        <f t="shared" si="45"/>
        <v>0</v>
      </c>
      <c r="CI25" s="20"/>
      <c r="CJ25" s="18">
        <f t="shared" si="25"/>
        <v>0</v>
      </c>
      <c r="CK25" s="21">
        <f t="shared" si="26"/>
        <v>0</v>
      </c>
      <c r="CL25" s="20"/>
      <c r="CM25" s="18">
        <f t="shared" si="27"/>
        <v>0</v>
      </c>
      <c r="CN25" s="21">
        <f t="shared" si="28"/>
        <v>0</v>
      </c>
      <c r="CO25" s="20"/>
      <c r="CP25" s="18">
        <f t="shared" si="29"/>
        <v>0</v>
      </c>
      <c r="CQ25" s="21">
        <f t="shared" si="30"/>
        <v>0</v>
      </c>
      <c r="CR25" s="20"/>
      <c r="CS25" s="18">
        <f t="shared" si="31"/>
        <v>0</v>
      </c>
      <c r="CT25" s="19">
        <f t="shared" si="32"/>
        <v>0</v>
      </c>
      <c r="CU25" s="20"/>
      <c r="CV25" s="13">
        <f t="shared" si="33"/>
        <v>0</v>
      </c>
      <c r="CW25" s="21">
        <f t="shared" si="34"/>
        <v>0</v>
      </c>
      <c r="CX25" s="20"/>
      <c r="CY25" s="13">
        <f t="shared" si="35"/>
        <v>0</v>
      </c>
      <c r="CZ25" s="19">
        <f t="shared" si="36"/>
        <v>0</v>
      </c>
      <c r="DA25" s="20"/>
      <c r="DB25" s="13">
        <f t="shared" si="37"/>
        <v>0</v>
      </c>
      <c r="DC25" s="21">
        <f t="shared" si="38"/>
        <v>0</v>
      </c>
      <c r="DE25" s="97">
        <v>76</v>
      </c>
      <c r="DF25" s="32"/>
      <c r="DG25" s="61">
        <f t="shared" si="39"/>
        <v>0</v>
      </c>
      <c r="DH25" s="32"/>
      <c r="DI25" s="59">
        <f t="shared" si="40"/>
        <v>19</v>
      </c>
      <c r="DJ25" s="32"/>
      <c r="DK25" s="59">
        <f t="shared" si="41"/>
        <v>57</v>
      </c>
      <c r="DL25" s="32"/>
      <c r="DM25" s="96">
        <f t="shared" si="42"/>
        <v>1595.4299999999998</v>
      </c>
      <c r="DN25" s="32"/>
      <c r="DO25" s="62">
        <f t="shared" si="43"/>
        <v>3</v>
      </c>
      <c r="DP25" s="32"/>
      <c r="DQ25" s="96">
        <f t="shared" si="44"/>
        <v>1914.63</v>
      </c>
      <c r="DR25" s="32"/>
      <c r="DS25" s="61"/>
      <c r="DT25" s="32"/>
      <c r="DU25" s="63">
        <v>0</v>
      </c>
      <c r="DV25" s="32"/>
      <c r="DW25" s="64">
        <f t="shared" si="46"/>
        <v>0</v>
      </c>
      <c r="DX25" s="32"/>
      <c r="DY25" s="63">
        <f t="shared" si="47"/>
        <v>0</v>
      </c>
    </row>
    <row r="26" spans="1:129" ht="12" customHeight="1" x14ac:dyDescent="0.3">
      <c r="A26" s="37" t="s">
        <v>71</v>
      </c>
      <c r="B26" s="32"/>
      <c r="C26" s="51"/>
      <c r="D26" s="34"/>
      <c r="E26" s="38">
        <v>32.99</v>
      </c>
      <c r="F26" s="34"/>
      <c r="G26" s="33">
        <v>39.590000000000003</v>
      </c>
      <c r="I26" s="26"/>
      <c r="J26" s="27"/>
      <c r="K26" s="28">
        <v>1</v>
      </c>
      <c r="L26" s="12"/>
      <c r="M26" s="26">
        <v>1</v>
      </c>
      <c r="N26" s="12"/>
      <c r="O26" s="28">
        <v>1</v>
      </c>
      <c r="P26" s="12"/>
      <c r="Q26" s="26">
        <v>1</v>
      </c>
      <c r="R26" s="12"/>
      <c r="S26" s="28">
        <v>1</v>
      </c>
      <c r="T26" s="12"/>
      <c r="U26" s="26"/>
      <c r="V26" s="12"/>
      <c r="W26" s="28">
        <v>1</v>
      </c>
      <c r="X26" s="12"/>
      <c r="Y26" s="26">
        <v>1</v>
      </c>
      <c r="Z26" s="12"/>
      <c r="AA26" s="28"/>
      <c r="AB26" s="12"/>
      <c r="AC26" s="26">
        <v>1</v>
      </c>
      <c r="AD26" s="12"/>
      <c r="AE26" s="28"/>
      <c r="AF26" s="12"/>
      <c r="AG26" s="26"/>
      <c r="AH26" s="12"/>
      <c r="AI26" s="28"/>
      <c r="AJ26" s="12"/>
      <c r="AK26" s="26"/>
      <c r="AL26" s="12"/>
      <c r="AM26" s="28"/>
      <c r="AN26" s="12"/>
      <c r="AO26" s="26"/>
      <c r="AP26" s="12"/>
      <c r="AQ26" s="28"/>
      <c r="AR26" s="12"/>
      <c r="AS26" s="26"/>
      <c r="AT26" s="12"/>
      <c r="AU26" s="28"/>
      <c r="AW26" s="18">
        <f t="shared" si="0"/>
        <v>0</v>
      </c>
      <c r="AX26" s="19">
        <f t="shared" si="1"/>
        <v>0</v>
      </c>
      <c r="AY26" s="20"/>
      <c r="AZ26" s="13">
        <f t="shared" si="2"/>
        <v>1</v>
      </c>
      <c r="BA26" s="21">
        <f t="shared" si="3"/>
        <v>39.590000000000003</v>
      </c>
      <c r="BB26" s="20"/>
      <c r="BC26" s="13">
        <f t="shared" si="4"/>
        <v>1</v>
      </c>
      <c r="BD26" s="19">
        <f t="shared" si="5"/>
        <v>39.590000000000003</v>
      </c>
      <c r="BE26" s="20"/>
      <c r="BF26" s="13">
        <f t="shared" si="6"/>
        <v>1</v>
      </c>
      <c r="BG26" s="21">
        <f t="shared" si="7"/>
        <v>39.590000000000003</v>
      </c>
      <c r="BH26" s="20"/>
      <c r="BI26" s="13">
        <f t="shared" si="8"/>
        <v>1</v>
      </c>
      <c r="BJ26" s="19">
        <f t="shared" si="9"/>
        <v>39.590000000000003</v>
      </c>
      <c r="BK26" s="20"/>
      <c r="BL26" s="13">
        <f t="shared" si="10"/>
        <v>1</v>
      </c>
      <c r="BM26" s="21">
        <f t="shared" si="11"/>
        <v>39.590000000000003</v>
      </c>
      <c r="BN26" s="20"/>
      <c r="BO26" s="13">
        <f t="shared" si="12"/>
        <v>0</v>
      </c>
      <c r="BP26" s="19">
        <f t="shared" si="13"/>
        <v>0</v>
      </c>
      <c r="BQ26" s="20"/>
      <c r="BR26" s="13">
        <f t="shared" si="14"/>
        <v>1</v>
      </c>
      <c r="BS26" s="21">
        <f t="shared" si="15"/>
        <v>39.590000000000003</v>
      </c>
      <c r="BT26" s="20"/>
      <c r="BU26" s="13">
        <f t="shared" si="16"/>
        <v>1</v>
      </c>
      <c r="BV26" s="19">
        <f t="shared" si="17"/>
        <v>39.590000000000003</v>
      </c>
      <c r="BW26" s="20"/>
      <c r="BX26" s="13">
        <f t="shared" si="18"/>
        <v>0</v>
      </c>
      <c r="BY26" s="21">
        <f t="shared" si="19"/>
        <v>0</v>
      </c>
      <c r="BZ26" s="20"/>
      <c r="CA26" s="13">
        <f t="shared" si="20"/>
        <v>1</v>
      </c>
      <c r="CB26" s="19">
        <f t="shared" si="21"/>
        <v>39.590000000000003</v>
      </c>
      <c r="CC26" s="20"/>
      <c r="CD26" s="13">
        <f t="shared" si="22"/>
        <v>0</v>
      </c>
      <c r="CE26" s="21">
        <f t="shared" si="23"/>
        <v>0</v>
      </c>
      <c r="CF26" s="20"/>
      <c r="CG26" s="18">
        <f t="shared" si="24"/>
        <v>0</v>
      </c>
      <c r="CH26" s="21">
        <f t="shared" si="45"/>
        <v>0</v>
      </c>
      <c r="CI26" s="20"/>
      <c r="CJ26" s="18">
        <f t="shared" si="25"/>
        <v>0</v>
      </c>
      <c r="CK26" s="21">
        <f t="shared" si="26"/>
        <v>0</v>
      </c>
      <c r="CL26" s="20"/>
      <c r="CM26" s="18">
        <f t="shared" si="27"/>
        <v>0</v>
      </c>
      <c r="CN26" s="21">
        <f t="shared" si="28"/>
        <v>0</v>
      </c>
      <c r="CO26" s="20"/>
      <c r="CP26" s="18">
        <f t="shared" si="29"/>
        <v>0</v>
      </c>
      <c r="CQ26" s="21">
        <f t="shared" si="30"/>
        <v>0</v>
      </c>
      <c r="CR26" s="20"/>
      <c r="CS26" s="18">
        <f t="shared" si="31"/>
        <v>0</v>
      </c>
      <c r="CT26" s="19">
        <f t="shared" si="32"/>
        <v>0</v>
      </c>
      <c r="CU26" s="20"/>
      <c r="CV26" s="13">
        <f t="shared" si="33"/>
        <v>0</v>
      </c>
      <c r="CW26" s="21">
        <f t="shared" si="34"/>
        <v>0</v>
      </c>
      <c r="CX26" s="20"/>
      <c r="CY26" s="13">
        <f t="shared" si="35"/>
        <v>0</v>
      </c>
      <c r="CZ26" s="19">
        <f t="shared" si="36"/>
        <v>0</v>
      </c>
      <c r="DA26" s="20"/>
      <c r="DB26" s="13">
        <f t="shared" si="37"/>
        <v>0</v>
      </c>
      <c r="DC26" s="21">
        <f t="shared" si="38"/>
        <v>0</v>
      </c>
      <c r="DE26" s="97">
        <v>83</v>
      </c>
      <c r="DF26" s="32"/>
      <c r="DG26" s="61">
        <f t="shared" si="39"/>
        <v>0</v>
      </c>
      <c r="DH26" s="32"/>
      <c r="DI26" s="59">
        <f t="shared" si="40"/>
        <v>8</v>
      </c>
      <c r="DJ26" s="32"/>
      <c r="DK26" s="59">
        <f t="shared" si="41"/>
        <v>75</v>
      </c>
      <c r="DL26" s="32"/>
      <c r="DM26" s="96">
        <f t="shared" si="42"/>
        <v>2474.25</v>
      </c>
      <c r="DN26" s="32"/>
      <c r="DO26" s="62">
        <f t="shared" si="43"/>
        <v>9.375</v>
      </c>
      <c r="DP26" s="32"/>
      <c r="DQ26" s="96">
        <f t="shared" si="44"/>
        <v>2969.2500000000005</v>
      </c>
      <c r="DR26" s="32"/>
      <c r="DS26" s="61"/>
      <c r="DT26" s="32"/>
      <c r="DU26" s="63">
        <v>0</v>
      </c>
      <c r="DV26" s="32"/>
      <c r="DW26" s="64">
        <f t="shared" si="46"/>
        <v>0</v>
      </c>
      <c r="DX26" s="32"/>
      <c r="DY26" s="63">
        <f t="shared" si="47"/>
        <v>0</v>
      </c>
    </row>
    <row r="27" spans="1:129" ht="12" customHeight="1" x14ac:dyDescent="0.3">
      <c r="A27" s="36" t="s">
        <v>30</v>
      </c>
      <c r="B27" s="32"/>
      <c r="C27" s="51"/>
      <c r="D27" s="34"/>
      <c r="E27" s="38">
        <v>23.05</v>
      </c>
      <c r="F27" s="34"/>
      <c r="G27" s="33">
        <v>27.66</v>
      </c>
      <c r="I27" s="26">
        <v>1</v>
      </c>
      <c r="J27" s="27"/>
      <c r="K27" s="28">
        <v>1</v>
      </c>
      <c r="L27" s="12"/>
      <c r="M27" s="26">
        <v>1</v>
      </c>
      <c r="N27" s="12"/>
      <c r="O27" s="28"/>
      <c r="P27" s="12"/>
      <c r="Q27" s="26">
        <v>1</v>
      </c>
      <c r="R27" s="12"/>
      <c r="S27" s="28">
        <v>1</v>
      </c>
      <c r="T27" s="12"/>
      <c r="U27" s="26"/>
      <c r="V27" s="12"/>
      <c r="W27" s="28">
        <v>1</v>
      </c>
      <c r="X27" s="12"/>
      <c r="Y27" s="26"/>
      <c r="Z27" s="12"/>
      <c r="AA27" s="28"/>
      <c r="AB27" s="12"/>
      <c r="AC27" s="26"/>
      <c r="AD27" s="12"/>
      <c r="AE27" s="28"/>
      <c r="AF27" s="12"/>
      <c r="AG27" s="26"/>
      <c r="AH27" s="12"/>
      <c r="AI27" s="28"/>
      <c r="AJ27" s="12"/>
      <c r="AK27" s="26"/>
      <c r="AL27" s="12"/>
      <c r="AM27" s="28"/>
      <c r="AN27" s="12"/>
      <c r="AO27" s="26"/>
      <c r="AP27" s="12"/>
      <c r="AQ27" s="28"/>
      <c r="AR27" s="12"/>
      <c r="AS27" s="26"/>
      <c r="AT27" s="12"/>
      <c r="AU27" s="28"/>
      <c r="AW27" s="18">
        <f t="shared" si="0"/>
        <v>1</v>
      </c>
      <c r="AX27" s="19">
        <f t="shared" si="1"/>
        <v>27.66</v>
      </c>
      <c r="AY27" s="20"/>
      <c r="AZ27" s="13">
        <f t="shared" si="2"/>
        <v>1</v>
      </c>
      <c r="BA27" s="21">
        <f t="shared" si="3"/>
        <v>27.66</v>
      </c>
      <c r="BB27" s="20"/>
      <c r="BC27" s="13">
        <f t="shared" si="4"/>
        <v>1</v>
      </c>
      <c r="BD27" s="19">
        <f t="shared" si="5"/>
        <v>27.66</v>
      </c>
      <c r="BE27" s="20"/>
      <c r="BF27" s="13">
        <f t="shared" si="6"/>
        <v>0</v>
      </c>
      <c r="BG27" s="21">
        <f t="shared" si="7"/>
        <v>0</v>
      </c>
      <c r="BH27" s="20"/>
      <c r="BI27" s="13">
        <f t="shared" si="8"/>
        <v>1</v>
      </c>
      <c r="BJ27" s="19">
        <f t="shared" si="9"/>
        <v>27.66</v>
      </c>
      <c r="BK27" s="20"/>
      <c r="BL27" s="13">
        <f t="shared" si="10"/>
        <v>1</v>
      </c>
      <c r="BM27" s="21">
        <f t="shared" si="11"/>
        <v>27.66</v>
      </c>
      <c r="BN27" s="20"/>
      <c r="BO27" s="13">
        <f t="shared" si="12"/>
        <v>0</v>
      </c>
      <c r="BP27" s="19">
        <f t="shared" si="13"/>
        <v>0</v>
      </c>
      <c r="BQ27" s="20"/>
      <c r="BR27" s="13">
        <f t="shared" si="14"/>
        <v>1</v>
      </c>
      <c r="BS27" s="21">
        <f t="shared" si="15"/>
        <v>27.66</v>
      </c>
      <c r="BT27" s="20"/>
      <c r="BU27" s="13">
        <f t="shared" si="16"/>
        <v>0</v>
      </c>
      <c r="BV27" s="19">
        <f t="shared" si="17"/>
        <v>0</v>
      </c>
      <c r="BW27" s="20"/>
      <c r="BX27" s="13">
        <f t="shared" si="18"/>
        <v>0</v>
      </c>
      <c r="BY27" s="21">
        <f t="shared" si="19"/>
        <v>0</v>
      </c>
      <c r="BZ27" s="20"/>
      <c r="CA27" s="13">
        <f t="shared" si="20"/>
        <v>0</v>
      </c>
      <c r="CB27" s="19">
        <f t="shared" si="21"/>
        <v>0</v>
      </c>
      <c r="CC27" s="20"/>
      <c r="CD27" s="13">
        <f t="shared" si="22"/>
        <v>0</v>
      </c>
      <c r="CE27" s="21">
        <f t="shared" si="23"/>
        <v>0</v>
      </c>
      <c r="CF27" s="20"/>
      <c r="CG27" s="18">
        <f t="shared" si="24"/>
        <v>0</v>
      </c>
      <c r="CH27" s="21">
        <f t="shared" si="45"/>
        <v>0</v>
      </c>
      <c r="CI27" s="20"/>
      <c r="CJ27" s="18">
        <f t="shared" si="25"/>
        <v>0</v>
      </c>
      <c r="CK27" s="21">
        <f t="shared" si="26"/>
        <v>0</v>
      </c>
      <c r="CL27" s="20"/>
      <c r="CM27" s="18">
        <f t="shared" si="27"/>
        <v>0</v>
      </c>
      <c r="CN27" s="21">
        <f t="shared" si="28"/>
        <v>0</v>
      </c>
      <c r="CO27" s="20"/>
      <c r="CP27" s="18">
        <f t="shared" si="29"/>
        <v>0</v>
      </c>
      <c r="CQ27" s="21">
        <f t="shared" si="30"/>
        <v>0</v>
      </c>
      <c r="CR27" s="20"/>
      <c r="CS27" s="18">
        <f t="shared" si="31"/>
        <v>0</v>
      </c>
      <c r="CT27" s="19">
        <f t="shared" si="32"/>
        <v>0</v>
      </c>
      <c r="CU27" s="20"/>
      <c r="CV27" s="13">
        <f t="shared" si="33"/>
        <v>0</v>
      </c>
      <c r="CW27" s="21">
        <f t="shared" si="34"/>
        <v>0</v>
      </c>
      <c r="CX27" s="20"/>
      <c r="CY27" s="13">
        <f t="shared" si="35"/>
        <v>0</v>
      </c>
      <c r="CZ27" s="19">
        <f t="shared" si="36"/>
        <v>0</v>
      </c>
      <c r="DA27" s="20"/>
      <c r="DB27" s="13">
        <f t="shared" si="37"/>
        <v>0</v>
      </c>
      <c r="DC27" s="21">
        <f t="shared" si="38"/>
        <v>0</v>
      </c>
      <c r="DE27" s="97">
        <v>131</v>
      </c>
      <c r="DF27" s="32"/>
      <c r="DG27" s="61">
        <f t="shared" si="39"/>
        <v>0</v>
      </c>
      <c r="DH27" s="32"/>
      <c r="DI27" s="59">
        <f t="shared" si="40"/>
        <v>6</v>
      </c>
      <c r="DJ27" s="32"/>
      <c r="DK27" s="59">
        <f t="shared" si="41"/>
        <v>125</v>
      </c>
      <c r="DL27" s="32"/>
      <c r="DM27" s="96">
        <f t="shared" si="42"/>
        <v>2881.25</v>
      </c>
      <c r="DN27" s="32"/>
      <c r="DO27" s="62">
        <f t="shared" si="43"/>
        <v>20.833333333333332</v>
      </c>
      <c r="DP27" s="32"/>
      <c r="DQ27" s="96">
        <f t="shared" si="44"/>
        <v>3457.5</v>
      </c>
      <c r="DR27" s="32"/>
      <c r="DS27" s="61"/>
      <c r="DT27" s="32"/>
      <c r="DU27" s="63">
        <v>0</v>
      </c>
      <c r="DV27" s="32"/>
      <c r="DW27" s="64">
        <f t="shared" si="46"/>
        <v>0</v>
      </c>
      <c r="DX27" s="32"/>
      <c r="DY27" s="63">
        <f t="shared" si="47"/>
        <v>0</v>
      </c>
    </row>
    <row r="28" spans="1:129" ht="12" customHeight="1" x14ac:dyDescent="0.3">
      <c r="A28" s="37" t="s">
        <v>31</v>
      </c>
      <c r="B28" s="32"/>
      <c r="C28" s="51"/>
      <c r="D28" s="34"/>
      <c r="E28" s="38">
        <v>26.11</v>
      </c>
      <c r="F28" s="34"/>
      <c r="G28" s="33">
        <v>31.33</v>
      </c>
      <c r="I28" s="26"/>
      <c r="J28" s="27"/>
      <c r="K28" s="28">
        <v>3</v>
      </c>
      <c r="L28" s="12"/>
      <c r="M28" s="26">
        <v>1</v>
      </c>
      <c r="N28" s="12"/>
      <c r="O28" s="28">
        <v>2</v>
      </c>
      <c r="P28" s="12"/>
      <c r="Q28" s="26">
        <v>1</v>
      </c>
      <c r="R28" s="12"/>
      <c r="S28" s="28">
        <v>1</v>
      </c>
      <c r="T28" s="12"/>
      <c r="U28" s="26">
        <v>2</v>
      </c>
      <c r="V28" s="12"/>
      <c r="W28" s="28">
        <v>2</v>
      </c>
      <c r="X28" s="12"/>
      <c r="Y28" s="26">
        <v>1</v>
      </c>
      <c r="Z28" s="12"/>
      <c r="AA28" s="28">
        <v>1</v>
      </c>
      <c r="AB28" s="12"/>
      <c r="AC28" s="26">
        <v>2</v>
      </c>
      <c r="AD28" s="12"/>
      <c r="AE28" s="28"/>
      <c r="AF28" s="12"/>
      <c r="AG28" s="26"/>
      <c r="AH28" s="12"/>
      <c r="AI28" s="28"/>
      <c r="AJ28" s="12"/>
      <c r="AK28" s="26"/>
      <c r="AL28" s="12"/>
      <c r="AM28" s="28"/>
      <c r="AN28" s="12"/>
      <c r="AO28" s="26"/>
      <c r="AP28" s="12"/>
      <c r="AQ28" s="28"/>
      <c r="AR28" s="12"/>
      <c r="AS28" s="26"/>
      <c r="AT28" s="12"/>
      <c r="AU28" s="28"/>
      <c r="AW28" s="18">
        <f t="shared" si="0"/>
        <v>0</v>
      </c>
      <c r="AX28" s="19">
        <f t="shared" si="1"/>
        <v>0</v>
      </c>
      <c r="AY28" s="20"/>
      <c r="AZ28" s="13">
        <f t="shared" si="2"/>
        <v>3</v>
      </c>
      <c r="BA28" s="21">
        <f t="shared" si="3"/>
        <v>93.99</v>
      </c>
      <c r="BB28" s="20"/>
      <c r="BC28" s="13">
        <f t="shared" si="4"/>
        <v>1</v>
      </c>
      <c r="BD28" s="19">
        <f t="shared" si="5"/>
        <v>31.33</v>
      </c>
      <c r="BE28" s="20"/>
      <c r="BF28" s="13">
        <f t="shared" si="6"/>
        <v>2</v>
      </c>
      <c r="BG28" s="21">
        <f t="shared" si="7"/>
        <v>62.66</v>
      </c>
      <c r="BH28" s="20"/>
      <c r="BI28" s="13">
        <f t="shared" si="8"/>
        <v>1</v>
      </c>
      <c r="BJ28" s="19">
        <f t="shared" si="9"/>
        <v>31.33</v>
      </c>
      <c r="BK28" s="20"/>
      <c r="BL28" s="13">
        <f t="shared" si="10"/>
        <v>1</v>
      </c>
      <c r="BM28" s="21">
        <f t="shared" si="11"/>
        <v>31.33</v>
      </c>
      <c r="BN28" s="20"/>
      <c r="BO28" s="13">
        <f t="shared" si="12"/>
        <v>2</v>
      </c>
      <c r="BP28" s="19">
        <f t="shared" si="13"/>
        <v>62.66</v>
      </c>
      <c r="BQ28" s="20"/>
      <c r="BR28" s="13">
        <f t="shared" si="14"/>
        <v>2</v>
      </c>
      <c r="BS28" s="21">
        <f t="shared" si="15"/>
        <v>62.66</v>
      </c>
      <c r="BT28" s="20"/>
      <c r="BU28" s="13">
        <f t="shared" si="16"/>
        <v>1</v>
      </c>
      <c r="BV28" s="19">
        <f t="shared" si="17"/>
        <v>31.33</v>
      </c>
      <c r="BW28" s="20"/>
      <c r="BX28" s="13">
        <f t="shared" si="18"/>
        <v>1</v>
      </c>
      <c r="BY28" s="21">
        <f t="shared" si="19"/>
        <v>31.33</v>
      </c>
      <c r="BZ28" s="20"/>
      <c r="CA28" s="13">
        <f t="shared" si="20"/>
        <v>2</v>
      </c>
      <c r="CB28" s="19">
        <f t="shared" si="21"/>
        <v>62.66</v>
      </c>
      <c r="CC28" s="20"/>
      <c r="CD28" s="13">
        <f t="shared" si="22"/>
        <v>0</v>
      </c>
      <c r="CE28" s="21">
        <f t="shared" si="23"/>
        <v>0</v>
      </c>
      <c r="CF28" s="20"/>
      <c r="CG28" s="18">
        <f t="shared" si="24"/>
        <v>0</v>
      </c>
      <c r="CH28" s="21">
        <f t="shared" si="45"/>
        <v>0</v>
      </c>
      <c r="CI28" s="20"/>
      <c r="CJ28" s="18">
        <f t="shared" si="25"/>
        <v>0</v>
      </c>
      <c r="CK28" s="21">
        <f t="shared" si="26"/>
        <v>0</v>
      </c>
      <c r="CL28" s="20"/>
      <c r="CM28" s="18">
        <f t="shared" si="27"/>
        <v>0</v>
      </c>
      <c r="CN28" s="21">
        <f t="shared" si="28"/>
        <v>0</v>
      </c>
      <c r="CO28" s="20"/>
      <c r="CP28" s="18">
        <f t="shared" si="29"/>
        <v>0</v>
      </c>
      <c r="CQ28" s="21">
        <f t="shared" si="30"/>
        <v>0</v>
      </c>
      <c r="CR28" s="20"/>
      <c r="CS28" s="18">
        <f t="shared" si="31"/>
        <v>0</v>
      </c>
      <c r="CT28" s="19">
        <f t="shared" si="32"/>
        <v>0</v>
      </c>
      <c r="CU28" s="20"/>
      <c r="CV28" s="13">
        <f t="shared" si="33"/>
        <v>0</v>
      </c>
      <c r="CW28" s="21">
        <f t="shared" si="34"/>
        <v>0</v>
      </c>
      <c r="CX28" s="20"/>
      <c r="CY28" s="13">
        <f t="shared" si="35"/>
        <v>0</v>
      </c>
      <c r="CZ28" s="19">
        <f t="shared" si="36"/>
        <v>0</v>
      </c>
      <c r="DA28" s="20"/>
      <c r="DB28" s="13">
        <f t="shared" si="37"/>
        <v>0</v>
      </c>
      <c r="DC28" s="21">
        <f t="shared" si="38"/>
        <v>0</v>
      </c>
      <c r="DE28" s="97">
        <v>72</v>
      </c>
      <c r="DF28" s="32"/>
      <c r="DG28" s="61">
        <f t="shared" si="39"/>
        <v>0</v>
      </c>
      <c r="DH28" s="32"/>
      <c r="DI28" s="59">
        <f t="shared" si="40"/>
        <v>16</v>
      </c>
      <c r="DJ28" s="32"/>
      <c r="DK28" s="59">
        <f t="shared" si="41"/>
        <v>56</v>
      </c>
      <c r="DL28" s="32"/>
      <c r="DM28" s="96">
        <f t="shared" si="42"/>
        <v>1462.1599999999999</v>
      </c>
      <c r="DN28" s="32"/>
      <c r="DO28" s="62">
        <f t="shared" si="43"/>
        <v>3.5</v>
      </c>
      <c r="DP28" s="32"/>
      <c r="DQ28" s="96">
        <f t="shared" si="44"/>
        <v>1754.48</v>
      </c>
      <c r="DR28" s="32"/>
      <c r="DS28" s="61"/>
      <c r="DT28" s="32"/>
      <c r="DU28" s="63">
        <v>0</v>
      </c>
      <c r="DV28" s="32"/>
      <c r="DW28" s="64">
        <f t="shared" si="46"/>
        <v>0</v>
      </c>
      <c r="DX28" s="32"/>
      <c r="DY28" s="63">
        <f t="shared" si="47"/>
        <v>0</v>
      </c>
    </row>
    <row r="29" spans="1:129" ht="12" customHeight="1" x14ac:dyDescent="0.3">
      <c r="A29" s="41" t="s">
        <v>32</v>
      </c>
      <c r="B29" s="32"/>
      <c r="C29" s="51"/>
      <c r="D29" s="34"/>
      <c r="E29" s="38">
        <v>42.24</v>
      </c>
      <c r="F29" s="34"/>
      <c r="G29" s="33">
        <v>50.69</v>
      </c>
      <c r="I29" s="26"/>
      <c r="J29" s="27"/>
      <c r="K29" s="28">
        <v>1</v>
      </c>
      <c r="L29" s="12"/>
      <c r="M29" s="26">
        <v>1</v>
      </c>
      <c r="N29" s="12"/>
      <c r="O29" s="28"/>
      <c r="P29" s="12"/>
      <c r="Q29" s="26">
        <v>1</v>
      </c>
      <c r="R29" s="12"/>
      <c r="S29" s="28">
        <v>1</v>
      </c>
      <c r="T29" s="12"/>
      <c r="U29" s="26"/>
      <c r="V29" s="12"/>
      <c r="W29" s="28">
        <v>1</v>
      </c>
      <c r="X29" s="12"/>
      <c r="Y29" s="26">
        <v>1</v>
      </c>
      <c r="Z29" s="12"/>
      <c r="AA29" s="28"/>
      <c r="AB29" s="12"/>
      <c r="AC29" s="26"/>
      <c r="AD29" s="12"/>
      <c r="AE29" s="28"/>
      <c r="AF29" s="12"/>
      <c r="AG29" s="26"/>
      <c r="AH29" s="12"/>
      <c r="AI29" s="28"/>
      <c r="AJ29" s="12"/>
      <c r="AK29" s="26"/>
      <c r="AL29" s="12"/>
      <c r="AM29" s="28"/>
      <c r="AN29" s="12"/>
      <c r="AO29" s="26"/>
      <c r="AP29" s="12"/>
      <c r="AQ29" s="28"/>
      <c r="AR29" s="12"/>
      <c r="AS29" s="26"/>
      <c r="AT29" s="12"/>
      <c r="AU29" s="28"/>
      <c r="AW29" s="18">
        <f t="shared" si="0"/>
        <v>0</v>
      </c>
      <c r="AX29" s="19">
        <f t="shared" si="1"/>
        <v>0</v>
      </c>
      <c r="AY29" s="20"/>
      <c r="AZ29" s="13">
        <f t="shared" si="2"/>
        <v>1</v>
      </c>
      <c r="BA29" s="21">
        <f t="shared" si="3"/>
        <v>50.69</v>
      </c>
      <c r="BB29" s="20"/>
      <c r="BC29" s="13">
        <f t="shared" si="4"/>
        <v>1</v>
      </c>
      <c r="BD29" s="19">
        <f t="shared" si="5"/>
        <v>50.69</v>
      </c>
      <c r="BE29" s="20"/>
      <c r="BF29" s="13">
        <f t="shared" si="6"/>
        <v>0</v>
      </c>
      <c r="BG29" s="21">
        <f t="shared" si="7"/>
        <v>0</v>
      </c>
      <c r="BH29" s="20"/>
      <c r="BI29" s="13">
        <f t="shared" si="8"/>
        <v>1</v>
      </c>
      <c r="BJ29" s="19">
        <f t="shared" si="9"/>
        <v>50.69</v>
      </c>
      <c r="BK29" s="20"/>
      <c r="BL29" s="13">
        <f t="shared" si="10"/>
        <v>1</v>
      </c>
      <c r="BM29" s="21">
        <f t="shared" si="11"/>
        <v>50.69</v>
      </c>
      <c r="BN29" s="20"/>
      <c r="BO29" s="13">
        <f t="shared" si="12"/>
        <v>0</v>
      </c>
      <c r="BP29" s="19">
        <f t="shared" si="13"/>
        <v>0</v>
      </c>
      <c r="BQ29" s="20"/>
      <c r="BR29" s="13">
        <f t="shared" si="14"/>
        <v>1</v>
      </c>
      <c r="BS29" s="21">
        <f t="shared" si="15"/>
        <v>50.69</v>
      </c>
      <c r="BT29" s="20"/>
      <c r="BU29" s="13">
        <f t="shared" si="16"/>
        <v>1</v>
      </c>
      <c r="BV29" s="19">
        <f t="shared" si="17"/>
        <v>50.69</v>
      </c>
      <c r="BW29" s="20"/>
      <c r="BX29" s="13">
        <f t="shared" si="18"/>
        <v>0</v>
      </c>
      <c r="BY29" s="21">
        <f t="shared" si="19"/>
        <v>0</v>
      </c>
      <c r="BZ29" s="20"/>
      <c r="CA29" s="13">
        <f t="shared" si="20"/>
        <v>0</v>
      </c>
      <c r="CB29" s="19">
        <f t="shared" si="21"/>
        <v>0</v>
      </c>
      <c r="CC29" s="20"/>
      <c r="CD29" s="13">
        <f t="shared" si="22"/>
        <v>0</v>
      </c>
      <c r="CE29" s="21">
        <f t="shared" si="23"/>
        <v>0</v>
      </c>
      <c r="CF29" s="20"/>
      <c r="CG29" s="18">
        <f t="shared" si="24"/>
        <v>0</v>
      </c>
      <c r="CH29" s="21">
        <f t="shared" si="45"/>
        <v>0</v>
      </c>
      <c r="CI29" s="20"/>
      <c r="CJ29" s="18">
        <f t="shared" si="25"/>
        <v>0</v>
      </c>
      <c r="CK29" s="21">
        <f t="shared" si="26"/>
        <v>0</v>
      </c>
      <c r="CL29" s="20"/>
      <c r="CM29" s="18">
        <f t="shared" si="27"/>
        <v>0</v>
      </c>
      <c r="CN29" s="21">
        <f t="shared" si="28"/>
        <v>0</v>
      </c>
      <c r="CO29" s="20"/>
      <c r="CP29" s="18">
        <f t="shared" si="29"/>
        <v>0</v>
      </c>
      <c r="CQ29" s="21">
        <f t="shared" si="30"/>
        <v>0</v>
      </c>
      <c r="CR29" s="20"/>
      <c r="CS29" s="18">
        <f t="shared" si="31"/>
        <v>0</v>
      </c>
      <c r="CT29" s="19">
        <f t="shared" si="32"/>
        <v>0</v>
      </c>
      <c r="CU29" s="20"/>
      <c r="CV29" s="13">
        <f t="shared" si="33"/>
        <v>0</v>
      </c>
      <c r="CW29" s="21">
        <f t="shared" si="34"/>
        <v>0</v>
      </c>
      <c r="CX29" s="20"/>
      <c r="CY29" s="13">
        <f t="shared" si="35"/>
        <v>0</v>
      </c>
      <c r="CZ29" s="19">
        <f t="shared" si="36"/>
        <v>0</v>
      </c>
      <c r="DA29" s="20"/>
      <c r="DB29" s="13">
        <f t="shared" si="37"/>
        <v>0</v>
      </c>
      <c r="DC29" s="21">
        <f t="shared" si="38"/>
        <v>0</v>
      </c>
      <c r="DE29" s="97">
        <v>87</v>
      </c>
      <c r="DF29" s="32"/>
      <c r="DG29" s="61">
        <f t="shared" si="39"/>
        <v>0</v>
      </c>
      <c r="DH29" s="32"/>
      <c r="DI29" s="59">
        <f t="shared" si="40"/>
        <v>6</v>
      </c>
      <c r="DJ29" s="32"/>
      <c r="DK29" s="59">
        <f t="shared" si="41"/>
        <v>81</v>
      </c>
      <c r="DL29" s="32"/>
      <c r="DM29" s="96">
        <f t="shared" si="42"/>
        <v>3421.44</v>
      </c>
      <c r="DN29" s="32"/>
      <c r="DO29" s="62">
        <f t="shared" si="43"/>
        <v>13.5</v>
      </c>
      <c r="DP29" s="32"/>
      <c r="DQ29" s="96">
        <f t="shared" si="44"/>
        <v>4105.8899999999994</v>
      </c>
      <c r="DR29" s="32"/>
      <c r="DS29" s="61"/>
      <c r="DT29" s="32"/>
      <c r="DU29" s="63">
        <v>0</v>
      </c>
      <c r="DV29" s="32"/>
      <c r="DW29" s="64">
        <f t="shared" si="46"/>
        <v>0</v>
      </c>
      <c r="DX29" s="32"/>
      <c r="DY29" s="63">
        <f t="shared" si="47"/>
        <v>0</v>
      </c>
    </row>
    <row r="30" spans="1:129" ht="12" customHeight="1" x14ac:dyDescent="0.3">
      <c r="A30" s="37" t="s">
        <v>33</v>
      </c>
      <c r="B30" s="32"/>
      <c r="C30" s="51"/>
      <c r="D30" s="34"/>
      <c r="E30" s="38">
        <v>75.69</v>
      </c>
      <c r="F30" s="34"/>
      <c r="G30" s="33">
        <v>90.83</v>
      </c>
      <c r="I30" s="26"/>
      <c r="J30" s="27"/>
      <c r="K30" s="28">
        <v>1</v>
      </c>
      <c r="L30" s="12"/>
      <c r="M30" s="26"/>
      <c r="N30" s="12"/>
      <c r="O30" s="28"/>
      <c r="P30" s="12"/>
      <c r="Q30" s="26"/>
      <c r="R30" s="12"/>
      <c r="S30" s="28"/>
      <c r="T30" s="12"/>
      <c r="U30" s="26">
        <v>1</v>
      </c>
      <c r="V30" s="12"/>
      <c r="W30" s="28"/>
      <c r="X30" s="12"/>
      <c r="Y30" s="26"/>
      <c r="Z30" s="12"/>
      <c r="AA30" s="28"/>
      <c r="AB30" s="12"/>
      <c r="AC30" s="26">
        <v>1</v>
      </c>
      <c r="AD30" s="12"/>
      <c r="AE30" s="28"/>
      <c r="AF30" s="12"/>
      <c r="AG30" s="26"/>
      <c r="AH30" s="12"/>
      <c r="AI30" s="28"/>
      <c r="AJ30" s="12"/>
      <c r="AK30" s="26"/>
      <c r="AL30" s="12"/>
      <c r="AM30" s="28"/>
      <c r="AN30" s="12"/>
      <c r="AO30" s="26"/>
      <c r="AP30" s="12"/>
      <c r="AQ30" s="28"/>
      <c r="AR30" s="12"/>
      <c r="AS30" s="26"/>
      <c r="AT30" s="12"/>
      <c r="AU30" s="28"/>
      <c r="AW30" s="18">
        <f t="shared" si="0"/>
        <v>0</v>
      </c>
      <c r="AX30" s="19">
        <f t="shared" si="1"/>
        <v>0</v>
      </c>
      <c r="AY30" s="20"/>
      <c r="AZ30" s="13">
        <f t="shared" si="2"/>
        <v>1</v>
      </c>
      <c r="BA30" s="21">
        <f t="shared" si="3"/>
        <v>90.83</v>
      </c>
      <c r="BB30" s="20"/>
      <c r="BC30" s="13">
        <f t="shared" si="4"/>
        <v>0</v>
      </c>
      <c r="BD30" s="19">
        <f t="shared" si="5"/>
        <v>0</v>
      </c>
      <c r="BE30" s="20"/>
      <c r="BF30" s="13">
        <f t="shared" si="6"/>
        <v>0</v>
      </c>
      <c r="BG30" s="21">
        <f t="shared" si="7"/>
        <v>0</v>
      </c>
      <c r="BH30" s="20"/>
      <c r="BI30" s="13">
        <f t="shared" si="8"/>
        <v>0</v>
      </c>
      <c r="BJ30" s="19">
        <f t="shared" si="9"/>
        <v>0</v>
      </c>
      <c r="BK30" s="20"/>
      <c r="BL30" s="13">
        <f t="shared" si="10"/>
        <v>0</v>
      </c>
      <c r="BM30" s="21">
        <f t="shared" si="11"/>
        <v>0</v>
      </c>
      <c r="BN30" s="20"/>
      <c r="BO30" s="13">
        <f t="shared" si="12"/>
        <v>1</v>
      </c>
      <c r="BP30" s="19">
        <f t="shared" si="13"/>
        <v>90.83</v>
      </c>
      <c r="BQ30" s="20"/>
      <c r="BR30" s="13">
        <f t="shared" si="14"/>
        <v>0</v>
      </c>
      <c r="BS30" s="21">
        <f t="shared" si="15"/>
        <v>0</v>
      </c>
      <c r="BT30" s="20"/>
      <c r="BU30" s="13">
        <f t="shared" si="16"/>
        <v>0</v>
      </c>
      <c r="BV30" s="19">
        <f t="shared" si="17"/>
        <v>0</v>
      </c>
      <c r="BW30" s="20"/>
      <c r="BX30" s="13">
        <f t="shared" si="18"/>
        <v>0</v>
      </c>
      <c r="BY30" s="21">
        <f t="shared" si="19"/>
        <v>0</v>
      </c>
      <c r="BZ30" s="20"/>
      <c r="CA30" s="13">
        <f t="shared" si="20"/>
        <v>1</v>
      </c>
      <c r="CB30" s="19">
        <f t="shared" si="21"/>
        <v>90.83</v>
      </c>
      <c r="CC30" s="20"/>
      <c r="CD30" s="13">
        <f t="shared" si="22"/>
        <v>0</v>
      </c>
      <c r="CE30" s="21">
        <f t="shared" si="23"/>
        <v>0</v>
      </c>
      <c r="CF30" s="20"/>
      <c r="CG30" s="18">
        <f t="shared" si="24"/>
        <v>0</v>
      </c>
      <c r="CH30" s="21">
        <f t="shared" si="45"/>
        <v>0</v>
      </c>
      <c r="CI30" s="20"/>
      <c r="CJ30" s="18">
        <f t="shared" si="25"/>
        <v>0</v>
      </c>
      <c r="CK30" s="21">
        <f t="shared" si="26"/>
        <v>0</v>
      </c>
      <c r="CL30" s="20"/>
      <c r="CM30" s="18">
        <f t="shared" si="27"/>
        <v>0</v>
      </c>
      <c r="CN30" s="21">
        <f t="shared" si="28"/>
        <v>0</v>
      </c>
      <c r="CO30" s="20"/>
      <c r="CP30" s="18">
        <f t="shared" si="29"/>
        <v>0</v>
      </c>
      <c r="CQ30" s="21">
        <f t="shared" si="30"/>
        <v>0</v>
      </c>
      <c r="CR30" s="20"/>
      <c r="CS30" s="18">
        <f t="shared" si="31"/>
        <v>0</v>
      </c>
      <c r="CT30" s="19">
        <f t="shared" si="32"/>
        <v>0</v>
      </c>
      <c r="CU30" s="20"/>
      <c r="CV30" s="13">
        <f t="shared" si="33"/>
        <v>0</v>
      </c>
      <c r="CW30" s="21">
        <f t="shared" si="34"/>
        <v>0</v>
      </c>
      <c r="CX30" s="20"/>
      <c r="CY30" s="13">
        <f t="shared" si="35"/>
        <v>0</v>
      </c>
      <c r="CZ30" s="19">
        <f t="shared" si="36"/>
        <v>0</v>
      </c>
      <c r="DA30" s="20"/>
      <c r="DB30" s="13">
        <f t="shared" si="37"/>
        <v>0</v>
      </c>
      <c r="DC30" s="21">
        <f t="shared" si="38"/>
        <v>0</v>
      </c>
      <c r="DE30" s="97">
        <v>-4</v>
      </c>
      <c r="DF30" s="32"/>
      <c r="DG30" s="61">
        <f t="shared" si="39"/>
        <v>0</v>
      </c>
      <c r="DH30" s="32"/>
      <c r="DI30" s="59">
        <f t="shared" si="40"/>
        <v>3</v>
      </c>
      <c r="DJ30" s="32"/>
      <c r="DK30" s="59">
        <f t="shared" si="41"/>
        <v>-7</v>
      </c>
      <c r="DL30" s="32"/>
      <c r="DM30" s="96">
        <f t="shared" si="42"/>
        <v>-529.82999999999993</v>
      </c>
      <c r="DN30" s="32"/>
      <c r="DO30" s="62">
        <f t="shared" si="43"/>
        <v>-2.3333333333333335</v>
      </c>
      <c r="DP30" s="32"/>
      <c r="DQ30" s="96">
        <f t="shared" si="44"/>
        <v>-635.80999999999995</v>
      </c>
      <c r="DR30" s="32"/>
      <c r="DS30" s="61"/>
      <c r="DT30" s="32"/>
      <c r="DU30" s="63">
        <v>0</v>
      </c>
      <c r="DV30" s="32"/>
      <c r="DW30" s="64">
        <f t="shared" si="46"/>
        <v>0</v>
      </c>
      <c r="DX30" s="32"/>
      <c r="DY30" s="63">
        <f t="shared" si="47"/>
        <v>0</v>
      </c>
    </row>
    <row r="31" spans="1:129" ht="12" customHeight="1" x14ac:dyDescent="0.3">
      <c r="A31" s="36" t="s">
        <v>34</v>
      </c>
      <c r="B31" s="32"/>
      <c r="C31" s="51"/>
      <c r="D31" s="34"/>
      <c r="E31" s="38">
        <v>5</v>
      </c>
      <c r="F31" s="34"/>
      <c r="G31" s="33">
        <v>6</v>
      </c>
      <c r="I31" s="26"/>
      <c r="J31" s="27"/>
      <c r="K31" s="28"/>
      <c r="L31" s="12"/>
      <c r="M31" s="26"/>
      <c r="N31" s="12"/>
      <c r="O31" s="28"/>
      <c r="P31" s="12"/>
      <c r="Q31" s="26"/>
      <c r="R31" s="12"/>
      <c r="S31" s="28"/>
      <c r="T31" s="12"/>
      <c r="U31" s="26"/>
      <c r="V31" s="12"/>
      <c r="W31" s="28">
        <v>1</v>
      </c>
      <c r="X31" s="12"/>
      <c r="Y31" s="26">
        <v>1</v>
      </c>
      <c r="Z31" s="12"/>
      <c r="AA31" s="28"/>
      <c r="AB31" s="12"/>
      <c r="AC31" s="26"/>
      <c r="AD31" s="12"/>
      <c r="AE31" s="28"/>
      <c r="AF31" s="12"/>
      <c r="AG31" s="26"/>
      <c r="AH31" s="12"/>
      <c r="AI31" s="28"/>
      <c r="AJ31" s="12"/>
      <c r="AK31" s="26"/>
      <c r="AL31" s="12"/>
      <c r="AM31" s="28"/>
      <c r="AN31" s="12"/>
      <c r="AO31" s="26"/>
      <c r="AP31" s="12"/>
      <c r="AQ31" s="28"/>
      <c r="AR31" s="12"/>
      <c r="AS31" s="26"/>
      <c r="AT31" s="12"/>
      <c r="AU31" s="28"/>
      <c r="AW31" s="18">
        <f t="shared" si="0"/>
        <v>0</v>
      </c>
      <c r="AX31" s="19">
        <f t="shared" si="1"/>
        <v>0</v>
      </c>
      <c r="AY31" s="20"/>
      <c r="AZ31" s="13">
        <f t="shared" si="2"/>
        <v>0</v>
      </c>
      <c r="BA31" s="21">
        <f t="shared" si="3"/>
        <v>0</v>
      </c>
      <c r="BB31" s="20"/>
      <c r="BC31" s="13">
        <f t="shared" si="4"/>
        <v>0</v>
      </c>
      <c r="BD31" s="19">
        <f t="shared" si="5"/>
        <v>0</v>
      </c>
      <c r="BE31" s="20"/>
      <c r="BF31" s="13">
        <f t="shared" si="6"/>
        <v>0</v>
      </c>
      <c r="BG31" s="21">
        <f t="shared" si="7"/>
        <v>0</v>
      </c>
      <c r="BH31" s="20"/>
      <c r="BI31" s="13">
        <f t="shared" si="8"/>
        <v>0</v>
      </c>
      <c r="BJ31" s="19">
        <f t="shared" si="9"/>
        <v>0</v>
      </c>
      <c r="BK31" s="20"/>
      <c r="BL31" s="13">
        <f t="shared" si="10"/>
        <v>0</v>
      </c>
      <c r="BM31" s="21">
        <f t="shared" si="11"/>
        <v>0</v>
      </c>
      <c r="BN31" s="20"/>
      <c r="BO31" s="13">
        <f t="shared" si="12"/>
        <v>0</v>
      </c>
      <c r="BP31" s="19">
        <f t="shared" si="13"/>
        <v>0</v>
      </c>
      <c r="BQ31" s="20"/>
      <c r="BR31" s="13">
        <f t="shared" si="14"/>
        <v>1</v>
      </c>
      <c r="BS31" s="21">
        <f t="shared" si="15"/>
        <v>6</v>
      </c>
      <c r="BT31" s="20"/>
      <c r="BU31" s="13">
        <f t="shared" si="16"/>
        <v>1</v>
      </c>
      <c r="BV31" s="19">
        <f t="shared" si="17"/>
        <v>6</v>
      </c>
      <c r="BW31" s="20"/>
      <c r="BX31" s="13">
        <f t="shared" si="18"/>
        <v>0</v>
      </c>
      <c r="BY31" s="21">
        <f t="shared" si="19"/>
        <v>0</v>
      </c>
      <c r="BZ31" s="20"/>
      <c r="CA31" s="13">
        <f t="shared" si="20"/>
        <v>0</v>
      </c>
      <c r="CB31" s="19">
        <f t="shared" si="21"/>
        <v>0</v>
      </c>
      <c r="CC31" s="20"/>
      <c r="CD31" s="13">
        <f t="shared" si="22"/>
        <v>0</v>
      </c>
      <c r="CE31" s="21">
        <f t="shared" si="23"/>
        <v>0</v>
      </c>
      <c r="CF31" s="20"/>
      <c r="CG31" s="18">
        <f t="shared" si="24"/>
        <v>0</v>
      </c>
      <c r="CH31" s="21">
        <f t="shared" si="45"/>
        <v>0</v>
      </c>
      <c r="CI31" s="20"/>
      <c r="CJ31" s="18">
        <f t="shared" si="25"/>
        <v>0</v>
      </c>
      <c r="CK31" s="21">
        <f t="shared" si="26"/>
        <v>0</v>
      </c>
      <c r="CL31" s="20"/>
      <c r="CM31" s="18">
        <f t="shared" si="27"/>
        <v>0</v>
      </c>
      <c r="CN31" s="21">
        <f t="shared" si="28"/>
        <v>0</v>
      </c>
      <c r="CO31" s="20"/>
      <c r="CP31" s="18">
        <f t="shared" si="29"/>
        <v>0</v>
      </c>
      <c r="CQ31" s="21">
        <f t="shared" si="30"/>
        <v>0</v>
      </c>
      <c r="CR31" s="20"/>
      <c r="CS31" s="18">
        <f t="shared" si="31"/>
        <v>0</v>
      </c>
      <c r="CT31" s="19">
        <f t="shared" si="32"/>
        <v>0</v>
      </c>
      <c r="CU31" s="20"/>
      <c r="CV31" s="13">
        <f t="shared" si="33"/>
        <v>0</v>
      </c>
      <c r="CW31" s="21">
        <f t="shared" si="34"/>
        <v>0</v>
      </c>
      <c r="CX31" s="20"/>
      <c r="CY31" s="13">
        <f t="shared" si="35"/>
        <v>0</v>
      </c>
      <c r="CZ31" s="19">
        <f t="shared" si="36"/>
        <v>0</v>
      </c>
      <c r="DA31" s="20"/>
      <c r="DB31" s="13">
        <f t="shared" si="37"/>
        <v>0</v>
      </c>
      <c r="DC31" s="21">
        <f t="shared" si="38"/>
        <v>0</v>
      </c>
      <c r="DE31" s="97">
        <v>6</v>
      </c>
      <c r="DF31" s="32"/>
      <c r="DG31" s="61">
        <f t="shared" si="39"/>
        <v>0</v>
      </c>
      <c r="DH31" s="32"/>
      <c r="DI31" s="59">
        <f t="shared" si="40"/>
        <v>2</v>
      </c>
      <c r="DJ31" s="32"/>
      <c r="DK31" s="59">
        <f t="shared" si="41"/>
        <v>4</v>
      </c>
      <c r="DL31" s="32"/>
      <c r="DM31" s="96">
        <f t="shared" si="42"/>
        <v>20</v>
      </c>
      <c r="DN31" s="32"/>
      <c r="DO31" s="62">
        <f t="shared" si="43"/>
        <v>2</v>
      </c>
      <c r="DP31" s="32"/>
      <c r="DQ31" s="96">
        <f t="shared" si="44"/>
        <v>24</v>
      </c>
      <c r="DR31" s="32"/>
      <c r="DS31" s="61"/>
      <c r="DT31" s="32"/>
      <c r="DU31" s="63">
        <v>0</v>
      </c>
      <c r="DV31" s="32"/>
      <c r="DW31" s="64">
        <f t="shared" si="46"/>
        <v>0</v>
      </c>
      <c r="DX31" s="32"/>
      <c r="DY31" s="63">
        <f t="shared" si="47"/>
        <v>0</v>
      </c>
    </row>
    <row r="32" spans="1:129" s="8" customFormat="1" ht="12.45" customHeight="1" x14ac:dyDescent="0.3">
      <c r="A32" s="37" t="s">
        <v>35</v>
      </c>
      <c r="B32" s="32"/>
      <c r="C32" s="51"/>
      <c r="D32" s="34"/>
      <c r="E32" s="38">
        <v>30</v>
      </c>
      <c r="F32" s="34"/>
      <c r="G32" s="33">
        <v>36</v>
      </c>
      <c r="H32" s="3"/>
      <c r="I32" s="26"/>
      <c r="J32" s="27"/>
      <c r="K32" s="28"/>
      <c r="L32" s="12"/>
      <c r="M32" s="26"/>
      <c r="N32" s="12"/>
      <c r="O32" s="28"/>
      <c r="P32" s="12"/>
      <c r="Q32" s="26"/>
      <c r="R32" s="12"/>
      <c r="S32" s="28"/>
      <c r="T32" s="12"/>
      <c r="U32" s="26"/>
      <c r="V32" s="12"/>
      <c r="W32" s="28"/>
      <c r="X32" s="12"/>
      <c r="Y32" s="26"/>
      <c r="Z32" s="12"/>
      <c r="AA32" s="28"/>
      <c r="AB32" s="12"/>
      <c r="AC32" s="26"/>
      <c r="AD32" s="12"/>
      <c r="AE32" s="28"/>
      <c r="AF32" s="12"/>
      <c r="AG32" s="26"/>
      <c r="AH32" s="12"/>
      <c r="AI32" s="28"/>
      <c r="AJ32" s="12"/>
      <c r="AK32" s="26"/>
      <c r="AL32" s="12"/>
      <c r="AM32" s="28"/>
      <c r="AN32" s="12"/>
      <c r="AO32" s="26"/>
      <c r="AP32" s="12"/>
      <c r="AQ32" s="28"/>
      <c r="AR32" s="12"/>
      <c r="AS32" s="26"/>
      <c r="AT32" s="12"/>
      <c r="AU32" s="28"/>
      <c r="AV32" s="3"/>
      <c r="AW32" s="18">
        <f t="shared" si="0"/>
        <v>0</v>
      </c>
      <c r="AX32" s="19">
        <f t="shared" si="1"/>
        <v>0</v>
      </c>
      <c r="AY32" s="20"/>
      <c r="AZ32" s="13">
        <f t="shared" si="2"/>
        <v>0</v>
      </c>
      <c r="BA32" s="21">
        <f t="shared" si="3"/>
        <v>0</v>
      </c>
      <c r="BB32" s="20"/>
      <c r="BC32" s="13">
        <f t="shared" si="4"/>
        <v>0</v>
      </c>
      <c r="BD32" s="19">
        <f t="shared" si="5"/>
        <v>0</v>
      </c>
      <c r="BE32" s="20"/>
      <c r="BF32" s="13">
        <f t="shared" si="6"/>
        <v>0</v>
      </c>
      <c r="BG32" s="21">
        <f t="shared" si="7"/>
        <v>0</v>
      </c>
      <c r="BH32" s="20"/>
      <c r="BI32" s="13">
        <f t="shared" si="8"/>
        <v>0</v>
      </c>
      <c r="BJ32" s="19">
        <f t="shared" si="9"/>
        <v>0</v>
      </c>
      <c r="BK32" s="20"/>
      <c r="BL32" s="13">
        <f t="shared" si="10"/>
        <v>0</v>
      </c>
      <c r="BM32" s="21">
        <f t="shared" si="11"/>
        <v>0</v>
      </c>
      <c r="BN32" s="20"/>
      <c r="BO32" s="13">
        <f t="shared" si="12"/>
        <v>0</v>
      </c>
      <c r="BP32" s="19">
        <f t="shared" si="13"/>
        <v>0</v>
      </c>
      <c r="BQ32" s="20"/>
      <c r="BR32" s="13">
        <f t="shared" si="14"/>
        <v>0</v>
      </c>
      <c r="BS32" s="21">
        <f t="shared" si="15"/>
        <v>0</v>
      </c>
      <c r="BT32" s="20"/>
      <c r="BU32" s="13">
        <f t="shared" si="16"/>
        <v>0</v>
      </c>
      <c r="BV32" s="19">
        <f t="shared" si="17"/>
        <v>0</v>
      </c>
      <c r="BW32" s="20"/>
      <c r="BX32" s="13">
        <f t="shared" si="18"/>
        <v>0</v>
      </c>
      <c r="BY32" s="21">
        <f t="shared" si="19"/>
        <v>0</v>
      </c>
      <c r="BZ32" s="20"/>
      <c r="CA32" s="13">
        <f t="shared" si="20"/>
        <v>0</v>
      </c>
      <c r="CB32" s="19">
        <f t="shared" si="21"/>
        <v>0</v>
      </c>
      <c r="CC32" s="20"/>
      <c r="CD32" s="13">
        <f t="shared" si="22"/>
        <v>0</v>
      </c>
      <c r="CE32" s="21">
        <f t="shared" si="23"/>
        <v>0</v>
      </c>
      <c r="CF32" s="20"/>
      <c r="CG32" s="18">
        <f t="shared" si="24"/>
        <v>0</v>
      </c>
      <c r="CH32" s="21">
        <f t="shared" si="45"/>
        <v>0</v>
      </c>
      <c r="CI32" s="20"/>
      <c r="CJ32" s="18">
        <f t="shared" si="25"/>
        <v>0</v>
      </c>
      <c r="CK32" s="21">
        <f t="shared" si="26"/>
        <v>0</v>
      </c>
      <c r="CL32" s="20"/>
      <c r="CM32" s="18">
        <f t="shared" si="27"/>
        <v>0</v>
      </c>
      <c r="CN32" s="21">
        <f t="shared" si="28"/>
        <v>0</v>
      </c>
      <c r="CO32" s="20"/>
      <c r="CP32" s="18">
        <f t="shared" si="29"/>
        <v>0</v>
      </c>
      <c r="CQ32" s="21">
        <f t="shared" si="30"/>
        <v>0</v>
      </c>
      <c r="CR32" s="20"/>
      <c r="CS32" s="18">
        <f t="shared" si="31"/>
        <v>0</v>
      </c>
      <c r="CT32" s="19">
        <f t="shared" si="32"/>
        <v>0</v>
      </c>
      <c r="CU32" s="20"/>
      <c r="CV32" s="13">
        <f t="shared" si="33"/>
        <v>0</v>
      </c>
      <c r="CW32" s="21">
        <f t="shared" si="34"/>
        <v>0</v>
      </c>
      <c r="CX32" s="20"/>
      <c r="CY32" s="13">
        <f t="shared" si="35"/>
        <v>0</v>
      </c>
      <c r="CZ32" s="19">
        <f t="shared" si="36"/>
        <v>0</v>
      </c>
      <c r="DA32" s="20"/>
      <c r="DB32" s="13">
        <f t="shared" si="37"/>
        <v>0</v>
      </c>
      <c r="DC32" s="21">
        <f t="shared" si="38"/>
        <v>0</v>
      </c>
      <c r="DD32" s="3"/>
      <c r="DE32" s="97">
        <v>2</v>
      </c>
      <c r="DF32" s="32"/>
      <c r="DG32" s="61">
        <f t="shared" si="39"/>
        <v>0</v>
      </c>
      <c r="DH32" s="32"/>
      <c r="DI32" s="59">
        <f t="shared" si="40"/>
        <v>0</v>
      </c>
      <c r="DJ32" s="32"/>
      <c r="DK32" s="59">
        <f t="shared" si="41"/>
        <v>2</v>
      </c>
      <c r="DL32" s="32"/>
      <c r="DM32" s="96">
        <f t="shared" si="42"/>
        <v>60</v>
      </c>
      <c r="DN32" s="32"/>
      <c r="DO32" s="62" t="e">
        <f t="shared" si="43"/>
        <v>#DIV/0!</v>
      </c>
      <c r="DP32" s="32"/>
      <c r="DQ32" s="96">
        <f t="shared" si="44"/>
        <v>72</v>
      </c>
      <c r="DR32" s="32"/>
      <c r="DS32" s="61"/>
      <c r="DT32" s="32"/>
      <c r="DU32" s="63">
        <v>0</v>
      </c>
      <c r="DV32" s="32"/>
      <c r="DW32" s="64">
        <f t="shared" si="46"/>
        <v>0</v>
      </c>
      <c r="DX32" s="32"/>
      <c r="DY32" s="63">
        <f t="shared" si="47"/>
        <v>0</v>
      </c>
    </row>
    <row r="33" spans="1:129" ht="12.45" customHeight="1" x14ac:dyDescent="0.3">
      <c r="A33" s="36" t="s">
        <v>36</v>
      </c>
      <c r="B33" s="32"/>
      <c r="C33" s="51"/>
      <c r="D33" s="34"/>
      <c r="E33" s="38">
        <v>5</v>
      </c>
      <c r="F33" s="34"/>
      <c r="G33" s="33">
        <v>6</v>
      </c>
      <c r="I33" s="26"/>
      <c r="J33" s="27"/>
      <c r="K33" s="28"/>
      <c r="L33" s="12"/>
      <c r="M33" s="26"/>
      <c r="N33" s="12"/>
      <c r="O33" s="28"/>
      <c r="P33" s="12"/>
      <c r="Q33" s="26"/>
      <c r="R33" s="12"/>
      <c r="S33" s="28"/>
      <c r="T33" s="12"/>
      <c r="U33" s="26"/>
      <c r="V33" s="12"/>
      <c r="W33" s="28"/>
      <c r="X33" s="12"/>
      <c r="Y33" s="26"/>
      <c r="Z33" s="12"/>
      <c r="AA33" s="28"/>
      <c r="AB33" s="12"/>
      <c r="AC33" s="26"/>
      <c r="AD33" s="12"/>
      <c r="AE33" s="28"/>
      <c r="AF33" s="12"/>
      <c r="AG33" s="26"/>
      <c r="AH33" s="12"/>
      <c r="AI33" s="28"/>
      <c r="AJ33" s="12"/>
      <c r="AK33" s="26"/>
      <c r="AL33" s="12"/>
      <c r="AM33" s="28"/>
      <c r="AN33" s="12"/>
      <c r="AO33" s="26"/>
      <c r="AP33" s="12"/>
      <c r="AQ33" s="28"/>
      <c r="AR33" s="12"/>
      <c r="AS33" s="26"/>
      <c r="AT33" s="12"/>
      <c r="AU33" s="28"/>
      <c r="AW33" s="18">
        <f t="shared" si="0"/>
        <v>0</v>
      </c>
      <c r="AX33" s="19">
        <f t="shared" si="1"/>
        <v>0</v>
      </c>
      <c r="AY33" s="20"/>
      <c r="AZ33" s="13">
        <f t="shared" si="2"/>
        <v>0</v>
      </c>
      <c r="BA33" s="21">
        <f t="shared" si="3"/>
        <v>0</v>
      </c>
      <c r="BB33" s="20"/>
      <c r="BC33" s="13">
        <f t="shared" si="4"/>
        <v>0</v>
      </c>
      <c r="BD33" s="19">
        <f t="shared" si="5"/>
        <v>0</v>
      </c>
      <c r="BE33" s="20"/>
      <c r="BF33" s="13">
        <f t="shared" si="6"/>
        <v>0</v>
      </c>
      <c r="BG33" s="21">
        <f t="shared" si="7"/>
        <v>0</v>
      </c>
      <c r="BH33" s="20"/>
      <c r="BI33" s="13">
        <f t="shared" si="8"/>
        <v>0</v>
      </c>
      <c r="BJ33" s="19">
        <f t="shared" si="9"/>
        <v>0</v>
      </c>
      <c r="BK33" s="20"/>
      <c r="BL33" s="13">
        <f t="shared" si="10"/>
        <v>0</v>
      </c>
      <c r="BM33" s="21">
        <f t="shared" si="11"/>
        <v>0</v>
      </c>
      <c r="BN33" s="20"/>
      <c r="BO33" s="13">
        <f t="shared" si="12"/>
        <v>0</v>
      </c>
      <c r="BP33" s="19">
        <f t="shared" si="13"/>
        <v>0</v>
      </c>
      <c r="BQ33" s="20"/>
      <c r="BR33" s="13">
        <f t="shared" si="14"/>
        <v>0</v>
      </c>
      <c r="BS33" s="21">
        <f t="shared" si="15"/>
        <v>0</v>
      </c>
      <c r="BT33" s="20"/>
      <c r="BU33" s="13">
        <f t="shared" si="16"/>
        <v>0</v>
      </c>
      <c r="BV33" s="19">
        <f t="shared" si="17"/>
        <v>0</v>
      </c>
      <c r="BW33" s="20"/>
      <c r="BX33" s="13">
        <f t="shared" si="18"/>
        <v>0</v>
      </c>
      <c r="BY33" s="21">
        <f t="shared" si="19"/>
        <v>0</v>
      </c>
      <c r="BZ33" s="20"/>
      <c r="CA33" s="13">
        <f t="shared" si="20"/>
        <v>0</v>
      </c>
      <c r="CB33" s="19">
        <f t="shared" si="21"/>
        <v>0</v>
      </c>
      <c r="CC33" s="20"/>
      <c r="CD33" s="13">
        <f t="shared" si="22"/>
        <v>0</v>
      </c>
      <c r="CE33" s="21">
        <f t="shared" si="23"/>
        <v>0</v>
      </c>
      <c r="CF33" s="20"/>
      <c r="CG33" s="18">
        <f t="shared" si="24"/>
        <v>0</v>
      </c>
      <c r="CH33" s="21">
        <f t="shared" si="45"/>
        <v>0</v>
      </c>
      <c r="CI33" s="20"/>
      <c r="CJ33" s="18">
        <f t="shared" si="25"/>
        <v>0</v>
      </c>
      <c r="CK33" s="21">
        <f t="shared" si="26"/>
        <v>0</v>
      </c>
      <c r="CL33" s="20"/>
      <c r="CM33" s="18">
        <f t="shared" si="27"/>
        <v>0</v>
      </c>
      <c r="CN33" s="21">
        <f t="shared" si="28"/>
        <v>0</v>
      </c>
      <c r="CO33" s="20"/>
      <c r="CP33" s="18">
        <f t="shared" si="29"/>
        <v>0</v>
      </c>
      <c r="CQ33" s="21">
        <f t="shared" si="30"/>
        <v>0</v>
      </c>
      <c r="CR33" s="20"/>
      <c r="CS33" s="18">
        <f t="shared" si="31"/>
        <v>0</v>
      </c>
      <c r="CT33" s="19">
        <f t="shared" si="32"/>
        <v>0</v>
      </c>
      <c r="CU33" s="20"/>
      <c r="CV33" s="13">
        <f t="shared" si="33"/>
        <v>0</v>
      </c>
      <c r="CW33" s="21">
        <f t="shared" si="34"/>
        <v>0</v>
      </c>
      <c r="CX33" s="20"/>
      <c r="CY33" s="13">
        <f t="shared" si="35"/>
        <v>0</v>
      </c>
      <c r="CZ33" s="19">
        <f t="shared" si="36"/>
        <v>0</v>
      </c>
      <c r="DA33" s="20"/>
      <c r="DB33" s="13">
        <f t="shared" si="37"/>
        <v>0</v>
      </c>
      <c r="DC33" s="21">
        <f t="shared" si="38"/>
        <v>0</v>
      </c>
      <c r="DE33" s="97">
        <v>15</v>
      </c>
      <c r="DF33" s="32"/>
      <c r="DG33" s="61">
        <f t="shared" si="39"/>
        <v>0</v>
      </c>
      <c r="DH33" s="32"/>
      <c r="DI33" s="59">
        <f t="shared" si="40"/>
        <v>0</v>
      </c>
      <c r="DJ33" s="32"/>
      <c r="DK33" s="59">
        <f t="shared" si="41"/>
        <v>15</v>
      </c>
      <c r="DL33" s="32"/>
      <c r="DM33" s="96">
        <f t="shared" si="42"/>
        <v>75</v>
      </c>
      <c r="DN33" s="32"/>
      <c r="DO33" s="62" t="e">
        <f t="shared" si="43"/>
        <v>#DIV/0!</v>
      </c>
      <c r="DP33" s="32"/>
      <c r="DQ33" s="96">
        <f t="shared" si="44"/>
        <v>90</v>
      </c>
      <c r="DR33" s="32"/>
      <c r="DS33" s="61"/>
      <c r="DT33" s="32"/>
      <c r="DU33" s="63">
        <v>0</v>
      </c>
      <c r="DV33" s="32"/>
      <c r="DW33" s="64">
        <f t="shared" si="46"/>
        <v>0</v>
      </c>
      <c r="DX33" s="32"/>
      <c r="DY33" s="63">
        <f t="shared" si="47"/>
        <v>0</v>
      </c>
    </row>
    <row r="34" spans="1:129" ht="12.45" customHeight="1" x14ac:dyDescent="0.3">
      <c r="A34" s="37" t="s">
        <v>37</v>
      </c>
      <c r="B34" s="32"/>
      <c r="C34" s="51"/>
      <c r="D34" s="34"/>
      <c r="E34" s="38">
        <v>5</v>
      </c>
      <c r="F34" s="34"/>
      <c r="G34" s="33">
        <v>6</v>
      </c>
      <c r="I34" s="26"/>
      <c r="J34" s="27"/>
      <c r="K34" s="28"/>
      <c r="L34" s="12"/>
      <c r="M34" s="26">
        <v>1</v>
      </c>
      <c r="N34" s="12"/>
      <c r="O34" s="28"/>
      <c r="P34" s="12"/>
      <c r="Q34" s="26"/>
      <c r="R34" s="12"/>
      <c r="S34" s="28"/>
      <c r="T34" s="12"/>
      <c r="U34" s="26"/>
      <c r="V34" s="12"/>
      <c r="W34" s="28"/>
      <c r="X34" s="12"/>
      <c r="Y34" s="26"/>
      <c r="Z34" s="12"/>
      <c r="AA34" s="28"/>
      <c r="AB34" s="12"/>
      <c r="AC34" s="26"/>
      <c r="AD34" s="12"/>
      <c r="AE34" s="28"/>
      <c r="AF34" s="12"/>
      <c r="AG34" s="26"/>
      <c r="AH34" s="12"/>
      <c r="AI34" s="28"/>
      <c r="AJ34" s="12"/>
      <c r="AK34" s="26"/>
      <c r="AL34" s="12"/>
      <c r="AM34" s="28"/>
      <c r="AN34" s="12"/>
      <c r="AO34" s="26"/>
      <c r="AP34" s="12"/>
      <c r="AQ34" s="28"/>
      <c r="AR34" s="12"/>
      <c r="AS34" s="26"/>
      <c r="AT34" s="12"/>
      <c r="AU34" s="28"/>
      <c r="AW34" s="18">
        <f t="shared" ref="AW34:AW53" si="48">I34</f>
        <v>0</v>
      </c>
      <c r="AX34" s="19">
        <f t="shared" ref="AX34:AX53" si="49">AW34*G34</f>
        <v>0</v>
      </c>
      <c r="AY34" s="20"/>
      <c r="AZ34" s="13">
        <f t="shared" ref="AZ34:AZ53" si="50">K34</f>
        <v>0</v>
      </c>
      <c r="BA34" s="21">
        <f t="shared" ref="BA34:BA53" si="51">AZ34*G34</f>
        <v>0</v>
      </c>
      <c r="BB34" s="20"/>
      <c r="BC34" s="13">
        <f t="shared" ref="BC34:BC53" si="52">M34</f>
        <v>1</v>
      </c>
      <c r="BD34" s="19">
        <f t="shared" ref="BD34:BD53" si="53">BC34*G34</f>
        <v>6</v>
      </c>
      <c r="BE34" s="20"/>
      <c r="BF34" s="13">
        <f t="shared" ref="BF34:BF53" si="54">O34</f>
        <v>0</v>
      </c>
      <c r="BG34" s="21">
        <f t="shared" ref="BG34:BG53" si="55">BF34*G34</f>
        <v>0</v>
      </c>
      <c r="BH34" s="20"/>
      <c r="BI34" s="13">
        <f t="shared" ref="BI34:BI53" si="56">Q34</f>
        <v>0</v>
      </c>
      <c r="BJ34" s="19">
        <f t="shared" ref="BJ34:BJ53" si="57">BI34*G34</f>
        <v>0</v>
      </c>
      <c r="BK34" s="20"/>
      <c r="BL34" s="13">
        <f t="shared" ref="BL34:BL53" si="58">S34</f>
        <v>0</v>
      </c>
      <c r="BM34" s="21">
        <f t="shared" ref="BM34:BM53" si="59">BL34*G34</f>
        <v>0</v>
      </c>
      <c r="BN34" s="20"/>
      <c r="BO34" s="13">
        <f t="shared" ref="BO34:BO53" si="60">U34</f>
        <v>0</v>
      </c>
      <c r="BP34" s="19">
        <f t="shared" ref="BP34:BP53" si="61">BO34*G34</f>
        <v>0</v>
      </c>
      <c r="BQ34" s="20"/>
      <c r="BR34" s="13">
        <f t="shared" ref="BR34:BR53" si="62">W34</f>
        <v>0</v>
      </c>
      <c r="BS34" s="21">
        <f t="shared" ref="BS34:BS53" si="63">BR34*G34</f>
        <v>0</v>
      </c>
      <c r="BT34" s="20"/>
      <c r="BU34" s="13">
        <f t="shared" ref="BU34:BU53" si="64">Y34</f>
        <v>0</v>
      </c>
      <c r="BV34" s="19">
        <f t="shared" ref="BV34:BV53" si="65">BU34*G34</f>
        <v>0</v>
      </c>
      <c r="BW34" s="20"/>
      <c r="BX34" s="13">
        <f t="shared" ref="BX34:BX53" si="66">AA34</f>
        <v>0</v>
      </c>
      <c r="BY34" s="21">
        <f t="shared" ref="BY34:BY53" si="67">BX34*G34</f>
        <v>0</v>
      </c>
      <c r="BZ34" s="20"/>
      <c r="CA34" s="13">
        <f t="shared" ref="CA34:CA53" si="68">AC34</f>
        <v>0</v>
      </c>
      <c r="CB34" s="19">
        <f t="shared" ref="CB34:CB53" si="69">CA34*G34</f>
        <v>0</v>
      </c>
      <c r="CC34" s="20"/>
      <c r="CD34" s="13">
        <f t="shared" ref="CD34:CD53" si="70">AE34</f>
        <v>0</v>
      </c>
      <c r="CE34" s="21">
        <f t="shared" ref="CE34:CE53" si="71">CD34*G34</f>
        <v>0</v>
      </c>
      <c r="CF34" s="20"/>
      <c r="CG34" s="18">
        <f t="shared" ref="CG34:CG53" si="72">AG34</f>
        <v>0</v>
      </c>
      <c r="CH34" s="21">
        <f t="shared" si="45"/>
        <v>0</v>
      </c>
      <c r="CI34" s="20"/>
      <c r="CJ34" s="18">
        <f t="shared" ref="CJ34:CJ53" si="73">AI34</f>
        <v>0</v>
      </c>
      <c r="CK34" s="21">
        <f t="shared" ref="CK34:CK53" si="74">CJ34*G34</f>
        <v>0</v>
      </c>
      <c r="CL34" s="20"/>
      <c r="CM34" s="18">
        <f t="shared" ref="CM34:CM53" si="75">AK34</f>
        <v>0</v>
      </c>
      <c r="CN34" s="21">
        <f t="shared" ref="CN34:CN53" si="76">CM34*G34</f>
        <v>0</v>
      </c>
      <c r="CO34" s="20"/>
      <c r="CP34" s="18">
        <f t="shared" ref="CP34:CP53" si="77">AM34</f>
        <v>0</v>
      </c>
      <c r="CQ34" s="21">
        <f t="shared" ref="CQ34:CQ53" si="78">CP34*G34</f>
        <v>0</v>
      </c>
      <c r="CR34" s="20"/>
      <c r="CS34" s="18">
        <f t="shared" ref="CS34:CS53" si="79">AO34</f>
        <v>0</v>
      </c>
      <c r="CT34" s="19">
        <f t="shared" ref="CT34:CT53" si="80">CS34*G34</f>
        <v>0</v>
      </c>
      <c r="CU34" s="20"/>
      <c r="CV34" s="13">
        <f t="shared" ref="CV34:CV53" si="81">AQ34</f>
        <v>0</v>
      </c>
      <c r="CW34" s="21">
        <f t="shared" ref="CW34:CW53" si="82">CV34*G34</f>
        <v>0</v>
      </c>
      <c r="CX34" s="20"/>
      <c r="CY34" s="13">
        <f t="shared" ref="CY34:CY53" si="83">AS34</f>
        <v>0</v>
      </c>
      <c r="CZ34" s="19">
        <f t="shared" ref="CZ34:CZ53" si="84">CY34*G34</f>
        <v>0</v>
      </c>
      <c r="DA34" s="20"/>
      <c r="DB34" s="13">
        <f t="shared" ref="DB34:DB53" si="85">AU34</f>
        <v>0</v>
      </c>
      <c r="DC34" s="21">
        <f t="shared" ref="DC34:DC53" si="86">DB34*G34</f>
        <v>0</v>
      </c>
      <c r="DE34" s="97">
        <v>10</v>
      </c>
      <c r="DF34" s="32"/>
      <c r="DG34" s="61">
        <f t="shared" ref="DG34:DG53" si="87">C34</f>
        <v>0</v>
      </c>
      <c r="DH34" s="32"/>
      <c r="DI34" s="59">
        <f t="shared" ref="DI34:DI53" si="88">SUM(I34:AV34)</f>
        <v>1</v>
      </c>
      <c r="DJ34" s="32"/>
      <c r="DK34" s="59">
        <f t="shared" ref="DK34:DK53" si="89">DE34+DG34-DI34</f>
        <v>9</v>
      </c>
      <c r="DL34" s="32"/>
      <c r="DM34" s="96">
        <f t="shared" ref="DM34:DM53" si="90">E34*DK34</f>
        <v>45</v>
      </c>
      <c r="DN34" s="32"/>
      <c r="DO34" s="62">
        <f t="shared" ref="DO34:DO53" si="91">DK34/DI34</f>
        <v>9</v>
      </c>
      <c r="DP34" s="32"/>
      <c r="DQ34" s="96">
        <f t="shared" ref="DQ34:DQ53" si="92">G34*DK34</f>
        <v>54</v>
      </c>
      <c r="DR34" s="32"/>
      <c r="DS34" s="61"/>
      <c r="DT34" s="32"/>
      <c r="DU34" s="63">
        <v>0</v>
      </c>
      <c r="DV34" s="32"/>
      <c r="DW34" s="64">
        <f t="shared" si="46"/>
        <v>0</v>
      </c>
      <c r="DX34" s="32"/>
      <c r="DY34" s="63">
        <f t="shared" si="47"/>
        <v>0</v>
      </c>
    </row>
    <row r="35" spans="1:129" ht="12.45" customHeight="1" x14ac:dyDescent="0.3">
      <c r="A35" s="36" t="s">
        <v>38</v>
      </c>
      <c r="B35" s="32"/>
      <c r="C35" s="51"/>
      <c r="D35" s="34"/>
      <c r="E35" s="38">
        <v>5</v>
      </c>
      <c r="F35" s="34"/>
      <c r="G35" s="33">
        <v>6</v>
      </c>
      <c r="I35" s="26"/>
      <c r="J35" s="27"/>
      <c r="K35" s="28">
        <v>1</v>
      </c>
      <c r="L35" s="12"/>
      <c r="M35" s="26"/>
      <c r="N35" s="12"/>
      <c r="O35" s="28">
        <v>1</v>
      </c>
      <c r="P35" s="12"/>
      <c r="Q35" s="26">
        <v>1</v>
      </c>
      <c r="R35" s="12"/>
      <c r="S35" s="28">
        <v>1</v>
      </c>
      <c r="T35" s="12"/>
      <c r="U35" s="26">
        <v>1</v>
      </c>
      <c r="V35" s="12"/>
      <c r="W35" s="28">
        <v>1</v>
      </c>
      <c r="X35" s="12"/>
      <c r="Y35" s="26">
        <v>1</v>
      </c>
      <c r="Z35" s="12"/>
      <c r="AA35" s="28"/>
      <c r="AB35" s="12"/>
      <c r="AC35" s="26">
        <v>1</v>
      </c>
      <c r="AD35" s="12"/>
      <c r="AE35" s="28"/>
      <c r="AF35" s="12"/>
      <c r="AG35" s="26"/>
      <c r="AH35" s="12"/>
      <c r="AI35" s="28"/>
      <c r="AJ35" s="12"/>
      <c r="AK35" s="26"/>
      <c r="AL35" s="12"/>
      <c r="AM35" s="28"/>
      <c r="AN35" s="12"/>
      <c r="AO35" s="26"/>
      <c r="AP35" s="12"/>
      <c r="AQ35" s="28"/>
      <c r="AR35" s="12"/>
      <c r="AS35" s="26"/>
      <c r="AT35" s="12"/>
      <c r="AU35" s="28"/>
      <c r="AW35" s="18">
        <f t="shared" si="48"/>
        <v>0</v>
      </c>
      <c r="AX35" s="19">
        <f t="shared" si="49"/>
        <v>0</v>
      </c>
      <c r="AY35" s="20"/>
      <c r="AZ35" s="13">
        <f t="shared" si="50"/>
        <v>1</v>
      </c>
      <c r="BA35" s="21">
        <f t="shared" si="51"/>
        <v>6</v>
      </c>
      <c r="BB35" s="20"/>
      <c r="BC35" s="13">
        <f t="shared" si="52"/>
        <v>0</v>
      </c>
      <c r="BD35" s="19">
        <f t="shared" si="53"/>
        <v>0</v>
      </c>
      <c r="BE35" s="20"/>
      <c r="BF35" s="13">
        <f t="shared" si="54"/>
        <v>1</v>
      </c>
      <c r="BG35" s="21">
        <f t="shared" si="55"/>
        <v>6</v>
      </c>
      <c r="BH35" s="20"/>
      <c r="BI35" s="13">
        <f t="shared" si="56"/>
        <v>1</v>
      </c>
      <c r="BJ35" s="19">
        <f t="shared" si="57"/>
        <v>6</v>
      </c>
      <c r="BK35" s="20"/>
      <c r="BL35" s="13">
        <f t="shared" si="58"/>
        <v>1</v>
      </c>
      <c r="BM35" s="21">
        <f t="shared" si="59"/>
        <v>6</v>
      </c>
      <c r="BN35" s="20"/>
      <c r="BO35" s="13">
        <f t="shared" si="60"/>
        <v>1</v>
      </c>
      <c r="BP35" s="19">
        <f t="shared" si="61"/>
        <v>6</v>
      </c>
      <c r="BQ35" s="20"/>
      <c r="BR35" s="13">
        <f t="shared" si="62"/>
        <v>1</v>
      </c>
      <c r="BS35" s="21">
        <f t="shared" si="63"/>
        <v>6</v>
      </c>
      <c r="BT35" s="20"/>
      <c r="BU35" s="13">
        <f t="shared" si="64"/>
        <v>1</v>
      </c>
      <c r="BV35" s="19">
        <f t="shared" si="65"/>
        <v>6</v>
      </c>
      <c r="BW35" s="20"/>
      <c r="BX35" s="13">
        <f t="shared" si="66"/>
        <v>0</v>
      </c>
      <c r="BY35" s="21">
        <f t="shared" si="67"/>
        <v>0</v>
      </c>
      <c r="BZ35" s="20"/>
      <c r="CA35" s="13">
        <f t="shared" si="68"/>
        <v>1</v>
      </c>
      <c r="CB35" s="19">
        <f t="shared" si="69"/>
        <v>6</v>
      </c>
      <c r="CC35" s="20"/>
      <c r="CD35" s="13">
        <f t="shared" si="70"/>
        <v>0</v>
      </c>
      <c r="CE35" s="21">
        <f t="shared" si="71"/>
        <v>0</v>
      </c>
      <c r="CF35" s="20"/>
      <c r="CG35" s="18">
        <f t="shared" si="72"/>
        <v>0</v>
      </c>
      <c r="CH35" s="21">
        <f t="shared" ref="CH35:CH53" si="93">CG35*G35</f>
        <v>0</v>
      </c>
      <c r="CI35" s="20"/>
      <c r="CJ35" s="18">
        <f t="shared" si="73"/>
        <v>0</v>
      </c>
      <c r="CK35" s="21">
        <f t="shared" si="74"/>
        <v>0</v>
      </c>
      <c r="CL35" s="20"/>
      <c r="CM35" s="18">
        <f t="shared" si="75"/>
        <v>0</v>
      </c>
      <c r="CN35" s="21">
        <f t="shared" si="76"/>
        <v>0</v>
      </c>
      <c r="CO35" s="20"/>
      <c r="CP35" s="18">
        <f t="shared" si="77"/>
        <v>0</v>
      </c>
      <c r="CQ35" s="21">
        <f t="shared" si="78"/>
        <v>0</v>
      </c>
      <c r="CR35" s="20"/>
      <c r="CS35" s="18">
        <f t="shared" si="79"/>
        <v>0</v>
      </c>
      <c r="CT35" s="19">
        <f t="shared" si="80"/>
        <v>0</v>
      </c>
      <c r="CU35" s="20"/>
      <c r="CV35" s="13">
        <f t="shared" si="81"/>
        <v>0</v>
      </c>
      <c r="CW35" s="21">
        <f t="shared" si="82"/>
        <v>0</v>
      </c>
      <c r="CX35" s="20"/>
      <c r="CY35" s="13">
        <f t="shared" si="83"/>
        <v>0</v>
      </c>
      <c r="CZ35" s="19">
        <f t="shared" si="84"/>
        <v>0</v>
      </c>
      <c r="DA35" s="20"/>
      <c r="DB35" s="13">
        <f t="shared" si="85"/>
        <v>0</v>
      </c>
      <c r="DC35" s="21">
        <f t="shared" si="86"/>
        <v>0</v>
      </c>
      <c r="DE35" s="97">
        <v>-18</v>
      </c>
      <c r="DF35" s="32"/>
      <c r="DG35" s="61">
        <f t="shared" si="87"/>
        <v>0</v>
      </c>
      <c r="DH35" s="32"/>
      <c r="DI35" s="59">
        <f t="shared" si="88"/>
        <v>8</v>
      </c>
      <c r="DJ35" s="32"/>
      <c r="DK35" s="59">
        <f t="shared" si="89"/>
        <v>-26</v>
      </c>
      <c r="DL35" s="32"/>
      <c r="DM35" s="96">
        <f t="shared" si="90"/>
        <v>-130</v>
      </c>
      <c r="DN35" s="32"/>
      <c r="DO35" s="62">
        <f t="shared" si="91"/>
        <v>-3.25</v>
      </c>
      <c r="DP35" s="32"/>
      <c r="DQ35" s="96">
        <f t="shared" si="92"/>
        <v>-156</v>
      </c>
      <c r="DR35" s="32"/>
      <c r="DS35" s="61"/>
      <c r="DT35" s="32"/>
      <c r="DU35" s="63">
        <v>0</v>
      </c>
      <c r="DV35" s="32"/>
      <c r="DW35" s="64">
        <f t="shared" si="46"/>
        <v>0</v>
      </c>
      <c r="DX35" s="32"/>
      <c r="DY35" s="63">
        <f t="shared" si="47"/>
        <v>0</v>
      </c>
    </row>
    <row r="36" spans="1:129" ht="12.45" customHeight="1" x14ac:dyDescent="0.3">
      <c r="A36" s="37" t="s">
        <v>39</v>
      </c>
      <c r="B36" s="32"/>
      <c r="C36" s="51"/>
      <c r="D36" s="34"/>
      <c r="E36" s="38">
        <v>25</v>
      </c>
      <c r="F36" s="34"/>
      <c r="G36" s="33">
        <v>30</v>
      </c>
      <c r="I36" s="26"/>
      <c r="J36" s="27"/>
      <c r="K36" s="28"/>
      <c r="L36" s="12"/>
      <c r="M36" s="26"/>
      <c r="N36" s="12"/>
      <c r="O36" s="28"/>
      <c r="P36" s="12"/>
      <c r="Q36" s="26"/>
      <c r="R36" s="12"/>
      <c r="S36" s="28"/>
      <c r="T36" s="12"/>
      <c r="U36" s="26">
        <v>1</v>
      </c>
      <c r="V36" s="12"/>
      <c r="W36" s="28"/>
      <c r="X36" s="12"/>
      <c r="Y36" s="26"/>
      <c r="Z36" s="12"/>
      <c r="AA36" s="28"/>
      <c r="AB36" s="12"/>
      <c r="AC36" s="26"/>
      <c r="AD36" s="12"/>
      <c r="AE36" s="28"/>
      <c r="AF36" s="12"/>
      <c r="AG36" s="26"/>
      <c r="AH36" s="12"/>
      <c r="AI36" s="28"/>
      <c r="AJ36" s="12"/>
      <c r="AK36" s="26"/>
      <c r="AL36" s="12"/>
      <c r="AM36" s="28"/>
      <c r="AN36" s="12"/>
      <c r="AO36" s="26"/>
      <c r="AP36" s="12"/>
      <c r="AQ36" s="28"/>
      <c r="AR36" s="12"/>
      <c r="AS36" s="26"/>
      <c r="AT36" s="12"/>
      <c r="AU36" s="28"/>
      <c r="AW36" s="18">
        <f t="shared" si="48"/>
        <v>0</v>
      </c>
      <c r="AX36" s="19">
        <f t="shared" si="49"/>
        <v>0</v>
      </c>
      <c r="AY36" s="20"/>
      <c r="AZ36" s="13">
        <f t="shared" si="50"/>
        <v>0</v>
      </c>
      <c r="BA36" s="21">
        <f t="shared" si="51"/>
        <v>0</v>
      </c>
      <c r="BB36" s="20"/>
      <c r="BC36" s="13">
        <f t="shared" si="52"/>
        <v>0</v>
      </c>
      <c r="BD36" s="19">
        <f t="shared" si="53"/>
        <v>0</v>
      </c>
      <c r="BE36" s="20"/>
      <c r="BF36" s="13">
        <f t="shared" si="54"/>
        <v>0</v>
      </c>
      <c r="BG36" s="21">
        <f t="shared" si="55"/>
        <v>0</v>
      </c>
      <c r="BH36" s="20"/>
      <c r="BI36" s="13">
        <f t="shared" si="56"/>
        <v>0</v>
      </c>
      <c r="BJ36" s="19">
        <f t="shared" si="57"/>
        <v>0</v>
      </c>
      <c r="BK36" s="20"/>
      <c r="BL36" s="13">
        <f t="shared" si="58"/>
        <v>0</v>
      </c>
      <c r="BM36" s="21">
        <f t="shared" si="59"/>
        <v>0</v>
      </c>
      <c r="BN36" s="20"/>
      <c r="BO36" s="13">
        <f t="shared" si="60"/>
        <v>1</v>
      </c>
      <c r="BP36" s="19">
        <f t="shared" si="61"/>
        <v>30</v>
      </c>
      <c r="BQ36" s="20"/>
      <c r="BR36" s="13">
        <f t="shared" si="62"/>
        <v>0</v>
      </c>
      <c r="BS36" s="21">
        <f t="shared" si="63"/>
        <v>0</v>
      </c>
      <c r="BT36" s="20"/>
      <c r="BU36" s="13">
        <f t="shared" si="64"/>
        <v>0</v>
      </c>
      <c r="BV36" s="19">
        <f t="shared" si="65"/>
        <v>0</v>
      </c>
      <c r="BW36" s="20"/>
      <c r="BX36" s="13">
        <f t="shared" si="66"/>
        <v>0</v>
      </c>
      <c r="BY36" s="21">
        <f t="shared" si="67"/>
        <v>0</v>
      </c>
      <c r="BZ36" s="20"/>
      <c r="CA36" s="13">
        <f t="shared" si="68"/>
        <v>0</v>
      </c>
      <c r="CB36" s="19">
        <f t="shared" si="69"/>
        <v>0</v>
      </c>
      <c r="CC36" s="20"/>
      <c r="CD36" s="13">
        <f t="shared" si="70"/>
        <v>0</v>
      </c>
      <c r="CE36" s="21">
        <f t="shared" si="71"/>
        <v>0</v>
      </c>
      <c r="CF36" s="20"/>
      <c r="CG36" s="18">
        <f t="shared" si="72"/>
        <v>0</v>
      </c>
      <c r="CH36" s="21">
        <f t="shared" si="93"/>
        <v>0</v>
      </c>
      <c r="CI36" s="20"/>
      <c r="CJ36" s="18">
        <f t="shared" si="73"/>
        <v>0</v>
      </c>
      <c r="CK36" s="21">
        <f t="shared" si="74"/>
        <v>0</v>
      </c>
      <c r="CL36" s="20"/>
      <c r="CM36" s="18">
        <f t="shared" si="75"/>
        <v>0</v>
      </c>
      <c r="CN36" s="21">
        <f t="shared" si="76"/>
        <v>0</v>
      </c>
      <c r="CO36" s="20"/>
      <c r="CP36" s="18">
        <f t="shared" si="77"/>
        <v>0</v>
      </c>
      <c r="CQ36" s="21">
        <f t="shared" si="78"/>
        <v>0</v>
      </c>
      <c r="CR36" s="20"/>
      <c r="CS36" s="18">
        <f t="shared" si="79"/>
        <v>0</v>
      </c>
      <c r="CT36" s="19">
        <f t="shared" si="80"/>
        <v>0</v>
      </c>
      <c r="CU36" s="20"/>
      <c r="CV36" s="13">
        <f t="shared" si="81"/>
        <v>0</v>
      </c>
      <c r="CW36" s="21">
        <f t="shared" si="82"/>
        <v>0</v>
      </c>
      <c r="CX36" s="20"/>
      <c r="CY36" s="13">
        <f t="shared" si="83"/>
        <v>0</v>
      </c>
      <c r="CZ36" s="19">
        <f t="shared" si="84"/>
        <v>0</v>
      </c>
      <c r="DA36" s="20"/>
      <c r="DB36" s="13">
        <f t="shared" si="85"/>
        <v>0</v>
      </c>
      <c r="DC36" s="21">
        <f t="shared" si="86"/>
        <v>0</v>
      </c>
      <c r="DE36" s="97">
        <v>19</v>
      </c>
      <c r="DF36" s="32"/>
      <c r="DG36" s="61">
        <f t="shared" si="87"/>
        <v>0</v>
      </c>
      <c r="DH36" s="32"/>
      <c r="DI36" s="59">
        <f t="shared" si="88"/>
        <v>1</v>
      </c>
      <c r="DJ36" s="32"/>
      <c r="DK36" s="59">
        <f t="shared" si="89"/>
        <v>18</v>
      </c>
      <c r="DL36" s="32"/>
      <c r="DM36" s="96">
        <f t="shared" si="90"/>
        <v>450</v>
      </c>
      <c r="DN36" s="32"/>
      <c r="DO36" s="62">
        <f t="shared" si="91"/>
        <v>18</v>
      </c>
      <c r="DP36" s="32"/>
      <c r="DQ36" s="96">
        <f t="shared" si="92"/>
        <v>540</v>
      </c>
      <c r="DR36" s="32"/>
      <c r="DS36" s="61"/>
      <c r="DT36" s="32"/>
      <c r="DU36" s="63">
        <v>0</v>
      </c>
      <c r="DV36" s="32"/>
      <c r="DW36" s="64">
        <f t="shared" ref="DW36:DW53" si="94">DU36*1.2</f>
        <v>0</v>
      </c>
      <c r="DX36" s="32"/>
      <c r="DY36" s="63">
        <f t="shared" ref="DY36:DY53" si="95">DU36*DS36</f>
        <v>0</v>
      </c>
    </row>
    <row r="37" spans="1:129" ht="12.45" customHeight="1" x14ac:dyDescent="0.3">
      <c r="A37" s="41" t="s">
        <v>40</v>
      </c>
      <c r="B37" s="32"/>
      <c r="C37" s="51"/>
      <c r="D37" s="34"/>
      <c r="E37" s="38">
        <v>25</v>
      </c>
      <c r="F37" s="34"/>
      <c r="G37" s="33">
        <v>30</v>
      </c>
      <c r="I37" s="26"/>
      <c r="J37" s="27"/>
      <c r="K37" s="28"/>
      <c r="L37" s="12"/>
      <c r="M37" s="26"/>
      <c r="N37" s="12"/>
      <c r="O37" s="28">
        <v>1</v>
      </c>
      <c r="P37" s="12"/>
      <c r="Q37" s="26"/>
      <c r="R37" s="12"/>
      <c r="S37" s="28"/>
      <c r="T37" s="12"/>
      <c r="U37" s="26"/>
      <c r="V37" s="12"/>
      <c r="W37" s="28">
        <v>1</v>
      </c>
      <c r="X37" s="12"/>
      <c r="Y37" s="26">
        <v>1</v>
      </c>
      <c r="Z37" s="12"/>
      <c r="AA37" s="28"/>
      <c r="AB37" s="12"/>
      <c r="AC37" s="26"/>
      <c r="AD37" s="12"/>
      <c r="AE37" s="28"/>
      <c r="AF37" s="12"/>
      <c r="AG37" s="26"/>
      <c r="AH37" s="12"/>
      <c r="AI37" s="28"/>
      <c r="AJ37" s="12"/>
      <c r="AK37" s="26"/>
      <c r="AL37" s="12"/>
      <c r="AM37" s="28"/>
      <c r="AN37" s="12"/>
      <c r="AO37" s="26"/>
      <c r="AP37" s="12"/>
      <c r="AQ37" s="28"/>
      <c r="AR37" s="12"/>
      <c r="AS37" s="26"/>
      <c r="AT37" s="12"/>
      <c r="AU37" s="28"/>
      <c r="AW37" s="18">
        <f t="shared" si="48"/>
        <v>0</v>
      </c>
      <c r="AX37" s="19">
        <f t="shared" si="49"/>
        <v>0</v>
      </c>
      <c r="AY37" s="20"/>
      <c r="AZ37" s="13">
        <f t="shared" si="50"/>
        <v>0</v>
      </c>
      <c r="BA37" s="21">
        <f t="shared" si="51"/>
        <v>0</v>
      </c>
      <c r="BB37" s="20"/>
      <c r="BC37" s="13">
        <f t="shared" si="52"/>
        <v>0</v>
      </c>
      <c r="BD37" s="19">
        <f t="shared" si="53"/>
        <v>0</v>
      </c>
      <c r="BE37" s="20"/>
      <c r="BF37" s="13">
        <f t="shared" si="54"/>
        <v>1</v>
      </c>
      <c r="BG37" s="21">
        <f t="shared" si="55"/>
        <v>30</v>
      </c>
      <c r="BH37" s="20"/>
      <c r="BI37" s="13">
        <f t="shared" si="56"/>
        <v>0</v>
      </c>
      <c r="BJ37" s="19">
        <f t="shared" si="57"/>
        <v>0</v>
      </c>
      <c r="BK37" s="20"/>
      <c r="BL37" s="13">
        <f t="shared" si="58"/>
        <v>0</v>
      </c>
      <c r="BM37" s="21">
        <f t="shared" si="59"/>
        <v>0</v>
      </c>
      <c r="BN37" s="20"/>
      <c r="BO37" s="13">
        <f t="shared" si="60"/>
        <v>0</v>
      </c>
      <c r="BP37" s="19">
        <f t="shared" si="61"/>
        <v>0</v>
      </c>
      <c r="BQ37" s="20"/>
      <c r="BR37" s="13">
        <f t="shared" si="62"/>
        <v>1</v>
      </c>
      <c r="BS37" s="21">
        <f t="shared" si="63"/>
        <v>30</v>
      </c>
      <c r="BT37" s="20"/>
      <c r="BU37" s="13">
        <f t="shared" si="64"/>
        <v>1</v>
      </c>
      <c r="BV37" s="19">
        <f t="shared" si="65"/>
        <v>30</v>
      </c>
      <c r="BW37" s="20"/>
      <c r="BX37" s="13">
        <f t="shared" si="66"/>
        <v>0</v>
      </c>
      <c r="BY37" s="21">
        <f t="shared" si="67"/>
        <v>0</v>
      </c>
      <c r="BZ37" s="20"/>
      <c r="CA37" s="13">
        <f t="shared" si="68"/>
        <v>0</v>
      </c>
      <c r="CB37" s="19">
        <f t="shared" si="69"/>
        <v>0</v>
      </c>
      <c r="CC37" s="20"/>
      <c r="CD37" s="13">
        <f t="shared" si="70"/>
        <v>0</v>
      </c>
      <c r="CE37" s="21">
        <f t="shared" si="71"/>
        <v>0</v>
      </c>
      <c r="CF37" s="20"/>
      <c r="CG37" s="18">
        <f t="shared" si="72"/>
        <v>0</v>
      </c>
      <c r="CH37" s="21">
        <f t="shared" si="93"/>
        <v>0</v>
      </c>
      <c r="CI37" s="20"/>
      <c r="CJ37" s="18">
        <f t="shared" si="73"/>
        <v>0</v>
      </c>
      <c r="CK37" s="21">
        <f t="shared" si="74"/>
        <v>0</v>
      </c>
      <c r="CL37" s="20"/>
      <c r="CM37" s="18">
        <f t="shared" si="75"/>
        <v>0</v>
      </c>
      <c r="CN37" s="21">
        <f t="shared" si="76"/>
        <v>0</v>
      </c>
      <c r="CO37" s="20"/>
      <c r="CP37" s="18">
        <f t="shared" si="77"/>
        <v>0</v>
      </c>
      <c r="CQ37" s="21">
        <f t="shared" si="78"/>
        <v>0</v>
      </c>
      <c r="CR37" s="20"/>
      <c r="CS37" s="18">
        <f t="shared" si="79"/>
        <v>0</v>
      </c>
      <c r="CT37" s="19">
        <f t="shared" si="80"/>
        <v>0</v>
      </c>
      <c r="CU37" s="20"/>
      <c r="CV37" s="13">
        <f t="shared" si="81"/>
        <v>0</v>
      </c>
      <c r="CW37" s="21">
        <f t="shared" si="82"/>
        <v>0</v>
      </c>
      <c r="CX37" s="20"/>
      <c r="CY37" s="13">
        <f t="shared" si="83"/>
        <v>0</v>
      </c>
      <c r="CZ37" s="19">
        <f t="shared" si="84"/>
        <v>0</v>
      </c>
      <c r="DA37" s="20"/>
      <c r="DB37" s="13">
        <f t="shared" si="85"/>
        <v>0</v>
      </c>
      <c r="DC37" s="21">
        <f t="shared" si="86"/>
        <v>0</v>
      </c>
      <c r="DE37" s="97">
        <v>45</v>
      </c>
      <c r="DF37" s="32"/>
      <c r="DG37" s="61">
        <f t="shared" si="87"/>
        <v>0</v>
      </c>
      <c r="DH37" s="32"/>
      <c r="DI37" s="59">
        <f t="shared" si="88"/>
        <v>3</v>
      </c>
      <c r="DJ37" s="32"/>
      <c r="DK37" s="59">
        <f t="shared" si="89"/>
        <v>42</v>
      </c>
      <c r="DL37" s="32"/>
      <c r="DM37" s="96">
        <f t="shared" si="90"/>
        <v>1050</v>
      </c>
      <c r="DN37" s="32"/>
      <c r="DO37" s="62">
        <f t="shared" si="91"/>
        <v>14</v>
      </c>
      <c r="DP37" s="32"/>
      <c r="DQ37" s="96">
        <f t="shared" si="92"/>
        <v>1260</v>
      </c>
      <c r="DR37" s="32"/>
      <c r="DS37" s="61"/>
      <c r="DT37" s="32"/>
      <c r="DU37" s="63">
        <v>0</v>
      </c>
      <c r="DV37" s="32"/>
      <c r="DW37" s="64">
        <f t="shared" si="94"/>
        <v>0</v>
      </c>
      <c r="DX37" s="32"/>
      <c r="DY37" s="63">
        <f t="shared" si="95"/>
        <v>0</v>
      </c>
    </row>
    <row r="38" spans="1:129" ht="12.45" customHeight="1" x14ac:dyDescent="0.3">
      <c r="A38" s="37" t="s">
        <v>41</v>
      </c>
      <c r="B38" s="32"/>
      <c r="C38" s="51"/>
      <c r="D38" s="34"/>
      <c r="E38" s="38">
        <v>25</v>
      </c>
      <c r="F38" s="34"/>
      <c r="G38" s="33">
        <v>30</v>
      </c>
      <c r="I38" s="26">
        <v>1</v>
      </c>
      <c r="J38" s="27"/>
      <c r="K38" s="28"/>
      <c r="L38" s="12"/>
      <c r="M38" s="26"/>
      <c r="N38" s="12"/>
      <c r="O38" s="28"/>
      <c r="P38" s="12"/>
      <c r="Q38" s="26"/>
      <c r="R38" s="12"/>
      <c r="S38" s="28"/>
      <c r="T38" s="12"/>
      <c r="U38" s="26"/>
      <c r="V38" s="12"/>
      <c r="W38" s="28"/>
      <c r="X38" s="12"/>
      <c r="Y38" s="26"/>
      <c r="Z38" s="12"/>
      <c r="AA38" s="28">
        <v>1</v>
      </c>
      <c r="AB38" s="12"/>
      <c r="AC38" s="26"/>
      <c r="AD38" s="12"/>
      <c r="AE38" s="28"/>
      <c r="AF38" s="12"/>
      <c r="AG38" s="26"/>
      <c r="AH38" s="12"/>
      <c r="AI38" s="28"/>
      <c r="AJ38" s="12"/>
      <c r="AK38" s="26"/>
      <c r="AL38" s="12"/>
      <c r="AM38" s="28"/>
      <c r="AN38" s="12"/>
      <c r="AO38" s="26"/>
      <c r="AP38" s="12"/>
      <c r="AQ38" s="28"/>
      <c r="AR38" s="12"/>
      <c r="AS38" s="26"/>
      <c r="AT38" s="12"/>
      <c r="AU38" s="28"/>
      <c r="AW38" s="18">
        <f t="shared" si="48"/>
        <v>1</v>
      </c>
      <c r="AX38" s="19">
        <f t="shared" si="49"/>
        <v>30</v>
      </c>
      <c r="AY38" s="20"/>
      <c r="AZ38" s="13">
        <f t="shared" si="50"/>
        <v>0</v>
      </c>
      <c r="BA38" s="21">
        <f t="shared" si="51"/>
        <v>0</v>
      </c>
      <c r="BB38" s="20"/>
      <c r="BC38" s="13">
        <f t="shared" si="52"/>
        <v>0</v>
      </c>
      <c r="BD38" s="19">
        <f t="shared" si="53"/>
        <v>0</v>
      </c>
      <c r="BE38" s="20"/>
      <c r="BF38" s="13">
        <f t="shared" si="54"/>
        <v>0</v>
      </c>
      <c r="BG38" s="21">
        <f t="shared" si="55"/>
        <v>0</v>
      </c>
      <c r="BH38" s="20"/>
      <c r="BI38" s="13">
        <f t="shared" si="56"/>
        <v>0</v>
      </c>
      <c r="BJ38" s="19">
        <f t="shared" si="57"/>
        <v>0</v>
      </c>
      <c r="BK38" s="20"/>
      <c r="BL38" s="13">
        <f t="shared" si="58"/>
        <v>0</v>
      </c>
      <c r="BM38" s="21">
        <f t="shared" si="59"/>
        <v>0</v>
      </c>
      <c r="BN38" s="20"/>
      <c r="BO38" s="13">
        <f t="shared" si="60"/>
        <v>0</v>
      </c>
      <c r="BP38" s="19">
        <f t="shared" si="61"/>
        <v>0</v>
      </c>
      <c r="BQ38" s="20"/>
      <c r="BR38" s="13">
        <f t="shared" si="62"/>
        <v>0</v>
      </c>
      <c r="BS38" s="21">
        <f t="shared" si="63"/>
        <v>0</v>
      </c>
      <c r="BT38" s="20"/>
      <c r="BU38" s="13">
        <f t="shared" si="64"/>
        <v>0</v>
      </c>
      <c r="BV38" s="19">
        <f t="shared" si="65"/>
        <v>0</v>
      </c>
      <c r="BW38" s="20"/>
      <c r="BX38" s="13">
        <f t="shared" si="66"/>
        <v>1</v>
      </c>
      <c r="BY38" s="21">
        <f t="shared" si="67"/>
        <v>30</v>
      </c>
      <c r="BZ38" s="20"/>
      <c r="CA38" s="13">
        <f t="shared" si="68"/>
        <v>0</v>
      </c>
      <c r="CB38" s="19">
        <f t="shared" si="69"/>
        <v>0</v>
      </c>
      <c r="CC38" s="20"/>
      <c r="CD38" s="13">
        <f t="shared" si="70"/>
        <v>0</v>
      </c>
      <c r="CE38" s="21">
        <f t="shared" si="71"/>
        <v>0</v>
      </c>
      <c r="CF38" s="20"/>
      <c r="CG38" s="18">
        <f t="shared" si="72"/>
        <v>0</v>
      </c>
      <c r="CH38" s="21">
        <f t="shared" si="93"/>
        <v>0</v>
      </c>
      <c r="CI38" s="20"/>
      <c r="CJ38" s="18">
        <f t="shared" si="73"/>
        <v>0</v>
      </c>
      <c r="CK38" s="21">
        <f t="shared" si="74"/>
        <v>0</v>
      </c>
      <c r="CL38" s="20"/>
      <c r="CM38" s="18">
        <f t="shared" si="75"/>
        <v>0</v>
      </c>
      <c r="CN38" s="21">
        <f t="shared" si="76"/>
        <v>0</v>
      </c>
      <c r="CO38" s="20"/>
      <c r="CP38" s="18">
        <f t="shared" si="77"/>
        <v>0</v>
      </c>
      <c r="CQ38" s="21">
        <f t="shared" si="78"/>
        <v>0</v>
      </c>
      <c r="CR38" s="20"/>
      <c r="CS38" s="18">
        <f t="shared" si="79"/>
        <v>0</v>
      </c>
      <c r="CT38" s="19">
        <f t="shared" si="80"/>
        <v>0</v>
      </c>
      <c r="CU38" s="20"/>
      <c r="CV38" s="13">
        <f t="shared" si="81"/>
        <v>0</v>
      </c>
      <c r="CW38" s="21">
        <f t="shared" si="82"/>
        <v>0</v>
      </c>
      <c r="CX38" s="20"/>
      <c r="CY38" s="13">
        <f t="shared" si="83"/>
        <v>0</v>
      </c>
      <c r="CZ38" s="19">
        <f t="shared" si="84"/>
        <v>0</v>
      </c>
      <c r="DA38" s="20"/>
      <c r="DB38" s="13">
        <f t="shared" si="85"/>
        <v>0</v>
      </c>
      <c r="DC38" s="21">
        <f t="shared" si="86"/>
        <v>0</v>
      </c>
      <c r="DE38" s="97">
        <v>78</v>
      </c>
      <c r="DF38" s="32"/>
      <c r="DG38" s="61">
        <f t="shared" si="87"/>
        <v>0</v>
      </c>
      <c r="DH38" s="32"/>
      <c r="DI38" s="59">
        <f t="shared" si="88"/>
        <v>2</v>
      </c>
      <c r="DJ38" s="32"/>
      <c r="DK38" s="59">
        <f t="shared" si="89"/>
        <v>76</v>
      </c>
      <c r="DL38" s="32"/>
      <c r="DM38" s="96">
        <f t="shared" si="90"/>
        <v>1900</v>
      </c>
      <c r="DN38" s="32"/>
      <c r="DO38" s="62">
        <f t="shared" si="91"/>
        <v>38</v>
      </c>
      <c r="DP38" s="32"/>
      <c r="DQ38" s="96">
        <f t="shared" si="92"/>
        <v>2280</v>
      </c>
      <c r="DR38" s="32"/>
      <c r="DS38" s="61"/>
      <c r="DT38" s="32"/>
      <c r="DU38" s="63">
        <v>0</v>
      </c>
      <c r="DV38" s="32"/>
      <c r="DW38" s="64">
        <f t="shared" si="94"/>
        <v>0</v>
      </c>
      <c r="DX38" s="32"/>
      <c r="DY38" s="63">
        <f t="shared" si="95"/>
        <v>0</v>
      </c>
    </row>
    <row r="39" spans="1:129" ht="12.45" customHeight="1" x14ac:dyDescent="0.3">
      <c r="A39" s="36" t="s">
        <v>42</v>
      </c>
      <c r="B39" s="32"/>
      <c r="C39" s="51"/>
      <c r="D39" s="34"/>
      <c r="E39" s="38">
        <v>25</v>
      </c>
      <c r="F39" s="34"/>
      <c r="G39" s="33">
        <v>30</v>
      </c>
      <c r="I39" s="26"/>
      <c r="J39" s="27"/>
      <c r="K39" s="28"/>
      <c r="L39" s="12"/>
      <c r="M39" s="26"/>
      <c r="N39" s="12"/>
      <c r="O39" s="28"/>
      <c r="P39" s="12"/>
      <c r="Q39" s="26"/>
      <c r="R39" s="12"/>
      <c r="S39" s="28"/>
      <c r="T39" s="12"/>
      <c r="U39" s="26"/>
      <c r="V39" s="12"/>
      <c r="W39" s="28"/>
      <c r="X39" s="12"/>
      <c r="Y39" s="26"/>
      <c r="Z39" s="12"/>
      <c r="AA39" s="28"/>
      <c r="AB39" s="12"/>
      <c r="AC39" s="26"/>
      <c r="AD39" s="12"/>
      <c r="AE39" s="28"/>
      <c r="AF39" s="12"/>
      <c r="AG39" s="26"/>
      <c r="AH39" s="12"/>
      <c r="AI39" s="28"/>
      <c r="AJ39" s="12"/>
      <c r="AK39" s="26"/>
      <c r="AL39" s="12"/>
      <c r="AM39" s="28"/>
      <c r="AN39" s="12"/>
      <c r="AO39" s="26"/>
      <c r="AP39" s="12"/>
      <c r="AQ39" s="28"/>
      <c r="AR39" s="12"/>
      <c r="AS39" s="26"/>
      <c r="AT39" s="12"/>
      <c r="AU39" s="28"/>
      <c r="AW39" s="18">
        <f t="shared" si="48"/>
        <v>0</v>
      </c>
      <c r="AX39" s="19">
        <f t="shared" si="49"/>
        <v>0</v>
      </c>
      <c r="AY39" s="20"/>
      <c r="AZ39" s="13">
        <f t="shared" si="50"/>
        <v>0</v>
      </c>
      <c r="BA39" s="21">
        <f t="shared" si="51"/>
        <v>0</v>
      </c>
      <c r="BB39" s="20"/>
      <c r="BC39" s="13">
        <f t="shared" si="52"/>
        <v>0</v>
      </c>
      <c r="BD39" s="19">
        <f t="shared" si="53"/>
        <v>0</v>
      </c>
      <c r="BE39" s="20"/>
      <c r="BF39" s="13">
        <f t="shared" si="54"/>
        <v>0</v>
      </c>
      <c r="BG39" s="21">
        <f t="shared" si="55"/>
        <v>0</v>
      </c>
      <c r="BH39" s="20"/>
      <c r="BI39" s="13">
        <f t="shared" si="56"/>
        <v>0</v>
      </c>
      <c r="BJ39" s="19">
        <f t="shared" si="57"/>
        <v>0</v>
      </c>
      <c r="BK39" s="20"/>
      <c r="BL39" s="13">
        <f t="shared" si="58"/>
        <v>0</v>
      </c>
      <c r="BM39" s="21">
        <f t="shared" si="59"/>
        <v>0</v>
      </c>
      <c r="BN39" s="20"/>
      <c r="BO39" s="13">
        <f t="shared" si="60"/>
        <v>0</v>
      </c>
      <c r="BP39" s="19">
        <f t="shared" si="61"/>
        <v>0</v>
      </c>
      <c r="BQ39" s="20"/>
      <c r="BR39" s="13">
        <f t="shared" si="62"/>
        <v>0</v>
      </c>
      <c r="BS39" s="21">
        <f t="shared" si="63"/>
        <v>0</v>
      </c>
      <c r="BT39" s="20"/>
      <c r="BU39" s="13">
        <f t="shared" si="64"/>
        <v>0</v>
      </c>
      <c r="BV39" s="19">
        <f t="shared" si="65"/>
        <v>0</v>
      </c>
      <c r="BW39" s="20"/>
      <c r="BX39" s="13">
        <f t="shared" si="66"/>
        <v>0</v>
      </c>
      <c r="BY39" s="21">
        <f t="shared" si="67"/>
        <v>0</v>
      </c>
      <c r="BZ39" s="20"/>
      <c r="CA39" s="13">
        <f t="shared" si="68"/>
        <v>0</v>
      </c>
      <c r="CB39" s="19">
        <f t="shared" si="69"/>
        <v>0</v>
      </c>
      <c r="CC39" s="20"/>
      <c r="CD39" s="13">
        <f t="shared" si="70"/>
        <v>0</v>
      </c>
      <c r="CE39" s="21">
        <f t="shared" si="71"/>
        <v>0</v>
      </c>
      <c r="CF39" s="20"/>
      <c r="CG39" s="18">
        <f t="shared" si="72"/>
        <v>0</v>
      </c>
      <c r="CH39" s="21">
        <f t="shared" si="93"/>
        <v>0</v>
      </c>
      <c r="CI39" s="20"/>
      <c r="CJ39" s="18">
        <f t="shared" si="73"/>
        <v>0</v>
      </c>
      <c r="CK39" s="21">
        <f t="shared" si="74"/>
        <v>0</v>
      </c>
      <c r="CL39" s="20"/>
      <c r="CM39" s="18">
        <f t="shared" si="75"/>
        <v>0</v>
      </c>
      <c r="CN39" s="21">
        <f t="shared" si="76"/>
        <v>0</v>
      </c>
      <c r="CO39" s="20"/>
      <c r="CP39" s="18">
        <f t="shared" si="77"/>
        <v>0</v>
      </c>
      <c r="CQ39" s="21">
        <f t="shared" si="78"/>
        <v>0</v>
      </c>
      <c r="CR39" s="20"/>
      <c r="CS39" s="18">
        <f t="shared" si="79"/>
        <v>0</v>
      </c>
      <c r="CT39" s="19">
        <f t="shared" si="80"/>
        <v>0</v>
      </c>
      <c r="CU39" s="20"/>
      <c r="CV39" s="13">
        <f t="shared" si="81"/>
        <v>0</v>
      </c>
      <c r="CW39" s="21">
        <f t="shared" si="82"/>
        <v>0</v>
      </c>
      <c r="CX39" s="20"/>
      <c r="CY39" s="13">
        <f t="shared" si="83"/>
        <v>0</v>
      </c>
      <c r="CZ39" s="19">
        <f t="shared" si="84"/>
        <v>0</v>
      </c>
      <c r="DA39" s="20"/>
      <c r="DB39" s="13">
        <f t="shared" si="85"/>
        <v>0</v>
      </c>
      <c r="DC39" s="21">
        <f t="shared" si="86"/>
        <v>0</v>
      </c>
      <c r="DE39" s="97">
        <v>58</v>
      </c>
      <c r="DF39" s="32"/>
      <c r="DG39" s="61">
        <f t="shared" si="87"/>
        <v>0</v>
      </c>
      <c r="DH39" s="32"/>
      <c r="DI39" s="59">
        <f t="shared" si="88"/>
        <v>0</v>
      </c>
      <c r="DJ39" s="32"/>
      <c r="DK39" s="59">
        <f t="shared" si="89"/>
        <v>58</v>
      </c>
      <c r="DL39" s="32"/>
      <c r="DM39" s="96">
        <f t="shared" si="90"/>
        <v>1450</v>
      </c>
      <c r="DN39" s="32"/>
      <c r="DO39" s="62" t="e">
        <f t="shared" si="91"/>
        <v>#DIV/0!</v>
      </c>
      <c r="DP39" s="32"/>
      <c r="DQ39" s="96">
        <f t="shared" si="92"/>
        <v>1740</v>
      </c>
      <c r="DR39" s="32"/>
      <c r="DS39" s="61"/>
      <c r="DT39" s="32"/>
      <c r="DU39" s="63">
        <v>0</v>
      </c>
      <c r="DV39" s="32"/>
      <c r="DW39" s="64">
        <f t="shared" si="94"/>
        <v>0</v>
      </c>
      <c r="DX39" s="32"/>
      <c r="DY39" s="63">
        <f t="shared" si="95"/>
        <v>0</v>
      </c>
    </row>
    <row r="40" spans="1:129" s="8" customFormat="1" ht="12.45" customHeight="1" x14ac:dyDescent="0.3">
      <c r="A40" s="37" t="s">
        <v>43</v>
      </c>
      <c r="B40" s="32"/>
      <c r="C40" s="51"/>
      <c r="D40" s="34"/>
      <c r="E40" s="38">
        <v>25</v>
      </c>
      <c r="F40" s="34"/>
      <c r="G40" s="33">
        <v>30</v>
      </c>
      <c r="H40" s="3"/>
      <c r="I40" s="26"/>
      <c r="J40" s="27"/>
      <c r="K40" s="28"/>
      <c r="L40" s="12"/>
      <c r="M40" s="26"/>
      <c r="N40" s="12"/>
      <c r="O40" s="28"/>
      <c r="P40" s="12"/>
      <c r="Q40" s="26">
        <v>1</v>
      </c>
      <c r="R40" s="12"/>
      <c r="S40" s="28">
        <v>1</v>
      </c>
      <c r="T40" s="12"/>
      <c r="U40" s="26"/>
      <c r="V40" s="12"/>
      <c r="W40" s="28">
        <v>1</v>
      </c>
      <c r="X40" s="12"/>
      <c r="Y40" s="26"/>
      <c r="Z40" s="12"/>
      <c r="AA40" s="28"/>
      <c r="AB40" s="12"/>
      <c r="AC40" s="26"/>
      <c r="AD40" s="12"/>
      <c r="AE40" s="28"/>
      <c r="AF40" s="12"/>
      <c r="AG40" s="26"/>
      <c r="AH40" s="12"/>
      <c r="AI40" s="28"/>
      <c r="AJ40" s="12"/>
      <c r="AK40" s="26"/>
      <c r="AL40" s="12"/>
      <c r="AM40" s="28"/>
      <c r="AN40" s="12"/>
      <c r="AO40" s="26"/>
      <c r="AP40" s="12"/>
      <c r="AQ40" s="28"/>
      <c r="AR40" s="12"/>
      <c r="AS40" s="26"/>
      <c r="AT40" s="12"/>
      <c r="AU40" s="28"/>
      <c r="AV40" s="3"/>
      <c r="AW40" s="18">
        <f t="shared" si="48"/>
        <v>0</v>
      </c>
      <c r="AX40" s="19">
        <f t="shared" si="49"/>
        <v>0</v>
      </c>
      <c r="AY40" s="20"/>
      <c r="AZ40" s="13">
        <f t="shared" si="50"/>
        <v>0</v>
      </c>
      <c r="BA40" s="21">
        <f t="shared" si="51"/>
        <v>0</v>
      </c>
      <c r="BB40" s="20"/>
      <c r="BC40" s="13">
        <f t="shared" si="52"/>
        <v>0</v>
      </c>
      <c r="BD40" s="19">
        <f t="shared" si="53"/>
        <v>0</v>
      </c>
      <c r="BE40" s="20"/>
      <c r="BF40" s="13">
        <f t="shared" si="54"/>
        <v>0</v>
      </c>
      <c r="BG40" s="21">
        <f t="shared" si="55"/>
        <v>0</v>
      </c>
      <c r="BH40" s="20"/>
      <c r="BI40" s="13">
        <f t="shared" si="56"/>
        <v>1</v>
      </c>
      <c r="BJ40" s="19">
        <f t="shared" si="57"/>
        <v>30</v>
      </c>
      <c r="BK40" s="20"/>
      <c r="BL40" s="13">
        <f t="shared" si="58"/>
        <v>1</v>
      </c>
      <c r="BM40" s="21">
        <f t="shared" si="59"/>
        <v>30</v>
      </c>
      <c r="BN40" s="20"/>
      <c r="BO40" s="13">
        <f t="shared" si="60"/>
        <v>0</v>
      </c>
      <c r="BP40" s="19">
        <f t="shared" si="61"/>
        <v>0</v>
      </c>
      <c r="BQ40" s="20"/>
      <c r="BR40" s="13">
        <f t="shared" si="62"/>
        <v>1</v>
      </c>
      <c r="BS40" s="21">
        <f t="shared" si="63"/>
        <v>30</v>
      </c>
      <c r="BT40" s="20"/>
      <c r="BU40" s="13">
        <f t="shared" si="64"/>
        <v>0</v>
      </c>
      <c r="BV40" s="19">
        <f t="shared" si="65"/>
        <v>0</v>
      </c>
      <c r="BW40" s="20"/>
      <c r="BX40" s="13">
        <f t="shared" si="66"/>
        <v>0</v>
      </c>
      <c r="BY40" s="21">
        <f t="shared" si="67"/>
        <v>0</v>
      </c>
      <c r="BZ40" s="20"/>
      <c r="CA40" s="13">
        <f t="shared" si="68"/>
        <v>0</v>
      </c>
      <c r="CB40" s="19">
        <f t="shared" si="69"/>
        <v>0</v>
      </c>
      <c r="CC40" s="20"/>
      <c r="CD40" s="13">
        <f t="shared" si="70"/>
        <v>0</v>
      </c>
      <c r="CE40" s="21">
        <f t="shared" si="71"/>
        <v>0</v>
      </c>
      <c r="CF40" s="20"/>
      <c r="CG40" s="18">
        <f t="shared" si="72"/>
        <v>0</v>
      </c>
      <c r="CH40" s="21">
        <f t="shared" si="93"/>
        <v>0</v>
      </c>
      <c r="CI40" s="20"/>
      <c r="CJ40" s="18">
        <f t="shared" si="73"/>
        <v>0</v>
      </c>
      <c r="CK40" s="21">
        <f t="shared" si="74"/>
        <v>0</v>
      </c>
      <c r="CL40" s="20"/>
      <c r="CM40" s="18">
        <f t="shared" si="75"/>
        <v>0</v>
      </c>
      <c r="CN40" s="21">
        <f t="shared" si="76"/>
        <v>0</v>
      </c>
      <c r="CO40" s="20"/>
      <c r="CP40" s="18">
        <f t="shared" si="77"/>
        <v>0</v>
      </c>
      <c r="CQ40" s="21">
        <f t="shared" si="78"/>
        <v>0</v>
      </c>
      <c r="CR40" s="20"/>
      <c r="CS40" s="18">
        <f t="shared" si="79"/>
        <v>0</v>
      </c>
      <c r="CT40" s="19">
        <f t="shared" si="80"/>
        <v>0</v>
      </c>
      <c r="CU40" s="20"/>
      <c r="CV40" s="13">
        <f t="shared" si="81"/>
        <v>0</v>
      </c>
      <c r="CW40" s="21">
        <f t="shared" si="82"/>
        <v>0</v>
      </c>
      <c r="CX40" s="20"/>
      <c r="CY40" s="13">
        <f t="shared" si="83"/>
        <v>0</v>
      </c>
      <c r="CZ40" s="19">
        <f t="shared" si="84"/>
        <v>0</v>
      </c>
      <c r="DA40" s="20"/>
      <c r="DB40" s="13">
        <f t="shared" si="85"/>
        <v>0</v>
      </c>
      <c r="DC40" s="21">
        <f t="shared" si="86"/>
        <v>0</v>
      </c>
      <c r="DD40" s="3"/>
      <c r="DE40" s="97">
        <v>68</v>
      </c>
      <c r="DF40" s="32"/>
      <c r="DG40" s="61">
        <f t="shared" si="87"/>
        <v>0</v>
      </c>
      <c r="DH40" s="32"/>
      <c r="DI40" s="59">
        <f t="shared" si="88"/>
        <v>3</v>
      </c>
      <c r="DJ40" s="32"/>
      <c r="DK40" s="59">
        <f t="shared" si="89"/>
        <v>65</v>
      </c>
      <c r="DL40" s="32"/>
      <c r="DM40" s="96">
        <f t="shared" si="90"/>
        <v>1625</v>
      </c>
      <c r="DN40" s="32"/>
      <c r="DO40" s="62">
        <f t="shared" si="91"/>
        <v>21.666666666666668</v>
      </c>
      <c r="DP40" s="32"/>
      <c r="DQ40" s="96">
        <f t="shared" si="92"/>
        <v>1950</v>
      </c>
      <c r="DR40" s="32"/>
      <c r="DS40" s="61"/>
      <c r="DT40" s="32"/>
      <c r="DU40" s="63">
        <v>0</v>
      </c>
      <c r="DV40" s="32"/>
      <c r="DW40" s="64">
        <f t="shared" si="94"/>
        <v>0</v>
      </c>
      <c r="DX40" s="32"/>
      <c r="DY40" s="63">
        <f t="shared" si="95"/>
        <v>0</v>
      </c>
    </row>
    <row r="41" spans="1:129" ht="12.45" customHeight="1" x14ac:dyDescent="0.3">
      <c r="A41" s="36" t="s">
        <v>44</v>
      </c>
      <c r="B41" s="32"/>
      <c r="C41" s="51"/>
      <c r="D41" s="34"/>
      <c r="E41" s="38">
        <v>25</v>
      </c>
      <c r="F41" s="34"/>
      <c r="G41" s="33">
        <v>30</v>
      </c>
      <c r="I41" s="26"/>
      <c r="J41" s="27"/>
      <c r="K41" s="28"/>
      <c r="L41" s="12"/>
      <c r="M41" s="26"/>
      <c r="N41" s="12"/>
      <c r="O41" s="28"/>
      <c r="P41" s="12"/>
      <c r="Q41" s="26"/>
      <c r="R41" s="12"/>
      <c r="S41" s="28">
        <v>1</v>
      </c>
      <c r="T41" s="12"/>
      <c r="U41" s="26"/>
      <c r="V41" s="12"/>
      <c r="W41" s="28"/>
      <c r="X41" s="12"/>
      <c r="Y41" s="26"/>
      <c r="Z41" s="12"/>
      <c r="AA41" s="28"/>
      <c r="AB41" s="12"/>
      <c r="AC41" s="26">
        <v>1</v>
      </c>
      <c r="AD41" s="12"/>
      <c r="AE41" s="28"/>
      <c r="AF41" s="12"/>
      <c r="AG41" s="26"/>
      <c r="AH41" s="12"/>
      <c r="AI41" s="28"/>
      <c r="AJ41" s="12"/>
      <c r="AK41" s="26"/>
      <c r="AL41" s="12"/>
      <c r="AM41" s="28"/>
      <c r="AN41" s="12"/>
      <c r="AO41" s="26"/>
      <c r="AP41" s="12"/>
      <c r="AQ41" s="28"/>
      <c r="AR41" s="12"/>
      <c r="AS41" s="26"/>
      <c r="AT41" s="12"/>
      <c r="AU41" s="28"/>
      <c r="AW41" s="18">
        <f t="shared" si="48"/>
        <v>0</v>
      </c>
      <c r="AX41" s="19">
        <f t="shared" si="49"/>
        <v>0</v>
      </c>
      <c r="AY41" s="20"/>
      <c r="AZ41" s="13">
        <f t="shared" si="50"/>
        <v>0</v>
      </c>
      <c r="BA41" s="21">
        <f t="shared" si="51"/>
        <v>0</v>
      </c>
      <c r="BB41" s="20"/>
      <c r="BC41" s="13">
        <f t="shared" si="52"/>
        <v>0</v>
      </c>
      <c r="BD41" s="19">
        <f t="shared" si="53"/>
        <v>0</v>
      </c>
      <c r="BE41" s="20"/>
      <c r="BF41" s="13">
        <f t="shared" si="54"/>
        <v>0</v>
      </c>
      <c r="BG41" s="21">
        <f t="shared" si="55"/>
        <v>0</v>
      </c>
      <c r="BH41" s="20"/>
      <c r="BI41" s="13">
        <f t="shared" si="56"/>
        <v>0</v>
      </c>
      <c r="BJ41" s="19">
        <f t="shared" si="57"/>
        <v>0</v>
      </c>
      <c r="BK41" s="20"/>
      <c r="BL41" s="13">
        <f t="shared" si="58"/>
        <v>1</v>
      </c>
      <c r="BM41" s="21">
        <f t="shared" si="59"/>
        <v>30</v>
      </c>
      <c r="BN41" s="20"/>
      <c r="BO41" s="13">
        <f t="shared" si="60"/>
        <v>0</v>
      </c>
      <c r="BP41" s="19">
        <f t="shared" si="61"/>
        <v>0</v>
      </c>
      <c r="BQ41" s="20"/>
      <c r="BR41" s="13">
        <f t="shared" si="62"/>
        <v>0</v>
      </c>
      <c r="BS41" s="21">
        <f t="shared" si="63"/>
        <v>0</v>
      </c>
      <c r="BT41" s="20"/>
      <c r="BU41" s="13">
        <f t="shared" si="64"/>
        <v>0</v>
      </c>
      <c r="BV41" s="19">
        <f t="shared" si="65"/>
        <v>0</v>
      </c>
      <c r="BW41" s="20"/>
      <c r="BX41" s="13">
        <f t="shared" si="66"/>
        <v>0</v>
      </c>
      <c r="BY41" s="21">
        <f t="shared" si="67"/>
        <v>0</v>
      </c>
      <c r="BZ41" s="20"/>
      <c r="CA41" s="13">
        <f t="shared" si="68"/>
        <v>1</v>
      </c>
      <c r="CB41" s="19">
        <f t="shared" si="69"/>
        <v>30</v>
      </c>
      <c r="CC41" s="20"/>
      <c r="CD41" s="13">
        <f t="shared" si="70"/>
        <v>0</v>
      </c>
      <c r="CE41" s="21">
        <f t="shared" si="71"/>
        <v>0</v>
      </c>
      <c r="CF41" s="20"/>
      <c r="CG41" s="18">
        <f t="shared" si="72"/>
        <v>0</v>
      </c>
      <c r="CH41" s="21">
        <f t="shared" si="93"/>
        <v>0</v>
      </c>
      <c r="CI41" s="20"/>
      <c r="CJ41" s="18">
        <f t="shared" si="73"/>
        <v>0</v>
      </c>
      <c r="CK41" s="21">
        <f t="shared" si="74"/>
        <v>0</v>
      </c>
      <c r="CL41" s="20"/>
      <c r="CM41" s="18">
        <f t="shared" si="75"/>
        <v>0</v>
      </c>
      <c r="CN41" s="21">
        <f t="shared" si="76"/>
        <v>0</v>
      </c>
      <c r="CO41" s="20"/>
      <c r="CP41" s="18">
        <f t="shared" si="77"/>
        <v>0</v>
      </c>
      <c r="CQ41" s="21">
        <f t="shared" si="78"/>
        <v>0</v>
      </c>
      <c r="CR41" s="20"/>
      <c r="CS41" s="18">
        <f t="shared" si="79"/>
        <v>0</v>
      </c>
      <c r="CT41" s="19">
        <f t="shared" si="80"/>
        <v>0</v>
      </c>
      <c r="CU41" s="20"/>
      <c r="CV41" s="13">
        <f t="shared" si="81"/>
        <v>0</v>
      </c>
      <c r="CW41" s="21">
        <f t="shared" si="82"/>
        <v>0</v>
      </c>
      <c r="CX41" s="20"/>
      <c r="CY41" s="13">
        <f t="shared" si="83"/>
        <v>0</v>
      </c>
      <c r="CZ41" s="19">
        <f t="shared" si="84"/>
        <v>0</v>
      </c>
      <c r="DA41" s="20"/>
      <c r="DB41" s="13">
        <f t="shared" si="85"/>
        <v>0</v>
      </c>
      <c r="DC41" s="21">
        <f t="shared" si="86"/>
        <v>0</v>
      </c>
      <c r="DE41" s="97">
        <v>50</v>
      </c>
      <c r="DF41" s="32"/>
      <c r="DG41" s="61">
        <f t="shared" si="87"/>
        <v>0</v>
      </c>
      <c r="DH41" s="32"/>
      <c r="DI41" s="59">
        <f t="shared" si="88"/>
        <v>2</v>
      </c>
      <c r="DJ41" s="32"/>
      <c r="DK41" s="59">
        <f t="shared" si="89"/>
        <v>48</v>
      </c>
      <c r="DL41" s="32"/>
      <c r="DM41" s="96">
        <f t="shared" si="90"/>
        <v>1200</v>
      </c>
      <c r="DN41" s="32"/>
      <c r="DO41" s="62">
        <f t="shared" si="91"/>
        <v>24</v>
      </c>
      <c r="DP41" s="32"/>
      <c r="DQ41" s="96">
        <f t="shared" si="92"/>
        <v>1440</v>
      </c>
      <c r="DR41" s="32"/>
      <c r="DS41" s="61"/>
      <c r="DT41" s="32"/>
      <c r="DU41" s="63">
        <v>0</v>
      </c>
      <c r="DV41" s="32"/>
      <c r="DW41" s="64">
        <f t="shared" si="94"/>
        <v>0</v>
      </c>
      <c r="DX41" s="32"/>
      <c r="DY41" s="63">
        <f t="shared" si="95"/>
        <v>0</v>
      </c>
    </row>
    <row r="42" spans="1:129" ht="12.45" customHeight="1" x14ac:dyDescent="0.3">
      <c r="A42" s="37" t="s">
        <v>45</v>
      </c>
      <c r="B42" s="32"/>
      <c r="C42" s="51"/>
      <c r="D42" s="34"/>
      <c r="E42" s="38">
        <v>25</v>
      </c>
      <c r="F42" s="34"/>
      <c r="G42" s="33">
        <v>30</v>
      </c>
      <c r="I42" s="26"/>
      <c r="J42" s="27"/>
      <c r="K42" s="28"/>
      <c r="L42" s="12"/>
      <c r="M42" s="26"/>
      <c r="N42" s="12"/>
      <c r="O42" s="28"/>
      <c r="P42" s="12"/>
      <c r="Q42" s="26"/>
      <c r="R42" s="12"/>
      <c r="S42" s="28"/>
      <c r="T42" s="12"/>
      <c r="U42" s="26"/>
      <c r="V42" s="12"/>
      <c r="W42" s="28"/>
      <c r="X42" s="12"/>
      <c r="Y42" s="26">
        <v>1</v>
      </c>
      <c r="Z42" s="12"/>
      <c r="AA42" s="28"/>
      <c r="AB42" s="12"/>
      <c r="AC42" s="26"/>
      <c r="AD42" s="12"/>
      <c r="AE42" s="28"/>
      <c r="AF42" s="12"/>
      <c r="AG42" s="26"/>
      <c r="AH42" s="12"/>
      <c r="AI42" s="28"/>
      <c r="AJ42" s="12"/>
      <c r="AK42" s="26"/>
      <c r="AL42" s="12"/>
      <c r="AM42" s="28"/>
      <c r="AN42" s="12"/>
      <c r="AO42" s="26"/>
      <c r="AP42" s="12"/>
      <c r="AQ42" s="28"/>
      <c r="AR42" s="12"/>
      <c r="AS42" s="26"/>
      <c r="AT42" s="12"/>
      <c r="AU42" s="28"/>
      <c r="AW42" s="18">
        <f t="shared" si="48"/>
        <v>0</v>
      </c>
      <c r="AX42" s="19">
        <f t="shared" si="49"/>
        <v>0</v>
      </c>
      <c r="AY42" s="20"/>
      <c r="AZ42" s="13">
        <f t="shared" si="50"/>
        <v>0</v>
      </c>
      <c r="BA42" s="21">
        <f t="shared" si="51"/>
        <v>0</v>
      </c>
      <c r="BB42" s="20"/>
      <c r="BC42" s="13">
        <f t="shared" si="52"/>
        <v>0</v>
      </c>
      <c r="BD42" s="19">
        <f t="shared" si="53"/>
        <v>0</v>
      </c>
      <c r="BE42" s="20"/>
      <c r="BF42" s="13">
        <f t="shared" si="54"/>
        <v>0</v>
      </c>
      <c r="BG42" s="21">
        <f t="shared" si="55"/>
        <v>0</v>
      </c>
      <c r="BH42" s="20"/>
      <c r="BI42" s="13">
        <f t="shared" si="56"/>
        <v>0</v>
      </c>
      <c r="BJ42" s="19">
        <f t="shared" si="57"/>
        <v>0</v>
      </c>
      <c r="BK42" s="20"/>
      <c r="BL42" s="13">
        <f t="shared" si="58"/>
        <v>0</v>
      </c>
      <c r="BM42" s="21">
        <f t="shared" si="59"/>
        <v>0</v>
      </c>
      <c r="BN42" s="20"/>
      <c r="BO42" s="13">
        <f t="shared" si="60"/>
        <v>0</v>
      </c>
      <c r="BP42" s="19">
        <f t="shared" si="61"/>
        <v>0</v>
      </c>
      <c r="BQ42" s="20"/>
      <c r="BR42" s="13">
        <f t="shared" si="62"/>
        <v>0</v>
      </c>
      <c r="BS42" s="21">
        <f t="shared" si="63"/>
        <v>0</v>
      </c>
      <c r="BT42" s="20"/>
      <c r="BU42" s="13">
        <f t="shared" si="64"/>
        <v>1</v>
      </c>
      <c r="BV42" s="19">
        <f t="shared" si="65"/>
        <v>30</v>
      </c>
      <c r="BW42" s="20"/>
      <c r="BX42" s="13">
        <f t="shared" si="66"/>
        <v>0</v>
      </c>
      <c r="BY42" s="21">
        <f t="shared" si="67"/>
        <v>0</v>
      </c>
      <c r="BZ42" s="20"/>
      <c r="CA42" s="13">
        <f t="shared" si="68"/>
        <v>0</v>
      </c>
      <c r="CB42" s="19">
        <f t="shared" si="69"/>
        <v>0</v>
      </c>
      <c r="CC42" s="20"/>
      <c r="CD42" s="13">
        <f t="shared" si="70"/>
        <v>0</v>
      </c>
      <c r="CE42" s="21">
        <f t="shared" si="71"/>
        <v>0</v>
      </c>
      <c r="CF42" s="20"/>
      <c r="CG42" s="18">
        <f t="shared" si="72"/>
        <v>0</v>
      </c>
      <c r="CH42" s="21">
        <f t="shared" si="93"/>
        <v>0</v>
      </c>
      <c r="CI42" s="20"/>
      <c r="CJ42" s="18">
        <f t="shared" si="73"/>
        <v>0</v>
      </c>
      <c r="CK42" s="21">
        <f t="shared" si="74"/>
        <v>0</v>
      </c>
      <c r="CL42" s="20"/>
      <c r="CM42" s="18">
        <f t="shared" si="75"/>
        <v>0</v>
      </c>
      <c r="CN42" s="21">
        <f t="shared" si="76"/>
        <v>0</v>
      </c>
      <c r="CO42" s="20"/>
      <c r="CP42" s="18">
        <f t="shared" si="77"/>
        <v>0</v>
      </c>
      <c r="CQ42" s="21">
        <f t="shared" si="78"/>
        <v>0</v>
      </c>
      <c r="CR42" s="20"/>
      <c r="CS42" s="18">
        <f t="shared" si="79"/>
        <v>0</v>
      </c>
      <c r="CT42" s="19">
        <f t="shared" si="80"/>
        <v>0</v>
      </c>
      <c r="CU42" s="20"/>
      <c r="CV42" s="13">
        <f t="shared" si="81"/>
        <v>0</v>
      </c>
      <c r="CW42" s="21">
        <f t="shared" si="82"/>
        <v>0</v>
      </c>
      <c r="CX42" s="20"/>
      <c r="CY42" s="13">
        <f t="shared" si="83"/>
        <v>0</v>
      </c>
      <c r="CZ42" s="19">
        <f t="shared" si="84"/>
        <v>0</v>
      </c>
      <c r="DA42" s="20"/>
      <c r="DB42" s="13">
        <f t="shared" si="85"/>
        <v>0</v>
      </c>
      <c r="DC42" s="21">
        <f t="shared" si="86"/>
        <v>0</v>
      </c>
      <c r="DE42" s="97">
        <v>17</v>
      </c>
      <c r="DF42" s="32"/>
      <c r="DG42" s="61">
        <f t="shared" si="87"/>
        <v>0</v>
      </c>
      <c r="DH42" s="32"/>
      <c r="DI42" s="59">
        <f t="shared" si="88"/>
        <v>1</v>
      </c>
      <c r="DJ42" s="32"/>
      <c r="DK42" s="59">
        <f t="shared" si="89"/>
        <v>16</v>
      </c>
      <c r="DL42" s="32"/>
      <c r="DM42" s="96">
        <f t="shared" si="90"/>
        <v>400</v>
      </c>
      <c r="DN42" s="32"/>
      <c r="DO42" s="62">
        <f t="shared" si="91"/>
        <v>16</v>
      </c>
      <c r="DP42" s="32"/>
      <c r="DQ42" s="96">
        <f t="shared" si="92"/>
        <v>480</v>
      </c>
      <c r="DR42" s="32"/>
      <c r="DS42" s="61"/>
      <c r="DT42" s="32"/>
      <c r="DU42" s="63">
        <v>0</v>
      </c>
      <c r="DV42" s="32"/>
      <c r="DW42" s="64">
        <f t="shared" si="94"/>
        <v>0</v>
      </c>
      <c r="DX42" s="32"/>
      <c r="DY42" s="63">
        <f t="shared" si="95"/>
        <v>0</v>
      </c>
    </row>
    <row r="43" spans="1:129" ht="12.45" customHeight="1" x14ac:dyDescent="0.3">
      <c r="A43" s="36" t="s">
        <v>46</v>
      </c>
      <c r="B43" s="32"/>
      <c r="C43" s="51"/>
      <c r="D43" s="34"/>
      <c r="E43" s="38">
        <v>25</v>
      </c>
      <c r="F43" s="34"/>
      <c r="G43" s="33">
        <v>30</v>
      </c>
      <c r="I43" s="26"/>
      <c r="J43" s="27"/>
      <c r="K43" s="28">
        <v>1</v>
      </c>
      <c r="L43" s="12"/>
      <c r="M43" s="26"/>
      <c r="N43" s="12"/>
      <c r="O43" s="28">
        <v>1</v>
      </c>
      <c r="P43" s="12"/>
      <c r="Q43" s="26"/>
      <c r="R43" s="12"/>
      <c r="S43" s="28"/>
      <c r="T43" s="12"/>
      <c r="U43" s="26"/>
      <c r="V43" s="12"/>
      <c r="W43" s="28">
        <v>1</v>
      </c>
      <c r="X43" s="12"/>
      <c r="Y43" s="26"/>
      <c r="Z43" s="12"/>
      <c r="AA43" s="28"/>
      <c r="AB43" s="12"/>
      <c r="AC43" s="26"/>
      <c r="AD43" s="12"/>
      <c r="AE43" s="28"/>
      <c r="AF43" s="12"/>
      <c r="AG43" s="26"/>
      <c r="AH43" s="12"/>
      <c r="AI43" s="28"/>
      <c r="AJ43" s="12"/>
      <c r="AK43" s="26"/>
      <c r="AL43" s="12"/>
      <c r="AM43" s="28"/>
      <c r="AN43" s="12"/>
      <c r="AO43" s="26"/>
      <c r="AP43" s="12"/>
      <c r="AQ43" s="28"/>
      <c r="AR43" s="12"/>
      <c r="AS43" s="26"/>
      <c r="AT43" s="12"/>
      <c r="AU43" s="28"/>
      <c r="AW43" s="18">
        <f t="shared" si="48"/>
        <v>0</v>
      </c>
      <c r="AX43" s="19">
        <f t="shared" si="49"/>
        <v>0</v>
      </c>
      <c r="AY43" s="20"/>
      <c r="AZ43" s="13">
        <f t="shared" si="50"/>
        <v>1</v>
      </c>
      <c r="BA43" s="21">
        <f t="shared" si="51"/>
        <v>30</v>
      </c>
      <c r="BB43" s="20"/>
      <c r="BC43" s="13">
        <f t="shared" si="52"/>
        <v>0</v>
      </c>
      <c r="BD43" s="19">
        <f t="shared" si="53"/>
        <v>0</v>
      </c>
      <c r="BE43" s="20"/>
      <c r="BF43" s="13">
        <f t="shared" si="54"/>
        <v>1</v>
      </c>
      <c r="BG43" s="21">
        <f t="shared" si="55"/>
        <v>30</v>
      </c>
      <c r="BH43" s="20"/>
      <c r="BI43" s="13">
        <f t="shared" si="56"/>
        <v>0</v>
      </c>
      <c r="BJ43" s="19">
        <f t="shared" si="57"/>
        <v>0</v>
      </c>
      <c r="BK43" s="20"/>
      <c r="BL43" s="13">
        <f t="shared" si="58"/>
        <v>0</v>
      </c>
      <c r="BM43" s="21">
        <f t="shared" si="59"/>
        <v>0</v>
      </c>
      <c r="BN43" s="20"/>
      <c r="BO43" s="13">
        <f t="shared" si="60"/>
        <v>0</v>
      </c>
      <c r="BP43" s="19">
        <f t="shared" si="61"/>
        <v>0</v>
      </c>
      <c r="BQ43" s="20"/>
      <c r="BR43" s="13">
        <f t="shared" si="62"/>
        <v>1</v>
      </c>
      <c r="BS43" s="21">
        <f t="shared" si="63"/>
        <v>30</v>
      </c>
      <c r="BT43" s="20"/>
      <c r="BU43" s="13">
        <f t="shared" si="64"/>
        <v>0</v>
      </c>
      <c r="BV43" s="19">
        <f t="shared" si="65"/>
        <v>0</v>
      </c>
      <c r="BW43" s="20"/>
      <c r="BX43" s="13">
        <f t="shared" si="66"/>
        <v>0</v>
      </c>
      <c r="BY43" s="21">
        <f t="shared" si="67"/>
        <v>0</v>
      </c>
      <c r="BZ43" s="20"/>
      <c r="CA43" s="13">
        <f t="shared" si="68"/>
        <v>0</v>
      </c>
      <c r="CB43" s="19">
        <f t="shared" si="69"/>
        <v>0</v>
      </c>
      <c r="CC43" s="20"/>
      <c r="CD43" s="13">
        <f t="shared" si="70"/>
        <v>0</v>
      </c>
      <c r="CE43" s="21">
        <f t="shared" si="71"/>
        <v>0</v>
      </c>
      <c r="CF43" s="20"/>
      <c r="CG43" s="18">
        <f t="shared" si="72"/>
        <v>0</v>
      </c>
      <c r="CH43" s="21">
        <f t="shared" si="93"/>
        <v>0</v>
      </c>
      <c r="CI43" s="20"/>
      <c r="CJ43" s="18">
        <f t="shared" si="73"/>
        <v>0</v>
      </c>
      <c r="CK43" s="21">
        <f t="shared" si="74"/>
        <v>0</v>
      </c>
      <c r="CL43" s="20"/>
      <c r="CM43" s="18">
        <f t="shared" si="75"/>
        <v>0</v>
      </c>
      <c r="CN43" s="21">
        <f t="shared" si="76"/>
        <v>0</v>
      </c>
      <c r="CO43" s="20"/>
      <c r="CP43" s="18">
        <f t="shared" si="77"/>
        <v>0</v>
      </c>
      <c r="CQ43" s="21">
        <f t="shared" si="78"/>
        <v>0</v>
      </c>
      <c r="CR43" s="20"/>
      <c r="CS43" s="18">
        <f t="shared" si="79"/>
        <v>0</v>
      </c>
      <c r="CT43" s="19">
        <f t="shared" si="80"/>
        <v>0</v>
      </c>
      <c r="CU43" s="20"/>
      <c r="CV43" s="13">
        <f t="shared" si="81"/>
        <v>0</v>
      </c>
      <c r="CW43" s="21">
        <f t="shared" si="82"/>
        <v>0</v>
      </c>
      <c r="CX43" s="20"/>
      <c r="CY43" s="13">
        <f t="shared" si="83"/>
        <v>0</v>
      </c>
      <c r="CZ43" s="19">
        <f t="shared" si="84"/>
        <v>0</v>
      </c>
      <c r="DA43" s="20"/>
      <c r="DB43" s="13">
        <f t="shared" si="85"/>
        <v>0</v>
      </c>
      <c r="DC43" s="21">
        <f t="shared" si="86"/>
        <v>0</v>
      </c>
      <c r="DE43" s="97">
        <v>61</v>
      </c>
      <c r="DF43" s="32"/>
      <c r="DG43" s="61">
        <f t="shared" si="87"/>
        <v>0</v>
      </c>
      <c r="DH43" s="32"/>
      <c r="DI43" s="59">
        <f t="shared" si="88"/>
        <v>3</v>
      </c>
      <c r="DJ43" s="32"/>
      <c r="DK43" s="59">
        <f t="shared" si="89"/>
        <v>58</v>
      </c>
      <c r="DL43" s="32"/>
      <c r="DM43" s="96">
        <f t="shared" si="90"/>
        <v>1450</v>
      </c>
      <c r="DN43" s="32"/>
      <c r="DO43" s="62">
        <f t="shared" si="91"/>
        <v>19.333333333333332</v>
      </c>
      <c r="DP43" s="32"/>
      <c r="DQ43" s="96">
        <f t="shared" si="92"/>
        <v>1740</v>
      </c>
      <c r="DR43" s="32"/>
      <c r="DS43" s="61"/>
      <c r="DT43" s="32"/>
      <c r="DU43" s="63">
        <v>0</v>
      </c>
      <c r="DV43" s="32"/>
      <c r="DW43" s="64">
        <f t="shared" si="94"/>
        <v>0</v>
      </c>
      <c r="DX43" s="32"/>
      <c r="DY43" s="63">
        <f t="shared" si="95"/>
        <v>0</v>
      </c>
    </row>
    <row r="44" spans="1:129" ht="12.45" customHeight="1" x14ac:dyDescent="0.3">
      <c r="A44" s="37" t="s">
        <v>47</v>
      </c>
      <c r="B44" s="32"/>
      <c r="C44" s="51"/>
      <c r="D44" s="34"/>
      <c r="E44" s="38">
        <v>35</v>
      </c>
      <c r="F44" s="34"/>
      <c r="G44" s="33">
        <v>42</v>
      </c>
      <c r="I44" s="26">
        <v>1</v>
      </c>
      <c r="J44" s="27"/>
      <c r="K44" s="28">
        <v>2</v>
      </c>
      <c r="L44" s="12"/>
      <c r="M44" s="26">
        <v>1</v>
      </c>
      <c r="N44" s="12"/>
      <c r="O44" s="28">
        <v>1</v>
      </c>
      <c r="P44" s="12"/>
      <c r="Q44" s="26">
        <v>1</v>
      </c>
      <c r="R44" s="12"/>
      <c r="S44" s="28">
        <v>1</v>
      </c>
      <c r="T44" s="12"/>
      <c r="U44" s="26"/>
      <c r="V44" s="12"/>
      <c r="W44" s="28">
        <v>1</v>
      </c>
      <c r="X44" s="12"/>
      <c r="Y44" s="26">
        <v>2</v>
      </c>
      <c r="Z44" s="12"/>
      <c r="AA44" s="28"/>
      <c r="AB44" s="12"/>
      <c r="AC44" s="26">
        <v>1</v>
      </c>
      <c r="AD44" s="12"/>
      <c r="AE44" s="28"/>
      <c r="AF44" s="12"/>
      <c r="AG44" s="26"/>
      <c r="AH44" s="12"/>
      <c r="AI44" s="28"/>
      <c r="AJ44" s="12"/>
      <c r="AK44" s="26"/>
      <c r="AL44" s="12"/>
      <c r="AM44" s="28"/>
      <c r="AN44" s="12"/>
      <c r="AO44" s="26"/>
      <c r="AP44" s="12"/>
      <c r="AQ44" s="28"/>
      <c r="AR44" s="12"/>
      <c r="AS44" s="26"/>
      <c r="AT44" s="12"/>
      <c r="AU44" s="28"/>
      <c r="AW44" s="18">
        <f t="shared" si="48"/>
        <v>1</v>
      </c>
      <c r="AX44" s="19">
        <f t="shared" si="49"/>
        <v>42</v>
      </c>
      <c r="AY44" s="20"/>
      <c r="AZ44" s="13">
        <f t="shared" si="50"/>
        <v>2</v>
      </c>
      <c r="BA44" s="21">
        <f t="shared" si="51"/>
        <v>84</v>
      </c>
      <c r="BB44" s="20"/>
      <c r="BC44" s="13">
        <f t="shared" si="52"/>
        <v>1</v>
      </c>
      <c r="BD44" s="19">
        <f t="shared" si="53"/>
        <v>42</v>
      </c>
      <c r="BE44" s="20"/>
      <c r="BF44" s="13">
        <f t="shared" si="54"/>
        <v>1</v>
      </c>
      <c r="BG44" s="21">
        <f t="shared" si="55"/>
        <v>42</v>
      </c>
      <c r="BH44" s="20"/>
      <c r="BI44" s="13">
        <f t="shared" si="56"/>
        <v>1</v>
      </c>
      <c r="BJ44" s="19">
        <f t="shared" si="57"/>
        <v>42</v>
      </c>
      <c r="BK44" s="20"/>
      <c r="BL44" s="13">
        <f t="shared" si="58"/>
        <v>1</v>
      </c>
      <c r="BM44" s="21">
        <f t="shared" si="59"/>
        <v>42</v>
      </c>
      <c r="BN44" s="20"/>
      <c r="BO44" s="13">
        <f t="shared" si="60"/>
        <v>0</v>
      </c>
      <c r="BP44" s="19">
        <f t="shared" si="61"/>
        <v>0</v>
      </c>
      <c r="BQ44" s="20"/>
      <c r="BR44" s="13">
        <f t="shared" si="62"/>
        <v>1</v>
      </c>
      <c r="BS44" s="21">
        <f t="shared" si="63"/>
        <v>42</v>
      </c>
      <c r="BT44" s="20"/>
      <c r="BU44" s="13">
        <f t="shared" si="64"/>
        <v>2</v>
      </c>
      <c r="BV44" s="19">
        <f t="shared" si="65"/>
        <v>84</v>
      </c>
      <c r="BW44" s="20"/>
      <c r="BX44" s="13">
        <f t="shared" si="66"/>
        <v>0</v>
      </c>
      <c r="BY44" s="21">
        <f t="shared" si="67"/>
        <v>0</v>
      </c>
      <c r="BZ44" s="20"/>
      <c r="CA44" s="13">
        <f t="shared" si="68"/>
        <v>1</v>
      </c>
      <c r="CB44" s="19">
        <f t="shared" si="69"/>
        <v>42</v>
      </c>
      <c r="CC44" s="20"/>
      <c r="CD44" s="13">
        <f t="shared" si="70"/>
        <v>0</v>
      </c>
      <c r="CE44" s="21">
        <f t="shared" si="71"/>
        <v>0</v>
      </c>
      <c r="CF44" s="20"/>
      <c r="CG44" s="18">
        <f t="shared" si="72"/>
        <v>0</v>
      </c>
      <c r="CH44" s="21">
        <f t="shared" si="93"/>
        <v>0</v>
      </c>
      <c r="CI44" s="20"/>
      <c r="CJ44" s="18">
        <f t="shared" si="73"/>
        <v>0</v>
      </c>
      <c r="CK44" s="21">
        <f t="shared" si="74"/>
        <v>0</v>
      </c>
      <c r="CL44" s="20"/>
      <c r="CM44" s="18">
        <f t="shared" si="75"/>
        <v>0</v>
      </c>
      <c r="CN44" s="21">
        <f t="shared" si="76"/>
        <v>0</v>
      </c>
      <c r="CO44" s="20"/>
      <c r="CP44" s="18">
        <f t="shared" si="77"/>
        <v>0</v>
      </c>
      <c r="CQ44" s="21">
        <f t="shared" si="78"/>
        <v>0</v>
      </c>
      <c r="CR44" s="20"/>
      <c r="CS44" s="18">
        <f t="shared" si="79"/>
        <v>0</v>
      </c>
      <c r="CT44" s="19">
        <f t="shared" si="80"/>
        <v>0</v>
      </c>
      <c r="CU44" s="20"/>
      <c r="CV44" s="13">
        <f t="shared" si="81"/>
        <v>0</v>
      </c>
      <c r="CW44" s="21">
        <f t="shared" si="82"/>
        <v>0</v>
      </c>
      <c r="CX44" s="20"/>
      <c r="CY44" s="13">
        <f t="shared" si="83"/>
        <v>0</v>
      </c>
      <c r="CZ44" s="19">
        <f t="shared" si="84"/>
        <v>0</v>
      </c>
      <c r="DA44" s="20"/>
      <c r="DB44" s="13">
        <f t="shared" si="85"/>
        <v>0</v>
      </c>
      <c r="DC44" s="21">
        <f t="shared" si="86"/>
        <v>0</v>
      </c>
      <c r="DE44" s="97">
        <v>113</v>
      </c>
      <c r="DF44" s="32"/>
      <c r="DG44" s="61">
        <f t="shared" si="87"/>
        <v>0</v>
      </c>
      <c r="DH44" s="32"/>
      <c r="DI44" s="59">
        <f t="shared" si="88"/>
        <v>11</v>
      </c>
      <c r="DJ44" s="32"/>
      <c r="DK44" s="59">
        <f t="shared" si="89"/>
        <v>102</v>
      </c>
      <c r="DL44" s="32"/>
      <c r="DM44" s="96">
        <f t="shared" si="90"/>
        <v>3570</v>
      </c>
      <c r="DN44" s="32"/>
      <c r="DO44" s="62">
        <f t="shared" si="91"/>
        <v>9.2727272727272734</v>
      </c>
      <c r="DP44" s="32"/>
      <c r="DQ44" s="96">
        <f t="shared" si="92"/>
        <v>4284</v>
      </c>
      <c r="DR44" s="32"/>
      <c r="DS44" s="61"/>
      <c r="DT44" s="32"/>
      <c r="DU44" s="63">
        <v>0</v>
      </c>
      <c r="DV44" s="32"/>
      <c r="DW44" s="64">
        <f t="shared" si="94"/>
        <v>0</v>
      </c>
      <c r="DX44" s="32"/>
      <c r="DY44" s="63">
        <f t="shared" si="95"/>
        <v>0</v>
      </c>
    </row>
    <row r="45" spans="1:129" ht="12.45" customHeight="1" x14ac:dyDescent="0.3">
      <c r="A45" s="36" t="s">
        <v>48</v>
      </c>
      <c r="B45" s="32"/>
      <c r="C45" s="51"/>
      <c r="D45" s="34"/>
      <c r="E45" s="38">
        <v>21.5</v>
      </c>
      <c r="F45" s="34"/>
      <c r="G45" s="33">
        <v>25.8</v>
      </c>
      <c r="I45" s="26">
        <v>1</v>
      </c>
      <c r="J45" s="27"/>
      <c r="K45" s="28"/>
      <c r="L45" s="12"/>
      <c r="M45" s="26"/>
      <c r="N45" s="12"/>
      <c r="O45" s="28"/>
      <c r="P45" s="12"/>
      <c r="Q45" s="26"/>
      <c r="R45" s="12"/>
      <c r="S45" s="28">
        <v>1</v>
      </c>
      <c r="T45" s="12"/>
      <c r="U45" s="26"/>
      <c r="V45" s="12"/>
      <c r="W45" s="28"/>
      <c r="X45" s="12"/>
      <c r="Y45" s="26"/>
      <c r="Z45" s="12"/>
      <c r="AA45" s="28"/>
      <c r="AB45" s="12"/>
      <c r="AC45" s="26"/>
      <c r="AD45" s="12"/>
      <c r="AE45" s="28"/>
      <c r="AF45" s="12"/>
      <c r="AG45" s="26"/>
      <c r="AH45" s="12"/>
      <c r="AI45" s="28"/>
      <c r="AJ45" s="12"/>
      <c r="AK45" s="26"/>
      <c r="AL45" s="12"/>
      <c r="AM45" s="28"/>
      <c r="AN45" s="12"/>
      <c r="AO45" s="26"/>
      <c r="AP45" s="12"/>
      <c r="AQ45" s="28"/>
      <c r="AR45" s="12"/>
      <c r="AS45" s="26"/>
      <c r="AT45" s="12"/>
      <c r="AU45" s="28"/>
      <c r="AW45" s="18">
        <f t="shared" si="48"/>
        <v>1</v>
      </c>
      <c r="AX45" s="19">
        <f t="shared" si="49"/>
        <v>25.8</v>
      </c>
      <c r="AY45" s="20"/>
      <c r="AZ45" s="13">
        <f t="shared" si="50"/>
        <v>0</v>
      </c>
      <c r="BA45" s="21">
        <f t="shared" si="51"/>
        <v>0</v>
      </c>
      <c r="BB45" s="20"/>
      <c r="BC45" s="13">
        <f t="shared" si="52"/>
        <v>0</v>
      </c>
      <c r="BD45" s="19">
        <f t="shared" si="53"/>
        <v>0</v>
      </c>
      <c r="BE45" s="20"/>
      <c r="BF45" s="13">
        <f t="shared" si="54"/>
        <v>0</v>
      </c>
      <c r="BG45" s="21">
        <f t="shared" si="55"/>
        <v>0</v>
      </c>
      <c r="BH45" s="20"/>
      <c r="BI45" s="13">
        <f t="shared" si="56"/>
        <v>0</v>
      </c>
      <c r="BJ45" s="19">
        <f t="shared" si="57"/>
        <v>0</v>
      </c>
      <c r="BK45" s="20"/>
      <c r="BL45" s="13">
        <f t="shared" si="58"/>
        <v>1</v>
      </c>
      <c r="BM45" s="21">
        <f t="shared" si="59"/>
        <v>25.8</v>
      </c>
      <c r="BN45" s="20"/>
      <c r="BO45" s="13">
        <f t="shared" si="60"/>
        <v>0</v>
      </c>
      <c r="BP45" s="19">
        <f t="shared" si="61"/>
        <v>0</v>
      </c>
      <c r="BQ45" s="20"/>
      <c r="BR45" s="13">
        <f t="shared" si="62"/>
        <v>0</v>
      </c>
      <c r="BS45" s="21">
        <f t="shared" si="63"/>
        <v>0</v>
      </c>
      <c r="BT45" s="20"/>
      <c r="BU45" s="13">
        <f t="shared" si="64"/>
        <v>0</v>
      </c>
      <c r="BV45" s="19">
        <f t="shared" si="65"/>
        <v>0</v>
      </c>
      <c r="BW45" s="20"/>
      <c r="BX45" s="13">
        <f t="shared" si="66"/>
        <v>0</v>
      </c>
      <c r="BY45" s="21">
        <f t="shared" si="67"/>
        <v>0</v>
      </c>
      <c r="BZ45" s="20"/>
      <c r="CA45" s="13">
        <f t="shared" si="68"/>
        <v>0</v>
      </c>
      <c r="CB45" s="19">
        <f t="shared" si="69"/>
        <v>0</v>
      </c>
      <c r="CC45" s="20"/>
      <c r="CD45" s="13">
        <f t="shared" si="70"/>
        <v>0</v>
      </c>
      <c r="CE45" s="21">
        <f t="shared" si="71"/>
        <v>0</v>
      </c>
      <c r="CF45" s="20"/>
      <c r="CG45" s="18">
        <f t="shared" si="72"/>
        <v>0</v>
      </c>
      <c r="CH45" s="21">
        <f t="shared" si="93"/>
        <v>0</v>
      </c>
      <c r="CI45" s="20"/>
      <c r="CJ45" s="18">
        <f t="shared" si="73"/>
        <v>0</v>
      </c>
      <c r="CK45" s="21">
        <f t="shared" si="74"/>
        <v>0</v>
      </c>
      <c r="CL45" s="20"/>
      <c r="CM45" s="18">
        <f t="shared" si="75"/>
        <v>0</v>
      </c>
      <c r="CN45" s="21">
        <f t="shared" si="76"/>
        <v>0</v>
      </c>
      <c r="CO45" s="20"/>
      <c r="CP45" s="18">
        <f t="shared" si="77"/>
        <v>0</v>
      </c>
      <c r="CQ45" s="21">
        <f t="shared" si="78"/>
        <v>0</v>
      </c>
      <c r="CR45" s="20"/>
      <c r="CS45" s="18">
        <f t="shared" si="79"/>
        <v>0</v>
      </c>
      <c r="CT45" s="19">
        <f t="shared" si="80"/>
        <v>0</v>
      </c>
      <c r="CU45" s="20"/>
      <c r="CV45" s="13">
        <f t="shared" si="81"/>
        <v>0</v>
      </c>
      <c r="CW45" s="21">
        <f t="shared" si="82"/>
        <v>0</v>
      </c>
      <c r="CX45" s="20"/>
      <c r="CY45" s="13">
        <f t="shared" si="83"/>
        <v>0</v>
      </c>
      <c r="CZ45" s="19">
        <f t="shared" si="84"/>
        <v>0</v>
      </c>
      <c r="DA45" s="20"/>
      <c r="DB45" s="13">
        <f t="shared" si="85"/>
        <v>0</v>
      </c>
      <c r="DC45" s="21">
        <f t="shared" si="86"/>
        <v>0</v>
      </c>
      <c r="DE45" s="97">
        <v>29</v>
      </c>
      <c r="DF45" s="32"/>
      <c r="DG45" s="61">
        <f t="shared" si="87"/>
        <v>0</v>
      </c>
      <c r="DH45" s="32"/>
      <c r="DI45" s="59">
        <f t="shared" si="88"/>
        <v>2</v>
      </c>
      <c r="DJ45" s="32"/>
      <c r="DK45" s="59">
        <f t="shared" si="89"/>
        <v>27</v>
      </c>
      <c r="DL45" s="32"/>
      <c r="DM45" s="96">
        <f t="shared" si="90"/>
        <v>580.5</v>
      </c>
      <c r="DN45" s="32"/>
      <c r="DO45" s="62">
        <f t="shared" si="91"/>
        <v>13.5</v>
      </c>
      <c r="DP45" s="32"/>
      <c r="DQ45" s="96">
        <f t="shared" si="92"/>
        <v>696.6</v>
      </c>
      <c r="DR45" s="32"/>
      <c r="DS45" s="61"/>
      <c r="DT45" s="32"/>
      <c r="DU45" s="63">
        <v>0</v>
      </c>
      <c r="DV45" s="32"/>
      <c r="DW45" s="64">
        <f t="shared" si="94"/>
        <v>0</v>
      </c>
      <c r="DX45" s="32"/>
      <c r="DY45" s="63">
        <f t="shared" si="95"/>
        <v>0</v>
      </c>
    </row>
    <row r="46" spans="1:129" ht="12.45" customHeight="1" x14ac:dyDescent="0.3">
      <c r="A46" s="37" t="s">
        <v>49</v>
      </c>
      <c r="B46" s="32"/>
      <c r="C46" s="51"/>
      <c r="D46" s="34"/>
      <c r="E46" s="38">
        <v>21.5</v>
      </c>
      <c r="F46" s="34"/>
      <c r="G46" s="33">
        <v>25.8</v>
      </c>
      <c r="I46" s="26">
        <v>1</v>
      </c>
      <c r="J46" s="27"/>
      <c r="K46" s="28"/>
      <c r="L46" s="12"/>
      <c r="M46" s="26"/>
      <c r="N46" s="12"/>
      <c r="O46" s="28"/>
      <c r="P46" s="12"/>
      <c r="Q46" s="26"/>
      <c r="R46" s="12"/>
      <c r="S46" s="28">
        <v>1</v>
      </c>
      <c r="T46" s="12"/>
      <c r="U46" s="26"/>
      <c r="V46" s="12"/>
      <c r="W46" s="28">
        <v>1</v>
      </c>
      <c r="X46" s="12"/>
      <c r="Y46" s="26"/>
      <c r="Z46" s="12"/>
      <c r="AA46" s="28"/>
      <c r="AB46" s="12"/>
      <c r="AC46" s="26"/>
      <c r="AD46" s="12"/>
      <c r="AE46" s="28"/>
      <c r="AF46" s="12"/>
      <c r="AG46" s="26"/>
      <c r="AH46" s="12"/>
      <c r="AI46" s="28"/>
      <c r="AJ46" s="12"/>
      <c r="AK46" s="26"/>
      <c r="AL46" s="12"/>
      <c r="AM46" s="28"/>
      <c r="AN46" s="12"/>
      <c r="AO46" s="26"/>
      <c r="AP46" s="12"/>
      <c r="AQ46" s="28"/>
      <c r="AR46" s="12"/>
      <c r="AS46" s="26"/>
      <c r="AT46" s="12"/>
      <c r="AU46" s="28"/>
      <c r="AW46" s="18">
        <f t="shared" si="48"/>
        <v>1</v>
      </c>
      <c r="AX46" s="19">
        <f t="shared" si="49"/>
        <v>25.8</v>
      </c>
      <c r="AY46" s="20"/>
      <c r="AZ46" s="13">
        <f t="shared" si="50"/>
        <v>0</v>
      </c>
      <c r="BA46" s="21">
        <f t="shared" si="51"/>
        <v>0</v>
      </c>
      <c r="BB46" s="20"/>
      <c r="BC46" s="13">
        <f t="shared" si="52"/>
        <v>0</v>
      </c>
      <c r="BD46" s="19">
        <f t="shared" si="53"/>
        <v>0</v>
      </c>
      <c r="BE46" s="20"/>
      <c r="BF46" s="13">
        <f t="shared" si="54"/>
        <v>0</v>
      </c>
      <c r="BG46" s="21">
        <f t="shared" si="55"/>
        <v>0</v>
      </c>
      <c r="BH46" s="20"/>
      <c r="BI46" s="13">
        <f t="shared" si="56"/>
        <v>0</v>
      </c>
      <c r="BJ46" s="19">
        <f t="shared" si="57"/>
        <v>0</v>
      </c>
      <c r="BK46" s="20"/>
      <c r="BL46" s="13">
        <f t="shared" si="58"/>
        <v>1</v>
      </c>
      <c r="BM46" s="21">
        <f t="shared" si="59"/>
        <v>25.8</v>
      </c>
      <c r="BN46" s="20"/>
      <c r="BO46" s="13">
        <f t="shared" si="60"/>
        <v>0</v>
      </c>
      <c r="BP46" s="19">
        <f t="shared" si="61"/>
        <v>0</v>
      </c>
      <c r="BQ46" s="20"/>
      <c r="BR46" s="13">
        <f t="shared" si="62"/>
        <v>1</v>
      </c>
      <c r="BS46" s="21">
        <f t="shared" si="63"/>
        <v>25.8</v>
      </c>
      <c r="BT46" s="20"/>
      <c r="BU46" s="13">
        <f t="shared" si="64"/>
        <v>0</v>
      </c>
      <c r="BV46" s="19">
        <f t="shared" si="65"/>
        <v>0</v>
      </c>
      <c r="BW46" s="20"/>
      <c r="BX46" s="13">
        <f t="shared" si="66"/>
        <v>0</v>
      </c>
      <c r="BY46" s="21">
        <f t="shared" si="67"/>
        <v>0</v>
      </c>
      <c r="BZ46" s="20"/>
      <c r="CA46" s="13">
        <f t="shared" si="68"/>
        <v>0</v>
      </c>
      <c r="CB46" s="19">
        <f t="shared" si="69"/>
        <v>0</v>
      </c>
      <c r="CC46" s="20"/>
      <c r="CD46" s="13">
        <f t="shared" si="70"/>
        <v>0</v>
      </c>
      <c r="CE46" s="21">
        <f t="shared" si="71"/>
        <v>0</v>
      </c>
      <c r="CF46" s="20"/>
      <c r="CG46" s="18">
        <f t="shared" si="72"/>
        <v>0</v>
      </c>
      <c r="CH46" s="21">
        <f t="shared" si="93"/>
        <v>0</v>
      </c>
      <c r="CI46" s="20"/>
      <c r="CJ46" s="18">
        <f t="shared" si="73"/>
        <v>0</v>
      </c>
      <c r="CK46" s="21">
        <f t="shared" si="74"/>
        <v>0</v>
      </c>
      <c r="CL46" s="20"/>
      <c r="CM46" s="18">
        <f t="shared" si="75"/>
        <v>0</v>
      </c>
      <c r="CN46" s="21">
        <f t="shared" si="76"/>
        <v>0</v>
      </c>
      <c r="CO46" s="20"/>
      <c r="CP46" s="18">
        <f t="shared" si="77"/>
        <v>0</v>
      </c>
      <c r="CQ46" s="21">
        <f t="shared" si="78"/>
        <v>0</v>
      </c>
      <c r="CR46" s="20"/>
      <c r="CS46" s="18">
        <f t="shared" si="79"/>
        <v>0</v>
      </c>
      <c r="CT46" s="19">
        <f t="shared" si="80"/>
        <v>0</v>
      </c>
      <c r="CU46" s="20"/>
      <c r="CV46" s="13">
        <f t="shared" si="81"/>
        <v>0</v>
      </c>
      <c r="CW46" s="21">
        <f t="shared" si="82"/>
        <v>0</v>
      </c>
      <c r="CX46" s="20"/>
      <c r="CY46" s="13">
        <f t="shared" si="83"/>
        <v>0</v>
      </c>
      <c r="CZ46" s="19">
        <f t="shared" si="84"/>
        <v>0</v>
      </c>
      <c r="DA46" s="20"/>
      <c r="DB46" s="13">
        <f t="shared" si="85"/>
        <v>0</v>
      </c>
      <c r="DC46" s="21">
        <f t="shared" si="86"/>
        <v>0</v>
      </c>
      <c r="DE46" s="97">
        <v>86</v>
      </c>
      <c r="DF46" s="32"/>
      <c r="DG46" s="61">
        <f t="shared" si="87"/>
        <v>0</v>
      </c>
      <c r="DH46" s="32"/>
      <c r="DI46" s="59">
        <f t="shared" si="88"/>
        <v>3</v>
      </c>
      <c r="DJ46" s="32"/>
      <c r="DK46" s="59">
        <f t="shared" si="89"/>
        <v>83</v>
      </c>
      <c r="DL46" s="32"/>
      <c r="DM46" s="96">
        <f t="shared" si="90"/>
        <v>1784.5</v>
      </c>
      <c r="DN46" s="32"/>
      <c r="DO46" s="62">
        <f t="shared" si="91"/>
        <v>27.666666666666668</v>
      </c>
      <c r="DP46" s="32"/>
      <c r="DQ46" s="96">
        <f t="shared" si="92"/>
        <v>2141.4</v>
      </c>
      <c r="DR46" s="32"/>
      <c r="DS46" s="61"/>
      <c r="DT46" s="32"/>
      <c r="DU46" s="63">
        <v>0</v>
      </c>
      <c r="DV46" s="32"/>
      <c r="DW46" s="64">
        <f t="shared" si="94"/>
        <v>0</v>
      </c>
      <c r="DX46" s="32"/>
      <c r="DY46" s="63">
        <f t="shared" si="95"/>
        <v>0</v>
      </c>
    </row>
    <row r="47" spans="1:129" ht="12.45" customHeight="1" x14ac:dyDescent="0.3">
      <c r="A47" s="36" t="s">
        <v>50</v>
      </c>
      <c r="B47" s="32"/>
      <c r="C47" s="51"/>
      <c r="D47" s="34"/>
      <c r="E47" s="38">
        <v>21.5</v>
      </c>
      <c r="F47" s="34"/>
      <c r="G47" s="33">
        <v>25.8</v>
      </c>
      <c r="I47" s="26">
        <v>1</v>
      </c>
      <c r="J47" s="27"/>
      <c r="K47" s="28">
        <v>1</v>
      </c>
      <c r="L47" s="12"/>
      <c r="M47" s="26">
        <v>1</v>
      </c>
      <c r="N47" s="12"/>
      <c r="O47" s="28"/>
      <c r="P47" s="12"/>
      <c r="Q47" s="26"/>
      <c r="R47" s="12"/>
      <c r="S47" s="28"/>
      <c r="T47" s="12"/>
      <c r="U47" s="26">
        <v>1</v>
      </c>
      <c r="V47" s="12"/>
      <c r="W47" s="28"/>
      <c r="X47" s="12"/>
      <c r="Y47" s="26"/>
      <c r="Z47" s="12"/>
      <c r="AA47" s="28"/>
      <c r="AB47" s="12"/>
      <c r="AC47" s="26">
        <v>1</v>
      </c>
      <c r="AD47" s="12"/>
      <c r="AE47" s="28"/>
      <c r="AF47" s="12"/>
      <c r="AG47" s="26"/>
      <c r="AH47" s="12"/>
      <c r="AI47" s="28"/>
      <c r="AJ47" s="12"/>
      <c r="AK47" s="26"/>
      <c r="AL47" s="12"/>
      <c r="AM47" s="28"/>
      <c r="AN47" s="12"/>
      <c r="AO47" s="26"/>
      <c r="AP47" s="12"/>
      <c r="AQ47" s="28"/>
      <c r="AR47" s="12"/>
      <c r="AS47" s="26"/>
      <c r="AT47" s="12"/>
      <c r="AU47" s="28"/>
      <c r="AW47" s="18">
        <f t="shared" si="48"/>
        <v>1</v>
      </c>
      <c r="AX47" s="19">
        <f t="shared" si="49"/>
        <v>25.8</v>
      </c>
      <c r="AY47" s="20"/>
      <c r="AZ47" s="13">
        <f t="shared" si="50"/>
        <v>1</v>
      </c>
      <c r="BA47" s="21">
        <f t="shared" si="51"/>
        <v>25.8</v>
      </c>
      <c r="BB47" s="20"/>
      <c r="BC47" s="13">
        <f t="shared" si="52"/>
        <v>1</v>
      </c>
      <c r="BD47" s="19">
        <f t="shared" si="53"/>
        <v>25.8</v>
      </c>
      <c r="BE47" s="20"/>
      <c r="BF47" s="13">
        <f t="shared" si="54"/>
        <v>0</v>
      </c>
      <c r="BG47" s="21">
        <f t="shared" si="55"/>
        <v>0</v>
      </c>
      <c r="BH47" s="20"/>
      <c r="BI47" s="13">
        <f t="shared" si="56"/>
        <v>0</v>
      </c>
      <c r="BJ47" s="19">
        <f t="shared" si="57"/>
        <v>0</v>
      </c>
      <c r="BK47" s="20"/>
      <c r="BL47" s="13">
        <f t="shared" si="58"/>
        <v>0</v>
      </c>
      <c r="BM47" s="21">
        <f t="shared" si="59"/>
        <v>0</v>
      </c>
      <c r="BN47" s="20"/>
      <c r="BO47" s="13">
        <f t="shared" si="60"/>
        <v>1</v>
      </c>
      <c r="BP47" s="19">
        <f t="shared" si="61"/>
        <v>25.8</v>
      </c>
      <c r="BQ47" s="20"/>
      <c r="BR47" s="13">
        <f t="shared" si="62"/>
        <v>0</v>
      </c>
      <c r="BS47" s="21">
        <f t="shared" si="63"/>
        <v>0</v>
      </c>
      <c r="BT47" s="20"/>
      <c r="BU47" s="13">
        <f t="shared" si="64"/>
        <v>0</v>
      </c>
      <c r="BV47" s="19">
        <f t="shared" si="65"/>
        <v>0</v>
      </c>
      <c r="BW47" s="20"/>
      <c r="BX47" s="13">
        <f t="shared" si="66"/>
        <v>0</v>
      </c>
      <c r="BY47" s="21">
        <f t="shared" si="67"/>
        <v>0</v>
      </c>
      <c r="BZ47" s="20"/>
      <c r="CA47" s="13">
        <f t="shared" si="68"/>
        <v>1</v>
      </c>
      <c r="CB47" s="19">
        <f t="shared" si="69"/>
        <v>25.8</v>
      </c>
      <c r="CC47" s="20"/>
      <c r="CD47" s="13">
        <f t="shared" si="70"/>
        <v>0</v>
      </c>
      <c r="CE47" s="21">
        <f t="shared" si="71"/>
        <v>0</v>
      </c>
      <c r="CF47" s="20"/>
      <c r="CG47" s="18">
        <f t="shared" si="72"/>
        <v>0</v>
      </c>
      <c r="CH47" s="21">
        <f t="shared" si="93"/>
        <v>0</v>
      </c>
      <c r="CI47" s="20"/>
      <c r="CJ47" s="18">
        <f t="shared" si="73"/>
        <v>0</v>
      </c>
      <c r="CK47" s="21">
        <f t="shared" si="74"/>
        <v>0</v>
      </c>
      <c r="CL47" s="20"/>
      <c r="CM47" s="18">
        <f t="shared" si="75"/>
        <v>0</v>
      </c>
      <c r="CN47" s="21">
        <f t="shared" si="76"/>
        <v>0</v>
      </c>
      <c r="CO47" s="20"/>
      <c r="CP47" s="18">
        <f t="shared" si="77"/>
        <v>0</v>
      </c>
      <c r="CQ47" s="21">
        <f t="shared" si="78"/>
        <v>0</v>
      </c>
      <c r="CR47" s="20"/>
      <c r="CS47" s="18">
        <f t="shared" si="79"/>
        <v>0</v>
      </c>
      <c r="CT47" s="19">
        <f t="shared" si="80"/>
        <v>0</v>
      </c>
      <c r="CU47" s="20"/>
      <c r="CV47" s="13">
        <f t="shared" si="81"/>
        <v>0</v>
      </c>
      <c r="CW47" s="21">
        <f t="shared" si="82"/>
        <v>0</v>
      </c>
      <c r="CX47" s="20"/>
      <c r="CY47" s="13">
        <f t="shared" si="83"/>
        <v>0</v>
      </c>
      <c r="CZ47" s="19">
        <f t="shared" si="84"/>
        <v>0</v>
      </c>
      <c r="DA47" s="20"/>
      <c r="DB47" s="13">
        <f t="shared" si="85"/>
        <v>0</v>
      </c>
      <c r="DC47" s="21">
        <f t="shared" si="86"/>
        <v>0</v>
      </c>
      <c r="DE47" s="97">
        <v>30</v>
      </c>
      <c r="DF47" s="32"/>
      <c r="DG47" s="61">
        <f t="shared" si="87"/>
        <v>0</v>
      </c>
      <c r="DH47" s="32"/>
      <c r="DI47" s="59">
        <f t="shared" si="88"/>
        <v>5</v>
      </c>
      <c r="DJ47" s="32"/>
      <c r="DK47" s="59">
        <f t="shared" si="89"/>
        <v>25</v>
      </c>
      <c r="DL47" s="32"/>
      <c r="DM47" s="96">
        <f t="shared" si="90"/>
        <v>537.5</v>
      </c>
      <c r="DN47" s="32"/>
      <c r="DO47" s="62">
        <f t="shared" si="91"/>
        <v>5</v>
      </c>
      <c r="DP47" s="32"/>
      <c r="DQ47" s="96">
        <f t="shared" si="92"/>
        <v>645</v>
      </c>
      <c r="DR47" s="32"/>
      <c r="DS47" s="61"/>
      <c r="DT47" s="32"/>
      <c r="DU47" s="63">
        <v>0</v>
      </c>
      <c r="DV47" s="32"/>
      <c r="DW47" s="64">
        <f t="shared" si="94"/>
        <v>0</v>
      </c>
      <c r="DX47" s="32"/>
      <c r="DY47" s="63">
        <f t="shared" si="95"/>
        <v>0</v>
      </c>
    </row>
    <row r="48" spans="1:129" ht="12.45" customHeight="1" x14ac:dyDescent="0.3">
      <c r="A48" s="43" t="s">
        <v>52</v>
      </c>
      <c r="B48" s="32"/>
      <c r="C48" s="53"/>
      <c r="D48" s="34"/>
      <c r="E48" s="44">
        <v>29.07</v>
      </c>
      <c r="F48" s="34"/>
      <c r="G48" s="45">
        <v>34.880000000000003</v>
      </c>
      <c r="I48" s="26"/>
      <c r="J48" s="27"/>
      <c r="K48" s="28"/>
      <c r="L48" s="12"/>
      <c r="M48" s="26"/>
      <c r="N48" s="12"/>
      <c r="O48" s="28"/>
      <c r="P48" s="12"/>
      <c r="Q48" s="26"/>
      <c r="R48" s="12"/>
      <c r="S48" s="28"/>
      <c r="T48" s="12"/>
      <c r="U48" s="26"/>
      <c r="V48" s="12"/>
      <c r="W48" s="28"/>
      <c r="X48" s="12"/>
      <c r="Y48" s="26"/>
      <c r="Z48" s="12"/>
      <c r="AA48" s="28"/>
      <c r="AB48" s="12"/>
      <c r="AC48" s="26"/>
      <c r="AD48" s="12"/>
      <c r="AE48" s="28"/>
      <c r="AF48" s="12"/>
      <c r="AG48" s="26"/>
      <c r="AH48" s="12"/>
      <c r="AI48" s="28"/>
      <c r="AJ48" s="12"/>
      <c r="AK48" s="26"/>
      <c r="AL48" s="12"/>
      <c r="AM48" s="28"/>
      <c r="AN48" s="12"/>
      <c r="AO48" s="26">
        <v>6</v>
      </c>
      <c r="AP48" s="12"/>
      <c r="AQ48" s="28">
        <v>4</v>
      </c>
      <c r="AR48" s="12"/>
      <c r="AS48" s="26"/>
      <c r="AT48" s="12"/>
      <c r="AU48" s="28">
        <v>4</v>
      </c>
      <c r="AW48" s="18">
        <f t="shared" si="48"/>
        <v>0</v>
      </c>
      <c r="AX48" s="19">
        <f t="shared" si="49"/>
        <v>0</v>
      </c>
      <c r="AY48" s="20"/>
      <c r="AZ48" s="13">
        <f t="shared" si="50"/>
        <v>0</v>
      </c>
      <c r="BA48" s="21">
        <f t="shared" si="51"/>
        <v>0</v>
      </c>
      <c r="BB48" s="20"/>
      <c r="BC48" s="13">
        <f t="shared" si="52"/>
        <v>0</v>
      </c>
      <c r="BD48" s="19">
        <f t="shared" si="53"/>
        <v>0</v>
      </c>
      <c r="BE48" s="20"/>
      <c r="BF48" s="13">
        <f t="shared" si="54"/>
        <v>0</v>
      </c>
      <c r="BG48" s="21">
        <f t="shared" si="55"/>
        <v>0</v>
      </c>
      <c r="BH48" s="20"/>
      <c r="BI48" s="13">
        <f t="shared" si="56"/>
        <v>0</v>
      </c>
      <c r="BJ48" s="19">
        <f t="shared" si="57"/>
        <v>0</v>
      </c>
      <c r="BK48" s="20"/>
      <c r="BL48" s="13">
        <f t="shared" si="58"/>
        <v>0</v>
      </c>
      <c r="BM48" s="21">
        <f t="shared" si="59"/>
        <v>0</v>
      </c>
      <c r="BN48" s="20"/>
      <c r="BO48" s="13">
        <f t="shared" si="60"/>
        <v>0</v>
      </c>
      <c r="BP48" s="19">
        <f t="shared" si="61"/>
        <v>0</v>
      </c>
      <c r="BQ48" s="20"/>
      <c r="BR48" s="13">
        <f t="shared" si="62"/>
        <v>0</v>
      </c>
      <c r="BS48" s="21">
        <f t="shared" si="63"/>
        <v>0</v>
      </c>
      <c r="BT48" s="20"/>
      <c r="BU48" s="13">
        <f t="shared" si="64"/>
        <v>0</v>
      </c>
      <c r="BV48" s="19">
        <f t="shared" si="65"/>
        <v>0</v>
      </c>
      <c r="BW48" s="20"/>
      <c r="BX48" s="13">
        <f t="shared" si="66"/>
        <v>0</v>
      </c>
      <c r="BY48" s="21">
        <f t="shared" si="67"/>
        <v>0</v>
      </c>
      <c r="BZ48" s="20"/>
      <c r="CA48" s="13">
        <f t="shared" si="68"/>
        <v>0</v>
      </c>
      <c r="CB48" s="19">
        <f t="shared" si="69"/>
        <v>0</v>
      </c>
      <c r="CC48" s="20"/>
      <c r="CD48" s="13">
        <f t="shared" si="70"/>
        <v>0</v>
      </c>
      <c r="CE48" s="21">
        <f t="shared" si="71"/>
        <v>0</v>
      </c>
      <c r="CF48" s="20"/>
      <c r="CG48" s="18">
        <f t="shared" si="72"/>
        <v>0</v>
      </c>
      <c r="CH48" s="21">
        <f t="shared" si="93"/>
        <v>0</v>
      </c>
      <c r="CI48" s="20"/>
      <c r="CJ48" s="18">
        <f t="shared" si="73"/>
        <v>0</v>
      </c>
      <c r="CK48" s="21">
        <f t="shared" si="74"/>
        <v>0</v>
      </c>
      <c r="CL48" s="20"/>
      <c r="CM48" s="18">
        <f t="shared" si="75"/>
        <v>0</v>
      </c>
      <c r="CN48" s="21">
        <f t="shared" si="76"/>
        <v>0</v>
      </c>
      <c r="CO48" s="20"/>
      <c r="CP48" s="18">
        <f t="shared" si="77"/>
        <v>0</v>
      </c>
      <c r="CQ48" s="21">
        <f t="shared" si="78"/>
        <v>0</v>
      </c>
      <c r="CR48" s="20"/>
      <c r="CS48" s="18">
        <f t="shared" si="79"/>
        <v>6</v>
      </c>
      <c r="CT48" s="19">
        <f t="shared" si="80"/>
        <v>209.28000000000003</v>
      </c>
      <c r="CU48" s="20"/>
      <c r="CV48" s="13">
        <f t="shared" si="81"/>
        <v>4</v>
      </c>
      <c r="CW48" s="21">
        <f t="shared" si="82"/>
        <v>139.52000000000001</v>
      </c>
      <c r="CX48" s="20"/>
      <c r="CY48" s="13">
        <f t="shared" si="83"/>
        <v>0</v>
      </c>
      <c r="CZ48" s="19">
        <f t="shared" si="84"/>
        <v>0</v>
      </c>
      <c r="DA48" s="20"/>
      <c r="DB48" s="13">
        <f t="shared" si="85"/>
        <v>4</v>
      </c>
      <c r="DC48" s="21">
        <f t="shared" si="86"/>
        <v>139.52000000000001</v>
      </c>
      <c r="DE48" s="97">
        <v>543</v>
      </c>
      <c r="DF48" s="32"/>
      <c r="DG48" s="61">
        <f t="shared" si="87"/>
        <v>0</v>
      </c>
      <c r="DH48" s="32"/>
      <c r="DI48" s="59">
        <f t="shared" si="88"/>
        <v>14</v>
      </c>
      <c r="DJ48" s="32"/>
      <c r="DK48" s="59">
        <f t="shared" si="89"/>
        <v>529</v>
      </c>
      <c r="DL48" s="32"/>
      <c r="DM48" s="96">
        <f t="shared" si="90"/>
        <v>15378.03</v>
      </c>
      <c r="DN48" s="32"/>
      <c r="DO48" s="62">
        <f t="shared" si="91"/>
        <v>37.785714285714285</v>
      </c>
      <c r="DP48" s="32"/>
      <c r="DQ48" s="96">
        <f t="shared" si="92"/>
        <v>18451.52</v>
      </c>
      <c r="DR48" s="32"/>
      <c r="DS48" s="61"/>
      <c r="DT48" s="32"/>
      <c r="DU48" s="63">
        <v>0</v>
      </c>
      <c r="DV48" s="32"/>
      <c r="DW48" s="64">
        <f t="shared" si="94"/>
        <v>0</v>
      </c>
      <c r="DX48" s="32"/>
      <c r="DY48" s="63">
        <f t="shared" si="95"/>
        <v>0</v>
      </c>
    </row>
    <row r="49" spans="1:129" ht="12.45" customHeight="1" x14ac:dyDescent="0.3">
      <c r="A49" s="46" t="s">
        <v>53</v>
      </c>
      <c r="B49" s="32"/>
      <c r="C49" s="53"/>
      <c r="D49" s="34"/>
      <c r="E49" s="44">
        <v>29.07</v>
      </c>
      <c r="F49" s="34"/>
      <c r="G49" s="45">
        <v>34.880000000000003</v>
      </c>
      <c r="I49" s="26"/>
      <c r="J49" s="27"/>
      <c r="K49" s="28"/>
      <c r="L49" s="12"/>
      <c r="M49" s="26"/>
      <c r="N49" s="12"/>
      <c r="O49" s="28"/>
      <c r="P49" s="12"/>
      <c r="Q49" s="26"/>
      <c r="R49" s="12"/>
      <c r="S49" s="28"/>
      <c r="T49" s="12"/>
      <c r="U49" s="26"/>
      <c r="V49" s="12"/>
      <c r="W49" s="28"/>
      <c r="X49" s="12"/>
      <c r="Y49" s="26"/>
      <c r="Z49" s="12"/>
      <c r="AA49" s="28"/>
      <c r="AB49" s="12"/>
      <c r="AC49" s="26"/>
      <c r="AD49" s="12"/>
      <c r="AE49" s="28"/>
      <c r="AF49" s="12"/>
      <c r="AG49" s="26"/>
      <c r="AH49" s="12"/>
      <c r="AI49" s="28"/>
      <c r="AJ49" s="12"/>
      <c r="AK49" s="26"/>
      <c r="AL49" s="12"/>
      <c r="AM49" s="28"/>
      <c r="AN49" s="12"/>
      <c r="AO49" s="26"/>
      <c r="AP49" s="12"/>
      <c r="AQ49" s="28"/>
      <c r="AR49" s="12"/>
      <c r="AS49" s="26"/>
      <c r="AT49" s="12"/>
      <c r="AU49" s="28">
        <v>2</v>
      </c>
      <c r="AW49" s="18">
        <f t="shared" si="48"/>
        <v>0</v>
      </c>
      <c r="AX49" s="19">
        <f t="shared" si="49"/>
        <v>0</v>
      </c>
      <c r="AY49" s="20"/>
      <c r="AZ49" s="13">
        <f t="shared" si="50"/>
        <v>0</v>
      </c>
      <c r="BA49" s="21">
        <f t="shared" si="51"/>
        <v>0</v>
      </c>
      <c r="BB49" s="20"/>
      <c r="BC49" s="13">
        <f t="shared" si="52"/>
        <v>0</v>
      </c>
      <c r="BD49" s="19">
        <f t="shared" si="53"/>
        <v>0</v>
      </c>
      <c r="BE49" s="20"/>
      <c r="BF49" s="13">
        <f t="shared" si="54"/>
        <v>0</v>
      </c>
      <c r="BG49" s="21">
        <f t="shared" si="55"/>
        <v>0</v>
      </c>
      <c r="BH49" s="20"/>
      <c r="BI49" s="13">
        <f t="shared" si="56"/>
        <v>0</v>
      </c>
      <c r="BJ49" s="19">
        <f t="shared" si="57"/>
        <v>0</v>
      </c>
      <c r="BK49" s="20"/>
      <c r="BL49" s="13">
        <f t="shared" si="58"/>
        <v>0</v>
      </c>
      <c r="BM49" s="21">
        <f t="shared" si="59"/>
        <v>0</v>
      </c>
      <c r="BN49" s="20"/>
      <c r="BO49" s="13">
        <f t="shared" si="60"/>
        <v>0</v>
      </c>
      <c r="BP49" s="19">
        <f t="shared" si="61"/>
        <v>0</v>
      </c>
      <c r="BQ49" s="20"/>
      <c r="BR49" s="13">
        <f t="shared" si="62"/>
        <v>0</v>
      </c>
      <c r="BS49" s="21">
        <f t="shared" si="63"/>
        <v>0</v>
      </c>
      <c r="BT49" s="20"/>
      <c r="BU49" s="13">
        <f t="shared" si="64"/>
        <v>0</v>
      </c>
      <c r="BV49" s="19">
        <f t="shared" si="65"/>
        <v>0</v>
      </c>
      <c r="BW49" s="20"/>
      <c r="BX49" s="13">
        <f t="shared" si="66"/>
        <v>0</v>
      </c>
      <c r="BY49" s="21">
        <f t="shared" si="67"/>
        <v>0</v>
      </c>
      <c r="BZ49" s="20"/>
      <c r="CA49" s="13">
        <f t="shared" si="68"/>
        <v>0</v>
      </c>
      <c r="CB49" s="19">
        <f t="shared" si="69"/>
        <v>0</v>
      </c>
      <c r="CC49" s="20"/>
      <c r="CD49" s="13">
        <f t="shared" si="70"/>
        <v>0</v>
      </c>
      <c r="CE49" s="21">
        <f t="shared" si="71"/>
        <v>0</v>
      </c>
      <c r="CF49" s="20"/>
      <c r="CG49" s="18">
        <f t="shared" si="72"/>
        <v>0</v>
      </c>
      <c r="CH49" s="21">
        <f t="shared" si="93"/>
        <v>0</v>
      </c>
      <c r="CI49" s="20"/>
      <c r="CJ49" s="18">
        <f t="shared" si="73"/>
        <v>0</v>
      </c>
      <c r="CK49" s="21">
        <f t="shared" si="74"/>
        <v>0</v>
      </c>
      <c r="CL49" s="20"/>
      <c r="CM49" s="18">
        <f t="shared" si="75"/>
        <v>0</v>
      </c>
      <c r="CN49" s="21">
        <f t="shared" si="76"/>
        <v>0</v>
      </c>
      <c r="CO49" s="20"/>
      <c r="CP49" s="18">
        <f t="shared" si="77"/>
        <v>0</v>
      </c>
      <c r="CQ49" s="21">
        <f t="shared" si="78"/>
        <v>0</v>
      </c>
      <c r="CR49" s="20"/>
      <c r="CS49" s="18">
        <f t="shared" si="79"/>
        <v>0</v>
      </c>
      <c r="CT49" s="19">
        <f t="shared" si="80"/>
        <v>0</v>
      </c>
      <c r="CU49" s="20"/>
      <c r="CV49" s="13">
        <f t="shared" si="81"/>
        <v>0</v>
      </c>
      <c r="CW49" s="21">
        <f t="shared" si="82"/>
        <v>0</v>
      </c>
      <c r="CX49" s="20"/>
      <c r="CY49" s="13">
        <f t="shared" si="83"/>
        <v>0</v>
      </c>
      <c r="CZ49" s="19">
        <f t="shared" si="84"/>
        <v>0</v>
      </c>
      <c r="DA49" s="20"/>
      <c r="DB49" s="13">
        <f t="shared" si="85"/>
        <v>2</v>
      </c>
      <c r="DC49" s="21">
        <f t="shared" si="86"/>
        <v>69.760000000000005</v>
      </c>
      <c r="DE49" s="97">
        <v>61</v>
      </c>
      <c r="DF49" s="32"/>
      <c r="DG49" s="61">
        <f t="shared" si="87"/>
        <v>0</v>
      </c>
      <c r="DH49" s="32"/>
      <c r="DI49" s="59">
        <f t="shared" si="88"/>
        <v>2</v>
      </c>
      <c r="DJ49" s="32"/>
      <c r="DK49" s="59">
        <f t="shared" si="89"/>
        <v>59</v>
      </c>
      <c r="DL49" s="32"/>
      <c r="DM49" s="96">
        <f t="shared" si="90"/>
        <v>1715.13</v>
      </c>
      <c r="DN49" s="32"/>
      <c r="DO49" s="62">
        <f t="shared" si="91"/>
        <v>29.5</v>
      </c>
      <c r="DP49" s="32"/>
      <c r="DQ49" s="96">
        <f t="shared" si="92"/>
        <v>2057.92</v>
      </c>
      <c r="DR49" s="32"/>
      <c r="DS49" s="61"/>
      <c r="DT49" s="32"/>
      <c r="DU49" s="63">
        <v>0</v>
      </c>
      <c r="DV49" s="32"/>
      <c r="DW49" s="64">
        <f t="shared" si="94"/>
        <v>0</v>
      </c>
      <c r="DX49" s="32"/>
      <c r="DY49" s="63">
        <f t="shared" si="95"/>
        <v>0</v>
      </c>
    </row>
    <row r="50" spans="1:129" ht="12.45" customHeight="1" x14ac:dyDescent="0.3">
      <c r="A50" s="43" t="s">
        <v>54</v>
      </c>
      <c r="B50" s="32"/>
      <c r="C50" s="53"/>
      <c r="D50" s="34"/>
      <c r="E50" s="44">
        <v>23.55</v>
      </c>
      <c r="F50" s="34"/>
      <c r="G50" s="45">
        <v>28.26</v>
      </c>
      <c r="I50" s="26"/>
      <c r="J50" s="27"/>
      <c r="K50" s="28"/>
      <c r="L50" s="12"/>
      <c r="M50" s="26"/>
      <c r="N50" s="12"/>
      <c r="O50" s="28"/>
      <c r="P50" s="12"/>
      <c r="Q50" s="26"/>
      <c r="R50" s="12"/>
      <c r="S50" s="28"/>
      <c r="T50" s="12"/>
      <c r="U50" s="26"/>
      <c r="V50" s="12"/>
      <c r="W50" s="28"/>
      <c r="X50" s="12"/>
      <c r="Y50" s="26"/>
      <c r="Z50" s="12"/>
      <c r="AA50" s="28"/>
      <c r="AB50" s="12"/>
      <c r="AC50" s="26"/>
      <c r="AD50" s="12"/>
      <c r="AE50" s="28"/>
      <c r="AF50" s="12"/>
      <c r="AG50" s="26"/>
      <c r="AH50" s="12"/>
      <c r="AI50" s="28"/>
      <c r="AJ50" s="12"/>
      <c r="AK50" s="26"/>
      <c r="AL50" s="12"/>
      <c r="AM50" s="28"/>
      <c r="AN50" s="12"/>
      <c r="AO50" s="26">
        <v>2</v>
      </c>
      <c r="AP50" s="12"/>
      <c r="AQ50" s="28"/>
      <c r="AR50" s="12"/>
      <c r="AS50" s="26"/>
      <c r="AT50" s="12"/>
      <c r="AU50" s="28">
        <v>2</v>
      </c>
      <c r="AW50" s="18">
        <f t="shared" si="48"/>
        <v>0</v>
      </c>
      <c r="AX50" s="19">
        <f t="shared" si="49"/>
        <v>0</v>
      </c>
      <c r="AY50" s="20"/>
      <c r="AZ50" s="13">
        <f t="shared" si="50"/>
        <v>0</v>
      </c>
      <c r="BA50" s="21">
        <f t="shared" si="51"/>
        <v>0</v>
      </c>
      <c r="BB50" s="20"/>
      <c r="BC50" s="13">
        <f t="shared" si="52"/>
        <v>0</v>
      </c>
      <c r="BD50" s="19">
        <f t="shared" si="53"/>
        <v>0</v>
      </c>
      <c r="BE50" s="20"/>
      <c r="BF50" s="13">
        <f t="shared" si="54"/>
        <v>0</v>
      </c>
      <c r="BG50" s="21">
        <f t="shared" si="55"/>
        <v>0</v>
      </c>
      <c r="BH50" s="20"/>
      <c r="BI50" s="13">
        <f t="shared" si="56"/>
        <v>0</v>
      </c>
      <c r="BJ50" s="19">
        <f t="shared" si="57"/>
        <v>0</v>
      </c>
      <c r="BK50" s="20"/>
      <c r="BL50" s="13">
        <f t="shared" si="58"/>
        <v>0</v>
      </c>
      <c r="BM50" s="21">
        <f t="shared" si="59"/>
        <v>0</v>
      </c>
      <c r="BN50" s="20"/>
      <c r="BO50" s="13">
        <f t="shared" si="60"/>
        <v>0</v>
      </c>
      <c r="BP50" s="19">
        <f t="shared" si="61"/>
        <v>0</v>
      </c>
      <c r="BQ50" s="20"/>
      <c r="BR50" s="13">
        <f t="shared" si="62"/>
        <v>0</v>
      </c>
      <c r="BS50" s="21">
        <f t="shared" si="63"/>
        <v>0</v>
      </c>
      <c r="BT50" s="20"/>
      <c r="BU50" s="13">
        <f t="shared" si="64"/>
        <v>0</v>
      </c>
      <c r="BV50" s="19">
        <f t="shared" si="65"/>
        <v>0</v>
      </c>
      <c r="BW50" s="20"/>
      <c r="BX50" s="13">
        <f t="shared" si="66"/>
        <v>0</v>
      </c>
      <c r="BY50" s="21">
        <f t="shared" si="67"/>
        <v>0</v>
      </c>
      <c r="BZ50" s="20"/>
      <c r="CA50" s="13">
        <f t="shared" si="68"/>
        <v>0</v>
      </c>
      <c r="CB50" s="19">
        <f t="shared" si="69"/>
        <v>0</v>
      </c>
      <c r="CC50" s="20"/>
      <c r="CD50" s="13">
        <f t="shared" si="70"/>
        <v>0</v>
      </c>
      <c r="CE50" s="21">
        <f t="shared" si="71"/>
        <v>0</v>
      </c>
      <c r="CF50" s="20"/>
      <c r="CG50" s="18">
        <f t="shared" si="72"/>
        <v>0</v>
      </c>
      <c r="CH50" s="21">
        <f t="shared" si="93"/>
        <v>0</v>
      </c>
      <c r="CI50" s="20"/>
      <c r="CJ50" s="18">
        <f t="shared" si="73"/>
        <v>0</v>
      </c>
      <c r="CK50" s="21">
        <f t="shared" si="74"/>
        <v>0</v>
      </c>
      <c r="CL50" s="20"/>
      <c r="CM50" s="18">
        <f t="shared" si="75"/>
        <v>0</v>
      </c>
      <c r="CN50" s="21">
        <f t="shared" si="76"/>
        <v>0</v>
      </c>
      <c r="CO50" s="20"/>
      <c r="CP50" s="18">
        <f t="shared" si="77"/>
        <v>0</v>
      </c>
      <c r="CQ50" s="21">
        <f t="shared" si="78"/>
        <v>0</v>
      </c>
      <c r="CR50" s="20"/>
      <c r="CS50" s="18">
        <f t="shared" si="79"/>
        <v>2</v>
      </c>
      <c r="CT50" s="19">
        <f t="shared" si="80"/>
        <v>56.52</v>
      </c>
      <c r="CU50" s="20"/>
      <c r="CV50" s="13">
        <f t="shared" si="81"/>
        <v>0</v>
      </c>
      <c r="CW50" s="21">
        <f t="shared" si="82"/>
        <v>0</v>
      </c>
      <c r="CX50" s="20"/>
      <c r="CY50" s="13">
        <f t="shared" si="83"/>
        <v>0</v>
      </c>
      <c r="CZ50" s="19">
        <f t="shared" si="84"/>
        <v>0</v>
      </c>
      <c r="DA50" s="20"/>
      <c r="DB50" s="13">
        <f t="shared" si="85"/>
        <v>2</v>
      </c>
      <c r="DC50" s="21">
        <f t="shared" si="86"/>
        <v>56.52</v>
      </c>
      <c r="DE50" s="97">
        <v>170</v>
      </c>
      <c r="DF50" s="32"/>
      <c r="DG50" s="61">
        <f t="shared" si="87"/>
        <v>0</v>
      </c>
      <c r="DH50" s="32"/>
      <c r="DI50" s="59">
        <f t="shared" si="88"/>
        <v>4</v>
      </c>
      <c r="DJ50" s="32"/>
      <c r="DK50" s="59">
        <f t="shared" si="89"/>
        <v>166</v>
      </c>
      <c r="DL50" s="32"/>
      <c r="DM50" s="96">
        <f t="shared" si="90"/>
        <v>3909.3</v>
      </c>
      <c r="DN50" s="32"/>
      <c r="DO50" s="62">
        <f t="shared" si="91"/>
        <v>41.5</v>
      </c>
      <c r="DP50" s="32"/>
      <c r="DQ50" s="96">
        <f t="shared" si="92"/>
        <v>4691.16</v>
      </c>
      <c r="DR50" s="32"/>
      <c r="DS50" s="61"/>
      <c r="DT50" s="32"/>
      <c r="DU50" s="63">
        <v>0</v>
      </c>
      <c r="DV50" s="32"/>
      <c r="DW50" s="64">
        <f t="shared" si="94"/>
        <v>0</v>
      </c>
      <c r="DX50" s="32"/>
      <c r="DY50" s="63">
        <f t="shared" si="95"/>
        <v>0</v>
      </c>
    </row>
    <row r="51" spans="1:129" ht="12.45" customHeight="1" x14ac:dyDescent="0.3">
      <c r="A51" s="36" t="s">
        <v>99</v>
      </c>
      <c r="B51" s="32"/>
      <c r="C51" s="51"/>
      <c r="D51" s="34"/>
      <c r="E51" s="38">
        <v>27.55</v>
      </c>
      <c r="F51" s="34"/>
      <c r="G51" s="33">
        <v>33.06</v>
      </c>
      <c r="I51" s="26"/>
      <c r="J51" s="27"/>
      <c r="K51" s="28"/>
      <c r="L51" s="12"/>
      <c r="M51" s="26"/>
      <c r="N51" s="12"/>
      <c r="O51" s="28"/>
      <c r="P51" s="12"/>
      <c r="Q51" s="26"/>
      <c r="R51" s="12"/>
      <c r="S51" s="28"/>
      <c r="T51" s="12"/>
      <c r="U51" s="26"/>
      <c r="V51" s="12"/>
      <c r="W51" s="28"/>
      <c r="X51" s="12"/>
      <c r="Y51" s="26"/>
      <c r="Z51" s="12"/>
      <c r="AA51" s="28"/>
      <c r="AB51" s="12"/>
      <c r="AC51" s="26"/>
      <c r="AD51" s="12"/>
      <c r="AE51" s="28"/>
      <c r="AF51" s="12"/>
      <c r="AG51" s="26"/>
      <c r="AH51" s="12"/>
      <c r="AI51" s="28"/>
      <c r="AJ51" s="12"/>
      <c r="AK51" s="26"/>
      <c r="AL51" s="12"/>
      <c r="AM51" s="28"/>
      <c r="AN51" s="12"/>
      <c r="AO51" s="26"/>
      <c r="AP51" s="12"/>
      <c r="AQ51" s="28"/>
      <c r="AR51" s="12"/>
      <c r="AS51" s="26"/>
      <c r="AT51" s="12"/>
      <c r="AU51" s="28"/>
      <c r="AW51" s="18">
        <f t="shared" si="48"/>
        <v>0</v>
      </c>
      <c r="AX51" s="19">
        <f t="shared" si="49"/>
        <v>0</v>
      </c>
      <c r="AY51" s="20"/>
      <c r="AZ51" s="13">
        <f t="shared" si="50"/>
        <v>0</v>
      </c>
      <c r="BA51" s="21">
        <f t="shared" si="51"/>
        <v>0</v>
      </c>
      <c r="BB51" s="20"/>
      <c r="BC51" s="13">
        <f t="shared" si="52"/>
        <v>0</v>
      </c>
      <c r="BD51" s="19">
        <f t="shared" si="53"/>
        <v>0</v>
      </c>
      <c r="BE51" s="20"/>
      <c r="BF51" s="13">
        <f t="shared" si="54"/>
        <v>0</v>
      </c>
      <c r="BG51" s="21">
        <f t="shared" si="55"/>
        <v>0</v>
      </c>
      <c r="BH51" s="20"/>
      <c r="BI51" s="13">
        <f t="shared" si="56"/>
        <v>0</v>
      </c>
      <c r="BJ51" s="19">
        <f t="shared" si="57"/>
        <v>0</v>
      </c>
      <c r="BK51" s="20"/>
      <c r="BL51" s="13">
        <f t="shared" si="58"/>
        <v>0</v>
      </c>
      <c r="BM51" s="21">
        <f t="shared" si="59"/>
        <v>0</v>
      </c>
      <c r="BN51" s="20"/>
      <c r="BO51" s="13">
        <f t="shared" si="60"/>
        <v>0</v>
      </c>
      <c r="BP51" s="19">
        <f t="shared" si="61"/>
        <v>0</v>
      </c>
      <c r="BQ51" s="20"/>
      <c r="BR51" s="13">
        <f t="shared" si="62"/>
        <v>0</v>
      </c>
      <c r="BS51" s="21">
        <f t="shared" si="63"/>
        <v>0</v>
      </c>
      <c r="BT51" s="20"/>
      <c r="BU51" s="13">
        <f t="shared" si="64"/>
        <v>0</v>
      </c>
      <c r="BV51" s="19">
        <f t="shared" si="65"/>
        <v>0</v>
      </c>
      <c r="BW51" s="20"/>
      <c r="BX51" s="13">
        <f t="shared" si="66"/>
        <v>0</v>
      </c>
      <c r="BY51" s="21">
        <f t="shared" si="67"/>
        <v>0</v>
      </c>
      <c r="BZ51" s="20"/>
      <c r="CA51" s="13">
        <f t="shared" si="68"/>
        <v>0</v>
      </c>
      <c r="CB51" s="19">
        <f t="shared" si="69"/>
        <v>0</v>
      </c>
      <c r="CC51" s="20"/>
      <c r="CD51" s="13">
        <f t="shared" si="70"/>
        <v>0</v>
      </c>
      <c r="CE51" s="21">
        <f t="shared" si="71"/>
        <v>0</v>
      </c>
      <c r="CF51" s="20"/>
      <c r="CG51" s="18">
        <f t="shared" si="72"/>
        <v>0</v>
      </c>
      <c r="CH51" s="21">
        <f t="shared" si="93"/>
        <v>0</v>
      </c>
      <c r="CI51" s="20"/>
      <c r="CJ51" s="18">
        <f t="shared" si="73"/>
        <v>0</v>
      </c>
      <c r="CK51" s="21">
        <f t="shared" si="74"/>
        <v>0</v>
      </c>
      <c r="CL51" s="20"/>
      <c r="CM51" s="18">
        <f t="shared" si="75"/>
        <v>0</v>
      </c>
      <c r="CN51" s="21">
        <f t="shared" si="76"/>
        <v>0</v>
      </c>
      <c r="CO51" s="20"/>
      <c r="CP51" s="18">
        <f t="shared" si="77"/>
        <v>0</v>
      </c>
      <c r="CQ51" s="21">
        <f t="shared" si="78"/>
        <v>0</v>
      </c>
      <c r="CR51" s="20"/>
      <c r="CS51" s="18">
        <f t="shared" si="79"/>
        <v>0</v>
      </c>
      <c r="CT51" s="19">
        <f t="shared" si="80"/>
        <v>0</v>
      </c>
      <c r="CU51" s="20"/>
      <c r="CV51" s="13">
        <f t="shared" si="81"/>
        <v>0</v>
      </c>
      <c r="CW51" s="21">
        <f t="shared" si="82"/>
        <v>0</v>
      </c>
      <c r="CX51" s="20"/>
      <c r="CY51" s="13">
        <f t="shared" si="83"/>
        <v>0</v>
      </c>
      <c r="CZ51" s="19">
        <f t="shared" si="84"/>
        <v>0</v>
      </c>
      <c r="DA51" s="20"/>
      <c r="DB51" s="13">
        <f t="shared" si="85"/>
        <v>0</v>
      </c>
      <c r="DC51" s="21">
        <f t="shared" si="86"/>
        <v>0</v>
      </c>
      <c r="DE51" s="97">
        <v>184</v>
      </c>
      <c r="DF51" s="32"/>
      <c r="DG51" s="61">
        <f t="shared" si="87"/>
        <v>0</v>
      </c>
      <c r="DH51" s="32"/>
      <c r="DI51" s="59">
        <f t="shared" si="88"/>
        <v>0</v>
      </c>
      <c r="DJ51" s="32"/>
      <c r="DK51" s="59">
        <f t="shared" si="89"/>
        <v>184</v>
      </c>
      <c r="DL51" s="32"/>
      <c r="DM51" s="96">
        <f t="shared" si="90"/>
        <v>5069.2</v>
      </c>
      <c r="DN51" s="32"/>
      <c r="DO51" s="62" t="e">
        <f t="shared" si="91"/>
        <v>#DIV/0!</v>
      </c>
      <c r="DP51" s="32"/>
      <c r="DQ51" s="96">
        <f t="shared" si="92"/>
        <v>6083.0400000000009</v>
      </c>
      <c r="DR51" s="32"/>
      <c r="DS51" s="61"/>
      <c r="DT51" s="32"/>
      <c r="DU51" s="63">
        <v>0</v>
      </c>
      <c r="DV51" s="32"/>
      <c r="DW51" s="64">
        <f t="shared" si="94"/>
        <v>0</v>
      </c>
      <c r="DX51" s="32"/>
      <c r="DY51" s="63">
        <f t="shared" si="95"/>
        <v>0</v>
      </c>
    </row>
    <row r="52" spans="1:129" ht="12.45" customHeight="1" x14ac:dyDescent="0.3">
      <c r="A52" s="37" t="s">
        <v>98</v>
      </c>
      <c r="B52" s="32"/>
      <c r="C52" s="51"/>
      <c r="D52" s="34"/>
      <c r="E52" s="38">
        <v>20.46</v>
      </c>
      <c r="F52" s="34"/>
      <c r="G52" s="33">
        <v>24.55</v>
      </c>
      <c r="I52" s="26"/>
      <c r="J52" s="27"/>
      <c r="K52" s="28"/>
      <c r="L52" s="12"/>
      <c r="M52" s="26"/>
      <c r="N52" s="12"/>
      <c r="O52" s="28"/>
      <c r="P52" s="12"/>
      <c r="Q52" s="26"/>
      <c r="R52" s="12"/>
      <c r="S52" s="28"/>
      <c r="T52" s="12"/>
      <c r="U52" s="26"/>
      <c r="V52" s="12"/>
      <c r="W52" s="28"/>
      <c r="X52" s="12"/>
      <c r="Y52" s="26"/>
      <c r="Z52" s="12"/>
      <c r="AA52" s="28"/>
      <c r="AB52" s="12"/>
      <c r="AC52" s="26"/>
      <c r="AD52" s="12"/>
      <c r="AE52" s="28"/>
      <c r="AF52" s="12"/>
      <c r="AG52" s="26"/>
      <c r="AH52" s="12"/>
      <c r="AI52" s="28"/>
      <c r="AJ52" s="12"/>
      <c r="AK52" s="26"/>
      <c r="AL52" s="12"/>
      <c r="AM52" s="28"/>
      <c r="AN52" s="12"/>
      <c r="AO52" s="26"/>
      <c r="AP52" s="12"/>
      <c r="AQ52" s="28"/>
      <c r="AR52" s="12"/>
      <c r="AS52" s="26"/>
      <c r="AT52" s="12"/>
      <c r="AU52" s="28"/>
      <c r="AW52" s="18">
        <f t="shared" si="48"/>
        <v>0</v>
      </c>
      <c r="AX52" s="19">
        <f t="shared" si="49"/>
        <v>0</v>
      </c>
      <c r="AY52" s="20"/>
      <c r="AZ52" s="13">
        <f t="shared" si="50"/>
        <v>0</v>
      </c>
      <c r="BA52" s="21">
        <f t="shared" si="51"/>
        <v>0</v>
      </c>
      <c r="BB52" s="20"/>
      <c r="BC52" s="13">
        <f t="shared" si="52"/>
        <v>0</v>
      </c>
      <c r="BD52" s="19">
        <f t="shared" si="53"/>
        <v>0</v>
      </c>
      <c r="BE52" s="20"/>
      <c r="BF52" s="13">
        <f t="shared" si="54"/>
        <v>0</v>
      </c>
      <c r="BG52" s="21">
        <f t="shared" si="55"/>
        <v>0</v>
      </c>
      <c r="BH52" s="20"/>
      <c r="BI52" s="13">
        <f t="shared" si="56"/>
        <v>0</v>
      </c>
      <c r="BJ52" s="19">
        <f t="shared" si="57"/>
        <v>0</v>
      </c>
      <c r="BK52" s="20"/>
      <c r="BL52" s="13">
        <f t="shared" si="58"/>
        <v>0</v>
      </c>
      <c r="BM52" s="21">
        <f t="shared" si="59"/>
        <v>0</v>
      </c>
      <c r="BN52" s="20"/>
      <c r="BO52" s="13">
        <f t="shared" si="60"/>
        <v>0</v>
      </c>
      <c r="BP52" s="19">
        <f t="shared" si="61"/>
        <v>0</v>
      </c>
      <c r="BQ52" s="20"/>
      <c r="BR52" s="13">
        <f t="shared" si="62"/>
        <v>0</v>
      </c>
      <c r="BS52" s="21">
        <f t="shared" si="63"/>
        <v>0</v>
      </c>
      <c r="BT52" s="20"/>
      <c r="BU52" s="13">
        <f t="shared" si="64"/>
        <v>0</v>
      </c>
      <c r="BV52" s="19">
        <f t="shared" si="65"/>
        <v>0</v>
      </c>
      <c r="BW52" s="20"/>
      <c r="BX52" s="13">
        <f t="shared" si="66"/>
        <v>0</v>
      </c>
      <c r="BY52" s="21">
        <f t="shared" si="67"/>
        <v>0</v>
      </c>
      <c r="BZ52" s="20"/>
      <c r="CA52" s="13">
        <f t="shared" si="68"/>
        <v>0</v>
      </c>
      <c r="CB52" s="19">
        <f t="shared" si="69"/>
        <v>0</v>
      </c>
      <c r="CC52" s="20"/>
      <c r="CD52" s="13">
        <f t="shared" si="70"/>
        <v>0</v>
      </c>
      <c r="CE52" s="21">
        <f t="shared" si="71"/>
        <v>0</v>
      </c>
      <c r="CF52" s="20"/>
      <c r="CG52" s="18">
        <f t="shared" si="72"/>
        <v>0</v>
      </c>
      <c r="CH52" s="21">
        <f t="shared" si="93"/>
        <v>0</v>
      </c>
      <c r="CI52" s="20"/>
      <c r="CJ52" s="18">
        <f t="shared" si="73"/>
        <v>0</v>
      </c>
      <c r="CK52" s="21">
        <f t="shared" si="74"/>
        <v>0</v>
      </c>
      <c r="CL52" s="20"/>
      <c r="CM52" s="18">
        <f t="shared" si="75"/>
        <v>0</v>
      </c>
      <c r="CN52" s="21">
        <f t="shared" si="76"/>
        <v>0</v>
      </c>
      <c r="CO52" s="20"/>
      <c r="CP52" s="18">
        <f t="shared" si="77"/>
        <v>0</v>
      </c>
      <c r="CQ52" s="21">
        <f t="shared" si="78"/>
        <v>0</v>
      </c>
      <c r="CR52" s="20"/>
      <c r="CS52" s="18">
        <f t="shared" si="79"/>
        <v>0</v>
      </c>
      <c r="CT52" s="19">
        <f t="shared" si="80"/>
        <v>0</v>
      </c>
      <c r="CU52" s="20"/>
      <c r="CV52" s="13">
        <f t="shared" si="81"/>
        <v>0</v>
      </c>
      <c r="CW52" s="21">
        <f t="shared" si="82"/>
        <v>0</v>
      </c>
      <c r="CX52" s="20"/>
      <c r="CY52" s="13">
        <f t="shared" si="83"/>
        <v>0</v>
      </c>
      <c r="CZ52" s="19">
        <f t="shared" si="84"/>
        <v>0</v>
      </c>
      <c r="DA52" s="20"/>
      <c r="DB52" s="13">
        <f t="shared" si="85"/>
        <v>0</v>
      </c>
      <c r="DC52" s="21">
        <f t="shared" si="86"/>
        <v>0</v>
      </c>
      <c r="DE52" s="97">
        <v>0</v>
      </c>
      <c r="DF52" s="32"/>
      <c r="DG52" s="61">
        <f t="shared" si="87"/>
        <v>0</v>
      </c>
      <c r="DH52" s="32"/>
      <c r="DI52" s="59">
        <f t="shared" si="88"/>
        <v>0</v>
      </c>
      <c r="DJ52" s="32"/>
      <c r="DK52" s="59">
        <f t="shared" si="89"/>
        <v>0</v>
      </c>
      <c r="DL52" s="32"/>
      <c r="DM52" s="96">
        <f t="shared" si="90"/>
        <v>0</v>
      </c>
      <c r="DN52" s="32"/>
      <c r="DO52" s="62" t="e">
        <f t="shared" si="91"/>
        <v>#DIV/0!</v>
      </c>
      <c r="DP52" s="32"/>
      <c r="DQ52" s="96">
        <f t="shared" si="92"/>
        <v>0</v>
      </c>
      <c r="DR52" s="32"/>
      <c r="DS52" s="61"/>
      <c r="DT52" s="32"/>
      <c r="DU52" s="63">
        <v>0</v>
      </c>
      <c r="DV52" s="32"/>
      <c r="DW52" s="64">
        <f t="shared" si="94"/>
        <v>0</v>
      </c>
      <c r="DX52" s="32"/>
      <c r="DY52" s="63">
        <f t="shared" si="95"/>
        <v>0</v>
      </c>
    </row>
    <row r="53" spans="1:129" ht="12.45" customHeight="1" thickBot="1" x14ac:dyDescent="0.35">
      <c r="A53" s="46" t="s">
        <v>55</v>
      </c>
      <c r="B53" s="32"/>
      <c r="C53" s="53"/>
      <c r="D53" s="34"/>
      <c r="E53" s="44">
        <v>20</v>
      </c>
      <c r="F53" s="34"/>
      <c r="G53" s="45">
        <v>24</v>
      </c>
      <c r="I53" s="26"/>
      <c r="J53" s="27"/>
      <c r="K53" s="28"/>
      <c r="L53" s="12"/>
      <c r="M53" s="26"/>
      <c r="N53" s="12"/>
      <c r="O53" s="28"/>
      <c r="P53" s="12"/>
      <c r="Q53" s="26"/>
      <c r="R53" s="12"/>
      <c r="S53" s="28"/>
      <c r="T53" s="12"/>
      <c r="U53" s="26"/>
      <c r="V53" s="12"/>
      <c r="W53" s="28">
        <v>1</v>
      </c>
      <c r="X53" s="12"/>
      <c r="Y53" s="26"/>
      <c r="Z53" s="12"/>
      <c r="AA53" s="28"/>
      <c r="AB53" s="12"/>
      <c r="AC53" s="26"/>
      <c r="AD53" s="12"/>
      <c r="AE53" s="28"/>
      <c r="AF53" s="12"/>
      <c r="AG53" s="26"/>
      <c r="AH53" s="12"/>
      <c r="AI53" s="28"/>
      <c r="AJ53" s="12"/>
      <c r="AK53" s="26"/>
      <c r="AL53" s="12"/>
      <c r="AM53" s="28"/>
      <c r="AN53" s="12"/>
      <c r="AO53" s="26"/>
      <c r="AP53" s="12"/>
      <c r="AQ53" s="28"/>
      <c r="AR53" s="12"/>
      <c r="AS53" s="26"/>
      <c r="AT53" s="12"/>
      <c r="AU53" s="28"/>
      <c r="AW53" s="18">
        <f t="shared" si="48"/>
        <v>0</v>
      </c>
      <c r="AX53" s="19">
        <f t="shared" si="49"/>
        <v>0</v>
      </c>
      <c r="AY53" s="20"/>
      <c r="AZ53" s="13">
        <f t="shared" si="50"/>
        <v>0</v>
      </c>
      <c r="BA53" s="21">
        <f t="shared" si="51"/>
        <v>0</v>
      </c>
      <c r="BB53" s="20"/>
      <c r="BC53" s="13">
        <f t="shared" si="52"/>
        <v>0</v>
      </c>
      <c r="BD53" s="19">
        <f t="shared" si="53"/>
        <v>0</v>
      </c>
      <c r="BE53" s="20"/>
      <c r="BF53" s="13">
        <f t="shared" si="54"/>
        <v>0</v>
      </c>
      <c r="BG53" s="21">
        <f t="shared" si="55"/>
        <v>0</v>
      </c>
      <c r="BH53" s="20"/>
      <c r="BI53" s="13">
        <f t="shared" si="56"/>
        <v>0</v>
      </c>
      <c r="BJ53" s="19">
        <f t="shared" si="57"/>
        <v>0</v>
      </c>
      <c r="BK53" s="20"/>
      <c r="BL53" s="13">
        <f t="shared" si="58"/>
        <v>0</v>
      </c>
      <c r="BM53" s="21">
        <f t="shared" si="59"/>
        <v>0</v>
      </c>
      <c r="BN53" s="20"/>
      <c r="BO53" s="13">
        <f t="shared" si="60"/>
        <v>0</v>
      </c>
      <c r="BP53" s="19">
        <f t="shared" si="61"/>
        <v>0</v>
      </c>
      <c r="BQ53" s="20"/>
      <c r="BR53" s="13">
        <f t="shared" si="62"/>
        <v>1</v>
      </c>
      <c r="BS53" s="21">
        <f t="shared" si="63"/>
        <v>24</v>
      </c>
      <c r="BT53" s="20"/>
      <c r="BU53" s="13">
        <f t="shared" si="64"/>
        <v>0</v>
      </c>
      <c r="BV53" s="19">
        <f t="shared" si="65"/>
        <v>0</v>
      </c>
      <c r="BW53" s="20"/>
      <c r="BX53" s="13">
        <f t="shared" si="66"/>
        <v>0</v>
      </c>
      <c r="BY53" s="21">
        <f t="shared" si="67"/>
        <v>0</v>
      </c>
      <c r="BZ53" s="20"/>
      <c r="CA53" s="13">
        <f t="shared" si="68"/>
        <v>0</v>
      </c>
      <c r="CB53" s="19">
        <f t="shared" si="69"/>
        <v>0</v>
      </c>
      <c r="CC53" s="20"/>
      <c r="CD53" s="13">
        <f t="shared" si="70"/>
        <v>0</v>
      </c>
      <c r="CE53" s="21">
        <f t="shared" si="71"/>
        <v>0</v>
      </c>
      <c r="CF53" s="20"/>
      <c r="CG53" s="18">
        <f t="shared" si="72"/>
        <v>0</v>
      </c>
      <c r="CH53" s="21">
        <f t="shared" si="93"/>
        <v>0</v>
      </c>
      <c r="CI53" s="20"/>
      <c r="CJ53" s="18">
        <f t="shared" si="73"/>
        <v>0</v>
      </c>
      <c r="CK53" s="21">
        <f t="shared" si="74"/>
        <v>0</v>
      </c>
      <c r="CL53" s="20"/>
      <c r="CM53" s="18">
        <f t="shared" si="75"/>
        <v>0</v>
      </c>
      <c r="CN53" s="21">
        <f t="shared" si="76"/>
        <v>0</v>
      </c>
      <c r="CO53" s="20"/>
      <c r="CP53" s="18">
        <f t="shared" si="77"/>
        <v>0</v>
      </c>
      <c r="CQ53" s="21">
        <f t="shared" si="78"/>
        <v>0</v>
      </c>
      <c r="CR53" s="20"/>
      <c r="CS53" s="18">
        <f t="shared" si="79"/>
        <v>0</v>
      </c>
      <c r="CT53" s="19">
        <f t="shared" si="80"/>
        <v>0</v>
      </c>
      <c r="CU53" s="20"/>
      <c r="CV53" s="13">
        <f t="shared" si="81"/>
        <v>0</v>
      </c>
      <c r="CW53" s="21">
        <f t="shared" si="82"/>
        <v>0</v>
      </c>
      <c r="CX53" s="20"/>
      <c r="CY53" s="13">
        <f t="shared" si="83"/>
        <v>0</v>
      </c>
      <c r="CZ53" s="19">
        <f t="shared" si="84"/>
        <v>0</v>
      </c>
      <c r="DA53" s="20"/>
      <c r="DB53" s="13">
        <f t="shared" si="85"/>
        <v>0</v>
      </c>
      <c r="DC53" s="21">
        <f t="shared" si="86"/>
        <v>0</v>
      </c>
      <c r="DE53" s="97">
        <v>0</v>
      </c>
      <c r="DF53" s="32"/>
      <c r="DG53" s="61">
        <f t="shared" si="87"/>
        <v>0</v>
      </c>
      <c r="DH53" s="32"/>
      <c r="DI53" s="59">
        <f t="shared" si="88"/>
        <v>1</v>
      </c>
      <c r="DJ53" s="32"/>
      <c r="DK53" s="59">
        <f t="shared" si="89"/>
        <v>-1</v>
      </c>
      <c r="DL53" s="32"/>
      <c r="DM53" s="96">
        <f t="shared" si="90"/>
        <v>-20</v>
      </c>
      <c r="DN53" s="32"/>
      <c r="DO53" s="62">
        <f t="shared" si="91"/>
        <v>-1</v>
      </c>
      <c r="DP53" s="32"/>
      <c r="DQ53" s="96">
        <f t="shared" si="92"/>
        <v>-24</v>
      </c>
      <c r="DR53" s="32"/>
      <c r="DS53" s="61"/>
      <c r="DT53" s="32"/>
      <c r="DU53" s="63">
        <v>0</v>
      </c>
      <c r="DV53" s="32"/>
      <c r="DW53" s="64">
        <f t="shared" si="94"/>
        <v>0</v>
      </c>
      <c r="DX53" s="32"/>
      <c r="DY53" s="63">
        <f t="shared" si="95"/>
        <v>0</v>
      </c>
    </row>
    <row r="54" spans="1:129" ht="12.45" customHeight="1" thickTop="1" thickBot="1" x14ac:dyDescent="0.35">
      <c r="A54" s="47" t="s">
        <v>56</v>
      </c>
      <c r="B54" s="48"/>
      <c r="C54" s="54"/>
      <c r="D54" s="55"/>
      <c r="E54" s="56"/>
      <c r="F54" s="55"/>
      <c r="G54" s="54"/>
      <c r="H54" s="9"/>
      <c r="I54" s="87">
        <f>SUM(I2:I53)</f>
        <v>17</v>
      </c>
      <c r="J54" s="9"/>
      <c r="K54" s="88">
        <f>SUM(K2:L53)</f>
        <v>49</v>
      </c>
      <c r="L54" s="9"/>
      <c r="M54" s="87">
        <f>SUM(M2:M53)</f>
        <v>28</v>
      </c>
      <c r="N54" s="9"/>
      <c r="O54" s="88">
        <f>SUM(O2:P53)</f>
        <v>27</v>
      </c>
      <c r="P54" s="9"/>
      <c r="Q54" s="87">
        <f>SUM(Q2:Q53)</f>
        <v>25</v>
      </c>
      <c r="R54" s="9"/>
      <c r="S54" s="88">
        <f>SUM(S2:T53)</f>
        <v>23</v>
      </c>
      <c r="T54" s="9"/>
      <c r="U54" s="87">
        <f>SUM(U2:U53)</f>
        <v>21</v>
      </c>
      <c r="V54" s="9"/>
      <c r="W54" s="88">
        <f>SUM(W2:X53)</f>
        <v>34</v>
      </c>
      <c r="X54" s="9"/>
      <c r="Y54" s="87">
        <f>SUM(Y2:Y53)</f>
        <v>24</v>
      </c>
      <c r="Z54" s="9"/>
      <c r="AA54" s="88">
        <f>SUM(AA2:AB53)</f>
        <v>7</v>
      </c>
      <c r="AB54" s="9"/>
      <c r="AC54" s="87">
        <f>SUM(AC2:AC53)</f>
        <v>23</v>
      </c>
      <c r="AD54" s="9"/>
      <c r="AE54" s="88">
        <f>SUM(AE2:AF53)</f>
        <v>0</v>
      </c>
      <c r="AF54" s="9"/>
      <c r="AG54" s="87">
        <f>SUM(AG2:AG53)</f>
        <v>0</v>
      </c>
      <c r="AH54" s="9"/>
      <c r="AI54" s="88">
        <f>SUM(AI2:AJ53)</f>
        <v>0</v>
      </c>
      <c r="AJ54" s="9"/>
      <c r="AK54" s="87">
        <f>SUM(AK2:AK53)</f>
        <v>0</v>
      </c>
      <c r="AL54" s="9"/>
      <c r="AM54" s="88">
        <f>SUM(AM2:AM53)</f>
        <v>0</v>
      </c>
      <c r="AN54" s="9"/>
      <c r="AO54" s="87">
        <f>SUM(AO2:AO53)</f>
        <v>21</v>
      </c>
      <c r="AP54" s="9"/>
      <c r="AQ54" s="88">
        <f>SUM(AQ2:AQ53)</f>
        <v>4</v>
      </c>
      <c r="AR54" s="9"/>
      <c r="AS54" s="87">
        <f>SUM(AS2:AS53)</f>
        <v>2</v>
      </c>
      <c r="AT54" s="9"/>
      <c r="AU54" s="88">
        <f>SUM(AU2:AU53)</f>
        <v>12</v>
      </c>
      <c r="AV54" s="9"/>
      <c r="AW54" s="22">
        <f>SUM(AW1:AW39)</f>
        <v>13</v>
      </c>
      <c r="AX54" s="23">
        <f>SUM(AX2:AX53)</f>
        <v>557.64</v>
      </c>
      <c r="AY54" s="24"/>
      <c r="AZ54" s="22">
        <f>SUM(AZ1:AZ53)</f>
        <v>49</v>
      </c>
      <c r="BA54" s="23">
        <f>SUM(BA2:BA53)</f>
        <v>1493.29</v>
      </c>
      <c r="BB54" s="24"/>
      <c r="BC54" s="22">
        <f>SUM(BC1:BC53)</f>
        <v>28</v>
      </c>
      <c r="BD54" s="23">
        <f>SUM(BD2:BD53)</f>
        <v>840.54</v>
      </c>
      <c r="BE54" s="24"/>
      <c r="BF54" s="22">
        <f>SUM(BF1:BF53)</f>
        <v>27</v>
      </c>
      <c r="BG54" s="23">
        <f>SUM(BG2:BG53)</f>
        <v>763.39</v>
      </c>
      <c r="BH54" s="24"/>
      <c r="BI54" s="22">
        <f>SUM(BI1:BI53)</f>
        <v>25</v>
      </c>
      <c r="BJ54" s="23">
        <f>SUM(BJ2:BJ53)</f>
        <v>748.1400000000001</v>
      </c>
      <c r="BK54" s="24"/>
      <c r="BL54" s="22">
        <f>SUM(BL1:BL53)</f>
        <v>23</v>
      </c>
      <c r="BM54" s="23">
        <f>SUM(BM2:BM53)</f>
        <v>730.33999999999992</v>
      </c>
      <c r="BN54" s="24"/>
      <c r="BO54" s="22">
        <f>SUM(BO1:BO53)</f>
        <v>21</v>
      </c>
      <c r="BP54" s="25">
        <f>SUM(BP2:BP53)</f>
        <v>634.39</v>
      </c>
      <c r="BQ54" s="24"/>
      <c r="BR54" s="22">
        <f>SUM(BR1:BR53)</f>
        <v>34</v>
      </c>
      <c r="BS54" s="23">
        <f>SUM(BS2:BS53)</f>
        <v>1020.28</v>
      </c>
      <c r="BT54" s="24"/>
      <c r="BU54" s="22">
        <f>SUM(BU1:BU53)</f>
        <v>24</v>
      </c>
      <c r="BV54" s="23">
        <f>SUM(BV2:BV53)</f>
        <v>721.45</v>
      </c>
      <c r="BW54" s="24"/>
      <c r="BX54" s="22">
        <f>SUM(BX1:BX53)</f>
        <v>7</v>
      </c>
      <c r="BY54" s="23">
        <f>SUM(BY2:BY53)</f>
        <v>226.8</v>
      </c>
      <c r="BZ54" s="24"/>
      <c r="CA54" s="22">
        <f>SUM(CA1:CA53)</f>
        <v>23</v>
      </c>
      <c r="CB54" s="23">
        <f>SUM(CB2:CB53)</f>
        <v>713.74</v>
      </c>
      <c r="CC54" s="24"/>
      <c r="CD54" s="22">
        <f>SUM(CD1:CD53)</f>
        <v>0</v>
      </c>
      <c r="CE54" s="23">
        <f>SUM(CE2:CE53)</f>
        <v>0</v>
      </c>
      <c r="CF54" s="24"/>
      <c r="CG54" s="22">
        <f>SUM(CG1:CG53)</f>
        <v>0</v>
      </c>
      <c r="CH54" s="23">
        <f>SUM(CH2:CH53)</f>
        <v>0</v>
      </c>
      <c r="CI54" s="24"/>
      <c r="CJ54" s="22">
        <f>SUM(CJ1:CJ53)</f>
        <v>0</v>
      </c>
      <c r="CK54" s="23">
        <f>SUM(CK2:CK53)</f>
        <v>0</v>
      </c>
      <c r="CL54" s="24"/>
      <c r="CM54" s="22">
        <f>SUM(CM1:CM53)</f>
        <v>0</v>
      </c>
      <c r="CN54" s="23">
        <f>SUM(CN2:CN53)</f>
        <v>0</v>
      </c>
      <c r="CO54" s="24"/>
      <c r="CP54" s="22">
        <f>SUM(CP1:CP53)</f>
        <v>0</v>
      </c>
      <c r="CQ54" s="23">
        <f>SUM(CQ2:CQ53)</f>
        <v>0</v>
      </c>
      <c r="CR54" s="24"/>
      <c r="CS54" s="22">
        <f>SUM(CS1:CS53)</f>
        <v>21</v>
      </c>
      <c r="CT54" s="23">
        <f>SUM(CT2:CT53)</f>
        <v>691.38000000000011</v>
      </c>
      <c r="CU54" s="24"/>
      <c r="CV54" s="22">
        <f>SUM(CV1:CV53)</f>
        <v>4</v>
      </c>
      <c r="CW54" s="23">
        <f>SUM(CW2:CW53)</f>
        <v>139.52000000000001</v>
      </c>
      <c r="CX54" s="24"/>
      <c r="CY54" s="22">
        <f>SUM(CY1:CY53)</f>
        <v>2</v>
      </c>
      <c r="CZ54" s="23">
        <f>SUM(CZ2:CZ53)</f>
        <v>80.400000000000006</v>
      </c>
      <c r="DA54" s="24"/>
      <c r="DB54" s="22">
        <f>SUM(DB1:DB53)</f>
        <v>12</v>
      </c>
      <c r="DC54" s="23">
        <f>SUM(DC2:DC53)</f>
        <v>371.15999999999997</v>
      </c>
      <c r="DD54" s="9"/>
      <c r="DE54" s="95">
        <f>SUM(DE2:DE53)</f>
        <v>8920</v>
      </c>
      <c r="DF54" s="48"/>
      <c r="DG54" s="86">
        <f>SUM(DG2:DG53)</f>
        <v>0</v>
      </c>
      <c r="DH54" s="48"/>
      <c r="DI54" s="86">
        <f>SUM(DI2:DI53)</f>
        <v>317</v>
      </c>
      <c r="DJ54" s="48"/>
      <c r="DK54" s="86">
        <f>SUM(DK2:DK53)</f>
        <v>8603</v>
      </c>
      <c r="DL54" s="48"/>
      <c r="DM54" s="66">
        <f>SUM(DM2:DM53)</f>
        <v>225668.76500000004</v>
      </c>
      <c r="DN54" s="48"/>
      <c r="DO54" s="94">
        <f>DM54+DY54</f>
        <v>254984.26500000004</v>
      </c>
      <c r="DP54" s="48"/>
      <c r="DQ54" s="66">
        <f>SUM(DQ2:DQ53)</f>
        <v>270586.81999999995</v>
      </c>
      <c r="DR54" s="48"/>
      <c r="DS54" s="65"/>
      <c r="DT54" s="48"/>
      <c r="DU54" s="67"/>
      <c r="DV54" s="48"/>
      <c r="DW54" s="68"/>
      <c r="DX54" s="48"/>
      <c r="DY54" s="93">
        <f>SUM(DY4:DY53)</f>
        <v>29315.5</v>
      </c>
    </row>
    <row r="55" spans="1:129" ht="12.45" customHeight="1" thickTop="1" x14ac:dyDescent="0.3">
      <c r="C55" s="57"/>
      <c r="E55" s="58"/>
      <c r="DM55" s="8"/>
      <c r="DN55" s="149">
        <f>AX54+BA54+BD54+BG54+BJ54+BM54+BP54+BS54+BV54+BY54+CB54+CT54+CW54+DC54+CZ54</f>
        <v>9732.4600000000009</v>
      </c>
      <c r="DO55" s="149"/>
      <c r="DP55" s="8"/>
      <c r="DQ55" s="8"/>
      <c r="DR55" s="8"/>
      <c r="DT55" s="8"/>
      <c r="DV55" s="8"/>
      <c r="DX55" s="8"/>
    </row>
  </sheetData>
  <mergeCells count="22">
    <mergeCell ref="BX1:BY1"/>
    <mergeCell ref="CA1:CB1"/>
    <mergeCell ref="CY1:CZ1"/>
    <mergeCell ref="CD1:CE1"/>
    <mergeCell ref="DB1:DC1"/>
    <mergeCell ref="DS1:DY3"/>
    <mergeCell ref="DN55:DO55"/>
    <mergeCell ref="CG1:CH1"/>
    <mergeCell ref="CJ1:CK1"/>
    <mergeCell ref="CM1:CN1"/>
    <mergeCell ref="CP1:CQ1"/>
    <mergeCell ref="CS1:CT1"/>
    <mergeCell ref="CV1:CW1"/>
    <mergeCell ref="BL1:BM1"/>
    <mergeCell ref="BO1:BP1"/>
    <mergeCell ref="BR1:BS1"/>
    <mergeCell ref="BU1:BV1"/>
    <mergeCell ref="AW1:AX1"/>
    <mergeCell ref="AZ1:BA1"/>
    <mergeCell ref="BC1:BD1"/>
    <mergeCell ref="BF1:BG1"/>
    <mergeCell ref="BI1:B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Week (29)</vt:lpstr>
      <vt:lpstr>Shipping</vt:lpstr>
      <vt:lpstr>Week (28)</vt:lpstr>
      <vt:lpstr>Week (27)</vt:lpstr>
      <vt:lpstr>Shipping!Print_Area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Hernandez</dc:creator>
  <cp:lastModifiedBy>Martin Hernandez</cp:lastModifiedBy>
  <cp:lastPrinted>2026-07-14T23:01:58Z</cp:lastPrinted>
  <dcterms:created xsi:type="dcterms:W3CDTF">2025-12-06T19:47:20Z</dcterms:created>
  <dcterms:modified xsi:type="dcterms:W3CDTF">2026-07-14T23:02:15Z</dcterms:modified>
</cp:coreProperties>
</file>