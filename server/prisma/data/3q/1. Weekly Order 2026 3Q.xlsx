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968" documentId="8_{C1CBD2A8-7F8F-4730-A769-B403EC9C3D79}" xr6:coauthVersionLast="47" xr6:coauthVersionMax="47" xr10:uidLastSave="{2C839626-BFD0-4420-A703-41BEFEDB53F7}"/>
  <bookViews>
    <workbookView xWindow="-108" yWindow="-108" windowWidth="23256" windowHeight="13896" activeTab="4" xr2:uid="{79797568-9CF3-44C5-A585-2926B404D01A}"/>
  </bookViews>
  <sheets>
    <sheet name="Sheet1" sheetId="14" r:id="rId1"/>
    <sheet name="Meat Order (32)" sheetId="13" r:id="rId2"/>
    <sheet name="Meat Order (31)" sheetId="8" r:id="rId3"/>
    <sheet name="Meat Order (30)" sheetId="11" r:id="rId4"/>
    <sheet name="Meat Order 29" sheetId="6" r:id="rId5"/>
    <sheet name="Meat Order (28)" sheetId="7" r:id="rId6"/>
    <sheet name="Meat Order 27" sheetId="2" r:id="rId7"/>
  </sheets>
  <definedNames>
    <definedName name="_xlnm.Print_Area" localSheetId="5">'Meat Order (28)'!$A$1:$JZ$31</definedName>
    <definedName name="_xlnm.Print_Area" localSheetId="3">'Meat Order (30)'!$A$1:$JZ$31</definedName>
    <definedName name="_xlnm.Print_Area" localSheetId="2">'Meat Order (31)'!$A$1:$JZ$31</definedName>
    <definedName name="_xlnm.Print_Area" localSheetId="1">'Meat Order (32)'!$A$1:$JZ$31</definedName>
    <definedName name="_xlnm.Print_Area" localSheetId="6">'Meat Order 27'!$A$1:$JZ$31</definedName>
    <definedName name="_xlnm.Print_Area" localSheetId="4">'Meat Order 29'!$A$1:$JZ$31</definedName>
    <definedName name="valHighlight" localSheetId="5">#REF!</definedName>
    <definedName name="valHighlight" localSheetId="3">#REF!</definedName>
    <definedName name="valHighlight" localSheetId="2">#REF!</definedName>
    <definedName name="valHighlight" localSheetId="1">#REF!</definedName>
    <definedName name="valHighlight" localSheetId="6">#REF!</definedName>
    <definedName name="valHighlight" localSheetId="4">#REF!</definedName>
    <definedName name="valHighlight">#REF!</definedName>
    <definedName name="Week" localSheetId="5">#REF!</definedName>
    <definedName name="Week" localSheetId="3">#REF!</definedName>
    <definedName name="Week" localSheetId="2">#REF!</definedName>
    <definedName name="Week" localSheetId="1">#REF!</definedName>
    <definedName name="Week" localSheetId="6">#REF!</definedName>
    <definedName name="Week" localSheetId="4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X12" i="6" l="1"/>
  <c r="IX13" i="6"/>
  <c r="IX14" i="6"/>
  <c r="IX15" i="6"/>
  <c r="IX16" i="6"/>
  <c r="IX17" i="6"/>
  <c r="IX18" i="6"/>
  <c r="IX19" i="6"/>
  <c r="IX20" i="6"/>
  <c r="IX21" i="6"/>
  <c r="IX22" i="6"/>
  <c r="IX23" i="6"/>
  <c r="IX24" i="6"/>
  <c r="IX25" i="6"/>
  <c r="IX26" i="6"/>
  <c r="IX27" i="6"/>
  <c r="IX28" i="6"/>
  <c r="IX29" i="6"/>
  <c r="IX11" i="6"/>
  <c r="HJ11" i="2" l="1"/>
  <c r="IX12" i="2" l="1"/>
  <c r="IX13" i="2"/>
  <c r="IX14" i="2"/>
  <c r="IX15" i="2"/>
  <c r="IX16" i="2"/>
  <c r="IX17" i="2"/>
  <c r="IX18" i="2"/>
  <c r="IX19" i="2"/>
  <c r="IX20" i="2"/>
  <c r="IX21" i="2"/>
  <c r="IX22" i="2"/>
  <c r="IX23" i="2"/>
  <c r="IX24" i="2"/>
  <c r="IX25" i="2"/>
  <c r="IX26" i="2"/>
  <c r="IX27" i="2"/>
  <c r="IX28" i="2"/>
  <c r="IX29" i="2"/>
  <c r="IX11" i="2"/>
  <c r="JF31" i="13" l="1"/>
  <c r="IV31" i="13"/>
  <c r="ID31" i="13"/>
  <c r="IC31" i="13"/>
  <c r="IB31" i="13"/>
  <c r="GZ31" i="13"/>
  <c r="GW31" i="13"/>
  <c r="GT31" i="13"/>
  <c r="GP31" i="13"/>
  <c r="GM31" i="13"/>
  <c r="GJ31" i="13"/>
  <c r="GF31" i="13"/>
  <c r="GC31" i="13"/>
  <c r="FZ31" i="13"/>
  <c r="FV31" i="13"/>
  <c r="FS31" i="13"/>
  <c r="FP31" i="13"/>
  <c r="FL31" i="13"/>
  <c r="FI31" i="13"/>
  <c r="FF31" i="13"/>
  <c r="FB31" i="13"/>
  <c r="EY31" i="13"/>
  <c r="EV31" i="13"/>
  <c r="ER31" i="13"/>
  <c r="EO31" i="13"/>
  <c r="EL31" i="13"/>
  <c r="EH31" i="13"/>
  <c r="EE31" i="13"/>
  <c r="EB31" i="13"/>
  <c r="DX31" i="13"/>
  <c r="DU31" i="13"/>
  <c r="DR31" i="13"/>
  <c r="DN31" i="13"/>
  <c r="DK31" i="13"/>
  <c r="DH31" i="13"/>
  <c r="DD31" i="13"/>
  <c r="DA31" i="13"/>
  <c r="CX31" i="13"/>
  <c r="CT31" i="13"/>
  <c r="CQ31" i="13"/>
  <c r="CN31" i="13"/>
  <c r="CJ31" i="13"/>
  <c r="CG31" i="13"/>
  <c r="CD31" i="13"/>
  <c r="BZ31" i="13"/>
  <c r="BW31" i="13"/>
  <c r="BT31" i="13"/>
  <c r="BP31" i="13"/>
  <c r="BM31" i="13"/>
  <c r="BJ31" i="13"/>
  <c r="BF31" i="13"/>
  <c r="BC31" i="13"/>
  <c r="AZ31" i="13"/>
  <c r="AV31" i="13"/>
  <c r="AS31" i="13"/>
  <c r="AP31" i="13"/>
  <c r="AL31" i="13"/>
  <c r="AI31" i="13"/>
  <c r="AF31" i="13"/>
  <c r="AB31" i="13"/>
  <c r="Y31" i="13"/>
  <c r="V31" i="13"/>
  <c r="R31" i="13"/>
  <c r="O31" i="13"/>
  <c r="L31" i="13"/>
  <c r="H31" i="13"/>
  <c r="E31" i="13"/>
  <c r="B31" i="13"/>
  <c r="JX29" i="13"/>
  <c r="JW29" i="13"/>
  <c r="JU29" i="13"/>
  <c r="JT29" i="13"/>
  <c r="JR29" i="13"/>
  <c r="JQ29" i="13"/>
  <c r="JN29" i="13"/>
  <c r="JM29" i="13"/>
  <c r="JK29" i="13"/>
  <c r="JP29" i="13" s="1"/>
  <c r="JH29" i="13"/>
  <c r="JD29" i="13"/>
  <c r="JC29" i="13"/>
  <c r="JA29" i="13"/>
  <c r="IZ29" i="13"/>
  <c r="IX29" i="13"/>
  <c r="IW29" i="13"/>
  <c r="IT29" i="13"/>
  <c r="IS29" i="13"/>
  <c r="IQ29" i="13"/>
  <c r="IP29" i="13"/>
  <c r="IN29" i="13"/>
  <c r="IM29" i="13"/>
  <c r="II29" i="13"/>
  <c r="IH29" i="13"/>
  <c r="IF29" i="13"/>
  <c r="IE29" i="13"/>
  <c r="ID29" i="13"/>
  <c r="HZ29" i="13"/>
  <c r="HV29" i="13"/>
  <c r="HU29" i="13"/>
  <c r="HT29" i="13"/>
  <c r="HS29" i="13"/>
  <c r="HO29" i="13"/>
  <c r="HN29" i="13"/>
  <c r="HM29" i="13"/>
  <c r="HL29" i="13"/>
  <c r="HJ29" i="13"/>
  <c r="HI29" i="13"/>
  <c r="HG29" i="13"/>
  <c r="HF29" i="13"/>
  <c r="HD29" i="13"/>
  <c r="HC29" i="13"/>
  <c r="HB29" i="13"/>
  <c r="GR29" i="13"/>
  <c r="GH29" i="13"/>
  <c r="IG29" i="13" s="1"/>
  <c r="GE29" i="13"/>
  <c r="GB29" i="13"/>
  <c r="FY29" i="13"/>
  <c r="FX29" i="13"/>
  <c r="FU29" i="13"/>
  <c r="FR29" i="13"/>
  <c r="FO29" i="13"/>
  <c r="FN29" i="13"/>
  <c r="FK29" i="13"/>
  <c r="FH29" i="13"/>
  <c r="FE29" i="13"/>
  <c r="FD29" i="13"/>
  <c r="FA29" i="13"/>
  <c r="EX29" i="13"/>
  <c r="EU29" i="13"/>
  <c r="ET29" i="13"/>
  <c r="IC29" i="13" s="1"/>
  <c r="EQ29" i="13"/>
  <c r="EN29" i="13"/>
  <c r="EK29" i="13"/>
  <c r="EJ29" i="13"/>
  <c r="IB29" i="13" s="1"/>
  <c r="EG29" i="13"/>
  <c r="ED29" i="13"/>
  <c r="EA29" i="13"/>
  <c r="DZ29" i="13"/>
  <c r="IA29" i="13" s="1"/>
  <c r="DP29" i="13"/>
  <c r="HY29" i="13" s="1"/>
  <c r="DM29" i="13"/>
  <c r="DG29" i="13"/>
  <c r="DF29" i="13"/>
  <c r="HX29" i="13" s="1"/>
  <c r="DC29" i="13"/>
  <c r="CW29" i="13"/>
  <c r="CV29" i="13"/>
  <c r="HW29" i="13" s="1"/>
  <c r="CS29" i="13"/>
  <c r="CM29" i="13"/>
  <c r="CL29" i="13"/>
  <c r="CI29" i="13"/>
  <c r="CC29" i="13"/>
  <c r="CB29" i="13"/>
  <c r="BY29" i="13"/>
  <c r="BS29" i="13"/>
  <c r="BR29" i="13"/>
  <c r="BO29" i="13"/>
  <c r="BI29" i="13"/>
  <c r="BH29" i="13"/>
  <c r="BE29" i="13"/>
  <c r="AY29" i="13"/>
  <c r="AX29" i="13"/>
  <c r="HR29" i="13" s="1"/>
  <c r="AU29" i="13"/>
  <c r="AO29" i="13"/>
  <c r="GV29" i="13" s="1"/>
  <c r="AN29" i="13"/>
  <c r="HQ29" i="13" s="1"/>
  <c r="AK29" i="13"/>
  <c r="AE29" i="13"/>
  <c r="AD29" i="13"/>
  <c r="HP29" i="13" s="1"/>
  <c r="AA29" i="13"/>
  <c r="U29" i="13"/>
  <c r="T29" i="13"/>
  <c r="Q29" i="13"/>
  <c r="K29" i="13"/>
  <c r="JJ29" i="13" s="1"/>
  <c r="J29" i="13"/>
  <c r="G29" i="13"/>
  <c r="JX28" i="13"/>
  <c r="JU28" i="13"/>
  <c r="JT28" i="13"/>
  <c r="JR28" i="13"/>
  <c r="JZ28" i="13" s="1"/>
  <c r="JP28" i="13"/>
  <c r="JN28" i="13"/>
  <c r="JK28" i="13"/>
  <c r="JH28" i="13"/>
  <c r="JD28" i="13"/>
  <c r="JC28" i="13"/>
  <c r="JA28" i="13"/>
  <c r="IZ28" i="13"/>
  <c r="IX28" i="13"/>
  <c r="IW28" i="13"/>
  <c r="IT28" i="13"/>
  <c r="IS28" i="13"/>
  <c r="IQ28" i="13"/>
  <c r="IP28" i="13"/>
  <c r="IN28" i="13"/>
  <c r="IM28" i="13"/>
  <c r="IH28" i="13"/>
  <c r="IG28" i="13"/>
  <c r="IF28" i="13"/>
  <c r="IC28" i="13"/>
  <c r="IB28" i="13"/>
  <c r="IA28" i="13"/>
  <c r="HZ28" i="13"/>
  <c r="HU28" i="13"/>
  <c r="HT28" i="13"/>
  <c r="HS28" i="13"/>
  <c r="HM28" i="13"/>
  <c r="HJ28" i="13"/>
  <c r="HI28" i="13"/>
  <c r="HG28" i="13"/>
  <c r="HF28" i="13"/>
  <c r="HD28" i="13"/>
  <c r="HC28" i="13"/>
  <c r="HB28" i="13"/>
  <c r="II28" i="13" s="1"/>
  <c r="GY28" i="13"/>
  <c r="GV28" i="13"/>
  <c r="GR28" i="13"/>
  <c r="GH28" i="13"/>
  <c r="FX28" i="13"/>
  <c r="FN28" i="13"/>
  <c r="IE28" i="13" s="1"/>
  <c r="FK28" i="13"/>
  <c r="FH28" i="13"/>
  <c r="FE28" i="13"/>
  <c r="FD28" i="13"/>
  <c r="ID28" i="13" s="1"/>
  <c r="FA28" i="13"/>
  <c r="EX28" i="13"/>
  <c r="EU28" i="13"/>
  <c r="ET28" i="13"/>
  <c r="EQ28" i="13"/>
  <c r="EN28" i="13"/>
  <c r="EK28" i="13"/>
  <c r="EJ28" i="13"/>
  <c r="EG28" i="13"/>
  <c r="ED28" i="13"/>
  <c r="EA28" i="13"/>
  <c r="DZ28" i="13"/>
  <c r="DP28" i="13"/>
  <c r="HY28" i="13" s="1"/>
  <c r="DM28" i="13"/>
  <c r="DG28" i="13"/>
  <c r="DF28" i="13"/>
  <c r="HX28" i="13" s="1"/>
  <c r="DC28" i="13"/>
  <c r="CW28" i="13"/>
  <c r="CV28" i="13"/>
  <c r="HW28" i="13" s="1"/>
  <c r="CS28" i="13"/>
  <c r="CM28" i="13"/>
  <c r="CL28" i="13"/>
  <c r="HV28" i="13" s="1"/>
  <c r="CI28" i="13"/>
  <c r="CC28" i="13"/>
  <c r="CB28" i="13"/>
  <c r="BY28" i="13"/>
  <c r="BS28" i="13"/>
  <c r="BR28" i="13"/>
  <c r="BO28" i="13"/>
  <c r="BI28" i="13"/>
  <c r="BH28" i="13"/>
  <c r="BE28" i="13"/>
  <c r="AY28" i="13"/>
  <c r="AX28" i="13"/>
  <c r="HR28" i="13" s="1"/>
  <c r="AU28" i="13"/>
  <c r="AO28" i="13"/>
  <c r="GS28" i="13" s="1"/>
  <c r="AN28" i="13"/>
  <c r="HQ28" i="13" s="1"/>
  <c r="AK28" i="13"/>
  <c r="AE28" i="13"/>
  <c r="AD28" i="13"/>
  <c r="HP28" i="13" s="1"/>
  <c r="AA28" i="13"/>
  <c r="U28" i="13"/>
  <c r="T28" i="13"/>
  <c r="HO28" i="13" s="1"/>
  <c r="Q28" i="13"/>
  <c r="K28" i="13"/>
  <c r="FU28" i="13" s="1"/>
  <c r="J28" i="13"/>
  <c r="HN28" i="13" s="1"/>
  <c r="G28" i="13"/>
  <c r="JX27" i="13"/>
  <c r="JU27" i="13"/>
  <c r="JR27" i="13"/>
  <c r="JZ27" i="13" s="1"/>
  <c r="JN27" i="13"/>
  <c r="JM27" i="13"/>
  <c r="JK27" i="13"/>
  <c r="JH27" i="13"/>
  <c r="JP27" i="13" s="1"/>
  <c r="JG27" i="13"/>
  <c r="JD27" i="13"/>
  <c r="JC27" i="13"/>
  <c r="JA27" i="13"/>
  <c r="IZ27" i="13"/>
  <c r="IX27" i="13"/>
  <c r="IW27" i="13"/>
  <c r="IT27" i="13"/>
  <c r="IS27" i="13"/>
  <c r="IQ27" i="13"/>
  <c r="IP27" i="13"/>
  <c r="IN27" i="13"/>
  <c r="IM27" i="13"/>
  <c r="IG27" i="13"/>
  <c r="IF27" i="13"/>
  <c r="IE27" i="13"/>
  <c r="IB27" i="13"/>
  <c r="IA27" i="13"/>
  <c r="HZ27" i="13"/>
  <c r="HY27" i="13"/>
  <c r="HX27" i="13"/>
  <c r="HW27" i="13"/>
  <c r="HT27" i="13"/>
  <c r="HS27" i="13"/>
  <c r="HM27" i="13"/>
  <c r="HJ27" i="13"/>
  <c r="HI27" i="13"/>
  <c r="HG27" i="13"/>
  <c r="HF27" i="13"/>
  <c r="HD27" i="13"/>
  <c r="HC27" i="13"/>
  <c r="HB27" i="13"/>
  <c r="II27" i="13" s="1"/>
  <c r="GY27" i="13"/>
  <c r="GV27" i="13"/>
  <c r="GS27" i="13"/>
  <c r="GR27" i="13"/>
  <c r="IH27" i="13" s="1"/>
  <c r="GO27" i="13"/>
  <c r="GL27" i="13"/>
  <c r="GI27" i="13"/>
  <c r="GH27" i="13"/>
  <c r="FX27" i="13"/>
  <c r="FN27" i="13"/>
  <c r="FK27" i="13"/>
  <c r="FH27" i="13"/>
  <c r="FE27" i="13"/>
  <c r="FD27" i="13"/>
  <c r="ID27" i="13" s="1"/>
  <c r="FA27" i="13"/>
  <c r="EX27" i="13"/>
  <c r="EU27" i="13"/>
  <c r="ET27" i="13"/>
  <c r="IC27" i="13" s="1"/>
  <c r="EQ27" i="13"/>
  <c r="EN27" i="13"/>
  <c r="EK27" i="13"/>
  <c r="EJ27" i="13"/>
  <c r="EG27" i="13"/>
  <c r="ED27" i="13"/>
  <c r="EA27" i="13"/>
  <c r="DZ27" i="13"/>
  <c r="DP27" i="13"/>
  <c r="DM27" i="13"/>
  <c r="DG27" i="13"/>
  <c r="DF27" i="13"/>
  <c r="DC27" i="13"/>
  <c r="CW27" i="13"/>
  <c r="CV27" i="13"/>
  <c r="CS27" i="13"/>
  <c r="CM27" i="13"/>
  <c r="CL27" i="13"/>
  <c r="HV27" i="13" s="1"/>
  <c r="CI27" i="13"/>
  <c r="CC27" i="13"/>
  <c r="CB27" i="13"/>
  <c r="HU27" i="13" s="1"/>
  <c r="BY27" i="13"/>
  <c r="BS27" i="13"/>
  <c r="BR27" i="13"/>
  <c r="BO27" i="13"/>
  <c r="BI27" i="13"/>
  <c r="BH27" i="13"/>
  <c r="BE27" i="13"/>
  <c r="AY27" i="13"/>
  <c r="AX27" i="13"/>
  <c r="HR27" i="13" s="1"/>
  <c r="AU27" i="13"/>
  <c r="AO27" i="13"/>
  <c r="AN27" i="13"/>
  <c r="HQ27" i="13" s="1"/>
  <c r="AK27" i="13"/>
  <c r="AE27" i="13"/>
  <c r="DQ27" i="13" s="1"/>
  <c r="AD27" i="13"/>
  <c r="HP27" i="13" s="1"/>
  <c r="AA27" i="13"/>
  <c r="U27" i="13"/>
  <c r="GE27" i="13" s="1"/>
  <c r="T27" i="13"/>
  <c r="HO27" i="13" s="1"/>
  <c r="Q27" i="13"/>
  <c r="K27" i="13"/>
  <c r="JT27" i="13" s="1"/>
  <c r="J27" i="13"/>
  <c r="G27" i="13"/>
  <c r="JX26" i="13"/>
  <c r="JZ26" i="13" s="1"/>
  <c r="JW26" i="13"/>
  <c r="JU26" i="13"/>
  <c r="JR26" i="13"/>
  <c r="JN26" i="13"/>
  <c r="JK26" i="13"/>
  <c r="JH26" i="13"/>
  <c r="JP26" i="13" s="1"/>
  <c r="JD26" i="13"/>
  <c r="JC26" i="13"/>
  <c r="JA26" i="13"/>
  <c r="IZ26" i="13"/>
  <c r="IX26" i="13"/>
  <c r="IW26" i="13"/>
  <c r="IT26" i="13"/>
  <c r="IS26" i="13"/>
  <c r="IQ26" i="13"/>
  <c r="IP26" i="13"/>
  <c r="IN26" i="13"/>
  <c r="IM26" i="13"/>
  <c r="IE26" i="13"/>
  <c r="HZ26" i="13"/>
  <c r="HY26" i="13"/>
  <c r="HX26" i="13"/>
  <c r="HW26" i="13"/>
  <c r="HV26" i="13"/>
  <c r="HT26" i="13"/>
  <c r="HS26" i="13"/>
  <c r="HR26" i="13"/>
  <c r="HQ26" i="13"/>
  <c r="HP26" i="13"/>
  <c r="HO26" i="13"/>
  <c r="HM26" i="13"/>
  <c r="HJ26" i="13"/>
  <c r="HI26" i="13"/>
  <c r="HG26" i="13"/>
  <c r="HF26" i="13"/>
  <c r="HD26" i="13"/>
  <c r="HC26" i="13"/>
  <c r="HB26" i="13"/>
  <c r="II26" i="13" s="1"/>
  <c r="GY26" i="13"/>
  <c r="GV26" i="13"/>
  <c r="GS26" i="13"/>
  <c r="GR26" i="13"/>
  <c r="IH26" i="13" s="1"/>
  <c r="GO26" i="13"/>
  <c r="GL26" i="13"/>
  <c r="GI26" i="13"/>
  <c r="GH26" i="13"/>
  <c r="IG26" i="13" s="1"/>
  <c r="GE26" i="13"/>
  <c r="GB26" i="13"/>
  <c r="FY26" i="13"/>
  <c r="FX26" i="13"/>
  <c r="IF26" i="13" s="1"/>
  <c r="FN26" i="13"/>
  <c r="FK26" i="13"/>
  <c r="FH26" i="13"/>
  <c r="FE26" i="13"/>
  <c r="FD26" i="13"/>
  <c r="ID26" i="13" s="1"/>
  <c r="FA26" i="13"/>
  <c r="EX26" i="13"/>
  <c r="EU26" i="13"/>
  <c r="ET26" i="13"/>
  <c r="IC26" i="13" s="1"/>
  <c r="EQ26" i="13"/>
  <c r="EN26" i="13"/>
  <c r="EK26" i="13"/>
  <c r="EJ26" i="13"/>
  <c r="IB26" i="13" s="1"/>
  <c r="EG26" i="13"/>
  <c r="ED26" i="13"/>
  <c r="EA26" i="13"/>
  <c r="DZ26" i="13"/>
  <c r="IA26" i="13" s="1"/>
  <c r="DW26" i="13"/>
  <c r="DQ26" i="13"/>
  <c r="DP26" i="13"/>
  <c r="DM26" i="13"/>
  <c r="DG26" i="13"/>
  <c r="DF26" i="13"/>
  <c r="DC26" i="13"/>
  <c r="CW26" i="13"/>
  <c r="CV26" i="13"/>
  <c r="CS26" i="13"/>
  <c r="CM26" i="13"/>
  <c r="CL26" i="13"/>
  <c r="CI26" i="13"/>
  <c r="CC26" i="13"/>
  <c r="CB26" i="13"/>
  <c r="HU26" i="13" s="1"/>
  <c r="BY26" i="13"/>
  <c r="BS26" i="13"/>
  <c r="BR26" i="13"/>
  <c r="BO26" i="13"/>
  <c r="BI26" i="13"/>
  <c r="BH26" i="13"/>
  <c r="BE26" i="13"/>
  <c r="AY26" i="13"/>
  <c r="AX26" i="13"/>
  <c r="AU26" i="13"/>
  <c r="AO26" i="13"/>
  <c r="AN26" i="13"/>
  <c r="AK26" i="13"/>
  <c r="AE26" i="13"/>
  <c r="AD26" i="13"/>
  <c r="AA26" i="13"/>
  <c r="U26" i="13"/>
  <c r="JQ26" i="13" s="1"/>
  <c r="T26" i="13"/>
  <c r="Q26" i="13"/>
  <c r="K26" i="13"/>
  <c r="J26" i="13"/>
  <c r="HN26" i="13" s="1"/>
  <c r="G26" i="13"/>
  <c r="JX25" i="13"/>
  <c r="JZ25" i="13" s="1"/>
  <c r="JW25" i="13"/>
  <c r="JU25" i="13"/>
  <c r="JT25" i="13"/>
  <c r="JR25" i="13"/>
  <c r="JQ25" i="13"/>
  <c r="JN25" i="13"/>
  <c r="JP25" i="13" s="1"/>
  <c r="JK25" i="13"/>
  <c r="JH25" i="13"/>
  <c r="JD25" i="13"/>
  <c r="JC25" i="13"/>
  <c r="JA25" i="13"/>
  <c r="IZ25" i="13"/>
  <c r="IX25" i="13"/>
  <c r="IW25" i="13"/>
  <c r="IT25" i="13"/>
  <c r="IS25" i="13"/>
  <c r="IQ25" i="13"/>
  <c r="IP25" i="13"/>
  <c r="IN25" i="13"/>
  <c r="IM25" i="13"/>
  <c r="II25" i="13"/>
  <c r="IH25" i="13"/>
  <c r="IG25" i="13"/>
  <c r="IF25" i="13"/>
  <c r="HZ25" i="13"/>
  <c r="HW25" i="13"/>
  <c r="HV25" i="13"/>
  <c r="HU25" i="13"/>
  <c r="HR25" i="13"/>
  <c r="HP25" i="13"/>
  <c r="HO25" i="13"/>
  <c r="HN25" i="13"/>
  <c r="HM25" i="13"/>
  <c r="HJ25" i="13"/>
  <c r="HI25" i="13"/>
  <c r="HG25" i="13"/>
  <c r="HF25" i="13"/>
  <c r="HD25" i="13"/>
  <c r="HC25" i="13"/>
  <c r="HB25" i="13"/>
  <c r="GR25" i="13"/>
  <c r="GL25" i="13"/>
  <c r="GH25" i="13"/>
  <c r="GE25" i="13"/>
  <c r="GB25" i="13"/>
  <c r="FY25" i="13"/>
  <c r="FX25" i="13"/>
  <c r="FU25" i="13"/>
  <c r="FR25" i="13"/>
  <c r="FO25" i="13"/>
  <c r="FN25" i="13"/>
  <c r="IE25" i="13" s="1"/>
  <c r="FK25" i="13"/>
  <c r="FH25" i="13"/>
  <c r="FE25" i="13"/>
  <c r="FD25" i="13"/>
  <c r="ID25" i="13" s="1"/>
  <c r="FA25" i="13"/>
  <c r="EX25" i="13"/>
  <c r="EU25" i="13"/>
  <c r="ET25" i="13"/>
  <c r="IC25" i="13" s="1"/>
  <c r="EQ25" i="13"/>
  <c r="EN25" i="13"/>
  <c r="EK25" i="13"/>
  <c r="EJ25" i="13"/>
  <c r="IB25" i="13" s="1"/>
  <c r="EG25" i="13"/>
  <c r="ED25" i="13"/>
  <c r="EA25" i="13"/>
  <c r="DZ25" i="13"/>
  <c r="IA25" i="13" s="1"/>
  <c r="DP25" i="13"/>
  <c r="HY25" i="13" s="1"/>
  <c r="DM25" i="13"/>
  <c r="DG25" i="13"/>
  <c r="DF25" i="13"/>
  <c r="HX25" i="13" s="1"/>
  <c r="DC25" i="13"/>
  <c r="CW25" i="13"/>
  <c r="CV25" i="13"/>
  <c r="CS25" i="13"/>
  <c r="CM25" i="13"/>
  <c r="CL25" i="13"/>
  <c r="CI25" i="13"/>
  <c r="CC25" i="13"/>
  <c r="CB25" i="13"/>
  <c r="BY25" i="13"/>
  <c r="BS25" i="13"/>
  <c r="BR25" i="13"/>
  <c r="BO25" i="13"/>
  <c r="BI25" i="13"/>
  <c r="BH25" i="13"/>
  <c r="HS25" i="13" s="1"/>
  <c r="BE25" i="13"/>
  <c r="AY25" i="13"/>
  <c r="AX25" i="13"/>
  <c r="AU25" i="13"/>
  <c r="AO25" i="13"/>
  <c r="AN25" i="13"/>
  <c r="HQ25" i="13" s="1"/>
  <c r="AK25" i="13"/>
  <c r="AE25" i="13"/>
  <c r="AD25" i="13"/>
  <c r="AA25" i="13"/>
  <c r="U25" i="13"/>
  <c r="T25" i="13"/>
  <c r="Q25" i="13"/>
  <c r="K25" i="13"/>
  <c r="JM25" i="13" s="1"/>
  <c r="J25" i="13"/>
  <c r="G25" i="13"/>
  <c r="JX24" i="13"/>
  <c r="JW24" i="13"/>
  <c r="JU24" i="13"/>
  <c r="JT24" i="13"/>
  <c r="JR24" i="13"/>
  <c r="JZ24" i="13" s="1"/>
  <c r="JN24" i="13"/>
  <c r="JM24" i="13"/>
  <c r="JK24" i="13"/>
  <c r="JJ24" i="13"/>
  <c r="JH24" i="13"/>
  <c r="JP24" i="13" s="1"/>
  <c r="JG24" i="13"/>
  <c r="JD24" i="13"/>
  <c r="JC24" i="13"/>
  <c r="JA24" i="13"/>
  <c r="IZ24" i="13"/>
  <c r="IX24" i="13"/>
  <c r="IW24" i="13"/>
  <c r="IT24" i="13"/>
  <c r="IS24" i="13"/>
  <c r="IQ24" i="13"/>
  <c r="IP24" i="13"/>
  <c r="IN24" i="13"/>
  <c r="IM24" i="13"/>
  <c r="II24" i="13"/>
  <c r="IH24" i="13"/>
  <c r="IG24" i="13"/>
  <c r="IF24" i="13"/>
  <c r="IE24" i="13"/>
  <c r="IC24" i="13"/>
  <c r="IB24" i="13"/>
  <c r="IA24" i="13"/>
  <c r="HZ24" i="13"/>
  <c r="HU24" i="13"/>
  <c r="HN24" i="13"/>
  <c r="HM24" i="13"/>
  <c r="HJ24" i="13"/>
  <c r="HI24" i="13"/>
  <c r="HG24" i="13"/>
  <c r="HF24" i="13"/>
  <c r="HD24" i="13"/>
  <c r="HC24" i="13"/>
  <c r="HB24" i="13"/>
  <c r="GR24" i="13"/>
  <c r="GH24" i="13"/>
  <c r="FY24" i="13"/>
  <c r="FX24" i="13"/>
  <c r="FU24" i="13"/>
  <c r="FR24" i="13"/>
  <c r="FO24" i="13"/>
  <c r="FN24" i="13"/>
  <c r="FK24" i="13"/>
  <c r="FH24" i="13"/>
  <c r="FE24" i="13"/>
  <c r="FD24" i="13"/>
  <c r="ID24" i="13" s="1"/>
  <c r="FA24" i="13"/>
  <c r="EX24" i="13"/>
  <c r="EU24" i="13"/>
  <c r="ET24" i="13"/>
  <c r="EQ24" i="13"/>
  <c r="EN24" i="13"/>
  <c r="EK24" i="13"/>
  <c r="EJ24" i="13"/>
  <c r="EG24" i="13"/>
  <c r="ED24" i="13"/>
  <c r="EA24" i="13"/>
  <c r="DZ24" i="13"/>
  <c r="DW24" i="13"/>
  <c r="DP24" i="13"/>
  <c r="HY24" i="13" s="1"/>
  <c r="DM24" i="13"/>
  <c r="DG24" i="13"/>
  <c r="DF24" i="13"/>
  <c r="HX24" i="13" s="1"/>
  <c r="DC24" i="13"/>
  <c r="CW24" i="13"/>
  <c r="CV24" i="13"/>
  <c r="HW24" i="13" s="1"/>
  <c r="CS24" i="13"/>
  <c r="CM24" i="13"/>
  <c r="CL24" i="13"/>
  <c r="HV24" i="13" s="1"/>
  <c r="CI24" i="13"/>
  <c r="CC24" i="13"/>
  <c r="CB24" i="13"/>
  <c r="BY24" i="13"/>
  <c r="BS24" i="13"/>
  <c r="BR24" i="13"/>
  <c r="HT24" i="13" s="1"/>
  <c r="BO24" i="13"/>
  <c r="BI24" i="13"/>
  <c r="BH24" i="13"/>
  <c r="HS24" i="13" s="1"/>
  <c r="BE24" i="13"/>
  <c r="AY24" i="13"/>
  <c r="AX24" i="13"/>
  <c r="HR24" i="13" s="1"/>
  <c r="AU24" i="13"/>
  <c r="AO24" i="13"/>
  <c r="AN24" i="13"/>
  <c r="HQ24" i="13" s="1"/>
  <c r="AK24" i="13"/>
  <c r="AE24" i="13"/>
  <c r="AD24" i="13"/>
  <c r="HP24" i="13" s="1"/>
  <c r="AA24" i="13"/>
  <c r="U24" i="13"/>
  <c r="T24" i="13"/>
  <c r="HO24" i="13" s="1"/>
  <c r="Q24" i="13"/>
  <c r="K24" i="13"/>
  <c r="J24" i="13"/>
  <c r="G24" i="13"/>
  <c r="JX23" i="13"/>
  <c r="JU23" i="13"/>
  <c r="JR23" i="13"/>
  <c r="JZ23" i="13" s="1"/>
  <c r="JN23" i="13"/>
  <c r="JK23" i="13"/>
  <c r="JP23" i="13" s="1"/>
  <c r="JJ23" i="13"/>
  <c r="JH23" i="13"/>
  <c r="JD23" i="13"/>
  <c r="JC23" i="13"/>
  <c r="JA23" i="13"/>
  <c r="IZ23" i="13"/>
  <c r="IX23" i="13"/>
  <c r="IW23" i="13"/>
  <c r="IT23" i="13"/>
  <c r="IS23" i="13"/>
  <c r="IQ23" i="13"/>
  <c r="IP23" i="13"/>
  <c r="IN23" i="13"/>
  <c r="IM23" i="13"/>
  <c r="IG23" i="13"/>
  <c r="IF23" i="13"/>
  <c r="ID23" i="13"/>
  <c r="IC23" i="13"/>
  <c r="IB23" i="13"/>
  <c r="IA23" i="13"/>
  <c r="HZ23" i="13"/>
  <c r="HY23" i="13"/>
  <c r="HM23" i="13"/>
  <c r="HJ23" i="13"/>
  <c r="HI23" i="13"/>
  <c r="HG23" i="13"/>
  <c r="HF23" i="13"/>
  <c r="HD23" i="13"/>
  <c r="HC23" i="13"/>
  <c r="HB23" i="13"/>
  <c r="II23" i="13" s="1"/>
  <c r="GY23" i="13"/>
  <c r="GV23" i="13"/>
  <c r="GS23" i="13"/>
  <c r="GR23" i="13"/>
  <c r="IH23" i="13" s="1"/>
  <c r="GO23" i="13"/>
  <c r="GH23" i="13"/>
  <c r="FX23" i="13"/>
  <c r="FN23" i="13"/>
  <c r="IE23" i="13" s="1"/>
  <c r="FK23" i="13"/>
  <c r="FH23" i="13"/>
  <c r="FE23" i="13"/>
  <c r="FD23" i="13"/>
  <c r="FA23" i="13"/>
  <c r="EX23" i="13"/>
  <c r="EU23" i="13"/>
  <c r="ET23" i="13"/>
  <c r="EQ23" i="13"/>
  <c r="EN23" i="13"/>
  <c r="EK23" i="13"/>
  <c r="EJ23" i="13"/>
  <c r="EG23" i="13"/>
  <c r="ED23" i="13"/>
  <c r="EA23" i="13"/>
  <c r="DZ23" i="13"/>
  <c r="DP23" i="13"/>
  <c r="DM23" i="13"/>
  <c r="DG23" i="13"/>
  <c r="DF23" i="13"/>
  <c r="HX23" i="13" s="1"/>
  <c r="DC23" i="13"/>
  <c r="CW23" i="13"/>
  <c r="CV23" i="13"/>
  <c r="HW23" i="13" s="1"/>
  <c r="CS23" i="13"/>
  <c r="CM23" i="13"/>
  <c r="CL23" i="13"/>
  <c r="HV23" i="13" s="1"/>
  <c r="CI23" i="13"/>
  <c r="CC23" i="13"/>
  <c r="CB23" i="13"/>
  <c r="HU23" i="13" s="1"/>
  <c r="BY23" i="13"/>
  <c r="BS23" i="13"/>
  <c r="BR23" i="13"/>
  <c r="HT23" i="13" s="1"/>
  <c r="BO23" i="13"/>
  <c r="BI23" i="13"/>
  <c r="BH23" i="13"/>
  <c r="HS23" i="13" s="1"/>
  <c r="BE23" i="13"/>
  <c r="AY23" i="13"/>
  <c r="AX23" i="13"/>
  <c r="HR23" i="13" s="1"/>
  <c r="AU23" i="13"/>
  <c r="AO23" i="13"/>
  <c r="AN23" i="13"/>
  <c r="HQ23" i="13" s="1"/>
  <c r="AK23" i="13"/>
  <c r="AE23" i="13"/>
  <c r="GL23" i="13" s="1"/>
  <c r="AD23" i="13"/>
  <c r="HP23" i="13" s="1"/>
  <c r="AA23" i="13"/>
  <c r="U23" i="13"/>
  <c r="T23" i="13"/>
  <c r="HO23" i="13" s="1"/>
  <c r="Q23" i="13"/>
  <c r="K23" i="13"/>
  <c r="J23" i="13"/>
  <c r="G23" i="13"/>
  <c r="JX22" i="13"/>
  <c r="JZ22" i="13" s="1"/>
  <c r="JU22" i="13"/>
  <c r="JR22" i="13"/>
  <c r="JN22" i="13"/>
  <c r="JK22" i="13"/>
  <c r="JJ22" i="13"/>
  <c r="JH22" i="13"/>
  <c r="JP22" i="13" s="1"/>
  <c r="JD22" i="13"/>
  <c r="JC22" i="13"/>
  <c r="JA22" i="13"/>
  <c r="IZ22" i="13"/>
  <c r="IX22" i="13"/>
  <c r="IW22" i="13"/>
  <c r="IT22" i="13"/>
  <c r="IS22" i="13"/>
  <c r="IQ22" i="13"/>
  <c r="IP22" i="13"/>
  <c r="IN22" i="13"/>
  <c r="IM22" i="13"/>
  <c r="IF22" i="13"/>
  <c r="HZ22" i="13"/>
  <c r="HY22" i="13"/>
  <c r="HX22" i="13"/>
  <c r="HW22" i="13"/>
  <c r="HV22" i="13"/>
  <c r="HU22" i="13"/>
  <c r="HS22" i="13"/>
  <c r="HR22" i="13"/>
  <c r="HQ22" i="13"/>
  <c r="HM22" i="13"/>
  <c r="HJ22" i="13"/>
  <c r="HI22" i="13"/>
  <c r="HG22" i="13"/>
  <c r="HF22" i="13"/>
  <c r="HD22" i="13"/>
  <c r="HC22" i="13"/>
  <c r="HB22" i="13"/>
  <c r="II22" i="13" s="1"/>
  <c r="GY22" i="13"/>
  <c r="GV22" i="13"/>
  <c r="GS22" i="13"/>
  <c r="GR22" i="13"/>
  <c r="IH22" i="13" s="1"/>
  <c r="GO22" i="13"/>
  <c r="GL22" i="13"/>
  <c r="GI22" i="13"/>
  <c r="GH22" i="13"/>
  <c r="IG22" i="13" s="1"/>
  <c r="GE22" i="13"/>
  <c r="GB22" i="13"/>
  <c r="FX22" i="13"/>
  <c r="FN22" i="13"/>
  <c r="IE22" i="13" s="1"/>
  <c r="FK22" i="13"/>
  <c r="FH22" i="13"/>
  <c r="FE22" i="13"/>
  <c r="FD22" i="13"/>
  <c r="ID22" i="13" s="1"/>
  <c r="FA22" i="13"/>
  <c r="EX22" i="13"/>
  <c r="EU22" i="13"/>
  <c r="ET22" i="13"/>
  <c r="IC22" i="13" s="1"/>
  <c r="EQ22" i="13"/>
  <c r="EN22" i="13"/>
  <c r="EK22" i="13"/>
  <c r="EJ22" i="13"/>
  <c r="IB22" i="13" s="1"/>
  <c r="EG22" i="13"/>
  <c r="ED22" i="13"/>
  <c r="EA22" i="13"/>
  <c r="DZ22" i="13"/>
  <c r="IA22" i="13" s="1"/>
  <c r="DP22" i="13"/>
  <c r="DM22" i="13"/>
  <c r="DG22" i="13"/>
  <c r="DF22" i="13"/>
  <c r="DC22" i="13"/>
  <c r="CW22" i="13"/>
  <c r="CV22" i="13"/>
  <c r="CS22" i="13"/>
  <c r="CM22" i="13"/>
  <c r="CL22" i="13"/>
  <c r="CI22" i="13"/>
  <c r="CC22" i="13"/>
  <c r="CB22" i="13"/>
  <c r="BY22" i="13"/>
  <c r="BS22" i="13"/>
  <c r="BR22" i="13"/>
  <c r="HT22" i="13" s="1"/>
  <c r="BO22" i="13"/>
  <c r="BI22" i="13"/>
  <c r="BH22" i="13"/>
  <c r="BE22" i="13"/>
  <c r="AY22" i="13"/>
  <c r="AX22" i="13"/>
  <c r="AU22" i="13"/>
  <c r="AO22" i="13"/>
  <c r="AN22" i="13"/>
  <c r="AK22" i="13"/>
  <c r="AE22" i="13"/>
  <c r="DW22" i="13" s="1"/>
  <c r="AD22" i="13"/>
  <c r="HP22" i="13" s="1"/>
  <c r="AA22" i="13"/>
  <c r="U22" i="13"/>
  <c r="JW22" i="13" s="1"/>
  <c r="T22" i="13"/>
  <c r="HO22" i="13" s="1"/>
  <c r="Q22" i="13"/>
  <c r="K22" i="13"/>
  <c r="FO22" i="13" s="1"/>
  <c r="J22" i="13"/>
  <c r="G22" i="13"/>
  <c r="JX21" i="13"/>
  <c r="JW21" i="13"/>
  <c r="JU21" i="13"/>
  <c r="JT21" i="13"/>
  <c r="JR21" i="13"/>
  <c r="JQ21" i="13"/>
  <c r="JN21" i="13"/>
  <c r="JK21" i="13"/>
  <c r="JJ21" i="13"/>
  <c r="JH21" i="13"/>
  <c r="JP21" i="13" s="1"/>
  <c r="JD21" i="13"/>
  <c r="JC21" i="13"/>
  <c r="JA21" i="13"/>
  <c r="IZ21" i="13"/>
  <c r="IX21" i="13"/>
  <c r="IW21" i="13"/>
  <c r="IT21" i="13"/>
  <c r="IS21" i="13"/>
  <c r="IQ21" i="13"/>
  <c r="IP21" i="13"/>
  <c r="IN21" i="13"/>
  <c r="IM21" i="13"/>
  <c r="II21" i="13"/>
  <c r="IH21" i="13"/>
  <c r="IE21" i="13"/>
  <c r="HZ21" i="13"/>
  <c r="HX21" i="13"/>
  <c r="HW21" i="13"/>
  <c r="HV21" i="13"/>
  <c r="HT21" i="13"/>
  <c r="HS21" i="13"/>
  <c r="HQ21" i="13"/>
  <c r="HP21" i="13"/>
  <c r="HO21" i="13"/>
  <c r="HN21" i="13"/>
  <c r="HM21" i="13"/>
  <c r="HJ21" i="13"/>
  <c r="HI21" i="13"/>
  <c r="HG21" i="13"/>
  <c r="HF21" i="13"/>
  <c r="HD21" i="13"/>
  <c r="HC21" i="13"/>
  <c r="HB21" i="13"/>
  <c r="GR21" i="13"/>
  <c r="GO21" i="13"/>
  <c r="GL21" i="13"/>
  <c r="GI21" i="13"/>
  <c r="GH21" i="13"/>
  <c r="IG21" i="13" s="1"/>
  <c r="GE21" i="13"/>
  <c r="GB21" i="13"/>
  <c r="FY21" i="13"/>
  <c r="FX21" i="13"/>
  <c r="IF21" i="13" s="1"/>
  <c r="FU21" i="13"/>
  <c r="FR21" i="13"/>
  <c r="FO21" i="13"/>
  <c r="FN21" i="13"/>
  <c r="FK21" i="13"/>
  <c r="FH21" i="13"/>
  <c r="FE21" i="13"/>
  <c r="FD21" i="13"/>
  <c r="ID21" i="13" s="1"/>
  <c r="FA21" i="13"/>
  <c r="EX21" i="13"/>
  <c r="EU21" i="13"/>
  <c r="ET21" i="13"/>
  <c r="IC21" i="13" s="1"/>
  <c r="EQ21" i="13"/>
  <c r="EN21" i="13"/>
  <c r="EK21" i="13"/>
  <c r="EJ21" i="13"/>
  <c r="IB21" i="13" s="1"/>
  <c r="EG21" i="13"/>
  <c r="ED21" i="13"/>
  <c r="EA21" i="13"/>
  <c r="DZ21" i="13"/>
  <c r="IA21" i="13" s="1"/>
  <c r="DW21" i="13"/>
  <c r="DQ21" i="13"/>
  <c r="DP21" i="13"/>
  <c r="HY21" i="13" s="1"/>
  <c r="DM21" i="13"/>
  <c r="DG21" i="13"/>
  <c r="DF21" i="13"/>
  <c r="DC21" i="13"/>
  <c r="CW21" i="13"/>
  <c r="CV21" i="13"/>
  <c r="CS21" i="13"/>
  <c r="CM21" i="13"/>
  <c r="CL21" i="13"/>
  <c r="CI21" i="13"/>
  <c r="CC21" i="13"/>
  <c r="CB21" i="13"/>
  <c r="HU21" i="13" s="1"/>
  <c r="BY21" i="13"/>
  <c r="BS21" i="13"/>
  <c r="BR21" i="13"/>
  <c r="BO21" i="13"/>
  <c r="BI21" i="13"/>
  <c r="BH21" i="13"/>
  <c r="BE21" i="13"/>
  <c r="AY21" i="13"/>
  <c r="AX21" i="13"/>
  <c r="HR21" i="13" s="1"/>
  <c r="AU21" i="13"/>
  <c r="AO21" i="13"/>
  <c r="AN21" i="13"/>
  <c r="HL21" i="13" s="1"/>
  <c r="AK21" i="13"/>
  <c r="AE21" i="13"/>
  <c r="AD21" i="13"/>
  <c r="AA21" i="13"/>
  <c r="U21" i="13"/>
  <c r="T21" i="13"/>
  <c r="Q21" i="13"/>
  <c r="K21" i="13"/>
  <c r="JM21" i="13" s="1"/>
  <c r="J21" i="13"/>
  <c r="G21" i="13"/>
  <c r="JZ20" i="13"/>
  <c r="JX20" i="13"/>
  <c r="JU20" i="13"/>
  <c r="JT20" i="13"/>
  <c r="JR20" i="13"/>
  <c r="JN20" i="13"/>
  <c r="JM20" i="13"/>
  <c r="JK20" i="13"/>
  <c r="JP20" i="13" s="1"/>
  <c r="JJ20" i="13"/>
  <c r="JH20" i="13"/>
  <c r="JD20" i="13"/>
  <c r="JC20" i="13"/>
  <c r="JA20" i="13"/>
  <c r="IZ20" i="13"/>
  <c r="IX20" i="13"/>
  <c r="IW20" i="13"/>
  <c r="IT20" i="13"/>
  <c r="IS20" i="13"/>
  <c r="IQ20" i="13"/>
  <c r="IP20" i="13"/>
  <c r="IN20" i="13"/>
  <c r="IM20" i="13"/>
  <c r="II20" i="13"/>
  <c r="IH20" i="13"/>
  <c r="IG20" i="13"/>
  <c r="IC20" i="13"/>
  <c r="HZ20" i="13"/>
  <c r="HV20" i="13"/>
  <c r="HT20" i="13"/>
  <c r="HR20" i="13"/>
  <c r="HO20" i="13"/>
  <c r="HN20" i="13"/>
  <c r="HM20" i="13"/>
  <c r="HL20" i="13"/>
  <c r="HJ20" i="13"/>
  <c r="HI20" i="13"/>
  <c r="HG20" i="13"/>
  <c r="HF20" i="13"/>
  <c r="HD20" i="13"/>
  <c r="HD31" i="13" s="1"/>
  <c r="HC20" i="13"/>
  <c r="HB20" i="13"/>
  <c r="GR20" i="13"/>
  <c r="GH20" i="13"/>
  <c r="FX20" i="13"/>
  <c r="IF20" i="13" s="1"/>
  <c r="FU20" i="13"/>
  <c r="FR20" i="13"/>
  <c r="FO20" i="13"/>
  <c r="FN20" i="13"/>
  <c r="IE20" i="13" s="1"/>
  <c r="FK20" i="13"/>
  <c r="FH20" i="13"/>
  <c r="FE20" i="13"/>
  <c r="FD20" i="13"/>
  <c r="ID20" i="13" s="1"/>
  <c r="FA20" i="13"/>
  <c r="EX20" i="13"/>
  <c r="EU20" i="13"/>
  <c r="ET20" i="13"/>
  <c r="EQ20" i="13"/>
  <c r="EN20" i="13"/>
  <c r="EK20" i="13"/>
  <c r="EJ20" i="13"/>
  <c r="IB20" i="13" s="1"/>
  <c r="EG20" i="13"/>
  <c r="ED20" i="13"/>
  <c r="EA20" i="13"/>
  <c r="DZ20" i="13"/>
  <c r="IA20" i="13" s="1"/>
  <c r="DP20" i="13"/>
  <c r="HY20" i="13" s="1"/>
  <c r="DM20" i="13"/>
  <c r="DG20" i="13"/>
  <c r="DF20" i="13"/>
  <c r="HX20" i="13" s="1"/>
  <c r="DC20" i="13"/>
  <c r="CW20" i="13"/>
  <c r="CV20" i="13"/>
  <c r="HW20" i="13" s="1"/>
  <c r="CS20" i="13"/>
  <c r="CM20" i="13"/>
  <c r="CL20" i="13"/>
  <c r="CI20" i="13"/>
  <c r="CC20" i="13"/>
  <c r="CB20" i="13"/>
  <c r="HU20" i="13" s="1"/>
  <c r="BY20" i="13"/>
  <c r="BS20" i="13"/>
  <c r="BR20" i="13"/>
  <c r="BO20" i="13"/>
  <c r="BI20" i="13"/>
  <c r="BH20" i="13"/>
  <c r="HS20" i="13" s="1"/>
  <c r="BE20" i="13"/>
  <c r="AY20" i="13"/>
  <c r="AX20" i="13"/>
  <c r="AU20" i="13"/>
  <c r="AO20" i="13"/>
  <c r="GY20" i="13" s="1"/>
  <c r="AN20" i="13"/>
  <c r="HQ20" i="13" s="1"/>
  <c r="AK20" i="13"/>
  <c r="AE20" i="13"/>
  <c r="AD20" i="13"/>
  <c r="HP20" i="13" s="1"/>
  <c r="AA20" i="13"/>
  <c r="U20" i="13"/>
  <c r="T20" i="13"/>
  <c r="Q20" i="13"/>
  <c r="K20" i="13"/>
  <c r="JG20" i="13" s="1"/>
  <c r="J20" i="13"/>
  <c r="G20" i="13"/>
  <c r="JX19" i="13"/>
  <c r="JU19" i="13"/>
  <c r="JR19" i="13"/>
  <c r="JZ19" i="13" s="1"/>
  <c r="JN19" i="13"/>
  <c r="JM19" i="13"/>
  <c r="JK19" i="13"/>
  <c r="JJ19" i="13"/>
  <c r="JH19" i="13"/>
  <c r="JG19" i="13"/>
  <c r="JD19" i="13"/>
  <c r="JC19" i="13"/>
  <c r="JA19" i="13"/>
  <c r="IZ19" i="13"/>
  <c r="IX19" i="13"/>
  <c r="IW19" i="13"/>
  <c r="IT19" i="13"/>
  <c r="IS19" i="13"/>
  <c r="IQ19" i="13"/>
  <c r="IP19" i="13"/>
  <c r="IN19" i="13"/>
  <c r="IM19" i="13"/>
  <c r="II19" i="13"/>
  <c r="IH19" i="13"/>
  <c r="IG19" i="13"/>
  <c r="IF19" i="13"/>
  <c r="IC19" i="13"/>
  <c r="IB19" i="13"/>
  <c r="IA19" i="13"/>
  <c r="HZ19" i="13"/>
  <c r="HY19" i="13"/>
  <c r="HT19" i="13"/>
  <c r="HM19" i="13"/>
  <c r="HJ19" i="13"/>
  <c r="HI19" i="13"/>
  <c r="HG19" i="13"/>
  <c r="HF19" i="13"/>
  <c r="HD19" i="13"/>
  <c r="HC19" i="13"/>
  <c r="HB19" i="13"/>
  <c r="GR19" i="13"/>
  <c r="GH19" i="13"/>
  <c r="FX19" i="13"/>
  <c r="FR19" i="13"/>
  <c r="FN19" i="13"/>
  <c r="IE19" i="13" s="1"/>
  <c r="FK19" i="13"/>
  <c r="FH19" i="13"/>
  <c r="FE19" i="13"/>
  <c r="FD19" i="13"/>
  <c r="ID19" i="13" s="1"/>
  <c r="FA19" i="13"/>
  <c r="EX19" i="13"/>
  <c r="EU19" i="13"/>
  <c r="ET19" i="13"/>
  <c r="EQ19" i="13"/>
  <c r="EN19" i="13"/>
  <c r="EK19" i="13"/>
  <c r="EJ19" i="13"/>
  <c r="EG19" i="13"/>
  <c r="ED19" i="13"/>
  <c r="EA19" i="13"/>
  <c r="DZ19" i="13"/>
  <c r="DP19" i="13"/>
  <c r="DM19" i="13"/>
  <c r="DG19" i="13"/>
  <c r="DF19" i="13"/>
  <c r="HX19" i="13" s="1"/>
  <c r="DC19" i="13"/>
  <c r="CW19" i="13"/>
  <c r="CV19" i="13"/>
  <c r="HW19" i="13" s="1"/>
  <c r="CS19" i="13"/>
  <c r="CM19" i="13"/>
  <c r="CL19" i="13"/>
  <c r="HV19" i="13" s="1"/>
  <c r="CI19" i="13"/>
  <c r="CC19" i="13"/>
  <c r="CB19" i="13"/>
  <c r="HU19" i="13" s="1"/>
  <c r="BY19" i="13"/>
  <c r="BS19" i="13"/>
  <c r="BR19" i="13"/>
  <c r="BO19" i="13"/>
  <c r="BI19" i="13"/>
  <c r="BH19" i="13"/>
  <c r="HS19" i="13" s="1"/>
  <c r="BE19" i="13"/>
  <c r="AY19" i="13"/>
  <c r="AX19" i="13"/>
  <c r="HR19" i="13" s="1"/>
  <c r="AU19" i="13"/>
  <c r="AO19" i="13"/>
  <c r="GY19" i="13" s="1"/>
  <c r="AN19" i="13"/>
  <c r="HQ19" i="13" s="1"/>
  <c r="AK19" i="13"/>
  <c r="AE19" i="13"/>
  <c r="AD19" i="13"/>
  <c r="HP19" i="13" s="1"/>
  <c r="AA19" i="13"/>
  <c r="U19" i="13"/>
  <c r="T19" i="13"/>
  <c r="HO19" i="13" s="1"/>
  <c r="Q19" i="13"/>
  <c r="K19" i="13"/>
  <c r="J19" i="13"/>
  <c r="G19" i="13"/>
  <c r="JX18" i="13"/>
  <c r="JU18" i="13"/>
  <c r="JR18" i="13"/>
  <c r="JZ18" i="13" s="1"/>
  <c r="JN18" i="13"/>
  <c r="JK18" i="13"/>
  <c r="JH18" i="13"/>
  <c r="JD18" i="13"/>
  <c r="JC18" i="13"/>
  <c r="JA18" i="13"/>
  <c r="IZ18" i="13"/>
  <c r="IX18" i="13"/>
  <c r="IW18" i="13"/>
  <c r="IT18" i="13"/>
  <c r="IS18" i="13"/>
  <c r="IQ18" i="13"/>
  <c r="IP18" i="13"/>
  <c r="IN18" i="13"/>
  <c r="IM18" i="13"/>
  <c r="IF18" i="13"/>
  <c r="IE18" i="13"/>
  <c r="ID18" i="13"/>
  <c r="IB18" i="13"/>
  <c r="IA18" i="13"/>
  <c r="HZ18" i="13"/>
  <c r="HY18" i="13"/>
  <c r="HX18" i="13"/>
  <c r="HW18" i="13"/>
  <c r="HT18" i="13"/>
  <c r="HS18" i="13"/>
  <c r="HM18" i="13"/>
  <c r="HJ18" i="13"/>
  <c r="HI18" i="13"/>
  <c r="HG18" i="13"/>
  <c r="HF18" i="13"/>
  <c r="HD18" i="13"/>
  <c r="HC18" i="13"/>
  <c r="HB18" i="13"/>
  <c r="II18" i="13" s="1"/>
  <c r="GY18" i="13"/>
  <c r="GV18" i="13"/>
  <c r="GS18" i="13"/>
  <c r="GR18" i="13"/>
  <c r="IH18" i="13" s="1"/>
  <c r="GO18" i="13"/>
  <c r="GL18" i="13"/>
  <c r="GI18" i="13"/>
  <c r="GH18" i="13"/>
  <c r="IG18" i="13" s="1"/>
  <c r="FX18" i="13"/>
  <c r="FN18" i="13"/>
  <c r="FK18" i="13"/>
  <c r="FH18" i="13"/>
  <c r="FE18" i="13"/>
  <c r="FD18" i="13"/>
  <c r="FA18" i="13"/>
  <c r="EX18" i="13"/>
  <c r="EU18" i="13"/>
  <c r="ET18" i="13"/>
  <c r="IC18" i="13" s="1"/>
  <c r="EQ18" i="13"/>
  <c r="EN18" i="13"/>
  <c r="EK18" i="13"/>
  <c r="EJ18" i="13"/>
  <c r="EG18" i="13"/>
  <c r="ED18" i="13"/>
  <c r="EA18" i="13"/>
  <c r="DZ18" i="13"/>
  <c r="DP18" i="13"/>
  <c r="DM18" i="13"/>
  <c r="DG18" i="13"/>
  <c r="DF18" i="13"/>
  <c r="DC18" i="13"/>
  <c r="CW18" i="13"/>
  <c r="CV18" i="13"/>
  <c r="CS18" i="13"/>
  <c r="CM18" i="13"/>
  <c r="CL18" i="13"/>
  <c r="HV18" i="13" s="1"/>
  <c r="CI18" i="13"/>
  <c r="CC18" i="13"/>
  <c r="CB18" i="13"/>
  <c r="HU18" i="13" s="1"/>
  <c r="BY18" i="13"/>
  <c r="BS18" i="13"/>
  <c r="BR18" i="13"/>
  <c r="BO18" i="13"/>
  <c r="BI18" i="13"/>
  <c r="BH18" i="13"/>
  <c r="BE18" i="13"/>
  <c r="AY18" i="13"/>
  <c r="AX18" i="13"/>
  <c r="HR18" i="13" s="1"/>
  <c r="AU18" i="13"/>
  <c r="AO18" i="13"/>
  <c r="AN18" i="13"/>
  <c r="HQ18" i="13" s="1"/>
  <c r="AK18" i="13"/>
  <c r="AE18" i="13"/>
  <c r="DW18" i="13" s="1"/>
  <c r="AD18" i="13"/>
  <c r="HP18" i="13" s="1"/>
  <c r="AA18" i="13"/>
  <c r="U18" i="13"/>
  <c r="GE18" i="13" s="1"/>
  <c r="T18" i="13"/>
  <c r="HO18" i="13" s="1"/>
  <c r="Q18" i="13"/>
  <c r="K18" i="13"/>
  <c r="JG18" i="13" s="1"/>
  <c r="J18" i="13"/>
  <c r="G18" i="13"/>
  <c r="JX17" i="13"/>
  <c r="JZ17" i="13" s="1"/>
  <c r="JW17" i="13"/>
  <c r="JU17" i="13"/>
  <c r="JT17" i="13"/>
  <c r="JR17" i="13"/>
  <c r="JN17" i="13"/>
  <c r="JK17" i="13"/>
  <c r="JH17" i="13"/>
  <c r="JP17" i="13" s="1"/>
  <c r="JD17" i="13"/>
  <c r="JC17" i="13"/>
  <c r="JA17" i="13"/>
  <c r="IZ17" i="13"/>
  <c r="IX17" i="13"/>
  <c r="IW17" i="13"/>
  <c r="IT17" i="13"/>
  <c r="IS17" i="13"/>
  <c r="IQ17" i="13"/>
  <c r="IP17" i="13"/>
  <c r="IN17" i="13"/>
  <c r="IM17" i="13"/>
  <c r="IE17" i="13"/>
  <c r="ID17" i="13"/>
  <c r="HZ17" i="13"/>
  <c r="HY17" i="13"/>
  <c r="HX17" i="13"/>
  <c r="HW17" i="13"/>
  <c r="HV17" i="13"/>
  <c r="HT17" i="13"/>
  <c r="HS17" i="13"/>
  <c r="HQ17" i="13"/>
  <c r="HP17" i="13"/>
  <c r="HO17" i="13"/>
  <c r="HM17" i="13"/>
  <c r="HJ17" i="13"/>
  <c r="HI17" i="13"/>
  <c r="HG17" i="13"/>
  <c r="HF17" i="13"/>
  <c r="HD17" i="13"/>
  <c r="HC17" i="13"/>
  <c r="HB17" i="13"/>
  <c r="II17" i="13" s="1"/>
  <c r="GY17" i="13"/>
  <c r="GV17" i="13"/>
  <c r="GS17" i="13"/>
  <c r="GR17" i="13"/>
  <c r="IH17" i="13" s="1"/>
  <c r="GO17" i="13"/>
  <c r="GL17" i="13"/>
  <c r="GI17" i="13"/>
  <c r="GH17" i="13"/>
  <c r="IG17" i="13" s="1"/>
  <c r="GE17" i="13"/>
  <c r="GB17" i="13"/>
  <c r="FY17" i="13"/>
  <c r="FX17" i="13"/>
  <c r="IF17" i="13" s="1"/>
  <c r="FU17" i="13"/>
  <c r="FN17" i="13"/>
  <c r="FK17" i="13"/>
  <c r="FH17" i="13"/>
  <c r="FE17" i="13"/>
  <c r="FD17" i="13"/>
  <c r="FA17" i="13"/>
  <c r="EX17" i="13"/>
  <c r="EU17" i="13"/>
  <c r="ET17" i="13"/>
  <c r="IC17" i="13" s="1"/>
  <c r="EQ17" i="13"/>
  <c r="EN17" i="13"/>
  <c r="EK17" i="13"/>
  <c r="EJ17" i="13"/>
  <c r="IB17" i="13" s="1"/>
  <c r="EG17" i="13"/>
  <c r="ED17" i="13"/>
  <c r="EA17" i="13"/>
  <c r="DZ17" i="13"/>
  <c r="IA17" i="13" s="1"/>
  <c r="DW17" i="13"/>
  <c r="DQ17" i="13"/>
  <c r="DP17" i="13"/>
  <c r="DM17" i="13"/>
  <c r="DG17" i="13"/>
  <c r="DF17" i="13"/>
  <c r="DC17" i="13"/>
  <c r="CW17" i="13"/>
  <c r="CV17" i="13"/>
  <c r="CS17" i="13"/>
  <c r="CM17" i="13"/>
  <c r="CL17" i="13"/>
  <c r="CI17" i="13"/>
  <c r="CC17" i="13"/>
  <c r="CB17" i="13"/>
  <c r="HU17" i="13" s="1"/>
  <c r="BY17" i="13"/>
  <c r="BS17" i="13"/>
  <c r="BR17" i="13"/>
  <c r="BO17" i="13"/>
  <c r="BI17" i="13"/>
  <c r="BH17" i="13"/>
  <c r="BE17" i="13"/>
  <c r="AY17" i="13"/>
  <c r="AX17" i="13"/>
  <c r="HR17" i="13" s="1"/>
  <c r="AU17" i="13"/>
  <c r="AO17" i="13"/>
  <c r="AN17" i="13"/>
  <c r="AK17" i="13"/>
  <c r="AE17" i="13"/>
  <c r="AD17" i="13"/>
  <c r="AA17" i="13"/>
  <c r="U17" i="13"/>
  <c r="JQ17" i="13" s="1"/>
  <c r="T17" i="13"/>
  <c r="Q17" i="13"/>
  <c r="K17" i="13"/>
  <c r="FR17" i="13" s="1"/>
  <c r="J17" i="13"/>
  <c r="HN17" i="13" s="1"/>
  <c r="IL17" i="13" s="1"/>
  <c r="G17" i="13"/>
  <c r="JZ16" i="13"/>
  <c r="JX16" i="13"/>
  <c r="JW16" i="13"/>
  <c r="JU16" i="13"/>
  <c r="JT16" i="13"/>
  <c r="JR16" i="13"/>
  <c r="JQ16" i="13"/>
  <c r="JN16" i="13"/>
  <c r="JP16" i="13" s="1"/>
  <c r="JM16" i="13"/>
  <c r="JK16" i="13"/>
  <c r="JH16" i="13"/>
  <c r="JD16" i="13"/>
  <c r="JC16" i="13"/>
  <c r="JA16" i="13"/>
  <c r="IZ16" i="13"/>
  <c r="IX16" i="13"/>
  <c r="IW16" i="13"/>
  <c r="IT16" i="13"/>
  <c r="IS16" i="13"/>
  <c r="IQ16" i="13"/>
  <c r="IP16" i="13"/>
  <c r="IN16" i="13"/>
  <c r="IM16" i="13"/>
  <c r="II16" i="13"/>
  <c r="IH16" i="13"/>
  <c r="ID16" i="13"/>
  <c r="HZ16" i="13"/>
  <c r="HW16" i="13"/>
  <c r="HV16" i="13"/>
  <c r="HU16" i="13"/>
  <c r="HT16" i="13"/>
  <c r="HS16" i="13"/>
  <c r="HR16" i="13"/>
  <c r="HP16" i="13"/>
  <c r="HO16" i="13"/>
  <c r="HN16" i="13"/>
  <c r="HM16" i="13"/>
  <c r="HL16" i="13"/>
  <c r="HJ16" i="13"/>
  <c r="HI16" i="13"/>
  <c r="HG16" i="13"/>
  <c r="HF16" i="13"/>
  <c r="HD16" i="13"/>
  <c r="HC16" i="13"/>
  <c r="HB16" i="13"/>
  <c r="GR16" i="13"/>
  <c r="GI16" i="13"/>
  <c r="GH16" i="13"/>
  <c r="IG16" i="13" s="1"/>
  <c r="GE16" i="13"/>
  <c r="GB16" i="13"/>
  <c r="FY16" i="13"/>
  <c r="FX16" i="13"/>
  <c r="IF16" i="13" s="1"/>
  <c r="FU16" i="13"/>
  <c r="FR16" i="13"/>
  <c r="FO16" i="13"/>
  <c r="FN16" i="13"/>
  <c r="IE16" i="13" s="1"/>
  <c r="FK16" i="13"/>
  <c r="FH16" i="13"/>
  <c r="FE16" i="13"/>
  <c r="FD16" i="13"/>
  <c r="FA16" i="13"/>
  <c r="EX16" i="13"/>
  <c r="EU16" i="13"/>
  <c r="ET16" i="13"/>
  <c r="IC16" i="13" s="1"/>
  <c r="EQ16" i="13"/>
  <c r="EN16" i="13"/>
  <c r="EK16" i="13"/>
  <c r="EJ16" i="13"/>
  <c r="IB16" i="13" s="1"/>
  <c r="EG16" i="13"/>
  <c r="ED16" i="13"/>
  <c r="EA16" i="13"/>
  <c r="DZ16" i="13"/>
  <c r="IA16" i="13" s="1"/>
  <c r="DP16" i="13"/>
  <c r="HY16" i="13" s="1"/>
  <c r="DM16" i="13"/>
  <c r="DG16" i="13"/>
  <c r="DF16" i="13"/>
  <c r="HX16" i="13" s="1"/>
  <c r="CW16" i="13"/>
  <c r="CV16" i="13"/>
  <c r="CS16" i="13"/>
  <c r="CM16" i="13"/>
  <c r="CL16" i="13"/>
  <c r="CI16" i="13"/>
  <c r="CC16" i="13"/>
  <c r="CB16" i="13"/>
  <c r="BY16" i="13"/>
  <c r="BS16" i="13"/>
  <c r="BR16" i="13"/>
  <c r="BO16" i="13"/>
  <c r="BI16" i="13"/>
  <c r="BH16" i="13"/>
  <c r="BE16" i="13"/>
  <c r="AY16" i="13"/>
  <c r="AX16" i="13"/>
  <c r="AU16" i="13"/>
  <c r="AO16" i="13"/>
  <c r="AN16" i="13"/>
  <c r="HQ16" i="13" s="1"/>
  <c r="AK16" i="13"/>
  <c r="AE16" i="13"/>
  <c r="AD16" i="13"/>
  <c r="AA16" i="13"/>
  <c r="U16" i="13"/>
  <c r="T16" i="13"/>
  <c r="Q16" i="13"/>
  <c r="K16" i="13"/>
  <c r="JJ16" i="13" s="1"/>
  <c r="J16" i="13"/>
  <c r="G16" i="13"/>
  <c r="JX15" i="13"/>
  <c r="JU15" i="13"/>
  <c r="JR15" i="13"/>
  <c r="JZ15" i="13" s="1"/>
  <c r="JN15" i="13"/>
  <c r="JK15" i="13"/>
  <c r="JJ15" i="13"/>
  <c r="JH15" i="13"/>
  <c r="JP15" i="13" s="1"/>
  <c r="JG15" i="13"/>
  <c r="JD15" i="13"/>
  <c r="JC15" i="13"/>
  <c r="JA15" i="13"/>
  <c r="IZ15" i="13"/>
  <c r="IX15" i="13"/>
  <c r="IW15" i="13"/>
  <c r="IT15" i="13"/>
  <c r="IS15" i="13"/>
  <c r="IQ15" i="13"/>
  <c r="IP15" i="13"/>
  <c r="IN15" i="13"/>
  <c r="IM15" i="13"/>
  <c r="IH15" i="13"/>
  <c r="IG15" i="13"/>
  <c r="IF15" i="13"/>
  <c r="IC15" i="13"/>
  <c r="IB15" i="13"/>
  <c r="IA15" i="13"/>
  <c r="HZ15" i="13"/>
  <c r="HU15" i="13"/>
  <c r="HT15" i="13"/>
  <c r="HN15" i="13"/>
  <c r="HM15" i="13"/>
  <c r="HJ15" i="13"/>
  <c r="HI15" i="13"/>
  <c r="HG15" i="13"/>
  <c r="HF15" i="13"/>
  <c r="HD15" i="13"/>
  <c r="HC15" i="13"/>
  <c r="HB15" i="13"/>
  <c r="II15" i="13" s="1"/>
  <c r="GR15" i="13"/>
  <c r="GH15" i="13"/>
  <c r="FX15" i="13"/>
  <c r="FR15" i="13"/>
  <c r="FO15" i="13"/>
  <c r="FN15" i="13"/>
  <c r="IE15" i="13" s="1"/>
  <c r="FK15" i="13"/>
  <c r="FH15" i="13"/>
  <c r="FE15" i="13"/>
  <c r="FD15" i="13"/>
  <c r="ID15" i="13" s="1"/>
  <c r="FA15" i="13"/>
  <c r="EX15" i="13"/>
  <c r="EU15" i="13"/>
  <c r="ET15" i="13"/>
  <c r="EQ15" i="13"/>
  <c r="EN15" i="13"/>
  <c r="EK15" i="13"/>
  <c r="EJ15" i="13"/>
  <c r="EG15" i="13"/>
  <c r="ED15" i="13"/>
  <c r="EA15" i="13"/>
  <c r="DZ15" i="13"/>
  <c r="DP15" i="13"/>
  <c r="HY15" i="13" s="1"/>
  <c r="DM15" i="13"/>
  <c r="DG15" i="13"/>
  <c r="DF15" i="13"/>
  <c r="HX15" i="13" s="1"/>
  <c r="CW15" i="13"/>
  <c r="CV15" i="13"/>
  <c r="HW15" i="13" s="1"/>
  <c r="CS15" i="13"/>
  <c r="CM15" i="13"/>
  <c r="CL15" i="13"/>
  <c r="HV15" i="13" s="1"/>
  <c r="CI15" i="13"/>
  <c r="CC15" i="13"/>
  <c r="CB15" i="13"/>
  <c r="BY15" i="13"/>
  <c r="BS15" i="13"/>
  <c r="BR15" i="13"/>
  <c r="BO15" i="13"/>
  <c r="BI15" i="13"/>
  <c r="BH15" i="13"/>
  <c r="HS15" i="13" s="1"/>
  <c r="BE15" i="13"/>
  <c r="AY15" i="13"/>
  <c r="AX15" i="13"/>
  <c r="HR15" i="13" s="1"/>
  <c r="AU15" i="13"/>
  <c r="AO15" i="13"/>
  <c r="GY15" i="13" s="1"/>
  <c r="AN15" i="13"/>
  <c r="HQ15" i="13" s="1"/>
  <c r="AK15" i="13"/>
  <c r="AE15" i="13"/>
  <c r="DQ15" i="13" s="1"/>
  <c r="AD15" i="13"/>
  <c r="HP15" i="13" s="1"/>
  <c r="AA15" i="13"/>
  <c r="U15" i="13"/>
  <c r="JQ15" i="13" s="1"/>
  <c r="T15" i="13"/>
  <c r="Q15" i="13"/>
  <c r="K15" i="13"/>
  <c r="JT15" i="13" s="1"/>
  <c r="J15" i="13"/>
  <c r="G15" i="13"/>
  <c r="JX14" i="13"/>
  <c r="JU14" i="13"/>
  <c r="JR14" i="13"/>
  <c r="JZ14" i="13" s="1"/>
  <c r="JN14" i="13"/>
  <c r="JP14" i="13" s="1"/>
  <c r="JK14" i="13"/>
  <c r="JH14" i="13"/>
  <c r="JD14" i="13"/>
  <c r="JC14" i="13"/>
  <c r="JA14" i="13"/>
  <c r="IZ14" i="13"/>
  <c r="IX14" i="13"/>
  <c r="IW14" i="13"/>
  <c r="IT14" i="13"/>
  <c r="IS14" i="13"/>
  <c r="IQ14" i="13"/>
  <c r="IP14" i="13"/>
  <c r="IN14" i="13"/>
  <c r="IM14" i="13"/>
  <c r="IG14" i="13"/>
  <c r="IF14" i="13"/>
  <c r="IA14" i="13"/>
  <c r="HZ14" i="13"/>
  <c r="HY14" i="13"/>
  <c r="HW14" i="13"/>
  <c r="HU14" i="13"/>
  <c r="HM14" i="13"/>
  <c r="HJ14" i="13"/>
  <c r="HI14" i="13"/>
  <c r="HG14" i="13"/>
  <c r="HF14" i="13"/>
  <c r="HD14" i="13"/>
  <c r="HC14" i="13"/>
  <c r="HB14" i="13"/>
  <c r="II14" i="13" s="1"/>
  <c r="GY14" i="13"/>
  <c r="GV14" i="13"/>
  <c r="GS14" i="13"/>
  <c r="GR14" i="13"/>
  <c r="IH14" i="13" s="1"/>
  <c r="GO14" i="13"/>
  <c r="GL14" i="13"/>
  <c r="GH14" i="13"/>
  <c r="FX14" i="13"/>
  <c r="FN14" i="13"/>
  <c r="IE14" i="13" s="1"/>
  <c r="FK14" i="13"/>
  <c r="FH14" i="13"/>
  <c r="FE14" i="13"/>
  <c r="FD14" i="13"/>
  <c r="ID14" i="13" s="1"/>
  <c r="FA14" i="13"/>
  <c r="EX14" i="13"/>
  <c r="EU14" i="13"/>
  <c r="ET14" i="13"/>
  <c r="IC14" i="13" s="1"/>
  <c r="EQ14" i="13"/>
  <c r="EN14" i="13"/>
  <c r="EK14" i="13"/>
  <c r="EJ14" i="13"/>
  <c r="IB14" i="13" s="1"/>
  <c r="EG14" i="13"/>
  <c r="ED14" i="13"/>
  <c r="EA14" i="13"/>
  <c r="DZ14" i="13"/>
  <c r="DP14" i="13"/>
  <c r="DM14" i="13"/>
  <c r="DG14" i="13"/>
  <c r="DF14" i="13"/>
  <c r="HX14" i="13" s="1"/>
  <c r="CW14" i="13"/>
  <c r="CV14" i="13"/>
  <c r="CS14" i="13"/>
  <c r="CM14" i="13"/>
  <c r="CL14" i="13"/>
  <c r="CL31" i="13" s="1"/>
  <c r="HV31" i="13" s="1"/>
  <c r="CI14" i="13"/>
  <c r="CC14" i="13"/>
  <c r="CB14" i="13"/>
  <c r="BY14" i="13"/>
  <c r="BS14" i="13"/>
  <c r="BR14" i="13"/>
  <c r="HT14" i="13" s="1"/>
  <c r="BO14" i="13"/>
  <c r="BI14" i="13"/>
  <c r="BH14" i="13"/>
  <c r="HS14" i="13" s="1"/>
  <c r="BE14" i="13"/>
  <c r="AY14" i="13"/>
  <c r="AX14" i="13"/>
  <c r="HR14" i="13" s="1"/>
  <c r="AU14" i="13"/>
  <c r="AO14" i="13"/>
  <c r="AN14" i="13"/>
  <c r="HQ14" i="13" s="1"/>
  <c r="AK14" i="13"/>
  <c r="AE14" i="13"/>
  <c r="AD14" i="13"/>
  <c r="HP14" i="13" s="1"/>
  <c r="AA14" i="13"/>
  <c r="U14" i="13"/>
  <c r="T14" i="13"/>
  <c r="HO14" i="13" s="1"/>
  <c r="Q14" i="13"/>
  <c r="K14" i="13"/>
  <c r="JM14" i="13" s="1"/>
  <c r="J14" i="13"/>
  <c r="G14" i="13"/>
  <c r="JX13" i="13"/>
  <c r="JZ13" i="13" s="1"/>
  <c r="JW13" i="13"/>
  <c r="JU13" i="13"/>
  <c r="JR13" i="13"/>
  <c r="JN13" i="13"/>
  <c r="JK13" i="13"/>
  <c r="JH13" i="13"/>
  <c r="JP13" i="13" s="1"/>
  <c r="JD13" i="13"/>
  <c r="JC13" i="13"/>
  <c r="JA13" i="13"/>
  <c r="JA31" i="13" s="1"/>
  <c r="IZ13" i="13"/>
  <c r="IX13" i="13"/>
  <c r="IW13" i="13"/>
  <c r="IT13" i="13"/>
  <c r="IS13" i="13"/>
  <c r="IQ13" i="13"/>
  <c r="IP13" i="13"/>
  <c r="IN13" i="13"/>
  <c r="IM13" i="13"/>
  <c r="IF13" i="13"/>
  <c r="IA13" i="13"/>
  <c r="HZ13" i="13"/>
  <c r="HY13" i="13"/>
  <c r="HX13" i="13"/>
  <c r="HW13" i="13"/>
  <c r="HR13" i="13"/>
  <c r="HQ13" i="13"/>
  <c r="HP13" i="13"/>
  <c r="HM13" i="13"/>
  <c r="HJ13" i="13"/>
  <c r="HI13" i="13"/>
  <c r="HG13" i="13"/>
  <c r="HF13" i="13"/>
  <c r="HD13" i="13"/>
  <c r="HC13" i="13"/>
  <c r="HB13" i="13"/>
  <c r="GY13" i="13"/>
  <c r="GV13" i="13"/>
  <c r="GS13" i="13"/>
  <c r="GR13" i="13"/>
  <c r="IH13" i="13" s="1"/>
  <c r="GO13" i="13"/>
  <c r="GL13" i="13"/>
  <c r="GI13" i="13"/>
  <c r="GH13" i="13"/>
  <c r="IG13" i="13" s="1"/>
  <c r="GE13" i="13"/>
  <c r="GB13" i="13"/>
  <c r="FY13" i="13"/>
  <c r="FX13" i="13"/>
  <c r="FN13" i="13"/>
  <c r="IE13" i="13" s="1"/>
  <c r="FK13" i="13"/>
  <c r="FH13" i="13"/>
  <c r="FE13" i="13"/>
  <c r="FD13" i="13"/>
  <c r="ID13" i="13" s="1"/>
  <c r="FA13" i="13"/>
  <c r="EX13" i="13"/>
  <c r="EU13" i="13"/>
  <c r="ET13" i="13"/>
  <c r="IC13" i="13" s="1"/>
  <c r="EQ13" i="13"/>
  <c r="EN13" i="13"/>
  <c r="EK13" i="13"/>
  <c r="EJ13" i="13"/>
  <c r="EJ31" i="13" s="1"/>
  <c r="EG13" i="13"/>
  <c r="ED13" i="13"/>
  <c r="EA13" i="13"/>
  <c r="DZ13" i="13"/>
  <c r="DW13" i="13"/>
  <c r="DP13" i="13"/>
  <c r="DM13" i="13"/>
  <c r="DG13" i="13"/>
  <c r="DF13" i="13"/>
  <c r="CW13" i="13"/>
  <c r="CV13" i="13"/>
  <c r="CS13" i="13"/>
  <c r="CM13" i="13"/>
  <c r="CL13" i="13"/>
  <c r="HV13" i="13" s="1"/>
  <c r="CI13" i="13"/>
  <c r="CC13" i="13"/>
  <c r="CB13" i="13"/>
  <c r="HU13" i="13" s="1"/>
  <c r="BY13" i="13"/>
  <c r="BS13" i="13"/>
  <c r="BR13" i="13"/>
  <c r="HT13" i="13" s="1"/>
  <c r="BO13" i="13"/>
  <c r="BI13" i="13"/>
  <c r="BH13" i="13"/>
  <c r="HS13" i="13" s="1"/>
  <c r="BE13" i="13"/>
  <c r="AY13" i="13"/>
  <c r="AX13" i="13"/>
  <c r="AU13" i="13"/>
  <c r="AO13" i="13"/>
  <c r="AN13" i="13"/>
  <c r="AK13" i="13"/>
  <c r="AE13" i="13"/>
  <c r="DQ13" i="13" s="1"/>
  <c r="AD13" i="13"/>
  <c r="AA13" i="13"/>
  <c r="U13" i="13"/>
  <c r="JQ13" i="13" s="1"/>
  <c r="T13" i="13"/>
  <c r="HO13" i="13" s="1"/>
  <c r="Q13" i="13"/>
  <c r="K13" i="13"/>
  <c r="J13" i="13"/>
  <c r="G13" i="13"/>
  <c r="JX12" i="13"/>
  <c r="JW12" i="13"/>
  <c r="JU12" i="13"/>
  <c r="JT12" i="13"/>
  <c r="JR12" i="13"/>
  <c r="JZ12" i="13" s="1"/>
  <c r="JQ12" i="13"/>
  <c r="JP12" i="13"/>
  <c r="JN12" i="13"/>
  <c r="JK12" i="13"/>
  <c r="JH12" i="13"/>
  <c r="JG12" i="13"/>
  <c r="JD12" i="13"/>
  <c r="JC12" i="13"/>
  <c r="JA12" i="13"/>
  <c r="IZ12" i="13"/>
  <c r="IX12" i="13"/>
  <c r="IW12" i="13"/>
  <c r="IT12" i="13"/>
  <c r="IT31" i="13" s="1"/>
  <c r="IS12" i="13"/>
  <c r="IQ12" i="13"/>
  <c r="IP12" i="13"/>
  <c r="IN12" i="13"/>
  <c r="IM12" i="13"/>
  <c r="II12" i="13"/>
  <c r="IG12" i="13"/>
  <c r="HZ12" i="13"/>
  <c r="HW12" i="13"/>
  <c r="HV12" i="13"/>
  <c r="HU12" i="13"/>
  <c r="HR12" i="13"/>
  <c r="HP12" i="13"/>
  <c r="HO12" i="13"/>
  <c r="HN12" i="13"/>
  <c r="HM12" i="13"/>
  <c r="HJ12" i="13"/>
  <c r="HI12" i="13"/>
  <c r="HG12" i="13"/>
  <c r="HF12" i="13"/>
  <c r="HD12" i="13"/>
  <c r="HC12" i="13"/>
  <c r="HB12" i="13"/>
  <c r="GR12" i="13"/>
  <c r="IH12" i="13" s="1"/>
  <c r="GO12" i="13"/>
  <c r="GL12" i="13"/>
  <c r="GI12" i="13"/>
  <c r="GH12" i="13"/>
  <c r="GE12" i="13"/>
  <c r="GB12" i="13"/>
  <c r="FY12" i="13"/>
  <c r="FX12" i="13"/>
  <c r="IF12" i="13" s="1"/>
  <c r="FU12" i="13"/>
  <c r="FR12" i="13"/>
  <c r="FO12" i="13"/>
  <c r="FN12" i="13"/>
  <c r="IE12" i="13" s="1"/>
  <c r="FK12" i="13"/>
  <c r="FH12" i="13"/>
  <c r="FE12" i="13"/>
  <c r="FD12" i="13"/>
  <c r="ID12" i="13" s="1"/>
  <c r="FA12" i="13"/>
  <c r="EX12" i="13"/>
  <c r="EU12" i="13"/>
  <c r="ET12" i="13"/>
  <c r="IC12" i="13" s="1"/>
  <c r="EQ12" i="13"/>
  <c r="EN12" i="13"/>
  <c r="EK12" i="13"/>
  <c r="EJ12" i="13"/>
  <c r="IB12" i="13" s="1"/>
  <c r="EG12" i="13"/>
  <c r="ED12" i="13"/>
  <c r="EA12" i="13"/>
  <c r="DZ12" i="13"/>
  <c r="IA12" i="13" s="1"/>
  <c r="DW12" i="13"/>
  <c r="DQ12" i="13"/>
  <c r="DP12" i="13"/>
  <c r="HY12" i="13" s="1"/>
  <c r="DM12" i="13"/>
  <c r="DG12" i="13"/>
  <c r="DF12" i="13"/>
  <c r="HX12" i="13" s="1"/>
  <c r="CW12" i="13"/>
  <c r="CV12" i="13"/>
  <c r="CS12" i="13"/>
  <c r="CM12" i="13"/>
  <c r="CL12" i="13"/>
  <c r="CI12" i="13"/>
  <c r="CC12" i="13"/>
  <c r="CB12" i="13"/>
  <c r="BY12" i="13"/>
  <c r="BS12" i="13"/>
  <c r="BR12" i="13"/>
  <c r="BO12" i="13"/>
  <c r="BI12" i="13"/>
  <c r="BH12" i="13"/>
  <c r="HS12" i="13" s="1"/>
  <c r="BE12" i="13"/>
  <c r="AY12" i="13"/>
  <c r="AX12" i="13"/>
  <c r="AU12" i="13"/>
  <c r="AO12" i="13"/>
  <c r="AN12" i="13"/>
  <c r="HQ12" i="13" s="1"/>
  <c r="AK12" i="13"/>
  <c r="AE12" i="13"/>
  <c r="DC12" i="13" s="1"/>
  <c r="AD12" i="13"/>
  <c r="AA12" i="13"/>
  <c r="U12" i="13"/>
  <c r="T12" i="13"/>
  <c r="Q12" i="13"/>
  <c r="K12" i="13"/>
  <c r="JM12" i="13" s="1"/>
  <c r="J12" i="13"/>
  <c r="G12" i="13"/>
  <c r="JX11" i="13"/>
  <c r="JZ11" i="13" s="1"/>
  <c r="JW11" i="13"/>
  <c r="JU11" i="13"/>
  <c r="JT11" i="13"/>
  <c r="JR11" i="13"/>
  <c r="JN11" i="13"/>
  <c r="JM11" i="13"/>
  <c r="JK11" i="13"/>
  <c r="JJ11" i="13"/>
  <c r="JH11" i="13"/>
  <c r="JG11" i="13"/>
  <c r="JD11" i="13"/>
  <c r="JC11" i="13"/>
  <c r="JA11" i="13"/>
  <c r="IZ11" i="13"/>
  <c r="IX11" i="13"/>
  <c r="IW11" i="13"/>
  <c r="IT11" i="13"/>
  <c r="IS11" i="13"/>
  <c r="IQ11" i="13"/>
  <c r="IQ31" i="13" s="1"/>
  <c r="IP11" i="13"/>
  <c r="IN11" i="13"/>
  <c r="IN31" i="13" s="1"/>
  <c r="IM11" i="13"/>
  <c r="II11" i="13"/>
  <c r="IH11" i="13"/>
  <c r="IG11" i="13"/>
  <c r="IC11" i="13"/>
  <c r="IB11" i="13"/>
  <c r="HZ11" i="13"/>
  <c r="HV11" i="13"/>
  <c r="HU11" i="13"/>
  <c r="HT11" i="13"/>
  <c r="HR11" i="13"/>
  <c r="HQ11" i="13"/>
  <c r="HN11" i="13"/>
  <c r="HM11" i="13"/>
  <c r="HJ11" i="13"/>
  <c r="HJ31" i="13" s="1"/>
  <c r="HI11" i="13"/>
  <c r="HG11" i="13"/>
  <c r="HF11" i="13"/>
  <c r="HD11" i="13"/>
  <c r="HC11" i="13"/>
  <c r="HB11" i="13"/>
  <c r="GR11" i="13"/>
  <c r="GH11" i="13"/>
  <c r="FX11" i="13"/>
  <c r="FX31" i="13" s="1"/>
  <c r="FU11" i="13"/>
  <c r="FR11" i="13"/>
  <c r="FO11" i="13"/>
  <c r="FN11" i="13"/>
  <c r="FK11" i="13"/>
  <c r="FH11" i="13"/>
  <c r="FE11" i="13"/>
  <c r="FD11" i="13"/>
  <c r="ID11" i="13" s="1"/>
  <c r="FA11" i="13"/>
  <c r="EX11" i="13"/>
  <c r="EU11" i="13"/>
  <c r="ET11" i="13"/>
  <c r="EQ11" i="13"/>
  <c r="EN11" i="13"/>
  <c r="EK11" i="13"/>
  <c r="EJ11" i="13"/>
  <c r="EG11" i="13"/>
  <c r="ED11" i="13"/>
  <c r="EA11" i="13"/>
  <c r="DZ11" i="13"/>
  <c r="DP11" i="13"/>
  <c r="DM11" i="13"/>
  <c r="DG11" i="13"/>
  <c r="DF11" i="13"/>
  <c r="CW11" i="13"/>
  <c r="CV11" i="13"/>
  <c r="CS11" i="13"/>
  <c r="CM11" i="13"/>
  <c r="CL11" i="13"/>
  <c r="CI11" i="13"/>
  <c r="CC11" i="13"/>
  <c r="CB11" i="13"/>
  <c r="BY11" i="13"/>
  <c r="BS11" i="13"/>
  <c r="BR11" i="13"/>
  <c r="BO11" i="13"/>
  <c r="BI11" i="13"/>
  <c r="BH11" i="13"/>
  <c r="BE11" i="13"/>
  <c r="AY11" i="13"/>
  <c r="AX11" i="13"/>
  <c r="AX31" i="13" s="1"/>
  <c r="HR31" i="13" s="1"/>
  <c r="AU11" i="13"/>
  <c r="AO11" i="13"/>
  <c r="AN11" i="13"/>
  <c r="AN31" i="13" s="1"/>
  <c r="HQ31" i="13" s="1"/>
  <c r="AK11" i="13"/>
  <c r="AE11" i="13"/>
  <c r="DW11" i="13" s="1"/>
  <c r="AD11" i="13"/>
  <c r="HP11" i="13" s="1"/>
  <c r="AA11" i="13"/>
  <c r="U11" i="13"/>
  <c r="JQ11" i="13" s="1"/>
  <c r="T11" i="13"/>
  <c r="Q11" i="13"/>
  <c r="K11" i="13"/>
  <c r="J11" i="13"/>
  <c r="G11" i="13"/>
  <c r="JQ9" i="13"/>
  <c r="JG9" i="13"/>
  <c r="IW9" i="13"/>
  <c r="JC9" i="13" s="1"/>
  <c r="IM9" i="13"/>
  <c r="IS9" i="13" s="1"/>
  <c r="HC9" i="13"/>
  <c r="GV9" i="13"/>
  <c r="GS9" i="13"/>
  <c r="GL9" i="13"/>
  <c r="GI9" i="13"/>
  <c r="GB9" i="13"/>
  <c r="FY9" i="13"/>
  <c r="FR9" i="13"/>
  <c r="FO9" i="13"/>
  <c r="FE9" i="13"/>
  <c r="EU9" i="13"/>
  <c r="EK9" i="13"/>
  <c r="DQ9" i="13"/>
  <c r="DG9" i="13"/>
  <c r="CW9" i="13"/>
  <c r="CM9" i="13"/>
  <c r="CI9" i="13"/>
  <c r="CC9" i="13"/>
  <c r="BS9" i="13"/>
  <c r="BI9" i="13"/>
  <c r="AY9" i="13"/>
  <c r="AO9" i="13"/>
  <c r="AE9" i="13"/>
  <c r="U9" i="13"/>
  <c r="EA9" i="13" s="1"/>
  <c r="Q9" i="13"/>
  <c r="K9" i="13"/>
  <c r="G9" i="13"/>
  <c r="HZ8" i="13" s="1"/>
  <c r="JQ9" i="11"/>
  <c r="JG9" i="11"/>
  <c r="IW9" i="11"/>
  <c r="JC9" i="11" s="1"/>
  <c r="IM9" i="11"/>
  <c r="IS9" i="11" s="1"/>
  <c r="HC9" i="11"/>
  <c r="GV9" i="11"/>
  <c r="GS9" i="11"/>
  <c r="GL9" i="11"/>
  <c r="GI9" i="11"/>
  <c r="GB9" i="11"/>
  <c r="FY9" i="11"/>
  <c r="FR9" i="11"/>
  <c r="FO9" i="11"/>
  <c r="FE9" i="11"/>
  <c r="EU9" i="11"/>
  <c r="EK9" i="11"/>
  <c r="EA9" i="11"/>
  <c r="DQ9" i="11"/>
  <c r="DG9" i="11"/>
  <c r="CW9" i="11"/>
  <c r="CM9" i="11"/>
  <c r="CC9" i="11"/>
  <c r="BS9" i="11"/>
  <c r="BI9" i="11"/>
  <c r="AY9" i="11"/>
  <c r="AO9" i="11"/>
  <c r="AE9" i="11"/>
  <c r="U9" i="11"/>
  <c r="K9" i="11"/>
  <c r="G9" i="11"/>
  <c r="FA9" i="11" s="1"/>
  <c r="JQ9" i="6"/>
  <c r="JG9" i="6"/>
  <c r="IW9" i="6"/>
  <c r="JC9" i="6" s="1"/>
  <c r="IM9" i="6"/>
  <c r="IS9" i="6" s="1"/>
  <c r="HC9" i="6"/>
  <c r="GV9" i="6"/>
  <c r="GS9" i="6"/>
  <c r="GL9" i="6"/>
  <c r="GI9" i="6"/>
  <c r="GE9" i="6"/>
  <c r="GB9" i="6"/>
  <c r="FY9" i="6"/>
  <c r="FR9" i="6"/>
  <c r="FO9" i="6"/>
  <c r="FK9" i="6"/>
  <c r="FE9" i="6"/>
  <c r="EU9" i="6"/>
  <c r="EK9" i="6"/>
  <c r="DQ9" i="6"/>
  <c r="DG9" i="6"/>
  <c r="DC9" i="6"/>
  <c r="CW9" i="6"/>
  <c r="CM9" i="6"/>
  <c r="CI9" i="6"/>
  <c r="CC9" i="6"/>
  <c r="BS9" i="6"/>
  <c r="BI9" i="6"/>
  <c r="BE9" i="6"/>
  <c r="AY9" i="6"/>
  <c r="AO9" i="6"/>
  <c r="AE9" i="6"/>
  <c r="U9" i="6"/>
  <c r="EA9" i="6" s="1"/>
  <c r="K9" i="6"/>
  <c r="G9" i="6"/>
  <c r="FA9" i="6" s="1"/>
  <c r="JQ9" i="7"/>
  <c r="JG9" i="7"/>
  <c r="IW9" i="7"/>
  <c r="JC9" i="7" s="1"/>
  <c r="IM9" i="7"/>
  <c r="IS9" i="7" s="1"/>
  <c r="HC9" i="7"/>
  <c r="GV9" i="7"/>
  <c r="GS9" i="7"/>
  <c r="GL9" i="7"/>
  <c r="GI9" i="7"/>
  <c r="GE9" i="7"/>
  <c r="GB9" i="7"/>
  <c r="FY9" i="7"/>
  <c r="FU9" i="7"/>
  <c r="FR9" i="7"/>
  <c r="FO9" i="7"/>
  <c r="FK9" i="7"/>
  <c r="FE9" i="7"/>
  <c r="EU9" i="7"/>
  <c r="EK9" i="7"/>
  <c r="EA9" i="7"/>
  <c r="DQ9" i="7"/>
  <c r="DG9" i="7"/>
  <c r="CW9" i="7"/>
  <c r="CM9" i="7"/>
  <c r="CI9" i="7"/>
  <c r="CC9" i="7"/>
  <c r="BY9" i="7"/>
  <c r="BS9" i="7"/>
  <c r="BO9" i="7"/>
  <c r="BI9" i="7"/>
  <c r="BE9" i="7"/>
  <c r="AY9" i="7"/>
  <c r="AO9" i="7"/>
  <c r="AE9" i="7"/>
  <c r="U9" i="7"/>
  <c r="K9" i="7"/>
  <c r="G9" i="7"/>
  <c r="FA9" i="7" s="1"/>
  <c r="JQ9" i="2"/>
  <c r="JG9" i="2"/>
  <c r="IW9" i="2"/>
  <c r="JC9" i="2" s="1"/>
  <c r="IM9" i="2"/>
  <c r="IS9" i="2" s="1"/>
  <c r="HC9" i="2"/>
  <c r="GV9" i="2"/>
  <c r="GS9" i="2"/>
  <c r="GO9" i="2"/>
  <c r="GL9" i="2"/>
  <c r="GI9" i="2"/>
  <c r="GE9" i="2"/>
  <c r="GB9" i="2"/>
  <c r="FY9" i="2"/>
  <c r="FU9" i="2"/>
  <c r="FR9" i="2"/>
  <c r="FO9" i="2"/>
  <c r="FK9" i="2"/>
  <c r="FE9" i="2"/>
  <c r="EU9" i="2"/>
  <c r="EK9" i="2"/>
  <c r="DQ9" i="2"/>
  <c r="DM9" i="2"/>
  <c r="DG9" i="2"/>
  <c r="DC9" i="2"/>
  <c r="CW9" i="2"/>
  <c r="CS9" i="2"/>
  <c r="CM9" i="2"/>
  <c r="CC9" i="2"/>
  <c r="BY9" i="2"/>
  <c r="BS9" i="2"/>
  <c r="BO9" i="2"/>
  <c r="BI9" i="2"/>
  <c r="BE9" i="2"/>
  <c r="AY9" i="2"/>
  <c r="AO9" i="2"/>
  <c r="AE9" i="2"/>
  <c r="U9" i="2"/>
  <c r="EA9" i="2" s="1"/>
  <c r="K9" i="2"/>
  <c r="G9" i="2"/>
  <c r="FA9" i="2" s="1"/>
  <c r="JF31" i="11"/>
  <c r="IV31" i="11"/>
  <c r="ID31" i="11"/>
  <c r="IC31" i="11"/>
  <c r="IB31" i="11"/>
  <c r="GZ31" i="11"/>
  <c r="GW31" i="11"/>
  <c r="GT31" i="11"/>
  <c r="GP31" i="11"/>
  <c r="GM31" i="11"/>
  <c r="GJ31" i="11"/>
  <c r="GF31" i="11"/>
  <c r="GC31" i="11"/>
  <c r="FZ31" i="11"/>
  <c r="FV31" i="11"/>
  <c r="FS31" i="11"/>
  <c r="FP31" i="11"/>
  <c r="FL31" i="11"/>
  <c r="FI31" i="11"/>
  <c r="FF31" i="11"/>
  <c r="FB31" i="11"/>
  <c r="EY31" i="11"/>
  <c r="EV31" i="11"/>
  <c r="ER31" i="11"/>
  <c r="EO31" i="11"/>
  <c r="EL31" i="11"/>
  <c r="EH31" i="11"/>
  <c r="EE31" i="11"/>
  <c r="EB31" i="11"/>
  <c r="DX31" i="11"/>
  <c r="DU31" i="11"/>
  <c r="DR31" i="11"/>
  <c r="DN31" i="11"/>
  <c r="DK31" i="11"/>
  <c r="DH31" i="11"/>
  <c r="DD31" i="11"/>
  <c r="DA31" i="11"/>
  <c r="CX31" i="11"/>
  <c r="CT31" i="11"/>
  <c r="CQ31" i="11"/>
  <c r="CN31" i="11"/>
  <c r="CJ31" i="11"/>
  <c r="CG31" i="11"/>
  <c r="CD31" i="11"/>
  <c r="BZ31" i="11"/>
  <c r="BW31" i="11"/>
  <c r="BT31" i="11"/>
  <c r="BP31" i="11"/>
  <c r="BM31" i="11"/>
  <c r="BJ31" i="11"/>
  <c r="BF31" i="11"/>
  <c r="BC31" i="11"/>
  <c r="AZ31" i="11"/>
  <c r="AV31" i="11"/>
  <c r="AS31" i="11"/>
  <c r="AP31" i="11"/>
  <c r="AL31" i="11"/>
  <c r="AI31" i="11"/>
  <c r="AF31" i="11"/>
  <c r="AB31" i="11"/>
  <c r="Y31" i="11"/>
  <c r="V31" i="11"/>
  <c r="R31" i="11"/>
  <c r="O31" i="11"/>
  <c r="L31" i="11"/>
  <c r="H31" i="11"/>
  <c r="E31" i="11"/>
  <c r="B31" i="11"/>
  <c r="JX29" i="11"/>
  <c r="JW29" i="11"/>
  <c r="JU29" i="11"/>
  <c r="JT29" i="11"/>
  <c r="JR29" i="11"/>
  <c r="JZ29" i="11" s="1"/>
  <c r="JQ29" i="11"/>
  <c r="JN29" i="11"/>
  <c r="JK29" i="11"/>
  <c r="JP29" i="11" s="1"/>
  <c r="JH29" i="11"/>
  <c r="JD29" i="11"/>
  <c r="JC29" i="11"/>
  <c r="JA29" i="11"/>
  <c r="IZ29" i="11"/>
  <c r="IX29" i="11"/>
  <c r="IW29" i="11"/>
  <c r="IT29" i="11"/>
  <c r="IS29" i="11"/>
  <c r="IQ29" i="11"/>
  <c r="IP29" i="11"/>
  <c r="IN29" i="11"/>
  <c r="IM29" i="11"/>
  <c r="II29" i="11"/>
  <c r="IH29" i="11"/>
  <c r="IG29" i="11"/>
  <c r="IF29" i="11"/>
  <c r="ID29" i="11"/>
  <c r="HZ29" i="11"/>
  <c r="HV29" i="11"/>
  <c r="HU29" i="11"/>
  <c r="HT29" i="11"/>
  <c r="HR29" i="11"/>
  <c r="HQ29" i="11"/>
  <c r="HP29" i="11"/>
  <c r="HO29" i="11"/>
  <c r="HN29" i="11"/>
  <c r="IL29" i="11" s="1"/>
  <c r="HM29" i="11"/>
  <c r="HJ29" i="11"/>
  <c r="HI29" i="11"/>
  <c r="HG29" i="11"/>
  <c r="HF29" i="11"/>
  <c r="HD29" i="11"/>
  <c r="HC29" i="11"/>
  <c r="HB29" i="11"/>
  <c r="GR29" i="11"/>
  <c r="GL29" i="11"/>
  <c r="GH29" i="11"/>
  <c r="GE29" i="11"/>
  <c r="GB29" i="11"/>
  <c r="FY29" i="11"/>
  <c r="FX29" i="11"/>
  <c r="FU29" i="11"/>
  <c r="FR29" i="11"/>
  <c r="FN29" i="11"/>
  <c r="IE29" i="11" s="1"/>
  <c r="FK29" i="11"/>
  <c r="FH29" i="11"/>
  <c r="FE29" i="11"/>
  <c r="FD29" i="11"/>
  <c r="FA29" i="11"/>
  <c r="EX29" i="11"/>
  <c r="EU29" i="11"/>
  <c r="ET29" i="11"/>
  <c r="IC29" i="11" s="1"/>
  <c r="EQ29" i="11"/>
  <c r="EN29" i="11"/>
  <c r="EK29" i="11"/>
  <c r="EJ29" i="11"/>
  <c r="IB29" i="11" s="1"/>
  <c r="EG29" i="11"/>
  <c r="ED29" i="11"/>
  <c r="EA29" i="11"/>
  <c r="DZ29" i="11"/>
  <c r="IA29" i="11" s="1"/>
  <c r="DW29" i="11"/>
  <c r="DP29" i="11"/>
  <c r="HY29" i="11" s="1"/>
  <c r="DM29" i="11"/>
  <c r="DG29" i="11"/>
  <c r="DF29" i="11"/>
  <c r="HX29" i="11" s="1"/>
  <c r="DC29" i="11"/>
  <c r="CW29" i="11"/>
  <c r="CV29" i="11"/>
  <c r="HW29" i="11" s="1"/>
  <c r="CS29" i="11"/>
  <c r="CM29" i="11"/>
  <c r="CL29" i="11"/>
  <c r="CI29" i="11"/>
  <c r="CC29" i="11"/>
  <c r="CB29" i="11"/>
  <c r="BY29" i="11"/>
  <c r="BS29" i="11"/>
  <c r="BR29" i="11"/>
  <c r="BO29" i="11"/>
  <c r="BI29" i="11"/>
  <c r="BH29" i="11"/>
  <c r="HS29" i="11" s="1"/>
  <c r="BE29" i="11"/>
  <c r="AY29" i="11"/>
  <c r="AX29" i="11"/>
  <c r="AU29" i="11"/>
  <c r="AO29" i="11"/>
  <c r="AN29" i="11"/>
  <c r="AK29" i="11"/>
  <c r="AE29" i="11"/>
  <c r="AD29" i="11"/>
  <c r="AA29" i="11"/>
  <c r="U29" i="11"/>
  <c r="T29" i="11"/>
  <c r="Q29" i="11"/>
  <c r="K29" i="11"/>
  <c r="JJ29" i="11" s="1"/>
  <c r="J29" i="11"/>
  <c r="G29" i="11"/>
  <c r="JX28" i="11"/>
  <c r="JW28" i="11"/>
  <c r="JU28" i="11"/>
  <c r="JR28" i="11"/>
  <c r="JZ28" i="11" s="1"/>
  <c r="JQ28" i="11"/>
  <c r="JN28" i="11"/>
  <c r="JM28" i="11"/>
  <c r="JK28" i="11"/>
  <c r="JH28" i="11"/>
  <c r="JP28" i="11" s="1"/>
  <c r="JG28" i="11"/>
  <c r="JD28" i="11"/>
  <c r="JC28" i="11"/>
  <c r="JA28" i="11"/>
  <c r="IZ28" i="11"/>
  <c r="IX28" i="11"/>
  <c r="IW28" i="11"/>
  <c r="IT28" i="11"/>
  <c r="IS28" i="11"/>
  <c r="IQ28" i="11"/>
  <c r="IP28" i="11"/>
  <c r="IN28" i="11"/>
  <c r="IM28" i="11"/>
  <c r="IH28" i="11"/>
  <c r="IG28" i="11"/>
  <c r="IE28" i="11"/>
  <c r="ID28" i="11"/>
  <c r="IB28" i="11"/>
  <c r="IA28" i="11"/>
  <c r="HZ28" i="11"/>
  <c r="HY28" i="11"/>
  <c r="HU28" i="11"/>
  <c r="HT28" i="11"/>
  <c r="HS28" i="11"/>
  <c r="HO28" i="11"/>
  <c r="HM28" i="11"/>
  <c r="HJ28" i="11"/>
  <c r="HI28" i="11"/>
  <c r="HG28" i="11"/>
  <c r="HF28" i="11"/>
  <c r="HD28" i="11"/>
  <c r="HC28" i="11"/>
  <c r="HB28" i="11"/>
  <c r="II28" i="11" s="1"/>
  <c r="GR28" i="11"/>
  <c r="GI28" i="11"/>
  <c r="GH28" i="11"/>
  <c r="FY28" i="11"/>
  <c r="FX28" i="11"/>
  <c r="IF28" i="11" s="1"/>
  <c r="FR28" i="11"/>
  <c r="FO28" i="11"/>
  <c r="FN28" i="11"/>
  <c r="FK28" i="11"/>
  <c r="FH28" i="11"/>
  <c r="FE28" i="11"/>
  <c r="FD28" i="11"/>
  <c r="FA28" i="11"/>
  <c r="EX28" i="11"/>
  <c r="EU28" i="11"/>
  <c r="ET28" i="11"/>
  <c r="IC28" i="11" s="1"/>
  <c r="EQ28" i="11"/>
  <c r="EN28" i="11"/>
  <c r="EK28" i="11"/>
  <c r="EJ28" i="11"/>
  <c r="EG28" i="11"/>
  <c r="ED28" i="11"/>
  <c r="EA28" i="11"/>
  <c r="DZ28" i="11"/>
  <c r="DW28" i="11"/>
  <c r="DQ28" i="11"/>
  <c r="DP28" i="11"/>
  <c r="DM28" i="11"/>
  <c r="DG28" i="11"/>
  <c r="DF28" i="11"/>
  <c r="HX28" i="11" s="1"/>
  <c r="DC28" i="11"/>
  <c r="CW28" i="11"/>
  <c r="CV28" i="11"/>
  <c r="HW28" i="11" s="1"/>
  <c r="CS28" i="11"/>
  <c r="CM28" i="11"/>
  <c r="CL28" i="11"/>
  <c r="HV28" i="11" s="1"/>
  <c r="CI28" i="11"/>
  <c r="CC28" i="11"/>
  <c r="CB28" i="11"/>
  <c r="BY28" i="11"/>
  <c r="BS28" i="11"/>
  <c r="BR28" i="11"/>
  <c r="BO28" i="11"/>
  <c r="BI28" i="11"/>
  <c r="BH28" i="11"/>
  <c r="BE28" i="11"/>
  <c r="AY28" i="11"/>
  <c r="AX28" i="11"/>
  <c r="HR28" i="11" s="1"/>
  <c r="AU28" i="11"/>
  <c r="AO28" i="11"/>
  <c r="GV28" i="11" s="1"/>
  <c r="AN28" i="11"/>
  <c r="HQ28" i="11" s="1"/>
  <c r="AK28" i="11"/>
  <c r="AE28" i="11"/>
  <c r="GL28" i="11" s="1"/>
  <c r="AD28" i="11"/>
  <c r="AA28" i="11"/>
  <c r="U28" i="11"/>
  <c r="GE28" i="11" s="1"/>
  <c r="T28" i="11"/>
  <c r="Q28" i="11"/>
  <c r="K28" i="11"/>
  <c r="JT28" i="11" s="1"/>
  <c r="J28" i="11"/>
  <c r="HN28" i="11" s="1"/>
  <c r="G28" i="11"/>
  <c r="JX27" i="11"/>
  <c r="JU27" i="11"/>
  <c r="JR27" i="11"/>
  <c r="JN27" i="11"/>
  <c r="JK27" i="11"/>
  <c r="JH27" i="11"/>
  <c r="JP27" i="11" s="1"/>
  <c r="JD27" i="11"/>
  <c r="JC27" i="11"/>
  <c r="JA27" i="11"/>
  <c r="IZ27" i="11"/>
  <c r="IX27" i="11"/>
  <c r="IW27" i="11"/>
  <c r="IT27" i="11"/>
  <c r="IS27" i="11"/>
  <c r="IQ27" i="11"/>
  <c r="IP27" i="11"/>
  <c r="IN27" i="11"/>
  <c r="IM27" i="11"/>
  <c r="IG27" i="11"/>
  <c r="IB27" i="11"/>
  <c r="IA27" i="11"/>
  <c r="HZ27" i="11"/>
  <c r="HY27" i="11"/>
  <c r="HV27" i="11"/>
  <c r="HT27" i="11"/>
  <c r="HO27" i="11"/>
  <c r="HM27" i="11"/>
  <c r="HJ27" i="11"/>
  <c r="HI27" i="11"/>
  <c r="HG27" i="11"/>
  <c r="HF27" i="11"/>
  <c r="HD27" i="11"/>
  <c r="HC27" i="11"/>
  <c r="HB27" i="11"/>
  <c r="II27" i="11" s="1"/>
  <c r="GY27" i="11"/>
  <c r="GV27" i="11"/>
  <c r="GS27" i="11"/>
  <c r="GR27" i="11"/>
  <c r="IH27" i="11" s="1"/>
  <c r="GI27" i="11"/>
  <c r="GH27" i="11"/>
  <c r="FX27" i="11"/>
  <c r="IF27" i="11" s="1"/>
  <c r="FN27" i="11"/>
  <c r="IE27" i="11" s="1"/>
  <c r="FK27" i="11"/>
  <c r="FH27" i="11"/>
  <c r="FE27" i="11"/>
  <c r="FD27" i="11"/>
  <c r="ID27" i="11" s="1"/>
  <c r="FA27" i="11"/>
  <c r="EX27" i="11"/>
  <c r="EU27" i="11"/>
  <c r="ET27" i="11"/>
  <c r="IC27" i="11" s="1"/>
  <c r="EQ27" i="11"/>
  <c r="EN27" i="11"/>
  <c r="EK27" i="11"/>
  <c r="EJ27" i="11"/>
  <c r="EG27" i="11"/>
  <c r="ED27" i="11"/>
  <c r="EA27" i="11"/>
  <c r="DZ27" i="11"/>
  <c r="DP27" i="11"/>
  <c r="DM27" i="11"/>
  <c r="DG27" i="11"/>
  <c r="DF27" i="11"/>
  <c r="HX27" i="11" s="1"/>
  <c r="DC27" i="11"/>
  <c r="CW27" i="11"/>
  <c r="CV27" i="11"/>
  <c r="HW27" i="11" s="1"/>
  <c r="CS27" i="11"/>
  <c r="CM27" i="11"/>
  <c r="CL27" i="11"/>
  <c r="CI27" i="11"/>
  <c r="CC27" i="11"/>
  <c r="CB27" i="11"/>
  <c r="HU27" i="11" s="1"/>
  <c r="BY27" i="11"/>
  <c r="BS27" i="11"/>
  <c r="BR27" i="11"/>
  <c r="BO27" i="11"/>
  <c r="BI27" i="11"/>
  <c r="BH27" i="11"/>
  <c r="HS27" i="11" s="1"/>
  <c r="BE27" i="11"/>
  <c r="AY27" i="11"/>
  <c r="AX27" i="11"/>
  <c r="HR27" i="11" s="1"/>
  <c r="AU27" i="11"/>
  <c r="AO27" i="11"/>
  <c r="AN27" i="11"/>
  <c r="HQ27" i="11" s="1"/>
  <c r="AK27" i="11"/>
  <c r="AE27" i="11"/>
  <c r="AD27" i="11"/>
  <c r="HP27" i="11" s="1"/>
  <c r="AA27" i="11"/>
  <c r="U27" i="11"/>
  <c r="T27" i="11"/>
  <c r="Q27" i="11"/>
  <c r="K27" i="11"/>
  <c r="J27" i="11"/>
  <c r="G27" i="11"/>
  <c r="JX26" i="11"/>
  <c r="JZ26" i="11" s="1"/>
  <c r="JW26" i="11"/>
  <c r="JU26" i="11"/>
  <c r="JR26" i="11"/>
  <c r="JN26" i="11"/>
  <c r="JK26" i="11"/>
  <c r="JH26" i="11"/>
  <c r="JG26" i="11"/>
  <c r="JD26" i="11"/>
  <c r="JC26" i="11"/>
  <c r="JA26" i="11"/>
  <c r="IZ26" i="11"/>
  <c r="IX26" i="11"/>
  <c r="IW26" i="11"/>
  <c r="IT26" i="11"/>
  <c r="IS26" i="11"/>
  <c r="IQ26" i="11"/>
  <c r="IP26" i="11"/>
  <c r="IN26" i="11"/>
  <c r="IM26" i="11"/>
  <c r="IF26" i="11"/>
  <c r="IB26" i="11"/>
  <c r="IA26" i="11"/>
  <c r="HZ26" i="11"/>
  <c r="HY26" i="11"/>
  <c r="HX26" i="11"/>
  <c r="HW26" i="11"/>
  <c r="HQ26" i="11"/>
  <c r="HP26" i="11"/>
  <c r="HM26" i="11"/>
  <c r="HJ26" i="11"/>
  <c r="HI26" i="11"/>
  <c r="HG26" i="11"/>
  <c r="HF26" i="11"/>
  <c r="HD26" i="11"/>
  <c r="HC26" i="11"/>
  <c r="HB26" i="11"/>
  <c r="II26" i="11" s="1"/>
  <c r="GY26" i="11"/>
  <c r="GV26" i="11"/>
  <c r="GS26" i="11"/>
  <c r="GR26" i="11"/>
  <c r="IH26" i="11" s="1"/>
  <c r="GL26" i="11"/>
  <c r="GI26" i="11"/>
  <c r="GH26" i="11"/>
  <c r="IG26" i="11" s="1"/>
  <c r="GE26" i="11"/>
  <c r="GB26" i="11"/>
  <c r="FY26" i="11"/>
  <c r="FX26" i="11"/>
  <c r="FN26" i="11"/>
  <c r="IE26" i="11" s="1"/>
  <c r="FK26" i="11"/>
  <c r="FH26" i="11"/>
  <c r="FE26" i="11"/>
  <c r="FD26" i="11"/>
  <c r="ID26" i="11" s="1"/>
  <c r="FA26" i="11"/>
  <c r="EX26" i="11"/>
  <c r="EU26" i="11"/>
  <c r="ET26" i="11"/>
  <c r="IC26" i="11" s="1"/>
  <c r="EQ26" i="11"/>
  <c r="EN26" i="11"/>
  <c r="EK26" i="11"/>
  <c r="EJ26" i="11"/>
  <c r="EG26" i="11"/>
  <c r="ED26" i="11"/>
  <c r="EA26" i="11"/>
  <c r="DZ26" i="11"/>
  <c r="DQ26" i="11"/>
  <c r="DP26" i="11"/>
  <c r="DM26" i="11"/>
  <c r="DG26" i="11"/>
  <c r="DF26" i="11"/>
  <c r="DC26" i="11"/>
  <c r="CW26" i="11"/>
  <c r="CV26" i="11"/>
  <c r="CS26" i="11"/>
  <c r="CM26" i="11"/>
  <c r="CL26" i="11"/>
  <c r="HV26" i="11" s="1"/>
  <c r="CI26" i="11"/>
  <c r="CC26" i="11"/>
  <c r="CB26" i="11"/>
  <c r="HU26" i="11" s="1"/>
  <c r="BY26" i="11"/>
  <c r="BS26" i="11"/>
  <c r="BR26" i="11"/>
  <c r="HT26" i="11" s="1"/>
  <c r="BO26" i="11"/>
  <c r="BI26" i="11"/>
  <c r="BH26" i="11"/>
  <c r="HS26" i="11" s="1"/>
  <c r="BE26" i="11"/>
  <c r="AY26" i="11"/>
  <c r="AX26" i="11"/>
  <c r="HR26" i="11" s="1"/>
  <c r="AU26" i="11"/>
  <c r="AO26" i="11"/>
  <c r="AN26" i="11"/>
  <c r="AK26" i="11"/>
  <c r="AE26" i="11"/>
  <c r="AD26" i="11"/>
  <c r="AA26" i="11"/>
  <c r="U26" i="11"/>
  <c r="JQ26" i="11" s="1"/>
  <c r="T26" i="11"/>
  <c r="HO26" i="11" s="1"/>
  <c r="Q26" i="11"/>
  <c r="K26" i="11"/>
  <c r="JT26" i="11" s="1"/>
  <c r="J26" i="11"/>
  <c r="G26" i="11"/>
  <c r="JX25" i="11"/>
  <c r="JW25" i="11"/>
  <c r="JU25" i="11"/>
  <c r="JT25" i="11"/>
  <c r="JR25" i="11"/>
  <c r="JZ25" i="11" s="1"/>
  <c r="JQ25" i="11"/>
  <c r="JN25" i="11"/>
  <c r="JP25" i="11" s="1"/>
  <c r="JK25" i="11"/>
  <c r="JH25" i="11"/>
  <c r="JG25" i="11"/>
  <c r="JD25" i="11"/>
  <c r="JC25" i="11"/>
  <c r="JA25" i="11"/>
  <c r="IZ25" i="11"/>
  <c r="IX25" i="11"/>
  <c r="IW25" i="11"/>
  <c r="IT25" i="11"/>
  <c r="IS25" i="11"/>
  <c r="IQ25" i="11"/>
  <c r="IP25" i="11"/>
  <c r="IN25" i="11"/>
  <c r="IM25" i="11"/>
  <c r="IH25" i="11"/>
  <c r="IF25" i="11"/>
  <c r="IC25" i="11"/>
  <c r="IA25" i="11"/>
  <c r="HZ25" i="11"/>
  <c r="HW25" i="11"/>
  <c r="HU25" i="11"/>
  <c r="HP25" i="11"/>
  <c r="HO25" i="11"/>
  <c r="HN25" i="11"/>
  <c r="HM25" i="11"/>
  <c r="HJ25" i="11"/>
  <c r="HI25" i="11"/>
  <c r="HG25" i="11"/>
  <c r="HF25" i="11"/>
  <c r="HD25" i="11"/>
  <c r="HC25" i="11"/>
  <c r="HB25" i="11"/>
  <c r="II25" i="11" s="1"/>
  <c r="GR25" i="11"/>
  <c r="GO25" i="11"/>
  <c r="GL25" i="11"/>
  <c r="GI25" i="11"/>
  <c r="GH25" i="11"/>
  <c r="IG25" i="11" s="1"/>
  <c r="GE25" i="11"/>
  <c r="GB25" i="11"/>
  <c r="FY25" i="11"/>
  <c r="FX25" i="11"/>
  <c r="FU25" i="11"/>
  <c r="FR25" i="11"/>
  <c r="FO25" i="11"/>
  <c r="FN25" i="11"/>
  <c r="IE25" i="11" s="1"/>
  <c r="FK25" i="11"/>
  <c r="FH25" i="11"/>
  <c r="FE25" i="11"/>
  <c r="FD25" i="11"/>
  <c r="ID25" i="11" s="1"/>
  <c r="FA25" i="11"/>
  <c r="EX25" i="11"/>
  <c r="EU25" i="11"/>
  <c r="ET25" i="11"/>
  <c r="EQ25" i="11"/>
  <c r="EN25" i="11"/>
  <c r="EK25" i="11"/>
  <c r="EJ25" i="11"/>
  <c r="IB25" i="11" s="1"/>
  <c r="EG25" i="11"/>
  <c r="ED25" i="11"/>
  <c r="EA25" i="11"/>
  <c r="DZ25" i="11"/>
  <c r="DP25" i="11"/>
  <c r="HY25" i="11" s="1"/>
  <c r="DM25" i="11"/>
  <c r="DG25" i="11"/>
  <c r="DF25" i="11"/>
  <c r="HX25" i="11" s="1"/>
  <c r="DC25" i="11"/>
  <c r="CW25" i="11"/>
  <c r="CV25" i="11"/>
  <c r="CS25" i="11"/>
  <c r="CM25" i="11"/>
  <c r="CL25" i="11"/>
  <c r="HV25" i="11" s="1"/>
  <c r="CI25" i="11"/>
  <c r="CC25" i="11"/>
  <c r="CB25" i="11"/>
  <c r="BY25" i="11"/>
  <c r="BS25" i="11"/>
  <c r="BR25" i="11"/>
  <c r="HT25" i="11" s="1"/>
  <c r="BO25" i="11"/>
  <c r="BI25" i="11"/>
  <c r="BH25" i="11"/>
  <c r="HS25" i="11" s="1"/>
  <c r="BE25" i="11"/>
  <c r="AY25" i="11"/>
  <c r="AX25" i="11"/>
  <c r="HR25" i="11" s="1"/>
  <c r="AU25" i="11"/>
  <c r="AO25" i="11"/>
  <c r="AN25" i="11"/>
  <c r="HQ25" i="11" s="1"/>
  <c r="AK25" i="11"/>
  <c r="AE25" i="11"/>
  <c r="DW25" i="11" s="1"/>
  <c r="AD25" i="11"/>
  <c r="AA25" i="11"/>
  <c r="U25" i="11"/>
  <c r="T25" i="11"/>
  <c r="Q25" i="11"/>
  <c r="K25" i="11"/>
  <c r="JM25" i="11" s="1"/>
  <c r="J25" i="11"/>
  <c r="G25" i="11"/>
  <c r="JX24" i="11"/>
  <c r="JU24" i="11"/>
  <c r="JZ24" i="11" s="1"/>
  <c r="JT24" i="11"/>
  <c r="JR24" i="11"/>
  <c r="JP24" i="11"/>
  <c r="JN24" i="11"/>
  <c r="JM24" i="11"/>
  <c r="JK24" i="11"/>
  <c r="JJ24" i="11"/>
  <c r="JH24" i="11"/>
  <c r="JG24" i="11"/>
  <c r="JD24" i="11"/>
  <c r="JC24" i="11"/>
  <c r="JA24" i="11"/>
  <c r="IZ24" i="11"/>
  <c r="IX24" i="11"/>
  <c r="IW24" i="11"/>
  <c r="IT24" i="11"/>
  <c r="IS24" i="11"/>
  <c r="IQ24" i="11"/>
  <c r="IP24" i="11"/>
  <c r="IN24" i="11"/>
  <c r="IM24" i="11"/>
  <c r="II24" i="11"/>
  <c r="IH24" i="11"/>
  <c r="IG24" i="11"/>
  <c r="IC24" i="11"/>
  <c r="IB24" i="11"/>
  <c r="HZ24" i="11"/>
  <c r="HU24" i="11"/>
  <c r="HR24" i="11"/>
  <c r="HO24" i="11"/>
  <c r="HN24" i="11"/>
  <c r="IL24" i="11" s="1"/>
  <c r="HM24" i="11"/>
  <c r="HJ24" i="11"/>
  <c r="HI24" i="11"/>
  <c r="HG24" i="11"/>
  <c r="HG31" i="11" s="1"/>
  <c r="HF24" i="11"/>
  <c r="HD24" i="11"/>
  <c r="HC24" i="11"/>
  <c r="HB24" i="11"/>
  <c r="GR24" i="11"/>
  <c r="GH24" i="11"/>
  <c r="FX24" i="11"/>
  <c r="IF24" i="11" s="1"/>
  <c r="FU24" i="11"/>
  <c r="FR24" i="11"/>
  <c r="FO24" i="11"/>
  <c r="FN24" i="11"/>
  <c r="IE24" i="11" s="1"/>
  <c r="FK24" i="11"/>
  <c r="FH24" i="11"/>
  <c r="FE24" i="11"/>
  <c r="FD24" i="11"/>
  <c r="ID24" i="11" s="1"/>
  <c r="FA24" i="11"/>
  <c r="EX24" i="11"/>
  <c r="EU24" i="11"/>
  <c r="ET24" i="11"/>
  <c r="EQ24" i="11"/>
  <c r="EN24" i="11"/>
  <c r="EK24" i="11"/>
  <c r="EJ24" i="11"/>
  <c r="EG24" i="11"/>
  <c r="ED24" i="11"/>
  <c r="EA24" i="11"/>
  <c r="DZ24" i="11"/>
  <c r="IA24" i="11" s="1"/>
  <c r="DP24" i="11"/>
  <c r="HY24" i="11" s="1"/>
  <c r="DM24" i="11"/>
  <c r="DG24" i="11"/>
  <c r="DF24" i="11"/>
  <c r="HX24" i="11" s="1"/>
  <c r="DC24" i="11"/>
  <c r="CW24" i="11"/>
  <c r="CV24" i="11"/>
  <c r="HW24" i="11" s="1"/>
  <c r="CS24" i="11"/>
  <c r="CM24" i="11"/>
  <c r="CL24" i="11"/>
  <c r="HV24" i="11" s="1"/>
  <c r="CI24" i="11"/>
  <c r="CC24" i="11"/>
  <c r="CB24" i="11"/>
  <c r="BY24" i="11"/>
  <c r="BS24" i="11"/>
  <c r="BR24" i="11"/>
  <c r="HT24" i="11" s="1"/>
  <c r="BO24" i="11"/>
  <c r="BI24" i="11"/>
  <c r="BH24" i="11"/>
  <c r="HS24" i="11" s="1"/>
  <c r="BE24" i="11"/>
  <c r="AY24" i="11"/>
  <c r="AX24" i="11"/>
  <c r="AU24" i="11"/>
  <c r="AO24" i="11"/>
  <c r="AN24" i="11"/>
  <c r="HQ24" i="11" s="1"/>
  <c r="AK24" i="11"/>
  <c r="AE24" i="11"/>
  <c r="DW24" i="11" s="1"/>
  <c r="AD24" i="11"/>
  <c r="HP24" i="11" s="1"/>
  <c r="AA24" i="11"/>
  <c r="U24" i="11"/>
  <c r="T24" i="11"/>
  <c r="Q24" i="11"/>
  <c r="K24" i="11"/>
  <c r="J24" i="11"/>
  <c r="G24" i="11"/>
  <c r="JX23" i="11"/>
  <c r="JU23" i="11"/>
  <c r="JR23" i="11"/>
  <c r="JN23" i="11"/>
  <c r="JK23" i="11"/>
  <c r="JH23" i="11"/>
  <c r="JP23" i="11" s="1"/>
  <c r="JG23" i="11"/>
  <c r="JD23" i="11"/>
  <c r="JC23" i="11"/>
  <c r="JA23" i="11"/>
  <c r="IZ23" i="11"/>
  <c r="IX23" i="11"/>
  <c r="IW23" i="11"/>
  <c r="IT23" i="11"/>
  <c r="IS23" i="11"/>
  <c r="IQ23" i="11"/>
  <c r="IP23" i="11"/>
  <c r="IN23" i="11"/>
  <c r="IM23" i="11"/>
  <c r="II23" i="11"/>
  <c r="IG23" i="11"/>
  <c r="IF23" i="11"/>
  <c r="IB23" i="11"/>
  <c r="HZ23" i="11"/>
  <c r="HY23" i="11"/>
  <c r="HT23" i="11"/>
  <c r="HR23" i="11"/>
  <c r="HQ23" i="11"/>
  <c r="HM23" i="11"/>
  <c r="HJ23" i="11"/>
  <c r="HI23" i="11"/>
  <c r="HG23" i="11"/>
  <c r="HF23" i="11"/>
  <c r="HD23" i="11"/>
  <c r="HC23" i="11"/>
  <c r="HB23" i="11"/>
  <c r="GR23" i="11"/>
  <c r="IH23" i="11" s="1"/>
  <c r="GH23" i="11"/>
  <c r="GB23" i="11"/>
  <c r="FX23" i="11"/>
  <c r="FR23" i="11"/>
  <c r="FO23" i="11"/>
  <c r="FN23" i="11"/>
  <c r="IE23" i="11" s="1"/>
  <c r="FK23" i="11"/>
  <c r="FH23" i="11"/>
  <c r="FE23" i="11"/>
  <c r="FD23" i="11"/>
  <c r="ID23" i="11" s="1"/>
  <c r="FA23" i="11"/>
  <c r="EX23" i="11"/>
  <c r="EU23" i="11"/>
  <c r="ET23" i="11"/>
  <c r="IC23" i="11" s="1"/>
  <c r="EQ23" i="11"/>
  <c r="EN23" i="11"/>
  <c r="EK23" i="11"/>
  <c r="EJ23" i="11"/>
  <c r="EG23" i="11"/>
  <c r="ED23" i="11"/>
  <c r="EA23" i="11"/>
  <c r="DZ23" i="11"/>
  <c r="IA23" i="11" s="1"/>
  <c r="DP23" i="11"/>
  <c r="DM23" i="11"/>
  <c r="DG23" i="11"/>
  <c r="DF23" i="11"/>
  <c r="HX23" i="11" s="1"/>
  <c r="DC23" i="11"/>
  <c r="CW23" i="11"/>
  <c r="CV23" i="11"/>
  <c r="HW23" i="11" s="1"/>
  <c r="CS23" i="11"/>
  <c r="CM23" i="11"/>
  <c r="CL23" i="11"/>
  <c r="HV23" i="11" s="1"/>
  <c r="CI23" i="11"/>
  <c r="CC23" i="11"/>
  <c r="CB23" i="11"/>
  <c r="HU23" i="11" s="1"/>
  <c r="BY23" i="11"/>
  <c r="BS23" i="11"/>
  <c r="BR23" i="11"/>
  <c r="BO23" i="11"/>
  <c r="BI23" i="11"/>
  <c r="BH23" i="11"/>
  <c r="HS23" i="11" s="1"/>
  <c r="BE23" i="11"/>
  <c r="AY23" i="11"/>
  <c r="AX23" i="11"/>
  <c r="AU23" i="11"/>
  <c r="AO23" i="11"/>
  <c r="GY23" i="11" s="1"/>
  <c r="AN23" i="11"/>
  <c r="AK23" i="11"/>
  <c r="AE23" i="11"/>
  <c r="GO23" i="11" s="1"/>
  <c r="AD23" i="11"/>
  <c r="HP23" i="11" s="1"/>
  <c r="AA23" i="11"/>
  <c r="U23" i="11"/>
  <c r="T23" i="11"/>
  <c r="HO23" i="11" s="1"/>
  <c r="Q23" i="11"/>
  <c r="K23" i="11"/>
  <c r="J23" i="11"/>
  <c r="HN23" i="11" s="1"/>
  <c r="G23" i="11"/>
  <c r="JZ22" i="11"/>
  <c r="JX22" i="11"/>
  <c r="JU22" i="11"/>
  <c r="JR22" i="11"/>
  <c r="JN22" i="11"/>
  <c r="JK22" i="11"/>
  <c r="JH22" i="11"/>
  <c r="JP22" i="11" s="1"/>
  <c r="JD22" i="11"/>
  <c r="JC22" i="11"/>
  <c r="JA22" i="11"/>
  <c r="IZ22" i="11"/>
  <c r="IX22" i="11"/>
  <c r="IW22" i="11"/>
  <c r="IT22" i="11"/>
  <c r="IS22" i="11"/>
  <c r="IQ22" i="11"/>
  <c r="IP22" i="11"/>
  <c r="IN22" i="11"/>
  <c r="IM22" i="11"/>
  <c r="IH22" i="11"/>
  <c r="IF22" i="11"/>
  <c r="IC22" i="11"/>
  <c r="HZ22" i="11"/>
  <c r="HY22" i="11"/>
  <c r="HX22" i="11"/>
  <c r="HW22" i="11"/>
  <c r="HV22" i="11"/>
  <c r="HT22" i="11"/>
  <c r="HS22" i="11"/>
  <c r="HR22" i="11"/>
  <c r="HQ22" i="11"/>
  <c r="HM22" i="11"/>
  <c r="HJ22" i="11"/>
  <c r="HI22" i="11"/>
  <c r="HG22" i="11"/>
  <c r="HF22" i="11"/>
  <c r="HD22" i="11"/>
  <c r="HC22" i="11"/>
  <c r="HB22" i="11"/>
  <c r="II22" i="11" s="1"/>
  <c r="GY22" i="11"/>
  <c r="GV22" i="11"/>
  <c r="GS22" i="11"/>
  <c r="GR22" i="11"/>
  <c r="GO22" i="11"/>
  <c r="GL22" i="11"/>
  <c r="GI22" i="11"/>
  <c r="GH22" i="11"/>
  <c r="IG22" i="11" s="1"/>
  <c r="FX22" i="11"/>
  <c r="FO22" i="11"/>
  <c r="FN22" i="11"/>
  <c r="IE22" i="11" s="1"/>
  <c r="FK22" i="11"/>
  <c r="FH22" i="11"/>
  <c r="FE22" i="11"/>
  <c r="FD22" i="11"/>
  <c r="ID22" i="11" s="1"/>
  <c r="FA22" i="11"/>
  <c r="EX22" i="11"/>
  <c r="EU22" i="11"/>
  <c r="ET22" i="11"/>
  <c r="EQ22" i="11"/>
  <c r="EN22" i="11"/>
  <c r="EK22" i="11"/>
  <c r="EJ22" i="11"/>
  <c r="IB22" i="11" s="1"/>
  <c r="EG22" i="11"/>
  <c r="ED22" i="11"/>
  <c r="EA22" i="11"/>
  <c r="DZ22" i="11"/>
  <c r="IA22" i="11" s="1"/>
  <c r="DP22" i="11"/>
  <c r="DM22" i="11"/>
  <c r="DG22" i="11"/>
  <c r="DF22" i="11"/>
  <c r="DC22" i="11"/>
  <c r="CW22" i="11"/>
  <c r="CV22" i="11"/>
  <c r="CS22" i="11"/>
  <c r="CM22" i="11"/>
  <c r="CL22" i="11"/>
  <c r="CI22" i="11"/>
  <c r="CC22" i="11"/>
  <c r="CB22" i="11"/>
  <c r="HU22" i="11" s="1"/>
  <c r="BY22" i="11"/>
  <c r="BS22" i="11"/>
  <c r="BR22" i="11"/>
  <c r="BO22" i="11"/>
  <c r="BI22" i="11"/>
  <c r="BH22" i="11"/>
  <c r="BE22" i="11"/>
  <c r="AY22" i="11"/>
  <c r="AX22" i="11"/>
  <c r="AU22" i="11"/>
  <c r="AO22" i="11"/>
  <c r="AN22" i="11"/>
  <c r="AK22" i="11"/>
  <c r="AE22" i="11"/>
  <c r="DW22" i="11" s="1"/>
  <c r="AD22" i="11"/>
  <c r="HP22" i="11" s="1"/>
  <c r="AA22" i="11"/>
  <c r="U22" i="11"/>
  <c r="T22" i="11"/>
  <c r="Q22" i="11"/>
  <c r="K22" i="11"/>
  <c r="J22" i="11"/>
  <c r="HN22" i="11" s="1"/>
  <c r="G22" i="11"/>
  <c r="JX21" i="11"/>
  <c r="JU21" i="11"/>
  <c r="JT21" i="11"/>
  <c r="JR21" i="11"/>
  <c r="JZ21" i="11" s="1"/>
  <c r="JQ21" i="11"/>
  <c r="JN21" i="11"/>
  <c r="JK21" i="11"/>
  <c r="JJ21" i="11"/>
  <c r="JH21" i="11"/>
  <c r="JP21" i="11" s="1"/>
  <c r="JD21" i="11"/>
  <c r="JC21" i="11"/>
  <c r="JA21" i="11"/>
  <c r="IZ21" i="11"/>
  <c r="IX21" i="11"/>
  <c r="IW21" i="11"/>
  <c r="IT21" i="11"/>
  <c r="IS21" i="11"/>
  <c r="IQ21" i="11"/>
  <c r="IP21" i="11"/>
  <c r="IN21" i="11"/>
  <c r="IM21" i="11"/>
  <c r="II21" i="11"/>
  <c r="IE21" i="11"/>
  <c r="HZ21" i="11"/>
  <c r="HX21" i="11"/>
  <c r="HW21" i="11"/>
  <c r="HV21" i="11"/>
  <c r="HU21" i="11"/>
  <c r="HT21" i="11"/>
  <c r="HR21" i="11"/>
  <c r="HP21" i="11"/>
  <c r="HO21" i="11"/>
  <c r="HN21" i="11"/>
  <c r="HM21" i="11"/>
  <c r="HJ21" i="11"/>
  <c r="HI21" i="11"/>
  <c r="HG21" i="11"/>
  <c r="HF21" i="11"/>
  <c r="HD21" i="11"/>
  <c r="HC21" i="11"/>
  <c r="HB21" i="11"/>
  <c r="GR21" i="11"/>
  <c r="IH21" i="11" s="1"/>
  <c r="GO21" i="11"/>
  <c r="GL21" i="11"/>
  <c r="GI21" i="11"/>
  <c r="GH21" i="11"/>
  <c r="IG21" i="11" s="1"/>
  <c r="GE21" i="11"/>
  <c r="GB21" i="11"/>
  <c r="FY21" i="11"/>
  <c r="FX21" i="11"/>
  <c r="IF21" i="11" s="1"/>
  <c r="FU21" i="11"/>
  <c r="FR21" i="11"/>
  <c r="FO21" i="11"/>
  <c r="FN21" i="11"/>
  <c r="FK21" i="11"/>
  <c r="FH21" i="11"/>
  <c r="FE21" i="11"/>
  <c r="FD21" i="11"/>
  <c r="ID21" i="11" s="1"/>
  <c r="FA21" i="11"/>
  <c r="EX21" i="11"/>
  <c r="EU21" i="11"/>
  <c r="ET21" i="11"/>
  <c r="IC21" i="11" s="1"/>
  <c r="EQ21" i="11"/>
  <c r="EN21" i="11"/>
  <c r="EK21" i="11"/>
  <c r="EJ21" i="11"/>
  <c r="IB21" i="11" s="1"/>
  <c r="EG21" i="11"/>
  <c r="ED21" i="11"/>
  <c r="EA21" i="11"/>
  <c r="DZ21" i="11"/>
  <c r="IA21" i="11" s="1"/>
  <c r="DW21" i="11"/>
  <c r="DQ21" i="11"/>
  <c r="DP21" i="11"/>
  <c r="HY21" i="11" s="1"/>
  <c r="DM21" i="11"/>
  <c r="DG21" i="11"/>
  <c r="DF21" i="11"/>
  <c r="DC21" i="11"/>
  <c r="CW21" i="11"/>
  <c r="CV21" i="11"/>
  <c r="CS21" i="11"/>
  <c r="CM21" i="11"/>
  <c r="CL21" i="11"/>
  <c r="CI21" i="11"/>
  <c r="CC21" i="11"/>
  <c r="CB21" i="11"/>
  <c r="BY21" i="11"/>
  <c r="BS21" i="11"/>
  <c r="BR21" i="11"/>
  <c r="BO21" i="11"/>
  <c r="BI21" i="11"/>
  <c r="BH21" i="11"/>
  <c r="HS21" i="11" s="1"/>
  <c r="BE21" i="11"/>
  <c r="AY21" i="11"/>
  <c r="AX21" i="11"/>
  <c r="AU21" i="11"/>
  <c r="AO21" i="11"/>
  <c r="GY21" i="11" s="1"/>
  <c r="AN21" i="11"/>
  <c r="HQ21" i="11" s="1"/>
  <c r="AK21" i="11"/>
  <c r="AE21" i="11"/>
  <c r="AD21" i="11"/>
  <c r="AA21" i="11"/>
  <c r="U21" i="11"/>
  <c r="JW21" i="11" s="1"/>
  <c r="T21" i="11"/>
  <c r="Q21" i="11"/>
  <c r="K21" i="11"/>
  <c r="JM21" i="11" s="1"/>
  <c r="J21" i="11"/>
  <c r="G21" i="11"/>
  <c r="JX20" i="11"/>
  <c r="JU20" i="11"/>
  <c r="JT20" i="11"/>
  <c r="JR20" i="11"/>
  <c r="JZ20" i="11" s="1"/>
  <c r="JQ20" i="11"/>
  <c r="JN20" i="11"/>
  <c r="JM20" i="11"/>
  <c r="JK20" i="11"/>
  <c r="JP20" i="11" s="1"/>
  <c r="JJ20" i="11"/>
  <c r="JH20" i="11"/>
  <c r="JD20" i="11"/>
  <c r="JC20" i="11"/>
  <c r="JA20" i="11"/>
  <c r="IZ20" i="11"/>
  <c r="IX20" i="11"/>
  <c r="IW20" i="11"/>
  <c r="IT20" i="11"/>
  <c r="IS20" i="11"/>
  <c r="IQ20" i="11"/>
  <c r="IP20" i="11"/>
  <c r="IN20" i="11"/>
  <c r="IM20" i="11"/>
  <c r="II20" i="11"/>
  <c r="IH20" i="11"/>
  <c r="IG20" i="11"/>
  <c r="IF20" i="11"/>
  <c r="IE20" i="11"/>
  <c r="ID20" i="11"/>
  <c r="IC20" i="11"/>
  <c r="HZ20" i="11"/>
  <c r="HX20" i="11"/>
  <c r="HW20" i="11"/>
  <c r="HV20" i="11"/>
  <c r="HT20" i="11"/>
  <c r="HR20" i="11"/>
  <c r="HQ20" i="11"/>
  <c r="HO20" i="11"/>
  <c r="HN20" i="11"/>
  <c r="HM20" i="11"/>
  <c r="HJ20" i="11"/>
  <c r="HI20" i="11"/>
  <c r="HG20" i="11"/>
  <c r="HF20" i="11"/>
  <c r="HD20" i="11"/>
  <c r="HC20" i="11"/>
  <c r="HB20" i="11"/>
  <c r="GS20" i="11"/>
  <c r="GR20" i="11"/>
  <c r="GI20" i="11"/>
  <c r="GH20" i="11"/>
  <c r="GE20" i="11"/>
  <c r="FX20" i="11"/>
  <c r="FU20" i="11"/>
  <c r="FR20" i="11"/>
  <c r="FO20" i="11"/>
  <c r="FN20" i="11"/>
  <c r="FK20" i="11"/>
  <c r="FH20" i="11"/>
  <c r="FE20" i="11"/>
  <c r="FD20" i="11"/>
  <c r="FA20" i="11"/>
  <c r="EX20" i="11"/>
  <c r="EU20" i="11"/>
  <c r="ET20" i="11"/>
  <c r="EQ20" i="11"/>
  <c r="EN20" i="11"/>
  <c r="EK20" i="11"/>
  <c r="EJ20" i="11"/>
  <c r="IB20" i="11" s="1"/>
  <c r="EG20" i="11"/>
  <c r="ED20" i="11"/>
  <c r="EA20" i="11"/>
  <c r="DZ20" i="11"/>
  <c r="IA20" i="11" s="1"/>
  <c r="DP20" i="11"/>
  <c r="HY20" i="11" s="1"/>
  <c r="DM20" i="11"/>
  <c r="DG20" i="11"/>
  <c r="DF20" i="11"/>
  <c r="DC20" i="11"/>
  <c r="CW20" i="11"/>
  <c r="CV20" i="11"/>
  <c r="CS20" i="11"/>
  <c r="CM20" i="11"/>
  <c r="CL20" i="11"/>
  <c r="CI20" i="11"/>
  <c r="CC20" i="11"/>
  <c r="CB20" i="11"/>
  <c r="HU20" i="11" s="1"/>
  <c r="BY20" i="11"/>
  <c r="BS20" i="11"/>
  <c r="BR20" i="11"/>
  <c r="BO20" i="11"/>
  <c r="BI20" i="11"/>
  <c r="BH20" i="11"/>
  <c r="HL20" i="11" s="1"/>
  <c r="BE20" i="11"/>
  <c r="AY20" i="11"/>
  <c r="AX20" i="11"/>
  <c r="AU20" i="11"/>
  <c r="AO20" i="11"/>
  <c r="AN20" i="11"/>
  <c r="AK20" i="11"/>
  <c r="AE20" i="11"/>
  <c r="AD20" i="11"/>
  <c r="HP20" i="11" s="1"/>
  <c r="AA20" i="11"/>
  <c r="U20" i="11"/>
  <c r="GB20" i="11" s="1"/>
  <c r="T20" i="11"/>
  <c r="Q20" i="11"/>
  <c r="K20" i="11"/>
  <c r="JG20" i="11" s="1"/>
  <c r="J20" i="11"/>
  <c r="G20" i="11"/>
  <c r="JZ19" i="11"/>
  <c r="JX19" i="11"/>
  <c r="JU19" i="11"/>
  <c r="JT19" i="11"/>
  <c r="JR19" i="11"/>
  <c r="JQ19" i="11"/>
  <c r="JN19" i="11"/>
  <c r="JK19" i="11"/>
  <c r="JH19" i="11"/>
  <c r="JP19" i="11" s="1"/>
  <c r="JD19" i="11"/>
  <c r="JC19" i="11"/>
  <c r="JA19" i="11"/>
  <c r="IZ19" i="11"/>
  <c r="IX19" i="11"/>
  <c r="IW19" i="11"/>
  <c r="IT19" i="11"/>
  <c r="IS19" i="11"/>
  <c r="IQ19" i="11"/>
  <c r="IP19" i="11"/>
  <c r="IN19" i="11"/>
  <c r="IM19" i="11"/>
  <c r="II19" i="11"/>
  <c r="IH19" i="11"/>
  <c r="IB19" i="11"/>
  <c r="IA19" i="11"/>
  <c r="HZ19" i="11"/>
  <c r="HT19" i="11"/>
  <c r="HS19" i="11"/>
  <c r="HR19" i="11"/>
  <c r="HO19" i="11"/>
  <c r="HN19" i="11"/>
  <c r="IL19" i="11" s="1"/>
  <c r="HM19" i="11"/>
  <c r="HJ19" i="11"/>
  <c r="HI19" i="11"/>
  <c r="HG19" i="11"/>
  <c r="HF19" i="11"/>
  <c r="HD19" i="11"/>
  <c r="HC19" i="11"/>
  <c r="HB19" i="11"/>
  <c r="GR19" i="11"/>
  <c r="GH19" i="11"/>
  <c r="IG19" i="11" s="1"/>
  <c r="FX19" i="11"/>
  <c r="IF19" i="11" s="1"/>
  <c r="FU19" i="11"/>
  <c r="FO19" i="11"/>
  <c r="FN19" i="11"/>
  <c r="IE19" i="11" s="1"/>
  <c r="FK19" i="11"/>
  <c r="FH19" i="11"/>
  <c r="FE19" i="11"/>
  <c r="FD19" i="11"/>
  <c r="ID19" i="11" s="1"/>
  <c r="FA19" i="11"/>
  <c r="EX19" i="11"/>
  <c r="EU19" i="11"/>
  <c r="ET19" i="11"/>
  <c r="IC19" i="11" s="1"/>
  <c r="EQ19" i="11"/>
  <c r="EN19" i="11"/>
  <c r="EK19" i="11"/>
  <c r="EJ19" i="11"/>
  <c r="EG19" i="11"/>
  <c r="ED19" i="11"/>
  <c r="EA19" i="11"/>
  <c r="DZ19" i="11"/>
  <c r="DP19" i="11"/>
  <c r="HY19" i="11" s="1"/>
  <c r="DM19" i="11"/>
  <c r="DG19" i="11"/>
  <c r="DF19" i="11"/>
  <c r="HX19" i="11" s="1"/>
  <c r="DC19" i="11"/>
  <c r="CW19" i="11"/>
  <c r="CV19" i="11"/>
  <c r="HW19" i="11" s="1"/>
  <c r="CS19" i="11"/>
  <c r="CM19" i="11"/>
  <c r="CL19" i="11"/>
  <c r="HV19" i="11" s="1"/>
  <c r="CI19" i="11"/>
  <c r="CC19" i="11"/>
  <c r="CB19" i="11"/>
  <c r="HU19" i="11" s="1"/>
  <c r="BY19" i="11"/>
  <c r="BS19" i="11"/>
  <c r="BR19" i="11"/>
  <c r="BO19" i="11"/>
  <c r="BI19" i="11"/>
  <c r="BH19" i="11"/>
  <c r="BE19" i="11"/>
  <c r="AY19" i="11"/>
  <c r="AX19" i="11"/>
  <c r="AU19" i="11"/>
  <c r="AO19" i="11"/>
  <c r="GY19" i="11" s="1"/>
  <c r="AN19" i="11"/>
  <c r="HQ19" i="11" s="1"/>
  <c r="AK19" i="11"/>
  <c r="AE19" i="11"/>
  <c r="DQ19" i="11" s="1"/>
  <c r="AD19" i="11"/>
  <c r="HP19" i="11" s="1"/>
  <c r="AA19" i="11"/>
  <c r="U19" i="11"/>
  <c r="T19" i="11"/>
  <c r="HL19" i="11" s="1"/>
  <c r="Q19" i="11"/>
  <c r="K19" i="11"/>
  <c r="JM19" i="11" s="1"/>
  <c r="J19" i="11"/>
  <c r="G19" i="11"/>
  <c r="JX18" i="11"/>
  <c r="JU18" i="11"/>
  <c r="JR18" i="11"/>
  <c r="JZ18" i="11" s="1"/>
  <c r="JN18" i="11"/>
  <c r="JK18" i="11"/>
  <c r="JH18" i="11"/>
  <c r="JP18" i="11" s="1"/>
  <c r="JG18" i="11"/>
  <c r="JD18" i="11"/>
  <c r="JC18" i="11"/>
  <c r="JA18" i="11"/>
  <c r="IZ18" i="11"/>
  <c r="IX18" i="11"/>
  <c r="IW18" i="11"/>
  <c r="IT18" i="11"/>
  <c r="IS18" i="11"/>
  <c r="IQ18" i="11"/>
  <c r="IP18" i="11"/>
  <c r="IN18" i="11"/>
  <c r="IM18" i="11"/>
  <c r="IF18" i="11"/>
  <c r="IE18" i="11"/>
  <c r="IB18" i="11"/>
  <c r="IA18" i="11"/>
  <c r="HZ18" i="11"/>
  <c r="HX18" i="11"/>
  <c r="HU18" i="11"/>
  <c r="HT18" i="11"/>
  <c r="HS18" i="11"/>
  <c r="HM18" i="11"/>
  <c r="HJ18" i="11"/>
  <c r="HI18" i="11"/>
  <c r="HG18" i="11"/>
  <c r="HF18" i="11"/>
  <c r="HD18" i="11"/>
  <c r="HC18" i="11"/>
  <c r="HB18" i="11"/>
  <c r="II18" i="11" s="1"/>
  <c r="GR18" i="11"/>
  <c r="IH18" i="11" s="1"/>
  <c r="GH18" i="11"/>
  <c r="IG18" i="11" s="1"/>
  <c r="FX18" i="11"/>
  <c r="FU18" i="11"/>
  <c r="FR18" i="11"/>
  <c r="FN18" i="11"/>
  <c r="FK18" i="11"/>
  <c r="FH18" i="11"/>
  <c r="FE18" i="11"/>
  <c r="FD18" i="11"/>
  <c r="ID18" i="11" s="1"/>
  <c r="FA18" i="11"/>
  <c r="EX18" i="11"/>
  <c r="EU18" i="11"/>
  <c r="ET18" i="11"/>
  <c r="IC18" i="11" s="1"/>
  <c r="EQ18" i="11"/>
  <c r="EN18" i="11"/>
  <c r="EK18" i="11"/>
  <c r="EJ18" i="11"/>
  <c r="EG18" i="11"/>
  <c r="ED18" i="11"/>
  <c r="EA18" i="11"/>
  <c r="DZ18" i="11"/>
  <c r="DP18" i="11"/>
  <c r="HY18" i="11" s="1"/>
  <c r="DM18" i="11"/>
  <c r="DG18" i="11"/>
  <c r="DF18" i="11"/>
  <c r="DC18" i="11"/>
  <c r="CW18" i="11"/>
  <c r="CV18" i="11"/>
  <c r="CS18" i="11"/>
  <c r="CM18" i="11"/>
  <c r="CL18" i="11"/>
  <c r="HV18" i="11" s="1"/>
  <c r="CI18" i="11"/>
  <c r="CC18" i="11"/>
  <c r="CB18" i="11"/>
  <c r="BY18" i="11"/>
  <c r="BS18" i="11"/>
  <c r="BR18" i="11"/>
  <c r="BO18" i="11"/>
  <c r="BI18" i="11"/>
  <c r="BH18" i="11"/>
  <c r="BE18" i="11"/>
  <c r="AY18" i="11"/>
  <c r="AX18" i="11"/>
  <c r="HR18" i="11" s="1"/>
  <c r="AU18" i="11"/>
  <c r="AO18" i="11"/>
  <c r="GS18" i="11" s="1"/>
  <c r="AN18" i="11"/>
  <c r="HQ18" i="11" s="1"/>
  <c r="AK18" i="11"/>
  <c r="AE18" i="11"/>
  <c r="GO18" i="11" s="1"/>
  <c r="AD18" i="11"/>
  <c r="HP18" i="11" s="1"/>
  <c r="AA18" i="11"/>
  <c r="U18" i="11"/>
  <c r="T18" i="11"/>
  <c r="HO18" i="11" s="1"/>
  <c r="Q18" i="11"/>
  <c r="K18" i="11"/>
  <c r="FO18" i="11" s="1"/>
  <c r="J18" i="11"/>
  <c r="G18" i="11"/>
  <c r="JZ17" i="11"/>
  <c r="JX17" i="11"/>
  <c r="JW17" i="11"/>
  <c r="JU17" i="11"/>
  <c r="JR17" i="11"/>
  <c r="JN17" i="11"/>
  <c r="JM17" i="11"/>
  <c r="JK17" i="11"/>
  <c r="JH17" i="11"/>
  <c r="JP17" i="11" s="1"/>
  <c r="JG17" i="11"/>
  <c r="JD17" i="11"/>
  <c r="JC17" i="11"/>
  <c r="JA17" i="11"/>
  <c r="IZ17" i="11"/>
  <c r="IX17" i="11"/>
  <c r="IW17" i="11"/>
  <c r="IT17" i="11"/>
  <c r="IS17" i="11"/>
  <c r="IQ17" i="11"/>
  <c r="IP17" i="11"/>
  <c r="IN17" i="11"/>
  <c r="IM17" i="11"/>
  <c r="IE17" i="11"/>
  <c r="ID17" i="11"/>
  <c r="HZ17" i="11"/>
  <c r="HX17" i="11"/>
  <c r="HV17" i="11"/>
  <c r="HU17" i="11"/>
  <c r="HT17" i="11"/>
  <c r="HS17" i="11"/>
  <c r="HQ17" i="11"/>
  <c r="HP17" i="11"/>
  <c r="HO17" i="11"/>
  <c r="HN17" i="11"/>
  <c r="IL17" i="11" s="1"/>
  <c r="HM17" i="11"/>
  <c r="HJ17" i="11"/>
  <c r="HI17" i="11"/>
  <c r="HG17" i="11"/>
  <c r="HF17" i="11"/>
  <c r="HD17" i="11"/>
  <c r="HC17" i="11"/>
  <c r="HB17" i="11"/>
  <c r="II17" i="11" s="1"/>
  <c r="GY17" i="11"/>
  <c r="GV17" i="11"/>
  <c r="GS17" i="11"/>
  <c r="GR17" i="11"/>
  <c r="IH17" i="11" s="1"/>
  <c r="GO17" i="11"/>
  <c r="GL17" i="11"/>
  <c r="GI17" i="11"/>
  <c r="GH17" i="11"/>
  <c r="IG17" i="11" s="1"/>
  <c r="GE17" i="11"/>
  <c r="GB17" i="11"/>
  <c r="FY17" i="11"/>
  <c r="FX17" i="11"/>
  <c r="IF17" i="11" s="1"/>
  <c r="FU17" i="11"/>
  <c r="FN17" i="11"/>
  <c r="FK17" i="11"/>
  <c r="FH17" i="11"/>
  <c r="FE17" i="11"/>
  <c r="FD17" i="11"/>
  <c r="FA17" i="11"/>
  <c r="EX17" i="11"/>
  <c r="EU17" i="11"/>
  <c r="ET17" i="11"/>
  <c r="IC17" i="11" s="1"/>
  <c r="EQ17" i="11"/>
  <c r="EN17" i="11"/>
  <c r="EK17" i="11"/>
  <c r="EJ17" i="11"/>
  <c r="IB17" i="11" s="1"/>
  <c r="EG17" i="11"/>
  <c r="ED17" i="11"/>
  <c r="EA17" i="11"/>
  <c r="DZ17" i="11"/>
  <c r="IA17" i="11" s="1"/>
  <c r="DW17" i="11"/>
  <c r="DQ17" i="11"/>
  <c r="DP17" i="11"/>
  <c r="HY17" i="11" s="1"/>
  <c r="DM17" i="11"/>
  <c r="DG17" i="11"/>
  <c r="DF17" i="11"/>
  <c r="DC17" i="11"/>
  <c r="CW17" i="11"/>
  <c r="CV17" i="11"/>
  <c r="HW17" i="11" s="1"/>
  <c r="CS17" i="11"/>
  <c r="CM17" i="11"/>
  <c r="CL17" i="11"/>
  <c r="CI17" i="11"/>
  <c r="CC17" i="11"/>
  <c r="CB17" i="11"/>
  <c r="BY17" i="11"/>
  <c r="BS17" i="11"/>
  <c r="BR17" i="11"/>
  <c r="BO17" i="11"/>
  <c r="BI17" i="11"/>
  <c r="BH17" i="11"/>
  <c r="BE17" i="11"/>
  <c r="AY17" i="11"/>
  <c r="AX17" i="11"/>
  <c r="HR17" i="11" s="1"/>
  <c r="AU17" i="11"/>
  <c r="AO17" i="11"/>
  <c r="AN17" i="11"/>
  <c r="AK17" i="11"/>
  <c r="AE17" i="11"/>
  <c r="AD17" i="11"/>
  <c r="AA17" i="11"/>
  <c r="U17" i="11"/>
  <c r="JQ17" i="11" s="1"/>
  <c r="T17" i="11"/>
  <c r="Q17" i="11"/>
  <c r="K17" i="11"/>
  <c r="JT17" i="11" s="1"/>
  <c r="J17" i="11"/>
  <c r="G17" i="11"/>
  <c r="JX16" i="11"/>
  <c r="JW16" i="11"/>
  <c r="JU16" i="11"/>
  <c r="JT16" i="11"/>
  <c r="JR16" i="11"/>
  <c r="JZ16" i="11" s="1"/>
  <c r="JQ16" i="11"/>
  <c r="JN16" i="11"/>
  <c r="JP16" i="11" s="1"/>
  <c r="JM16" i="11"/>
  <c r="JK16" i="11"/>
  <c r="JH16" i="11"/>
  <c r="JD16" i="11"/>
  <c r="JC16" i="11"/>
  <c r="JA16" i="11"/>
  <c r="IZ16" i="11"/>
  <c r="IX16" i="11"/>
  <c r="IW16" i="11"/>
  <c r="IT16" i="11"/>
  <c r="IS16" i="11"/>
  <c r="IQ16" i="11"/>
  <c r="IP16" i="11"/>
  <c r="IN16" i="11"/>
  <c r="IM16" i="11"/>
  <c r="II16" i="11"/>
  <c r="IH16" i="11"/>
  <c r="IE16" i="11"/>
  <c r="HZ16" i="11"/>
  <c r="HY16" i="11"/>
  <c r="HW16" i="11"/>
  <c r="HV16" i="11"/>
  <c r="HU16" i="11"/>
  <c r="HT16" i="11"/>
  <c r="HR16" i="11"/>
  <c r="HQ16" i="11"/>
  <c r="HP16" i="11"/>
  <c r="HO16" i="11"/>
  <c r="HM16" i="11"/>
  <c r="HJ16" i="11"/>
  <c r="HI16" i="11"/>
  <c r="HG16" i="11"/>
  <c r="HF16" i="11"/>
  <c r="HD16" i="11"/>
  <c r="HC16" i="11"/>
  <c r="HB16" i="11"/>
  <c r="GY16" i="11"/>
  <c r="GV16" i="11"/>
  <c r="GR16" i="11"/>
  <c r="GO16" i="11"/>
  <c r="GL16" i="11"/>
  <c r="GI16" i="11"/>
  <c r="GH16" i="11"/>
  <c r="IG16" i="11" s="1"/>
  <c r="GE16" i="11"/>
  <c r="GB16" i="11"/>
  <c r="FY16" i="11"/>
  <c r="FX16" i="11"/>
  <c r="IF16" i="11" s="1"/>
  <c r="FN16" i="11"/>
  <c r="FK16" i="11"/>
  <c r="FH16" i="11"/>
  <c r="FE16" i="11"/>
  <c r="FD16" i="11"/>
  <c r="ID16" i="11" s="1"/>
  <c r="FA16" i="11"/>
  <c r="EX16" i="11"/>
  <c r="EU16" i="11"/>
  <c r="ET16" i="11"/>
  <c r="IC16" i="11" s="1"/>
  <c r="EQ16" i="11"/>
  <c r="EN16" i="11"/>
  <c r="EK16" i="11"/>
  <c r="EJ16" i="11"/>
  <c r="IB16" i="11" s="1"/>
  <c r="EG16" i="11"/>
  <c r="ED16" i="11"/>
  <c r="EA16" i="11"/>
  <c r="DZ16" i="11"/>
  <c r="IA16" i="11" s="1"/>
  <c r="DW16" i="11"/>
  <c r="DQ16" i="11"/>
  <c r="DP16" i="11"/>
  <c r="DM16" i="11"/>
  <c r="DG16" i="11"/>
  <c r="DF16" i="11"/>
  <c r="HX16" i="11" s="1"/>
  <c r="CW16" i="11"/>
  <c r="CV16" i="11"/>
  <c r="CS16" i="11"/>
  <c r="CM16" i="11"/>
  <c r="CL16" i="11"/>
  <c r="CI16" i="11"/>
  <c r="CC16" i="11"/>
  <c r="CB16" i="11"/>
  <c r="BY16" i="11"/>
  <c r="BS16" i="11"/>
  <c r="BR16" i="11"/>
  <c r="BO16" i="11"/>
  <c r="BI16" i="11"/>
  <c r="BH16" i="11"/>
  <c r="HS16" i="11" s="1"/>
  <c r="BE16" i="11"/>
  <c r="AY16" i="11"/>
  <c r="AX16" i="11"/>
  <c r="AU16" i="11"/>
  <c r="AO16" i="11"/>
  <c r="GS16" i="11" s="1"/>
  <c r="AN16" i="11"/>
  <c r="AK16" i="11"/>
  <c r="AE16" i="11"/>
  <c r="DC16" i="11" s="1"/>
  <c r="AD16" i="11"/>
  <c r="AA16" i="11"/>
  <c r="U16" i="11"/>
  <c r="T16" i="11"/>
  <c r="Q16" i="11"/>
  <c r="K16" i="11"/>
  <c r="J16" i="11"/>
  <c r="HN16" i="11" s="1"/>
  <c r="IL16" i="11" s="1"/>
  <c r="G16" i="11"/>
  <c r="JX15" i="11"/>
  <c r="JU15" i="11"/>
  <c r="JR15" i="11"/>
  <c r="JZ15" i="11" s="1"/>
  <c r="JP15" i="11"/>
  <c r="JN15" i="11"/>
  <c r="JK15" i="11"/>
  <c r="JH15" i="11"/>
  <c r="JD15" i="11"/>
  <c r="JC15" i="11"/>
  <c r="JA15" i="11"/>
  <c r="IZ15" i="11"/>
  <c r="IX15" i="11"/>
  <c r="IW15" i="11"/>
  <c r="IT15" i="11"/>
  <c r="IS15" i="11"/>
  <c r="IQ15" i="11"/>
  <c r="IP15" i="11"/>
  <c r="IN15" i="11"/>
  <c r="IM15" i="11"/>
  <c r="II15" i="11"/>
  <c r="IH15" i="11"/>
  <c r="IG15" i="11"/>
  <c r="IF15" i="11"/>
  <c r="IE15" i="11"/>
  <c r="IC15" i="11"/>
  <c r="HZ15" i="11"/>
  <c r="HU15" i="11"/>
  <c r="HN15" i="11"/>
  <c r="HM15" i="11"/>
  <c r="HJ15" i="11"/>
  <c r="HI15" i="11"/>
  <c r="HG15" i="11"/>
  <c r="HF15" i="11"/>
  <c r="HD15" i="11"/>
  <c r="HC15" i="11"/>
  <c r="HB15" i="11"/>
  <c r="GY15" i="11"/>
  <c r="GR15" i="11"/>
  <c r="GH15" i="11"/>
  <c r="FX15" i="11"/>
  <c r="FN15" i="11"/>
  <c r="FK15" i="11"/>
  <c r="FH15" i="11"/>
  <c r="FE15" i="11"/>
  <c r="FD15" i="11"/>
  <c r="ID15" i="11" s="1"/>
  <c r="FA15" i="11"/>
  <c r="EX15" i="11"/>
  <c r="EU15" i="11"/>
  <c r="ET15" i="11"/>
  <c r="EQ15" i="11"/>
  <c r="EN15" i="11"/>
  <c r="EK15" i="11"/>
  <c r="EJ15" i="11"/>
  <c r="IB15" i="11" s="1"/>
  <c r="EG15" i="11"/>
  <c r="ED15" i="11"/>
  <c r="EA15" i="11"/>
  <c r="DZ15" i="11"/>
  <c r="IA15" i="11" s="1"/>
  <c r="DP15" i="11"/>
  <c r="HY15" i="11" s="1"/>
  <c r="DM15" i="11"/>
  <c r="DG15" i="11"/>
  <c r="DF15" i="11"/>
  <c r="HX15" i="11" s="1"/>
  <c r="CW15" i="11"/>
  <c r="CV15" i="11"/>
  <c r="HW15" i="11" s="1"/>
  <c r="CS15" i="11"/>
  <c r="CM15" i="11"/>
  <c r="CL15" i="11"/>
  <c r="HV15" i="11" s="1"/>
  <c r="CI15" i="11"/>
  <c r="CC15" i="11"/>
  <c r="CB15" i="11"/>
  <c r="BY15" i="11"/>
  <c r="BS15" i="11"/>
  <c r="BR15" i="11"/>
  <c r="HT15" i="11" s="1"/>
  <c r="BO15" i="11"/>
  <c r="BI15" i="11"/>
  <c r="BH15" i="11"/>
  <c r="HS15" i="11" s="1"/>
  <c r="BE15" i="11"/>
  <c r="AY15" i="11"/>
  <c r="AX15" i="11"/>
  <c r="HR15" i="11" s="1"/>
  <c r="AU15" i="11"/>
  <c r="AO15" i="11"/>
  <c r="AN15" i="11"/>
  <c r="HQ15" i="11" s="1"/>
  <c r="AK15" i="11"/>
  <c r="AE15" i="11"/>
  <c r="GO15" i="11" s="1"/>
  <c r="AD15" i="11"/>
  <c r="HP15" i="11" s="1"/>
  <c r="AA15" i="11"/>
  <c r="U15" i="11"/>
  <c r="JW15" i="11" s="1"/>
  <c r="T15" i="11"/>
  <c r="Q15" i="11"/>
  <c r="K15" i="11"/>
  <c r="JJ15" i="11" s="1"/>
  <c r="J15" i="11"/>
  <c r="G15" i="11"/>
  <c r="JX14" i="11"/>
  <c r="JU14" i="11"/>
  <c r="JR14" i="11"/>
  <c r="JN14" i="11"/>
  <c r="JK14" i="11"/>
  <c r="JH14" i="11"/>
  <c r="JP14" i="11" s="1"/>
  <c r="JD14" i="11"/>
  <c r="JC14" i="11"/>
  <c r="JA14" i="11"/>
  <c r="IZ14" i="11"/>
  <c r="IX14" i="11"/>
  <c r="IW14" i="11"/>
  <c r="IT14" i="11"/>
  <c r="IS14" i="11"/>
  <c r="IQ14" i="11"/>
  <c r="IP14" i="11"/>
  <c r="IN14" i="11"/>
  <c r="IM14" i="11"/>
  <c r="IH14" i="11"/>
  <c r="IG14" i="11"/>
  <c r="IB14" i="11"/>
  <c r="IA14" i="11"/>
  <c r="HZ14" i="11"/>
  <c r="HY14" i="11"/>
  <c r="HV14" i="11"/>
  <c r="HU14" i="11"/>
  <c r="HO14" i="11"/>
  <c r="HM14" i="11"/>
  <c r="HJ14" i="11"/>
  <c r="HI14" i="11"/>
  <c r="HG14" i="11"/>
  <c r="HF14" i="11"/>
  <c r="HD14" i="11"/>
  <c r="HC14" i="11"/>
  <c r="HB14" i="11"/>
  <c r="II14" i="11" s="1"/>
  <c r="GY14" i="11"/>
  <c r="GV14" i="11"/>
  <c r="GS14" i="11"/>
  <c r="GR14" i="11"/>
  <c r="GH14" i="11"/>
  <c r="FX14" i="11"/>
  <c r="IF14" i="11" s="1"/>
  <c r="FN14" i="11"/>
  <c r="IE14" i="11" s="1"/>
  <c r="FK14" i="11"/>
  <c r="FH14" i="11"/>
  <c r="FE14" i="11"/>
  <c r="FD14" i="11"/>
  <c r="ID14" i="11" s="1"/>
  <c r="FA14" i="11"/>
  <c r="EX14" i="11"/>
  <c r="EU14" i="11"/>
  <c r="ET14" i="11"/>
  <c r="IC14" i="11" s="1"/>
  <c r="EQ14" i="11"/>
  <c r="EN14" i="11"/>
  <c r="EK14" i="11"/>
  <c r="EJ14" i="11"/>
  <c r="EG14" i="11"/>
  <c r="ED14" i="11"/>
  <c r="EA14" i="11"/>
  <c r="DZ14" i="11"/>
  <c r="DP14" i="11"/>
  <c r="DM14" i="11"/>
  <c r="DG14" i="11"/>
  <c r="DF14" i="11"/>
  <c r="HX14" i="11" s="1"/>
  <c r="CW14" i="11"/>
  <c r="CV14" i="11"/>
  <c r="HW14" i="11" s="1"/>
  <c r="CS14" i="11"/>
  <c r="CM14" i="11"/>
  <c r="CL14" i="11"/>
  <c r="CI14" i="11"/>
  <c r="CC14" i="11"/>
  <c r="CB14" i="11"/>
  <c r="BY14" i="11"/>
  <c r="BS14" i="11"/>
  <c r="BR14" i="11"/>
  <c r="HT14" i="11" s="1"/>
  <c r="BO14" i="11"/>
  <c r="BI14" i="11"/>
  <c r="BH14" i="11"/>
  <c r="HS14" i="11" s="1"/>
  <c r="BE14" i="11"/>
  <c r="AY14" i="11"/>
  <c r="AX14" i="11"/>
  <c r="HR14" i="11" s="1"/>
  <c r="AU14" i="11"/>
  <c r="AO14" i="11"/>
  <c r="AN14" i="11"/>
  <c r="HQ14" i="11" s="1"/>
  <c r="AK14" i="11"/>
  <c r="AE14" i="11"/>
  <c r="AD14" i="11"/>
  <c r="AA14" i="11"/>
  <c r="U14" i="11"/>
  <c r="JW14" i="11" s="1"/>
  <c r="T14" i="11"/>
  <c r="Q14" i="11"/>
  <c r="K14" i="11"/>
  <c r="J14" i="11"/>
  <c r="HN14" i="11" s="1"/>
  <c r="G14" i="11"/>
  <c r="JX13" i="11"/>
  <c r="JZ13" i="11" s="1"/>
  <c r="JU13" i="11"/>
  <c r="JR13" i="11"/>
  <c r="JN13" i="11"/>
  <c r="JK13" i="11"/>
  <c r="JH13" i="11"/>
  <c r="JP13" i="11" s="1"/>
  <c r="JD13" i="11"/>
  <c r="JD31" i="11" s="1"/>
  <c r="JC13" i="11"/>
  <c r="JA13" i="11"/>
  <c r="IZ13" i="11"/>
  <c r="IX13" i="11"/>
  <c r="IW13" i="11"/>
  <c r="IT13" i="11"/>
  <c r="IS13" i="11"/>
  <c r="IQ13" i="11"/>
  <c r="IP13" i="11"/>
  <c r="IN13" i="11"/>
  <c r="IM13" i="11"/>
  <c r="IF13" i="11"/>
  <c r="IB13" i="11"/>
  <c r="HZ13" i="11"/>
  <c r="HY13" i="11"/>
  <c r="HW13" i="11"/>
  <c r="HU13" i="11"/>
  <c r="HT13" i="11"/>
  <c r="HS13" i="11"/>
  <c r="HR13" i="11"/>
  <c r="HQ13" i="11"/>
  <c r="HP13" i="11"/>
  <c r="HM13" i="11"/>
  <c r="HJ13" i="11"/>
  <c r="HI13" i="11"/>
  <c r="HG13" i="11"/>
  <c r="HF13" i="11"/>
  <c r="HD13" i="11"/>
  <c r="HC13" i="11"/>
  <c r="HB13" i="11"/>
  <c r="II13" i="11" s="1"/>
  <c r="GY13" i="11"/>
  <c r="GV13" i="11"/>
  <c r="GS13" i="11"/>
  <c r="GR13" i="11"/>
  <c r="IH13" i="11" s="1"/>
  <c r="GI13" i="11"/>
  <c r="GH13" i="11"/>
  <c r="IG13" i="11" s="1"/>
  <c r="GE13" i="11"/>
  <c r="GB13" i="11"/>
  <c r="FY13" i="11"/>
  <c r="FX13" i="11"/>
  <c r="FN13" i="11"/>
  <c r="IE13" i="11" s="1"/>
  <c r="FK13" i="11"/>
  <c r="FH13" i="11"/>
  <c r="FE13" i="11"/>
  <c r="FD13" i="11"/>
  <c r="ID13" i="11" s="1"/>
  <c r="FA13" i="11"/>
  <c r="EX13" i="11"/>
  <c r="EU13" i="11"/>
  <c r="ET13" i="11"/>
  <c r="IC13" i="11" s="1"/>
  <c r="EQ13" i="11"/>
  <c r="EN13" i="11"/>
  <c r="EK13" i="11"/>
  <c r="EJ13" i="11"/>
  <c r="EG13" i="11"/>
  <c r="ED13" i="11"/>
  <c r="EA13" i="11"/>
  <c r="DZ13" i="11"/>
  <c r="IA13" i="11" s="1"/>
  <c r="DP13" i="11"/>
  <c r="DM13" i="11"/>
  <c r="DG13" i="11"/>
  <c r="DF13" i="11"/>
  <c r="HX13" i="11" s="1"/>
  <c r="CW13" i="11"/>
  <c r="CV13" i="11"/>
  <c r="CS13" i="11"/>
  <c r="CM13" i="11"/>
  <c r="CL13" i="11"/>
  <c r="HV13" i="11" s="1"/>
  <c r="CI13" i="11"/>
  <c r="CC13" i="11"/>
  <c r="CB13" i="11"/>
  <c r="BY13" i="11"/>
  <c r="BS13" i="11"/>
  <c r="BR13" i="11"/>
  <c r="BO13" i="11"/>
  <c r="BI13" i="11"/>
  <c r="BH13" i="11"/>
  <c r="BE13" i="11"/>
  <c r="AY13" i="11"/>
  <c r="AX13" i="11"/>
  <c r="AU13" i="11"/>
  <c r="AO13" i="11"/>
  <c r="AN13" i="11"/>
  <c r="AK13" i="11"/>
  <c r="AE13" i="11"/>
  <c r="DQ13" i="11" s="1"/>
  <c r="AD13" i="11"/>
  <c r="AA13" i="11"/>
  <c r="U13" i="11"/>
  <c r="JQ13" i="11" s="1"/>
  <c r="T13" i="11"/>
  <c r="HO13" i="11" s="1"/>
  <c r="Q13" i="11"/>
  <c r="K13" i="11"/>
  <c r="J13" i="11"/>
  <c r="G13" i="11"/>
  <c r="JX12" i="11"/>
  <c r="JW12" i="11"/>
  <c r="JU12" i="11"/>
  <c r="JT12" i="11"/>
  <c r="JR12" i="11"/>
  <c r="JZ12" i="11" s="1"/>
  <c r="JQ12" i="11"/>
  <c r="JN12" i="11"/>
  <c r="JK12" i="11"/>
  <c r="JJ12" i="11"/>
  <c r="JH12" i="11"/>
  <c r="JP12" i="11" s="1"/>
  <c r="JG12" i="11"/>
  <c r="JD12" i="11"/>
  <c r="JC12" i="11"/>
  <c r="JA12" i="11"/>
  <c r="IZ12" i="11"/>
  <c r="IX12" i="11"/>
  <c r="IW12" i="11"/>
  <c r="IT12" i="11"/>
  <c r="IS12" i="11"/>
  <c r="IQ12" i="11"/>
  <c r="IP12" i="11"/>
  <c r="IN12" i="11"/>
  <c r="IM12" i="11"/>
  <c r="HZ12" i="11"/>
  <c r="HY12" i="11"/>
  <c r="HX12" i="11"/>
  <c r="HW12" i="11"/>
  <c r="HV12" i="11"/>
  <c r="HU12" i="11"/>
  <c r="HQ12" i="11"/>
  <c r="HP12" i="11"/>
  <c r="HN12" i="11"/>
  <c r="HM12" i="11"/>
  <c r="HJ12" i="11"/>
  <c r="HI12" i="11"/>
  <c r="HG12" i="11"/>
  <c r="HF12" i="11"/>
  <c r="HD12" i="11"/>
  <c r="HC12" i="11"/>
  <c r="HB12" i="11"/>
  <c r="II12" i="11" s="1"/>
  <c r="GR12" i="11"/>
  <c r="IH12" i="11" s="1"/>
  <c r="GO12" i="11"/>
  <c r="GL12" i="11"/>
  <c r="GI12" i="11"/>
  <c r="GH12" i="11"/>
  <c r="IG12" i="11" s="1"/>
  <c r="GE12" i="11"/>
  <c r="GB12" i="11"/>
  <c r="FY12" i="11"/>
  <c r="FX12" i="11"/>
  <c r="IF12" i="11" s="1"/>
  <c r="FU12" i="11"/>
  <c r="FR12" i="11"/>
  <c r="FO12" i="11"/>
  <c r="FN12" i="11"/>
  <c r="IE12" i="11" s="1"/>
  <c r="FK12" i="11"/>
  <c r="FH12" i="11"/>
  <c r="FE12" i="11"/>
  <c r="FD12" i="11"/>
  <c r="ID12" i="11" s="1"/>
  <c r="FA12" i="11"/>
  <c r="EX12" i="11"/>
  <c r="EU12" i="11"/>
  <c r="ET12" i="11"/>
  <c r="IC12" i="11" s="1"/>
  <c r="EQ12" i="11"/>
  <c r="EN12" i="11"/>
  <c r="EK12" i="11"/>
  <c r="EJ12" i="11"/>
  <c r="EG12" i="11"/>
  <c r="ED12" i="11"/>
  <c r="EA12" i="11"/>
  <c r="DZ12" i="11"/>
  <c r="IA12" i="11" s="1"/>
  <c r="DW12" i="11"/>
  <c r="DQ12" i="11"/>
  <c r="DP12" i="11"/>
  <c r="DM12" i="11"/>
  <c r="DG12" i="11"/>
  <c r="DF12" i="11"/>
  <c r="CW12" i="11"/>
  <c r="CV12" i="11"/>
  <c r="CS12" i="11"/>
  <c r="CM12" i="11"/>
  <c r="CL12" i="11"/>
  <c r="CI12" i="11"/>
  <c r="CC12" i="11"/>
  <c r="CB12" i="11"/>
  <c r="BY12" i="11"/>
  <c r="BS12" i="11"/>
  <c r="BR12" i="11"/>
  <c r="BO12" i="11"/>
  <c r="BI12" i="11"/>
  <c r="BH12" i="11"/>
  <c r="BH31" i="11" s="1"/>
  <c r="HS31" i="11" s="1"/>
  <c r="BE12" i="11"/>
  <c r="AY12" i="11"/>
  <c r="AX12" i="11"/>
  <c r="AX31" i="11" s="1"/>
  <c r="HR31" i="11" s="1"/>
  <c r="AU12" i="11"/>
  <c r="AO12" i="11"/>
  <c r="AN12" i="11"/>
  <c r="AK12" i="11"/>
  <c r="AE12" i="11"/>
  <c r="DC12" i="11" s="1"/>
  <c r="AD12" i="11"/>
  <c r="AA12" i="11"/>
  <c r="U12" i="11"/>
  <c r="T12" i="11"/>
  <c r="HO12" i="11" s="1"/>
  <c r="Q12" i="11"/>
  <c r="K12" i="11"/>
  <c r="JM12" i="11" s="1"/>
  <c r="J12" i="11"/>
  <c r="G12" i="11"/>
  <c r="JX11" i="11"/>
  <c r="JU11" i="11"/>
  <c r="JU31" i="11" s="1"/>
  <c r="JT11" i="11"/>
  <c r="JR11" i="11"/>
  <c r="JN11" i="11"/>
  <c r="JM11" i="11"/>
  <c r="JK11" i="11"/>
  <c r="JJ11" i="11"/>
  <c r="JH11" i="11"/>
  <c r="JD11" i="11"/>
  <c r="JC11" i="11"/>
  <c r="JA11" i="11"/>
  <c r="IZ11" i="11"/>
  <c r="IX11" i="11"/>
  <c r="IW11" i="11"/>
  <c r="IT11" i="11"/>
  <c r="IS11" i="11"/>
  <c r="IQ11" i="11"/>
  <c r="IP11" i="11"/>
  <c r="IN11" i="11"/>
  <c r="IM11" i="11"/>
  <c r="II11" i="11"/>
  <c r="IH11" i="11"/>
  <c r="IG11" i="11"/>
  <c r="IF11" i="11"/>
  <c r="IE11" i="11"/>
  <c r="IC11" i="11"/>
  <c r="IB11" i="11"/>
  <c r="HZ11" i="11"/>
  <c r="HV11" i="11"/>
  <c r="HT11" i="11"/>
  <c r="HS11" i="11"/>
  <c r="HR11" i="11"/>
  <c r="HN11" i="11"/>
  <c r="HM11" i="11"/>
  <c r="HJ11" i="11"/>
  <c r="HI11" i="11"/>
  <c r="HG11" i="11"/>
  <c r="HF11" i="11"/>
  <c r="HD11" i="11"/>
  <c r="HC11" i="11"/>
  <c r="HB11" i="11"/>
  <c r="GR11" i="11"/>
  <c r="GO11" i="11"/>
  <c r="GH11" i="11"/>
  <c r="FX11" i="11"/>
  <c r="FU11" i="11"/>
  <c r="FR11" i="11"/>
  <c r="FO11" i="11"/>
  <c r="FN11" i="11"/>
  <c r="FN31" i="11" s="1"/>
  <c r="FK11" i="11"/>
  <c r="FH11" i="11"/>
  <c r="FE11" i="11"/>
  <c r="FD11" i="11"/>
  <c r="ID11" i="11" s="1"/>
  <c r="FA11" i="11"/>
  <c r="EX11" i="11"/>
  <c r="EU11" i="11"/>
  <c r="ET11" i="11"/>
  <c r="EQ11" i="11"/>
  <c r="EN11" i="11"/>
  <c r="EK11" i="11"/>
  <c r="EJ11" i="11"/>
  <c r="EG11" i="11"/>
  <c r="ED11" i="11"/>
  <c r="EA11" i="11"/>
  <c r="DZ11" i="11"/>
  <c r="DP11" i="11"/>
  <c r="DM11" i="11"/>
  <c r="DG11" i="11"/>
  <c r="DF11" i="11"/>
  <c r="HX11" i="11" s="1"/>
  <c r="CW11" i="11"/>
  <c r="CV11" i="11"/>
  <c r="HW11" i="11" s="1"/>
  <c r="CS11" i="11"/>
  <c r="CM11" i="11"/>
  <c r="CL11" i="11"/>
  <c r="CI11" i="11"/>
  <c r="CC11" i="11"/>
  <c r="CB11" i="11"/>
  <c r="BY11" i="11"/>
  <c r="BS11" i="11"/>
  <c r="BR11" i="11"/>
  <c r="BO11" i="11"/>
  <c r="BI11" i="11"/>
  <c r="BH11" i="11"/>
  <c r="BE11" i="11"/>
  <c r="AY11" i="11"/>
  <c r="AX11" i="11"/>
  <c r="AU11" i="11"/>
  <c r="AO11" i="11"/>
  <c r="AN11" i="11"/>
  <c r="HQ11" i="11" s="1"/>
  <c r="AK11" i="11"/>
  <c r="AE11" i="11"/>
  <c r="GL11" i="11" s="1"/>
  <c r="AD11" i="11"/>
  <c r="HP11" i="11" s="1"/>
  <c r="AA11" i="11"/>
  <c r="U11" i="11"/>
  <c r="JW11" i="11" s="1"/>
  <c r="T11" i="11"/>
  <c r="Q11" i="11"/>
  <c r="K11" i="11"/>
  <c r="JG11" i="11" s="1"/>
  <c r="J11" i="11"/>
  <c r="G11" i="11"/>
  <c r="JF31" i="7"/>
  <c r="IV31" i="7"/>
  <c r="ID31" i="7"/>
  <c r="IC31" i="7"/>
  <c r="IB31" i="7"/>
  <c r="GZ31" i="7"/>
  <c r="GW31" i="7"/>
  <c r="GT31" i="7"/>
  <c r="GP31" i="7"/>
  <c r="GM31" i="7"/>
  <c r="GJ31" i="7"/>
  <c r="GF31" i="7"/>
  <c r="GC31" i="7"/>
  <c r="FZ31" i="7"/>
  <c r="FV31" i="7"/>
  <c r="FS31" i="7"/>
  <c r="FP31" i="7"/>
  <c r="FL31" i="7"/>
  <c r="FI31" i="7"/>
  <c r="FF31" i="7"/>
  <c r="FB31" i="7"/>
  <c r="EY31" i="7"/>
  <c r="EV31" i="7"/>
  <c r="ET31" i="7"/>
  <c r="ER31" i="7"/>
  <c r="EO31" i="7"/>
  <c r="EL31" i="7"/>
  <c r="EH31" i="7"/>
  <c r="EE31" i="7"/>
  <c r="EB31" i="7"/>
  <c r="DX31" i="7"/>
  <c r="DU31" i="7"/>
  <c r="DR31" i="7"/>
  <c r="DN31" i="7"/>
  <c r="DK31" i="7"/>
  <c r="DH31" i="7"/>
  <c r="DD31" i="7"/>
  <c r="DA31" i="7"/>
  <c r="CX31" i="7"/>
  <c r="CT31" i="7"/>
  <c r="CQ31" i="7"/>
  <c r="CN31" i="7"/>
  <c r="CJ31" i="7"/>
  <c r="CG31" i="7"/>
  <c r="CD31" i="7"/>
  <c r="BZ31" i="7"/>
  <c r="BW31" i="7"/>
  <c r="BT31" i="7"/>
  <c r="BP31" i="7"/>
  <c r="BM31" i="7"/>
  <c r="BJ31" i="7"/>
  <c r="BF31" i="7"/>
  <c r="BC31" i="7"/>
  <c r="AZ31" i="7"/>
  <c r="AV31" i="7"/>
  <c r="AS31" i="7"/>
  <c r="AP31" i="7"/>
  <c r="AL31" i="7"/>
  <c r="AI31" i="7"/>
  <c r="AF31" i="7"/>
  <c r="AB31" i="7"/>
  <c r="Y31" i="7"/>
  <c r="V31" i="7"/>
  <c r="R31" i="7"/>
  <c r="O31" i="7"/>
  <c r="L31" i="7"/>
  <c r="H31" i="7"/>
  <c r="E31" i="7"/>
  <c r="B31" i="7"/>
  <c r="JX29" i="7"/>
  <c r="JW29" i="7"/>
  <c r="JU29" i="7"/>
  <c r="JT29" i="7"/>
  <c r="JR29" i="7"/>
  <c r="JZ29" i="7" s="1"/>
  <c r="JQ29" i="7"/>
  <c r="JK29" i="7"/>
  <c r="JH29" i="7"/>
  <c r="JD29" i="7"/>
  <c r="JC29" i="7"/>
  <c r="JA29" i="7"/>
  <c r="IZ29" i="7"/>
  <c r="IX29" i="7"/>
  <c r="IW29" i="7"/>
  <c r="IT29" i="7"/>
  <c r="IS29" i="7"/>
  <c r="IQ29" i="7"/>
  <c r="IP29" i="7"/>
  <c r="IN29" i="7"/>
  <c r="IM29" i="7"/>
  <c r="II29" i="7"/>
  <c r="IH29" i="7"/>
  <c r="IE29" i="7"/>
  <c r="ID29" i="7"/>
  <c r="HZ29" i="7"/>
  <c r="HV29" i="7"/>
  <c r="HU29" i="7"/>
  <c r="HT29" i="7"/>
  <c r="HS29" i="7"/>
  <c r="HO29" i="7"/>
  <c r="HN29" i="7"/>
  <c r="HM29" i="7"/>
  <c r="HJ29" i="7"/>
  <c r="HI29" i="7"/>
  <c r="HG29" i="7"/>
  <c r="HF29" i="7"/>
  <c r="HD29" i="7"/>
  <c r="HC29" i="7"/>
  <c r="HB29" i="7"/>
  <c r="GR29" i="7"/>
  <c r="GL29" i="7"/>
  <c r="GI29" i="7"/>
  <c r="GH29" i="7"/>
  <c r="IG29" i="7" s="1"/>
  <c r="GE29" i="7"/>
  <c r="GB29" i="7"/>
  <c r="FY29" i="7"/>
  <c r="FX29" i="7"/>
  <c r="IF29" i="7" s="1"/>
  <c r="FU29" i="7"/>
  <c r="FR29" i="7"/>
  <c r="FO29" i="7"/>
  <c r="FN29" i="7"/>
  <c r="FK29" i="7"/>
  <c r="FH29" i="7"/>
  <c r="FE29" i="7"/>
  <c r="FD29" i="7"/>
  <c r="FA29" i="7"/>
  <c r="EX29" i="7"/>
  <c r="EU29" i="7"/>
  <c r="ET29" i="7"/>
  <c r="IC29" i="7" s="1"/>
  <c r="EQ29" i="7"/>
  <c r="EN29" i="7"/>
  <c r="EK29" i="7"/>
  <c r="EJ29" i="7"/>
  <c r="IB29" i="7" s="1"/>
  <c r="EG29" i="7"/>
  <c r="ED29" i="7"/>
  <c r="EA29" i="7"/>
  <c r="DZ29" i="7"/>
  <c r="IA29" i="7" s="1"/>
  <c r="DW29" i="7"/>
  <c r="DQ29" i="7"/>
  <c r="DP29" i="7"/>
  <c r="HY29" i="7" s="1"/>
  <c r="DM29" i="7"/>
  <c r="DG29" i="7"/>
  <c r="DF29" i="7"/>
  <c r="HX29" i="7" s="1"/>
  <c r="DC29" i="7"/>
  <c r="CW29" i="7"/>
  <c r="CV29" i="7"/>
  <c r="HW29" i="7" s="1"/>
  <c r="CS29" i="7"/>
  <c r="CM29" i="7"/>
  <c r="CL29" i="7"/>
  <c r="CI29" i="7"/>
  <c r="CC29" i="7"/>
  <c r="CB29" i="7"/>
  <c r="BY29" i="7"/>
  <c r="BS29" i="7"/>
  <c r="BR29" i="7"/>
  <c r="BO29" i="7"/>
  <c r="BI29" i="7"/>
  <c r="BH29" i="7"/>
  <c r="BE29" i="7"/>
  <c r="AY29" i="7"/>
  <c r="AX29" i="7"/>
  <c r="HR29" i="7" s="1"/>
  <c r="AU29" i="7"/>
  <c r="AO29" i="7"/>
  <c r="AN29" i="7"/>
  <c r="HQ29" i="7" s="1"/>
  <c r="AK29" i="7"/>
  <c r="AE29" i="7"/>
  <c r="GO29" i="7" s="1"/>
  <c r="AD29" i="7"/>
  <c r="HP29" i="7" s="1"/>
  <c r="AA29" i="7"/>
  <c r="U29" i="7"/>
  <c r="T29" i="7"/>
  <c r="Q29" i="7"/>
  <c r="K29" i="7"/>
  <c r="JJ29" i="7" s="1"/>
  <c r="J29" i="7"/>
  <c r="G29" i="7"/>
  <c r="JX28" i="7"/>
  <c r="JW28" i="7"/>
  <c r="JU28" i="7"/>
  <c r="JR28" i="7"/>
  <c r="JZ28" i="7" s="1"/>
  <c r="JQ28" i="7"/>
  <c r="JP28" i="7"/>
  <c r="JD28" i="7"/>
  <c r="JC28" i="7"/>
  <c r="JA28" i="7"/>
  <c r="IZ28" i="7"/>
  <c r="IX28" i="7"/>
  <c r="IW28" i="7"/>
  <c r="IT28" i="7"/>
  <c r="IS28" i="7"/>
  <c r="IQ28" i="7"/>
  <c r="IP28" i="7"/>
  <c r="IN28" i="7"/>
  <c r="IM28" i="7"/>
  <c r="II28" i="7"/>
  <c r="IH28" i="7"/>
  <c r="IG28" i="7"/>
  <c r="IF28" i="7"/>
  <c r="IE28" i="7"/>
  <c r="IB28" i="7"/>
  <c r="IA28" i="7"/>
  <c r="HZ28" i="7"/>
  <c r="HU28" i="7"/>
  <c r="HT28" i="7"/>
  <c r="HS28" i="7"/>
  <c r="HM28" i="7"/>
  <c r="HJ28" i="7"/>
  <c r="HI28" i="7"/>
  <c r="HG28" i="7"/>
  <c r="HF28" i="7"/>
  <c r="HD28" i="7"/>
  <c r="HC28" i="7"/>
  <c r="HB28" i="7"/>
  <c r="GY28" i="7"/>
  <c r="GV28" i="7"/>
  <c r="GR28" i="7"/>
  <c r="GH28" i="7"/>
  <c r="FX28" i="7"/>
  <c r="FN28" i="7"/>
  <c r="FK28" i="7"/>
  <c r="FH28" i="7"/>
  <c r="FE28" i="7"/>
  <c r="FD28" i="7"/>
  <c r="ID28" i="7" s="1"/>
  <c r="FA28" i="7"/>
  <c r="EX28" i="7"/>
  <c r="EU28" i="7"/>
  <c r="ET28" i="7"/>
  <c r="IC28" i="7" s="1"/>
  <c r="EQ28" i="7"/>
  <c r="EN28" i="7"/>
  <c r="EK28" i="7"/>
  <c r="EJ28" i="7"/>
  <c r="EG28" i="7"/>
  <c r="ED28" i="7"/>
  <c r="EA28" i="7"/>
  <c r="DZ28" i="7"/>
  <c r="DP28" i="7"/>
  <c r="HY28" i="7" s="1"/>
  <c r="DM28" i="7"/>
  <c r="DG28" i="7"/>
  <c r="DF28" i="7"/>
  <c r="HX28" i="7" s="1"/>
  <c r="DC28" i="7"/>
  <c r="CW28" i="7"/>
  <c r="CV28" i="7"/>
  <c r="HW28" i="7" s="1"/>
  <c r="CS28" i="7"/>
  <c r="CM28" i="7"/>
  <c r="CL28" i="7"/>
  <c r="HV28" i="7" s="1"/>
  <c r="CI28" i="7"/>
  <c r="CC28" i="7"/>
  <c r="CB28" i="7"/>
  <c r="BY28" i="7"/>
  <c r="BS28" i="7"/>
  <c r="BR28" i="7"/>
  <c r="BO28" i="7"/>
  <c r="BI28" i="7"/>
  <c r="BH28" i="7"/>
  <c r="BE28" i="7"/>
  <c r="AY28" i="7"/>
  <c r="AX28" i="7"/>
  <c r="HR28" i="7" s="1"/>
  <c r="AU28" i="7"/>
  <c r="AO28" i="7"/>
  <c r="GS28" i="7" s="1"/>
  <c r="AN28" i="7"/>
  <c r="HQ28" i="7" s="1"/>
  <c r="AK28" i="7"/>
  <c r="AE28" i="7"/>
  <c r="AD28" i="7"/>
  <c r="HP28" i="7" s="1"/>
  <c r="AA28" i="7"/>
  <c r="U28" i="7"/>
  <c r="T28" i="7"/>
  <c r="HO28" i="7" s="1"/>
  <c r="Q28" i="7"/>
  <c r="K28" i="7"/>
  <c r="J28" i="7"/>
  <c r="HN28" i="7" s="1"/>
  <c r="G28" i="7"/>
  <c r="JX27" i="7"/>
  <c r="JU27" i="7"/>
  <c r="JZ27" i="7" s="1"/>
  <c r="JR27" i="7"/>
  <c r="JP27" i="7"/>
  <c r="JD27" i="7"/>
  <c r="JC27" i="7"/>
  <c r="JA27" i="7"/>
  <c r="IZ27" i="7"/>
  <c r="IX27" i="7"/>
  <c r="IW27" i="7"/>
  <c r="IT27" i="7"/>
  <c r="IS27" i="7"/>
  <c r="IQ27" i="7"/>
  <c r="IP27" i="7"/>
  <c r="IN27" i="7"/>
  <c r="IM27" i="7"/>
  <c r="IF27" i="7"/>
  <c r="IE27" i="7"/>
  <c r="ID27" i="7"/>
  <c r="IA27" i="7"/>
  <c r="HZ27" i="7"/>
  <c r="HY27" i="7"/>
  <c r="HX27" i="7"/>
  <c r="HM27" i="7"/>
  <c r="HJ27" i="7"/>
  <c r="HI27" i="7"/>
  <c r="HG27" i="7"/>
  <c r="HF27" i="7"/>
  <c r="HD27" i="7"/>
  <c r="HC27" i="7"/>
  <c r="HB27" i="7"/>
  <c r="II27" i="7" s="1"/>
  <c r="GY27" i="7"/>
  <c r="GV27" i="7"/>
  <c r="GS27" i="7"/>
  <c r="GR27" i="7"/>
  <c r="IH27" i="7" s="1"/>
  <c r="GH27" i="7"/>
  <c r="IG27" i="7" s="1"/>
  <c r="FX27" i="7"/>
  <c r="FN27" i="7"/>
  <c r="FK27" i="7"/>
  <c r="FH27" i="7"/>
  <c r="FE27" i="7"/>
  <c r="FD27" i="7"/>
  <c r="FA27" i="7"/>
  <c r="EX27" i="7"/>
  <c r="EU27" i="7"/>
  <c r="ET27" i="7"/>
  <c r="IC27" i="7" s="1"/>
  <c r="EQ27" i="7"/>
  <c r="EN27" i="7"/>
  <c r="EK27" i="7"/>
  <c r="EJ27" i="7"/>
  <c r="IB27" i="7" s="1"/>
  <c r="EG27" i="7"/>
  <c r="ED27" i="7"/>
  <c r="EA27" i="7"/>
  <c r="DZ27" i="7"/>
  <c r="DP27" i="7"/>
  <c r="DM27" i="7"/>
  <c r="DG27" i="7"/>
  <c r="DF27" i="7"/>
  <c r="DC27" i="7"/>
  <c r="CW27" i="7"/>
  <c r="CV27" i="7"/>
  <c r="HW27" i="7" s="1"/>
  <c r="CS27" i="7"/>
  <c r="CM27" i="7"/>
  <c r="CL27" i="7"/>
  <c r="HV27" i="7" s="1"/>
  <c r="CI27" i="7"/>
  <c r="CC27" i="7"/>
  <c r="CB27" i="7"/>
  <c r="HU27" i="7" s="1"/>
  <c r="BY27" i="7"/>
  <c r="BS27" i="7"/>
  <c r="BR27" i="7"/>
  <c r="HT27" i="7" s="1"/>
  <c r="BO27" i="7"/>
  <c r="BI27" i="7"/>
  <c r="BH27" i="7"/>
  <c r="HS27" i="7" s="1"/>
  <c r="BE27" i="7"/>
  <c r="AY27" i="7"/>
  <c r="AX27" i="7"/>
  <c r="HR27" i="7" s="1"/>
  <c r="AU27" i="7"/>
  <c r="AO27" i="7"/>
  <c r="AN27" i="7"/>
  <c r="HQ27" i="7" s="1"/>
  <c r="AK27" i="7"/>
  <c r="AE27" i="7"/>
  <c r="AD27" i="7"/>
  <c r="HP27" i="7" s="1"/>
  <c r="AA27" i="7"/>
  <c r="U27" i="7"/>
  <c r="T27" i="7"/>
  <c r="HO27" i="7" s="1"/>
  <c r="Q27" i="7"/>
  <c r="K27" i="7"/>
  <c r="J27" i="7"/>
  <c r="G27" i="7"/>
  <c r="JX26" i="7"/>
  <c r="JW26" i="7"/>
  <c r="JU26" i="7"/>
  <c r="JR26" i="7"/>
  <c r="JH26" i="7"/>
  <c r="JP26" i="7" s="1"/>
  <c r="JG26" i="7"/>
  <c r="JD26" i="7"/>
  <c r="JC26" i="7"/>
  <c r="JA26" i="7"/>
  <c r="IZ26" i="7"/>
  <c r="IX26" i="7"/>
  <c r="IW26" i="7"/>
  <c r="IT26" i="7"/>
  <c r="IS26" i="7"/>
  <c r="IQ26" i="7"/>
  <c r="IP26" i="7"/>
  <c r="IN26" i="7"/>
  <c r="IM26" i="7"/>
  <c r="IE26" i="7"/>
  <c r="IA26" i="7"/>
  <c r="HZ26" i="7"/>
  <c r="HY26" i="7"/>
  <c r="HX26" i="7"/>
  <c r="HW26" i="7"/>
  <c r="HV26" i="7"/>
  <c r="HU26" i="7"/>
  <c r="HQ26" i="7"/>
  <c r="HP26" i="7"/>
  <c r="HO26" i="7"/>
  <c r="HM26" i="7"/>
  <c r="HJ26" i="7"/>
  <c r="HI26" i="7"/>
  <c r="HG26" i="7"/>
  <c r="HF26" i="7"/>
  <c r="HD26" i="7"/>
  <c r="HC26" i="7"/>
  <c r="HB26" i="7"/>
  <c r="II26" i="7" s="1"/>
  <c r="GY26" i="7"/>
  <c r="GV26" i="7"/>
  <c r="GS26" i="7"/>
  <c r="GR26" i="7"/>
  <c r="IH26" i="7" s="1"/>
  <c r="GO26" i="7"/>
  <c r="GL26" i="7"/>
  <c r="GI26" i="7"/>
  <c r="GH26" i="7"/>
  <c r="IG26" i="7" s="1"/>
  <c r="GE26" i="7"/>
  <c r="GB26" i="7"/>
  <c r="FY26" i="7"/>
  <c r="FX26" i="7"/>
  <c r="IF26" i="7" s="1"/>
  <c r="FN26" i="7"/>
  <c r="FK26" i="7"/>
  <c r="FH26" i="7"/>
  <c r="FE26" i="7"/>
  <c r="FD26" i="7"/>
  <c r="ID26" i="7" s="1"/>
  <c r="FA26" i="7"/>
  <c r="EX26" i="7"/>
  <c r="EU26" i="7"/>
  <c r="ET26" i="7"/>
  <c r="IC26" i="7" s="1"/>
  <c r="EQ26" i="7"/>
  <c r="EN26" i="7"/>
  <c r="EK26" i="7"/>
  <c r="EJ26" i="7"/>
  <c r="IB26" i="7" s="1"/>
  <c r="EG26" i="7"/>
  <c r="ED26" i="7"/>
  <c r="EA26" i="7"/>
  <c r="DZ26" i="7"/>
  <c r="DW26" i="7"/>
  <c r="DQ26" i="7"/>
  <c r="DP26" i="7"/>
  <c r="DM26" i="7"/>
  <c r="DG26" i="7"/>
  <c r="DF26" i="7"/>
  <c r="DC26" i="7"/>
  <c r="CW26" i="7"/>
  <c r="CV26" i="7"/>
  <c r="CS26" i="7"/>
  <c r="CM26" i="7"/>
  <c r="CL26" i="7"/>
  <c r="CI26" i="7"/>
  <c r="CC26" i="7"/>
  <c r="CB26" i="7"/>
  <c r="BY26" i="7"/>
  <c r="BS26" i="7"/>
  <c r="BR26" i="7"/>
  <c r="HT26" i="7" s="1"/>
  <c r="BO26" i="7"/>
  <c r="BI26" i="7"/>
  <c r="BH26" i="7"/>
  <c r="HS26" i="7" s="1"/>
  <c r="BE26" i="7"/>
  <c r="AY26" i="7"/>
  <c r="AX26" i="7"/>
  <c r="HR26" i="7" s="1"/>
  <c r="AU26" i="7"/>
  <c r="AO26" i="7"/>
  <c r="AN26" i="7"/>
  <c r="AK26" i="7"/>
  <c r="AE26" i="7"/>
  <c r="AD26" i="7"/>
  <c r="AA26" i="7"/>
  <c r="U26" i="7"/>
  <c r="JQ26" i="7" s="1"/>
  <c r="T26" i="7"/>
  <c r="Q26" i="7"/>
  <c r="K26" i="7"/>
  <c r="J26" i="7"/>
  <c r="G26" i="7"/>
  <c r="JX25" i="7"/>
  <c r="JW25" i="7"/>
  <c r="JU25" i="7"/>
  <c r="JT25" i="7"/>
  <c r="JR25" i="7"/>
  <c r="JQ25" i="7"/>
  <c r="JH25" i="7"/>
  <c r="JD25" i="7"/>
  <c r="JC25" i="7"/>
  <c r="JA25" i="7"/>
  <c r="IZ25" i="7"/>
  <c r="IX25" i="7"/>
  <c r="IW25" i="7"/>
  <c r="IT25" i="7"/>
  <c r="IS25" i="7"/>
  <c r="IQ25" i="7"/>
  <c r="IP25" i="7"/>
  <c r="IN25" i="7"/>
  <c r="IM25" i="7"/>
  <c r="ID25" i="7"/>
  <c r="HZ25" i="7"/>
  <c r="HW25" i="7"/>
  <c r="HV25" i="7"/>
  <c r="HU25" i="7"/>
  <c r="HS25" i="7"/>
  <c r="HQ25" i="7"/>
  <c r="HP25" i="7"/>
  <c r="HO25" i="7"/>
  <c r="HN25" i="7"/>
  <c r="HM25" i="7"/>
  <c r="HJ25" i="7"/>
  <c r="HI25" i="7"/>
  <c r="HG25" i="7"/>
  <c r="HF25" i="7"/>
  <c r="HD25" i="7"/>
  <c r="HC25" i="7"/>
  <c r="HB25" i="7"/>
  <c r="II25" i="7" s="1"/>
  <c r="GR25" i="7"/>
  <c r="IH25" i="7" s="1"/>
  <c r="GO25" i="7"/>
  <c r="GL25" i="7"/>
  <c r="GI25" i="7"/>
  <c r="GH25" i="7"/>
  <c r="IG25" i="7" s="1"/>
  <c r="GE25" i="7"/>
  <c r="GB25" i="7"/>
  <c r="FY25" i="7"/>
  <c r="FX25" i="7"/>
  <c r="IF25" i="7" s="1"/>
  <c r="FU25" i="7"/>
  <c r="FR25" i="7"/>
  <c r="FO25" i="7"/>
  <c r="FN25" i="7"/>
  <c r="IE25" i="7" s="1"/>
  <c r="FK25" i="7"/>
  <c r="FH25" i="7"/>
  <c r="FE25" i="7"/>
  <c r="FD25" i="7"/>
  <c r="FA25" i="7"/>
  <c r="EX25" i="7"/>
  <c r="EU25" i="7"/>
  <c r="ET25" i="7"/>
  <c r="IC25" i="7" s="1"/>
  <c r="EQ25" i="7"/>
  <c r="EN25" i="7"/>
  <c r="EK25" i="7"/>
  <c r="EJ25" i="7"/>
  <c r="IB25" i="7" s="1"/>
  <c r="EG25" i="7"/>
  <c r="ED25" i="7"/>
  <c r="EA25" i="7"/>
  <c r="DZ25" i="7"/>
  <c r="IA25" i="7" s="1"/>
  <c r="DP25" i="7"/>
  <c r="HY25" i="7" s="1"/>
  <c r="DM25" i="7"/>
  <c r="DG25" i="7"/>
  <c r="DF25" i="7"/>
  <c r="HX25" i="7" s="1"/>
  <c r="DC25" i="7"/>
  <c r="CW25" i="7"/>
  <c r="CV25" i="7"/>
  <c r="CS25" i="7"/>
  <c r="CM25" i="7"/>
  <c r="CL25" i="7"/>
  <c r="CI25" i="7"/>
  <c r="CC25" i="7"/>
  <c r="CB25" i="7"/>
  <c r="BY25" i="7"/>
  <c r="BS25" i="7"/>
  <c r="BR25" i="7"/>
  <c r="BO25" i="7"/>
  <c r="BI25" i="7"/>
  <c r="BH25" i="7"/>
  <c r="BE25" i="7"/>
  <c r="AY25" i="7"/>
  <c r="AX25" i="7"/>
  <c r="HR25" i="7" s="1"/>
  <c r="AU25" i="7"/>
  <c r="AO25" i="7"/>
  <c r="AN25" i="7"/>
  <c r="AK25" i="7"/>
  <c r="AE25" i="7"/>
  <c r="DW25" i="7" s="1"/>
  <c r="AD25" i="7"/>
  <c r="AA25" i="7"/>
  <c r="U25" i="7"/>
  <c r="T25" i="7"/>
  <c r="Q25" i="7"/>
  <c r="K25" i="7"/>
  <c r="J25" i="7"/>
  <c r="G25" i="7"/>
  <c r="JX24" i="7"/>
  <c r="JW24" i="7"/>
  <c r="JU24" i="7"/>
  <c r="JT24" i="7"/>
  <c r="JR24" i="7"/>
  <c r="JK24" i="7"/>
  <c r="JJ24" i="7"/>
  <c r="JH24" i="7"/>
  <c r="JG24" i="7"/>
  <c r="JD24" i="7"/>
  <c r="JC24" i="7"/>
  <c r="JA24" i="7"/>
  <c r="IZ24" i="7"/>
  <c r="IX24" i="7"/>
  <c r="IW24" i="7"/>
  <c r="IT24" i="7"/>
  <c r="IS24" i="7"/>
  <c r="IQ24" i="7"/>
  <c r="IP24" i="7"/>
  <c r="IN24" i="7"/>
  <c r="IM24" i="7"/>
  <c r="IH24" i="7"/>
  <c r="IC24" i="7"/>
  <c r="IB24" i="7"/>
  <c r="IA24" i="7"/>
  <c r="HZ24" i="7"/>
  <c r="HU24" i="7"/>
  <c r="HR24" i="7"/>
  <c r="HQ24" i="7"/>
  <c r="HP24" i="7"/>
  <c r="HO24" i="7"/>
  <c r="HN24" i="7"/>
  <c r="HM24" i="7"/>
  <c r="HJ24" i="7"/>
  <c r="HI24" i="7"/>
  <c r="HG24" i="7"/>
  <c r="HG31" i="7" s="1"/>
  <c r="HF24" i="7"/>
  <c r="HD24" i="7"/>
  <c r="HC24" i="7"/>
  <c r="HB24" i="7"/>
  <c r="II24" i="7" s="1"/>
  <c r="GR24" i="7"/>
  <c r="GH24" i="7"/>
  <c r="IG24" i="7" s="1"/>
  <c r="FX24" i="7"/>
  <c r="FU24" i="7"/>
  <c r="FR24" i="7"/>
  <c r="FO24" i="7"/>
  <c r="FN24" i="7"/>
  <c r="IE24" i="7" s="1"/>
  <c r="FK24" i="7"/>
  <c r="FH24" i="7"/>
  <c r="FE24" i="7"/>
  <c r="FD24" i="7"/>
  <c r="ID24" i="7" s="1"/>
  <c r="FA24" i="7"/>
  <c r="EX24" i="7"/>
  <c r="EU24" i="7"/>
  <c r="ET24" i="7"/>
  <c r="EQ24" i="7"/>
  <c r="EN24" i="7"/>
  <c r="EK24" i="7"/>
  <c r="EJ24" i="7"/>
  <c r="EG24" i="7"/>
  <c r="ED24" i="7"/>
  <c r="EA24" i="7"/>
  <c r="DZ24" i="7"/>
  <c r="DP24" i="7"/>
  <c r="HY24" i="7" s="1"/>
  <c r="DM24" i="7"/>
  <c r="DG24" i="7"/>
  <c r="DF24" i="7"/>
  <c r="HX24" i="7" s="1"/>
  <c r="DC24" i="7"/>
  <c r="CW24" i="7"/>
  <c r="CV24" i="7"/>
  <c r="HW24" i="7" s="1"/>
  <c r="CS24" i="7"/>
  <c r="CM24" i="7"/>
  <c r="CL24" i="7"/>
  <c r="HV24" i="7" s="1"/>
  <c r="CI24" i="7"/>
  <c r="CC24" i="7"/>
  <c r="CB24" i="7"/>
  <c r="BY24" i="7"/>
  <c r="BS24" i="7"/>
  <c r="BR24" i="7"/>
  <c r="HT24" i="7" s="1"/>
  <c r="BO24" i="7"/>
  <c r="BI24" i="7"/>
  <c r="BH24" i="7"/>
  <c r="HS24" i="7" s="1"/>
  <c r="BE24" i="7"/>
  <c r="AY24" i="7"/>
  <c r="AX24" i="7"/>
  <c r="AU24" i="7"/>
  <c r="AO24" i="7"/>
  <c r="AN24" i="7"/>
  <c r="AK24" i="7"/>
  <c r="AE24" i="7"/>
  <c r="AD24" i="7"/>
  <c r="AA24" i="7"/>
  <c r="U24" i="7"/>
  <c r="T24" i="7"/>
  <c r="Q24" i="7"/>
  <c r="K24" i="7"/>
  <c r="J24" i="7"/>
  <c r="G24" i="7"/>
  <c r="JX23" i="7"/>
  <c r="JU23" i="7"/>
  <c r="JR23" i="7"/>
  <c r="JZ23" i="7" s="1"/>
  <c r="JP23" i="7"/>
  <c r="JH23" i="7"/>
  <c r="JD23" i="7"/>
  <c r="JC23" i="7"/>
  <c r="JA23" i="7"/>
  <c r="IZ23" i="7"/>
  <c r="IX23" i="7"/>
  <c r="IW23" i="7"/>
  <c r="IT23" i="7"/>
  <c r="IS23" i="7"/>
  <c r="IQ23" i="7"/>
  <c r="IP23" i="7"/>
  <c r="IN23" i="7"/>
  <c r="IM23" i="7"/>
  <c r="IH23" i="7"/>
  <c r="IG23" i="7"/>
  <c r="IC23" i="7"/>
  <c r="IB23" i="7"/>
  <c r="IA23" i="7"/>
  <c r="HZ23" i="7"/>
  <c r="HY23" i="7"/>
  <c r="HX23" i="7"/>
  <c r="HV23" i="7"/>
  <c r="HT23" i="7"/>
  <c r="HR23" i="7"/>
  <c r="HM23" i="7"/>
  <c r="HJ23" i="7"/>
  <c r="HI23" i="7"/>
  <c r="HG23" i="7"/>
  <c r="HF23" i="7"/>
  <c r="HD23" i="7"/>
  <c r="HC23" i="7"/>
  <c r="HB23" i="7"/>
  <c r="II23" i="7" s="1"/>
  <c r="GY23" i="7"/>
  <c r="GR23" i="7"/>
  <c r="GH23" i="7"/>
  <c r="FX23" i="7"/>
  <c r="IF23" i="7" s="1"/>
  <c r="FN23" i="7"/>
  <c r="IE23" i="7" s="1"/>
  <c r="FK23" i="7"/>
  <c r="FH23" i="7"/>
  <c r="FE23" i="7"/>
  <c r="FD23" i="7"/>
  <c r="ID23" i="7" s="1"/>
  <c r="FA23" i="7"/>
  <c r="EX23" i="7"/>
  <c r="EU23" i="7"/>
  <c r="ET23" i="7"/>
  <c r="EQ23" i="7"/>
  <c r="EN23" i="7"/>
  <c r="EK23" i="7"/>
  <c r="EJ23" i="7"/>
  <c r="EG23" i="7"/>
  <c r="ED23" i="7"/>
  <c r="EA23" i="7"/>
  <c r="DZ23" i="7"/>
  <c r="DP23" i="7"/>
  <c r="DM23" i="7"/>
  <c r="DG23" i="7"/>
  <c r="DF23" i="7"/>
  <c r="DC23" i="7"/>
  <c r="CW23" i="7"/>
  <c r="CV23" i="7"/>
  <c r="HW23" i="7" s="1"/>
  <c r="CS23" i="7"/>
  <c r="CM23" i="7"/>
  <c r="CL23" i="7"/>
  <c r="CI23" i="7"/>
  <c r="CC23" i="7"/>
  <c r="CB23" i="7"/>
  <c r="HU23" i="7" s="1"/>
  <c r="BY23" i="7"/>
  <c r="BS23" i="7"/>
  <c r="BR23" i="7"/>
  <c r="BO23" i="7"/>
  <c r="BI23" i="7"/>
  <c r="BH23" i="7"/>
  <c r="HS23" i="7" s="1"/>
  <c r="BE23" i="7"/>
  <c r="AY23" i="7"/>
  <c r="AX23" i="7"/>
  <c r="AU23" i="7"/>
  <c r="AO23" i="7"/>
  <c r="GV23" i="7" s="1"/>
  <c r="AN23" i="7"/>
  <c r="HQ23" i="7" s="1"/>
  <c r="AK23" i="7"/>
  <c r="AE23" i="7"/>
  <c r="AD23" i="7"/>
  <c r="HP23" i="7" s="1"/>
  <c r="AA23" i="7"/>
  <c r="U23" i="7"/>
  <c r="T23" i="7"/>
  <c r="HO23" i="7" s="1"/>
  <c r="Q23" i="7"/>
  <c r="K23" i="7"/>
  <c r="J23" i="7"/>
  <c r="HN23" i="7" s="1"/>
  <c r="G23" i="7"/>
  <c r="JX22" i="7"/>
  <c r="JZ22" i="7" s="1"/>
  <c r="JU22" i="7"/>
  <c r="JR22" i="7"/>
  <c r="JK22" i="7"/>
  <c r="JD22" i="7"/>
  <c r="JC22" i="7"/>
  <c r="JA22" i="7"/>
  <c r="IZ22" i="7"/>
  <c r="IX22" i="7"/>
  <c r="IW22" i="7"/>
  <c r="IT22" i="7"/>
  <c r="IS22" i="7"/>
  <c r="IQ22" i="7"/>
  <c r="IP22" i="7"/>
  <c r="IN22" i="7"/>
  <c r="IM22" i="7"/>
  <c r="IB22" i="7"/>
  <c r="HZ22" i="7"/>
  <c r="HY22" i="7"/>
  <c r="HS22" i="7"/>
  <c r="HR22" i="7"/>
  <c r="HQ22" i="7"/>
  <c r="HM22" i="7"/>
  <c r="HJ22" i="7"/>
  <c r="HI22" i="7"/>
  <c r="HG22" i="7"/>
  <c r="HF22" i="7"/>
  <c r="HD22" i="7"/>
  <c r="HC22" i="7"/>
  <c r="HB22" i="7"/>
  <c r="II22" i="7" s="1"/>
  <c r="GY22" i="7"/>
  <c r="GV22" i="7"/>
  <c r="GS22" i="7"/>
  <c r="GR22" i="7"/>
  <c r="IH22" i="7" s="1"/>
  <c r="GO22" i="7"/>
  <c r="GL22" i="7"/>
  <c r="GI22" i="7"/>
  <c r="GH22" i="7"/>
  <c r="IG22" i="7" s="1"/>
  <c r="FX22" i="7"/>
  <c r="IF22" i="7" s="1"/>
  <c r="FN22" i="7"/>
  <c r="IE22" i="7" s="1"/>
  <c r="FK22" i="7"/>
  <c r="FH22" i="7"/>
  <c r="FE22" i="7"/>
  <c r="FD22" i="7"/>
  <c r="ID22" i="7" s="1"/>
  <c r="FA22" i="7"/>
  <c r="EX22" i="7"/>
  <c r="EU22" i="7"/>
  <c r="ET22" i="7"/>
  <c r="IC22" i="7" s="1"/>
  <c r="EQ22" i="7"/>
  <c r="EN22" i="7"/>
  <c r="EK22" i="7"/>
  <c r="EJ22" i="7"/>
  <c r="EG22" i="7"/>
  <c r="ED22" i="7"/>
  <c r="EA22" i="7"/>
  <c r="DZ22" i="7"/>
  <c r="IA22" i="7" s="1"/>
  <c r="DQ22" i="7"/>
  <c r="DP22" i="7"/>
  <c r="DM22" i="7"/>
  <c r="DG22" i="7"/>
  <c r="DF22" i="7"/>
  <c r="HX22" i="7" s="1"/>
  <c r="DC22" i="7"/>
  <c r="CW22" i="7"/>
  <c r="CV22" i="7"/>
  <c r="HW22" i="7" s="1"/>
  <c r="CS22" i="7"/>
  <c r="CM22" i="7"/>
  <c r="CL22" i="7"/>
  <c r="HV22" i="7" s="1"/>
  <c r="CI22" i="7"/>
  <c r="CC22" i="7"/>
  <c r="CB22" i="7"/>
  <c r="HU22" i="7" s="1"/>
  <c r="BY22" i="7"/>
  <c r="BS22" i="7"/>
  <c r="BR22" i="7"/>
  <c r="HT22" i="7" s="1"/>
  <c r="BO22" i="7"/>
  <c r="BI22" i="7"/>
  <c r="BH22" i="7"/>
  <c r="BE22" i="7"/>
  <c r="AY22" i="7"/>
  <c r="AX22" i="7"/>
  <c r="AU22" i="7"/>
  <c r="AO22" i="7"/>
  <c r="AN22" i="7"/>
  <c r="AK22" i="7"/>
  <c r="AE22" i="7"/>
  <c r="DW22" i="7" s="1"/>
  <c r="AD22" i="7"/>
  <c r="HP22" i="7" s="1"/>
  <c r="AA22" i="7"/>
  <c r="U22" i="7"/>
  <c r="T22" i="7"/>
  <c r="HO22" i="7" s="1"/>
  <c r="Q22" i="7"/>
  <c r="K22" i="7"/>
  <c r="J22" i="7"/>
  <c r="G22" i="7"/>
  <c r="JX21" i="7"/>
  <c r="JZ21" i="7" s="1"/>
  <c r="JW21" i="7"/>
  <c r="JU21" i="7"/>
  <c r="JT21" i="7"/>
  <c r="JR21" i="7"/>
  <c r="JQ21" i="7"/>
  <c r="JK21" i="7"/>
  <c r="JD21" i="7"/>
  <c r="JC21" i="7"/>
  <c r="JA21" i="7"/>
  <c r="IZ21" i="7"/>
  <c r="IX21" i="7"/>
  <c r="IW21" i="7"/>
  <c r="IT21" i="7"/>
  <c r="IS21" i="7"/>
  <c r="IQ21" i="7"/>
  <c r="IP21" i="7"/>
  <c r="IN21" i="7"/>
  <c r="IM21" i="7"/>
  <c r="II21" i="7"/>
  <c r="IE21" i="7"/>
  <c r="HZ21" i="7"/>
  <c r="HV21" i="7"/>
  <c r="HP21" i="7"/>
  <c r="HN21" i="7"/>
  <c r="HM21" i="7"/>
  <c r="HJ21" i="7"/>
  <c r="HI21" i="7"/>
  <c r="HG21" i="7"/>
  <c r="HF21" i="7"/>
  <c r="HD21" i="7"/>
  <c r="HC21" i="7"/>
  <c r="HB21" i="7"/>
  <c r="GR21" i="7"/>
  <c r="IH21" i="7" s="1"/>
  <c r="GO21" i="7"/>
  <c r="GL21" i="7"/>
  <c r="GI21" i="7"/>
  <c r="GH21" i="7"/>
  <c r="IG21" i="7" s="1"/>
  <c r="GE21" i="7"/>
  <c r="GB21" i="7"/>
  <c r="FX21" i="7"/>
  <c r="IF21" i="7" s="1"/>
  <c r="FU21" i="7"/>
  <c r="FR21" i="7"/>
  <c r="FO21" i="7"/>
  <c r="FN21" i="7"/>
  <c r="FK21" i="7"/>
  <c r="FH21" i="7"/>
  <c r="FE21" i="7"/>
  <c r="FD21" i="7"/>
  <c r="ID21" i="7" s="1"/>
  <c r="FA21" i="7"/>
  <c r="EX21" i="7"/>
  <c r="EU21" i="7"/>
  <c r="ET21" i="7"/>
  <c r="IC21" i="7" s="1"/>
  <c r="EQ21" i="7"/>
  <c r="EN21" i="7"/>
  <c r="EK21" i="7"/>
  <c r="EJ21" i="7"/>
  <c r="IB21" i="7" s="1"/>
  <c r="EG21" i="7"/>
  <c r="ED21" i="7"/>
  <c r="EA21" i="7"/>
  <c r="DZ21" i="7"/>
  <c r="IA21" i="7" s="1"/>
  <c r="DW21" i="7"/>
  <c r="DQ21" i="7"/>
  <c r="DP21" i="7"/>
  <c r="HY21" i="7" s="1"/>
  <c r="DM21" i="7"/>
  <c r="DG21" i="7"/>
  <c r="DF21" i="7"/>
  <c r="HX21" i="7" s="1"/>
  <c r="DC21" i="7"/>
  <c r="CW21" i="7"/>
  <c r="CV21" i="7"/>
  <c r="HW21" i="7" s="1"/>
  <c r="CS21" i="7"/>
  <c r="CM21" i="7"/>
  <c r="CL21" i="7"/>
  <c r="CI21" i="7"/>
  <c r="CC21" i="7"/>
  <c r="CB21" i="7"/>
  <c r="HU21" i="7" s="1"/>
  <c r="BY21" i="7"/>
  <c r="BS21" i="7"/>
  <c r="BR21" i="7"/>
  <c r="HT21" i="7" s="1"/>
  <c r="BO21" i="7"/>
  <c r="BI21" i="7"/>
  <c r="BH21" i="7"/>
  <c r="HS21" i="7" s="1"/>
  <c r="BE21" i="7"/>
  <c r="AY21" i="7"/>
  <c r="AX21" i="7"/>
  <c r="HR21" i="7" s="1"/>
  <c r="AU21" i="7"/>
  <c r="AO21" i="7"/>
  <c r="AN21" i="7"/>
  <c r="AK21" i="7"/>
  <c r="AE21" i="7"/>
  <c r="AD21" i="7"/>
  <c r="AA21" i="7"/>
  <c r="U21" i="7"/>
  <c r="T21" i="7"/>
  <c r="HO21" i="7" s="1"/>
  <c r="Q21" i="7"/>
  <c r="K21" i="7"/>
  <c r="J21" i="7"/>
  <c r="G21" i="7"/>
  <c r="JX20" i="7"/>
  <c r="JZ20" i="7" s="1"/>
  <c r="JU20" i="7"/>
  <c r="JT20" i="7"/>
  <c r="JR20" i="7"/>
  <c r="JQ20" i="7"/>
  <c r="JD20" i="7"/>
  <c r="JC20" i="7"/>
  <c r="JA20" i="7"/>
  <c r="IZ20" i="7"/>
  <c r="IX20" i="7"/>
  <c r="IW20" i="7"/>
  <c r="IT20" i="7"/>
  <c r="IS20" i="7"/>
  <c r="IQ20" i="7"/>
  <c r="IP20" i="7"/>
  <c r="IN20" i="7"/>
  <c r="IM20" i="7"/>
  <c r="II20" i="7"/>
  <c r="IH20" i="7"/>
  <c r="ID20" i="7"/>
  <c r="IC20" i="7"/>
  <c r="HZ20" i="7"/>
  <c r="HT20" i="7"/>
  <c r="HS20" i="7"/>
  <c r="HR20" i="7"/>
  <c r="HQ20" i="7"/>
  <c r="HN20" i="7"/>
  <c r="HM20" i="7"/>
  <c r="HJ20" i="7"/>
  <c r="HI20" i="7"/>
  <c r="HG20" i="7"/>
  <c r="HF20" i="7"/>
  <c r="HD20" i="7"/>
  <c r="HC20" i="7"/>
  <c r="HB20" i="7"/>
  <c r="GR20" i="7"/>
  <c r="GI20" i="7"/>
  <c r="GH20" i="7"/>
  <c r="IG20" i="7" s="1"/>
  <c r="GE20" i="7"/>
  <c r="GB20" i="7"/>
  <c r="FX20" i="7"/>
  <c r="IF20" i="7" s="1"/>
  <c r="FU20" i="7"/>
  <c r="FR20" i="7"/>
  <c r="FO20" i="7"/>
  <c r="FN20" i="7"/>
  <c r="IE20" i="7" s="1"/>
  <c r="FK20" i="7"/>
  <c r="FH20" i="7"/>
  <c r="FE20" i="7"/>
  <c r="FD20" i="7"/>
  <c r="FA20" i="7"/>
  <c r="EX20" i="7"/>
  <c r="EU20" i="7"/>
  <c r="ET20" i="7"/>
  <c r="EQ20" i="7"/>
  <c r="EN20" i="7"/>
  <c r="EK20" i="7"/>
  <c r="EJ20" i="7"/>
  <c r="IB20" i="7" s="1"/>
  <c r="EG20" i="7"/>
  <c r="ED20" i="7"/>
  <c r="EA20" i="7"/>
  <c r="DZ20" i="7"/>
  <c r="IA20" i="7" s="1"/>
  <c r="DW20" i="7"/>
  <c r="DQ20" i="7"/>
  <c r="DP20" i="7"/>
  <c r="HY20" i="7" s="1"/>
  <c r="DM20" i="7"/>
  <c r="DG20" i="7"/>
  <c r="DF20" i="7"/>
  <c r="HX20" i="7" s="1"/>
  <c r="DC20" i="7"/>
  <c r="CW20" i="7"/>
  <c r="CV20" i="7"/>
  <c r="HW20" i="7" s="1"/>
  <c r="CS20" i="7"/>
  <c r="CM20" i="7"/>
  <c r="CL20" i="7"/>
  <c r="HV20" i="7" s="1"/>
  <c r="CI20" i="7"/>
  <c r="CC20" i="7"/>
  <c r="CB20" i="7"/>
  <c r="HU20" i="7" s="1"/>
  <c r="BY20" i="7"/>
  <c r="BS20" i="7"/>
  <c r="BR20" i="7"/>
  <c r="BO20" i="7"/>
  <c r="BI20" i="7"/>
  <c r="BH20" i="7"/>
  <c r="BE20" i="7"/>
  <c r="AY20" i="7"/>
  <c r="AX20" i="7"/>
  <c r="AU20" i="7"/>
  <c r="AO20" i="7"/>
  <c r="AN20" i="7"/>
  <c r="AK20" i="7"/>
  <c r="AE20" i="7"/>
  <c r="AD20" i="7"/>
  <c r="HP20" i="7" s="1"/>
  <c r="AA20" i="7"/>
  <c r="U20" i="7"/>
  <c r="JW20" i="7" s="1"/>
  <c r="T20" i="7"/>
  <c r="HO20" i="7" s="1"/>
  <c r="Q20" i="7"/>
  <c r="K20" i="7"/>
  <c r="J20" i="7"/>
  <c r="G20" i="7"/>
  <c r="JX19" i="7"/>
  <c r="JU19" i="7"/>
  <c r="JT19" i="7"/>
  <c r="JR19" i="7"/>
  <c r="JZ19" i="7" s="1"/>
  <c r="JQ19" i="7"/>
  <c r="JD19" i="7"/>
  <c r="JC19" i="7"/>
  <c r="JA19" i="7"/>
  <c r="IZ19" i="7"/>
  <c r="IX19" i="7"/>
  <c r="IW19" i="7"/>
  <c r="IT19" i="7"/>
  <c r="IS19" i="7"/>
  <c r="IQ19" i="7"/>
  <c r="IP19" i="7"/>
  <c r="IN19" i="7"/>
  <c r="IM19" i="7"/>
  <c r="IH19" i="7"/>
  <c r="IG19" i="7"/>
  <c r="IE19" i="7"/>
  <c r="ID19" i="7"/>
  <c r="IC19" i="7"/>
  <c r="IB19" i="7"/>
  <c r="IA19" i="7"/>
  <c r="HZ19" i="7"/>
  <c r="HT19" i="7"/>
  <c r="HM19" i="7"/>
  <c r="HJ19" i="7"/>
  <c r="HI19" i="7"/>
  <c r="HG19" i="7"/>
  <c r="HF19" i="7"/>
  <c r="HD19" i="7"/>
  <c r="HC19" i="7"/>
  <c r="HB19" i="7"/>
  <c r="II19" i="7" s="1"/>
  <c r="GY19" i="7"/>
  <c r="GR19" i="7"/>
  <c r="GH19" i="7"/>
  <c r="FX19" i="7"/>
  <c r="IF19" i="7" s="1"/>
  <c r="FU19" i="7"/>
  <c r="FR19" i="7"/>
  <c r="FN19" i="7"/>
  <c r="FK19" i="7"/>
  <c r="FH19" i="7"/>
  <c r="FE19" i="7"/>
  <c r="FD19" i="7"/>
  <c r="FA19" i="7"/>
  <c r="EX19" i="7"/>
  <c r="EU19" i="7"/>
  <c r="ET19" i="7"/>
  <c r="EQ19" i="7"/>
  <c r="EN19" i="7"/>
  <c r="EK19" i="7"/>
  <c r="EJ19" i="7"/>
  <c r="EG19" i="7"/>
  <c r="ED19" i="7"/>
  <c r="EA19" i="7"/>
  <c r="DZ19" i="7"/>
  <c r="DQ19" i="7"/>
  <c r="DP19" i="7"/>
  <c r="HY19" i="7" s="1"/>
  <c r="DM19" i="7"/>
  <c r="DG19" i="7"/>
  <c r="DF19" i="7"/>
  <c r="HX19" i="7" s="1"/>
  <c r="DC19" i="7"/>
  <c r="CW19" i="7"/>
  <c r="CV19" i="7"/>
  <c r="HW19" i="7" s="1"/>
  <c r="CS19" i="7"/>
  <c r="CM19" i="7"/>
  <c r="CL19" i="7"/>
  <c r="HV19" i="7" s="1"/>
  <c r="CI19" i="7"/>
  <c r="CC19" i="7"/>
  <c r="CB19" i="7"/>
  <c r="HU19" i="7" s="1"/>
  <c r="BY19" i="7"/>
  <c r="BS19" i="7"/>
  <c r="BR19" i="7"/>
  <c r="BO19" i="7"/>
  <c r="BI19" i="7"/>
  <c r="BH19" i="7"/>
  <c r="HS19" i="7" s="1"/>
  <c r="BE19" i="7"/>
  <c r="AY19" i="7"/>
  <c r="AX19" i="7"/>
  <c r="HR19" i="7" s="1"/>
  <c r="AU19" i="7"/>
  <c r="AO19" i="7"/>
  <c r="GS19" i="7" s="1"/>
  <c r="AN19" i="7"/>
  <c r="HQ19" i="7" s="1"/>
  <c r="AK19" i="7"/>
  <c r="AE19" i="7"/>
  <c r="AD19" i="7"/>
  <c r="HP19" i="7" s="1"/>
  <c r="AA19" i="7"/>
  <c r="U19" i="7"/>
  <c r="T19" i="7"/>
  <c r="HO19" i="7" s="1"/>
  <c r="Q19" i="7"/>
  <c r="K19" i="7"/>
  <c r="FO19" i="7" s="1"/>
  <c r="J19" i="7"/>
  <c r="HN19" i="7" s="1"/>
  <c r="G19" i="7"/>
  <c r="JX18" i="7"/>
  <c r="JU18" i="7"/>
  <c r="JR18" i="7"/>
  <c r="JZ18" i="7" s="1"/>
  <c r="JN18" i="7"/>
  <c r="JM18" i="7"/>
  <c r="JK18" i="7"/>
  <c r="JJ18" i="7"/>
  <c r="JH18" i="7"/>
  <c r="JG18" i="7"/>
  <c r="JD18" i="7"/>
  <c r="JC18" i="7"/>
  <c r="JA18" i="7"/>
  <c r="IZ18" i="7"/>
  <c r="IX18" i="7"/>
  <c r="IW18" i="7"/>
  <c r="IT18" i="7"/>
  <c r="IS18" i="7"/>
  <c r="IQ18" i="7"/>
  <c r="IP18" i="7"/>
  <c r="IN18" i="7"/>
  <c r="IM18" i="7"/>
  <c r="IE18" i="7"/>
  <c r="ID18" i="7"/>
  <c r="IC18" i="7"/>
  <c r="IB18" i="7"/>
  <c r="IA18" i="7"/>
  <c r="HZ18" i="7"/>
  <c r="HY18" i="7"/>
  <c r="HX18" i="7"/>
  <c r="HV18" i="7"/>
  <c r="HU18" i="7"/>
  <c r="HT18" i="7"/>
  <c r="HS18" i="7"/>
  <c r="HQ18" i="7"/>
  <c r="HM18" i="7"/>
  <c r="HJ18" i="7"/>
  <c r="HI18" i="7"/>
  <c r="HG18" i="7"/>
  <c r="HF18" i="7"/>
  <c r="HD18" i="7"/>
  <c r="HC18" i="7"/>
  <c r="HB18" i="7"/>
  <c r="II18" i="7" s="1"/>
  <c r="GY18" i="7"/>
  <c r="GV18" i="7"/>
  <c r="GS18" i="7"/>
  <c r="GR18" i="7"/>
  <c r="IH18" i="7" s="1"/>
  <c r="GO18" i="7"/>
  <c r="GL18" i="7"/>
  <c r="GH18" i="7"/>
  <c r="IG18" i="7" s="1"/>
  <c r="FX18" i="7"/>
  <c r="IF18" i="7" s="1"/>
  <c r="FN18" i="7"/>
  <c r="FK18" i="7"/>
  <c r="FH18" i="7"/>
  <c r="FE18" i="7"/>
  <c r="FD18" i="7"/>
  <c r="FA18" i="7"/>
  <c r="EX18" i="7"/>
  <c r="EU18" i="7"/>
  <c r="ET18" i="7"/>
  <c r="EQ18" i="7"/>
  <c r="EN18" i="7"/>
  <c r="EK18" i="7"/>
  <c r="EJ18" i="7"/>
  <c r="EG18" i="7"/>
  <c r="ED18" i="7"/>
  <c r="EA18" i="7"/>
  <c r="DZ18" i="7"/>
  <c r="DP18" i="7"/>
  <c r="DM18" i="7"/>
  <c r="DG18" i="7"/>
  <c r="DF18" i="7"/>
  <c r="DC18" i="7"/>
  <c r="CW18" i="7"/>
  <c r="CV18" i="7"/>
  <c r="HW18" i="7" s="1"/>
  <c r="CS18" i="7"/>
  <c r="CM18" i="7"/>
  <c r="CL18" i="7"/>
  <c r="CI18" i="7"/>
  <c r="CC18" i="7"/>
  <c r="CB18" i="7"/>
  <c r="BY18" i="7"/>
  <c r="BS18" i="7"/>
  <c r="BR18" i="7"/>
  <c r="BO18" i="7"/>
  <c r="BI18" i="7"/>
  <c r="BH18" i="7"/>
  <c r="BE18" i="7"/>
  <c r="AY18" i="7"/>
  <c r="AX18" i="7"/>
  <c r="HR18" i="7" s="1"/>
  <c r="AU18" i="7"/>
  <c r="AO18" i="7"/>
  <c r="AN18" i="7"/>
  <c r="AK18" i="7"/>
  <c r="AE18" i="7"/>
  <c r="AD18" i="7"/>
  <c r="HP18" i="7" s="1"/>
  <c r="AA18" i="7"/>
  <c r="U18" i="7"/>
  <c r="T18" i="7"/>
  <c r="HO18" i="7" s="1"/>
  <c r="Q18" i="7"/>
  <c r="K18" i="7"/>
  <c r="J18" i="7"/>
  <c r="G18" i="7"/>
  <c r="JZ17" i="7"/>
  <c r="JX17" i="7"/>
  <c r="JW17" i="7"/>
  <c r="JU17" i="7"/>
  <c r="JT17" i="7"/>
  <c r="JR17" i="7"/>
  <c r="JQ17" i="7"/>
  <c r="JP17" i="7"/>
  <c r="JD17" i="7"/>
  <c r="JC17" i="7"/>
  <c r="JA17" i="7"/>
  <c r="IZ17" i="7"/>
  <c r="IX17" i="7"/>
  <c r="IW17" i="7"/>
  <c r="IT17" i="7"/>
  <c r="IS17" i="7"/>
  <c r="IQ17" i="7"/>
  <c r="IP17" i="7"/>
  <c r="IN17" i="7"/>
  <c r="IM17" i="7"/>
  <c r="IE17" i="7"/>
  <c r="ID17" i="7"/>
  <c r="HZ17" i="7"/>
  <c r="HW17" i="7"/>
  <c r="HV17" i="7"/>
  <c r="HU17" i="7"/>
  <c r="HT17" i="7"/>
  <c r="HS17" i="7"/>
  <c r="HR17" i="7"/>
  <c r="HQ17" i="7"/>
  <c r="HP17" i="7"/>
  <c r="HM17" i="7"/>
  <c r="HJ17" i="7"/>
  <c r="HI17" i="7"/>
  <c r="HG17" i="7"/>
  <c r="HF17" i="7"/>
  <c r="HD17" i="7"/>
  <c r="HC17" i="7"/>
  <c r="HB17" i="7"/>
  <c r="II17" i="7" s="1"/>
  <c r="GY17" i="7"/>
  <c r="GV17" i="7"/>
  <c r="GS17" i="7"/>
  <c r="GR17" i="7"/>
  <c r="IH17" i="7" s="1"/>
  <c r="GO17" i="7"/>
  <c r="GL17" i="7"/>
  <c r="GI17" i="7"/>
  <c r="GH17" i="7"/>
  <c r="IG17" i="7" s="1"/>
  <c r="GE17" i="7"/>
  <c r="GB17" i="7"/>
  <c r="FY17" i="7"/>
  <c r="FX17" i="7"/>
  <c r="IF17" i="7" s="1"/>
  <c r="FU17" i="7"/>
  <c r="FN17" i="7"/>
  <c r="FK17" i="7"/>
  <c r="FH17" i="7"/>
  <c r="FE17" i="7"/>
  <c r="FD17" i="7"/>
  <c r="FA17" i="7"/>
  <c r="EX17" i="7"/>
  <c r="EU17" i="7"/>
  <c r="ET17" i="7"/>
  <c r="IC17" i="7" s="1"/>
  <c r="EQ17" i="7"/>
  <c r="EN17" i="7"/>
  <c r="EK17" i="7"/>
  <c r="EJ17" i="7"/>
  <c r="IB17" i="7" s="1"/>
  <c r="EG17" i="7"/>
  <c r="ED17" i="7"/>
  <c r="EA17" i="7"/>
  <c r="DZ17" i="7"/>
  <c r="IA17" i="7" s="1"/>
  <c r="DW17" i="7"/>
  <c r="DQ17" i="7"/>
  <c r="DP17" i="7"/>
  <c r="HY17" i="7" s="1"/>
  <c r="DM17" i="7"/>
  <c r="DG17" i="7"/>
  <c r="DF17" i="7"/>
  <c r="HX17" i="7" s="1"/>
  <c r="DC17" i="7"/>
  <c r="CW17" i="7"/>
  <c r="CV17" i="7"/>
  <c r="CS17" i="7"/>
  <c r="CM17" i="7"/>
  <c r="CL17" i="7"/>
  <c r="CI17" i="7"/>
  <c r="CC17" i="7"/>
  <c r="CB17" i="7"/>
  <c r="BY17" i="7"/>
  <c r="BS17" i="7"/>
  <c r="BR17" i="7"/>
  <c r="BO17" i="7"/>
  <c r="BI17" i="7"/>
  <c r="BH17" i="7"/>
  <c r="BE17" i="7"/>
  <c r="AY17" i="7"/>
  <c r="AX17" i="7"/>
  <c r="AU17" i="7"/>
  <c r="AO17" i="7"/>
  <c r="AN17" i="7"/>
  <c r="AK17" i="7"/>
  <c r="AE17" i="7"/>
  <c r="AD17" i="7"/>
  <c r="AA17" i="7"/>
  <c r="U17" i="7"/>
  <c r="T17" i="7"/>
  <c r="HO17" i="7" s="1"/>
  <c r="Q17" i="7"/>
  <c r="K17" i="7"/>
  <c r="J17" i="7"/>
  <c r="G17" i="7"/>
  <c r="JX16" i="7"/>
  <c r="JW16" i="7"/>
  <c r="JU16" i="7"/>
  <c r="JT16" i="7"/>
  <c r="JR16" i="7"/>
  <c r="JZ16" i="7" s="1"/>
  <c r="JQ16" i="7"/>
  <c r="JH16" i="7"/>
  <c r="JD16" i="7"/>
  <c r="JC16" i="7"/>
  <c r="JA16" i="7"/>
  <c r="IZ16" i="7"/>
  <c r="IX16" i="7"/>
  <c r="IW16" i="7"/>
  <c r="IT16" i="7"/>
  <c r="IS16" i="7"/>
  <c r="IQ16" i="7"/>
  <c r="IP16" i="7"/>
  <c r="IN16" i="7"/>
  <c r="IM16" i="7"/>
  <c r="II16" i="7"/>
  <c r="IH16" i="7"/>
  <c r="IG16" i="7"/>
  <c r="IE16" i="7"/>
  <c r="HZ16" i="7"/>
  <c r="HY16" i="7"/>
  <c r="HW16" i="7"/>
  <c r="HV16" i="7"/>
  <c r="HS16" i="7"/>
  <c r="HQ16" i="7"/>
  <c r="HP16" i="7"/>
  <c r="HO16" i="7"/>
  <c r="HM16" i="7"/>
  <c r="HJ16" i="7"/>
  <c r="HI16" i="7"/>
  <c r="HG16" i="7"/>
  <c r="HF16" i="7"/>
  <c r="HD16" i="7"/>
  <c r="HC16" i="7"/>
  <c r="HB16" i="7"/>
  <c r="GV16" i="7"/>
  <c r="GR16" i="7"/>
  <c r="GO16" i="7"/>
  <c r="GL16" i="7"/>
  <c r="GI16" i="7"/>
  <c r="GH16" i="7"/>
  <c r="GE16" i="7"/>
  <c r="GB16" i="7"/>
  <c r="FY16" i="7"/>
  <c r="FX16" i="7"/>
  <c r="IF16" i="7" s="1"/>
  <c r="FU16" i="7"/>
  <c r="FR16" i="7"/>
  <c r="FO16" i="7"/>
  <c r="FN16" i="7"/>
  <c r="FK16" i="7"/>
  <c r="FH16" i="7"/>
  <c r="FE16" i="7"/>
  <c r="FD16" i="7"/>
  <c r="ID16" i="7" s="1"/>
  <c r="FA16" i="7"/>
  <c r="EX16" i="7"/>
  <c r="EU16" i="7"/>
  <c r="ET16" i="7"/>
  <c r="IC16" i="7" s="1"/>
  <c r="EQ16" i="7"/>
  <c r="EN16" i="7"/>
  <c r="EK16" i="7"/>
  <c r="EJ16" i="7"/>
  <c r="IB16" i="7" s="1"/>
  <c r="EG16" i="7"/>
  <c r="ED16" i="7"/>
  <c r="EA16" i="7"/>
  <c r="DZ16" i="7"/>
  <c r="IA16" i="7" s="1"/>
  <c r="DQ16" i="7"/>
  <c r="DP16" i="7"/>
  <c r="DM16" i="7"/>
  <c r="DG16" i="7"/>
  <c r="DF16" i="7"/>
  <c r="HX16" i="7" s="1"/>
  <c r="CW16" i="7"/>
  <c r="CV16" i="7"/>
  <c r="CS16" i="7"/>
  <c r="CM16" i="7"/>
  <c r="CL16" i="7"/>
  <c r="CI16" i="7"/>
  <c r="CC16" i="7"/>
  <c r="CB16" i="7"/>
  <c r="HU16" i="7" s="1"/>
  <c r="BY16" i="7"/>
  <c r="BS16" i="7"/>
  <c r="BR16" i="7"/>
  <c r="HT16" i="7" s="1"/>
  <c r="BO16" i="7"/>
  <c r="BI16" i="7"/>
  <c r="BH16" i="7"/>
  <c r="BE16" i="7"/>
  <c r="AY16" i="7"/>
  <c r="AX16" i="7"/>
  <c r="HR16" i="7" s="1"/>
  <c r="AU16" i="7"/>
  <c r="AO16" i="7"/>
  <c r="AN16" i="7"/>
  <c r="AK16" i="7"/>
  <c r="AE16" i="7"/>
  <c r="DW16" i="7" s="1"/>
  <c r="AD16" i="7"/>
  <c r="AA16" i="7"/>
  <c r="U16" i="7"/>
  <c r="T16" i="7"/>
  <c r="Q16" i="7"/>
  <c r="K16" i="7"/>
  <c r="J16" i="7"/>
  <c r="HN16" i="7" s="1"/>
  <c r="G16" i="7"/>
  <c r="JX15" i="7"/>
  <c r="JU15" i="7"/>
  <c r="JR15" i="7"/>
  <c r="JP15" i="7"/>
  <c r="JD15" i="7"/>
  <c r="JC15" i="7"/>
  <c r="JA15" i="7"/>
  <c r="IZ15" i="7"/>
  <c r="IX15" i="7"/>
  <c r="IW15" i="7"/>
  <c r="IT15" i="7"/>
  <c r="IS15" i="7"/>
  <c r="IQ15" i="7"/>
  <c r="IP15" i="7"/>
  <c r="IN15" i="7"/>
  <c r="IM15" i="7"/>
  <c r="IH15" i="7"/>
  <c r="IG15" i="7"/>
  <c r="IC15" i="7"/>
  <c r="IB15" i="7"/>
  <c r="IA15" i="7"/>
  <c r="HZ15" i="7"/>
  <c r="HN15" i="7"/>
  <c r="HM15" i="7"/>
  <c r="HJ15" i="7"/>
  <c r="HI15" i="7"/>
  <c r="HG15" i="7"/>
  <c r="HF15" i="7"/>
  <c r="HD15" i="7"/>
  <c r="HC15" i="7"/>
  <c r="HB15" i="7"/>
  <c r="II15" i="7" s="1"/>
  <c r="GR15" i="7"/>
  <c r="GH15" i="7"/>
  <c r="FX15" i="7"/>
  <c r="IF15" i="7" s="1"/>
  <c r="FN15" i="7"/>
  <c r="IE15" i="7" s="1"/>
  <c r="FK15" i="7"/>
  <c r="FH15" i="7"/>
  <c r="FE15" i="7"/>
  <c r="FD15" i="7"/>
  <c r="ID15" i="7" s="1"/>
  <c r="FA15" i="7"/>
  <c r="EX15" i="7"/>
  <c r="EU15" i="7"/>
  <c r="ET15" i="7"/>
  <c r="EQ15" i="7"/>
  <c r="EN15" i="7"/>
  <c r="EK15" i="7"/>
  <c r="EJ15" i="7"/>
  <c r="EG15" i="7"/>
  <c r="ED15" i="7"/>
  <c r="EA15" i="7"/>
  <c r="DZ15" i="7"/>
  <c r="DP15" i="7"/>
  <c r="HY15" i="7" s="1"/>
  <c r="DM15" i="7"/>
  <c r="DG15" i="7"/>
  <c r="DF15" i="7"/>
  <c r="HX15" i="7" s="1"/>
  <c r="CW15" i="7"/>
  <c r="CV15" i="7"/>
  <c r="HW15" i="7" s="1"/>
  <c r="CS15" i="7"/>
  <c r="CM15" i="7"/>
  <c r="CL15" i="7"/>
  <c r="HV15" i="7" s="1"/>
  <c r="CI15" i="7"/>
  <c r="CC15" i="7"/>
  <c r="CB15" i="7"/>
  <c r="BY15" i="7"/>
  <c r="BS15" i="7"/>
  <c r="BR15" i="7"/>
  <c r="HT15" i="7" s="1"/>
  <c r="BO15" i="7"/>
  <c r="BI15" i="7"/>
  <c r="BH15" i="7"/>
  <c r="HS15" i="7" s="1"/>
  <c r="BE15" i="7"/>
  <c r="AY15" i="7"/>
  <c r="AX15" i="7"/>
  <c r="HR15" i="7" s="1"/>
  <c r="AU15" i="7"/>
  <c r="AO15" i="7"/>
  <c r="AN15" i="7"/>
  <c r="HQ15" i="7" s="1"/>
  <c r="AK15" i="7"/>
  <c r="AE15" i="7"/>
  <c r="AD15" i="7"/>
  <c r="HP15" i="7" s="1"/>
  <c r="AA15" i="7"/>
  <c r="U15" i="7"/>
  <c r="T15" i="7"/>
  <c r="HO15" i="7" s="1"/>
  <c r="Q15" i="7"/>
  <c r="K15" i="7"/>
  <c r="JT15" i="7" s="1"/>
  <c r="J15" i="7"/>
  <c r="G15" i="7"/>
  <c r="JX14" i="7"/>
  <c r="JU14" i="7"/>
  <c r="JR14" i="7"/>
  <c r="JH14" i="7"/>
  <c r="JP14" i="7" s="1"/>
  <c r="JD14" i="7"/>
  <c r="JC14" i="7"/>
  <c r="JA14" i="7"/>
  <c r="IZ14" i="7"/>
  <c r="IX14" i="7"/>
  <c r="IW14" i="7"/>
  <c r="IT14" i="7"/>
  <c r="IS14" i="7"/>
  <c r="IQ14" i="7"/>
  <c r="IP14" i="7"/>
  <c r="IN14" i="7"/>
  <c r="IM14" i="7"/>
  <c r="IG14" i="7"/>
  <c r="IC14" i="7"/>
  <c r="IA14" i="7"/>
  <c r="HZ14" i="7"/>
  <c r="HY14" i="7"/>
  <c r="HM14" i="7"/>
  <c r="HJ14" i="7"/>
  <c r="HI14" i="7"/>
  <c r="HG14" i="7"/>
  <c r="HF14" i="7"/>
  <c r="HD14" i="7"/>
  <c r="HC14" i="7"/>
  <c r="HB14" i="7"/>
  <c r="II14" i="7" s="1"/>
  <c r="GY14" i="7"/>
  <c r="GV14" i="7"/>
  <c r="GS14" i="7"/>
  <c r="GR14" i="7"/>
  <c r="IH14" i="7" s="1"/>
  <c r="GH14" i="7"/>
  <c r="FX14" i="7"/>
  <c r="IF14" i="7" s="1"/>
  <c r="FN14" i="7"/>
  <c r="FK14" i="7"/>
  <c r="FH14" i="7"/>
  <c r="FE14" i="7"/>
  <c r="FD14" i="7"/>
  <c r="ID14" i="7" s="1"/>
  <c r="FA14" i="7"/>
  <c r="EX14" i="7"/>
  <c r="EU14" i="7"/>
  <c r="ET14" i="7"/>
  <c r="EQ14" i="7"/>
  <c r="EN14" i="7"/>
  <c r="EK14" i="7"/>
  <c r="EJ14" i="7"/>
  <c r="IB14" i="7" s="1"/>
  <c r="EG14" i="7"/>
  <c r="ED14" i="7"/>
  <c r="EA14" i="7"/>
  <c r="DZ14" i="7"/>
  <c r="DP14" i="7"/>
  <c r="DM14" i="7"/>
  <c r="DG14" i="7"/>
  <c r="DF14" i="7"/>
  <c r="HX14" i="7" s="1"/>
  <c r="CW14" i="7"/>
  <c r="CV14" i="7"/>
  <c r="HW14" i="7" s="1"/>
  <c r="CS14" i="7"/>
  <c r="CM14" i="7"/>
  <c r="CL14" i="7"/>
  <c r="HV14" i="7" s="1"/>
  <c r="CI14" i="7"/>
  <c r="CC14" i="7"/>
  <c r="CB14" i="7"/>
  <c r="HU14" i="7" s="1"/>
  <c r="BY14" i="7"/>
  <c r="BS14" i="7"/>
  <c r="BR14" i="7"/>
  <c r="HT14" i="7" s="1"/>
  <c r="BO14" i="7"/>
  <c r="BI14" i="7"/>
  <c r="BH14" i="7"/>
  <c r="HS14" i="7" s="1"/>
  <c r="BE14" i="7"/>
  <c r="AY14" i="7"/>
  <c r="AX14" i="7"/>
  <c r="HR14" i="7" s="1"/>
  <c r="AU14" i="7"/>
  <c r="AO14" i="7"/>
  <c r="AN14" i="7"/>
  <c r="HQ14" i="7" s="1"/>
  <c r="AK14" i="7"/>
  <c r="AE14" i="7"/>
  <c r="DC14" i="7" s="1"/>
  <c r="AD14" i="7"/>
  <c r="HP14" i="7" s="1"/>
  <c r="AA14" i="7"/>
  <c r="U14" i="7"/>
  <c r="T14" i="7"/>
  <c r="HO14" i="7" s="1"/>
  <c r="Q14" i="7"/>
  <c r="K14" i="7"/>
  <c r="J14" i="7"/>
  <c r="HN14" i="7" s="1"/>
  <c r="G14" i="7"/>
  <c r="JX13" i="7"/>
  <c r="JU13" i="7"/>
  <c r="JR13" i="7"/>
  <c r="JN13" i="7"/>
  <c r="JK13" i="7"/>
  <c r="JH13" i="7"/>
  <c r="JD13" i="7"/>
  <c r="JC13" i="7"/>
  <c r="JA13" i="7"/>
  <c r="IZ13" i="7"/>
  <c r="IX13" i="7"/>
  <c r="IW13" i="7"/>
  <c r="IT13" i="7"/>
  <c r="IS13" i="7"/>
  <c r="IQ13" i="7"/>
  <c r="IP13" i="7"/>
  <c r="IN13" i="7"/>
  <c r="IM13" i="7"/>
  <c r="IC13" i="7"/>
  <c r="IA13" i="7"/>
  <c r="HZ13" i="7"/>
  <c r="HY13" i="7"/>
  <c r="HU13" i="7"/>
  <c r="HS13" i="7"/>
  <c r="HM13" i="7"/>
  <c r="HJ13" i="7"/>
  <c r="HI13" i="7"/>
  <c r="HG13" i="7"/>
  <c r="HF13" i="7"/>
  <c r="HD13" i="7"/>
  <c r="HC13" i="7"/>
  <c r="HB13" i="7"/>
  <c r="II13" i="7" s="1"/>
  <c r="GY13" i="7"/>
  <c r="GV13" i="7"/>
  <c r="GS13" i="7"/>
  <c r="GR13" i="7"/>
  <c r="IH13" i="7" s="1"/>
  <c r="GH13" i="7"/>
  <c r="IG13" i="7" s="1"/>
  <c r="FX13" i="7"/>
  <c r="IF13" i="7" s="1"/>
  <c r="FN13" i="7"/>
  <c r="IE13" i="7" s="1"/>
  <c r="FK13" i="7"/>
  <c r="FH13" i="7"/>
  <c r="FE13" i="7"/>
  <c r="FD13" i="7"/>
  <c r="FA13" i="7"/>
  <c r="EX13" i="7"/>
  <c r="EU13" i="7"/>
  <c r="ET13" i="7"/>
  <c r="EQ13" i="7"/>
  <c r="EN13" i="7"/>
  <c r="EK13" i="7"/>
  <c r="EJ13" i="7"/>
  <c r="IB13" i="7" s="1"/>
  <c r="EG13" i="7"/>
  <c r="ED13" i="7"/>
  <c r="EA13" i="7"/>
  <c r="DZ13" i="7"/>
  <c r="DP13" i="7"/>
  <c r="DM13" i="7"/>
  <c r="DG13" i="7"/>
  <c r="DF13" i="7"/>
  <c r="HX13" i="7" s="1"/>
  <c r="DC13" i="7"/>
  <c r="CW13" i="7"/>
  <c r="CV13" i="7"/>
  <c r="HW13" i="7" s="1"/>
  <c r="CS13" i="7"/>
  <c r="CM13" i="7"/>
  <c r="CL13" i="7"/>
  <c r="HV13" i="7" s="1"/>
  <c r="CI13" i="7"/>
  <c r="CC13" i="7"/>
  <c r="CB13" i="7"/>
  <c r="BY13" i="7"/>
  <c r="BS13" i="7"/>
  <c r="BR13" i="7"/>
  <c r="HT13" i="7" s="1"/>
  <c r="BO13" i="7"/>
  <c r="BI13" i="7"/>
  <c r="BH13" i="7"/>
  <c r="BE13" i="7"/>
  <c r="AY13" i="7"/>
  <c r="AX13" i="7"/>
  <c r="HR13" i="7" s="1"/>
  <c r="AU13" i="7"/>
  <c r="AO13" i="7"/>
  <c r="AN13" i="7"/>
  <c r="HQ13" i="7" s="1"/>
  <c r="AK13" i="7"/>
  <c r="AE13" i="7"/>
  <c r="AD13" i="7"/>
  <c r="HP13" i="7" s="1"/>
  <c r="AA13" i="7"/>
  <c r="U13" i="7"/>
  <c r="T13" i="7"/>
  <c r="HO13" i="7" s="1"/>
  <c r="Q13" i="7"/>
  <c r="K13" i="7"/>
  <c r="J13" i="7"/>
  <c r="G13" i="7"/>
  <c r="JX12" i="7"/>
  <c r="JW12" i="7"/>
  <c r="JU12" i="7"/>
  <c r="JZ12" i="7" s="1"/>
  <c r="JT12" i="7"/>
  <c r="JR12" i="7"/>
  <c r="JQ12" i="7"/>
  <c r="JP12" i="7"/>
  <c r="JD12" i="7"/>
  <c r="JC12" i="7"/>
  <c r="JA12" i="7"/>
  <c r="IZ12" i="7"/>
  <c r="IX12" i="7"/>
  <c r="IW12" i="7"/>
  <c r="IT12" i="7"/>
  <c r="IS12" i="7"/>
  <c r="IQ12" i="7"/>
  <c r="IP12" i="7"/>
  <c r="IN12" i="7"/>
  <c r="IM12" i="7"/>
  <c r="HZ12" i="7"/>
  <c r="HM12" i="7"/>
  <c r="HJ12" i="7"/>
  <c r="HI12" i="7"/>
  <c r="HG12" i="7"/>
  <c r="HF12" i="7"/>
  <c r="HD12" i="7"/>
  <c r="HC12" i="7"/>
  <c r="HB12" i="7"/>
  <c r="II12" i="7" s="1"/>
  <c r="GR12" i="7"/>
  <c r="GO12" i="7"/>
  <c r="GL12" i="7"/>
  <c r="GI12" i="7"/>
  <c r="GH12" i="7"/>
  <c r="IG12" i="7" s="1"/>
  <c r="GE12" i="7"/>
  <c r="GB12" i="7"/>
  <c r="FY12" i="7"/>
  <c r="FX12" i="7"/>
  <c r="IF12" i="7" s="1"/>
  <c r="FU12" i="7"/>
  <c r="FR12" i="7"/>
  <c r="FO12" i="7"/>
  <c r="FN12" i="7"/>
  <c r="IE12" i="7" s="1"/>
  <c r="FK12" i="7"/>
  <c r="FH12" i="7"/>
  <c r="FE12" i="7"/>
  <c r="FD12" i="7"/>
  <c r="ID12" i="7" s="1"/>
  <c r="FA12" i="7"/>
  <c r="EX12" i="7"/>
  <c r="EU12" i="7"/>
  <c r="ET12" i="7"/>
  <c r="IC12" i="7" s="1"/>
  <c r="EQ12" i="7"/>
  <c r="EN12" i="7"/>
  <c r="EK12" i="7"/>
  <c r="EJ12" i="7"/>
  <c r="IB12" i="7" s="1"/>
  <c r="EG12" i="7"/>
  <c r="ED12" i="7"/>
  <c r="EA12" i="7"/>
  <c r="DZ12" i="7"/>
  <c r="IA12" i="7" s="1"/>
  <c r="DW12" i="7"/>
  <c r="DQ12" i="7"/>
  <c r="DP12" i="7"/>
  <c r="HY12" i="7" s="1"/>
  <c r="DM12" i="7"/>
  <c r="DG12" i="7"/>
  <c r="DF12" i="7"/>
  <c r="HX12" i="7" s="1"/>
  <c r="CW12" i="7"/>
  <c r="CV12" i="7"/>
  <c r="HW12" i="7" s="1"/>
  <c r="CS12" i="7"/>
  <c r="CM12" i="7"/>
  <c r="CL12" i="7"/>
  <c r="HV12" i="7" s="1"/>
  <c r="CI12" i="7"/>
  <c r="CC12" i="7"/>
  <c r="CB12" i="7"/>
  <c r="HU12" i="7" s="1"/>
  <c r="BY12" i="7"/>
  <c r="BS12" i="7"/>
  <c r="BR12" i="7"/>
  <c r="HT12" i="7" s="1"/>
  <c r="BO12" i="7"/>
  <c r="BI12" i="7"/>
  <c r="BH12" i="7"/>
  <c r="HS12" i="7" s="1"/>
  <c r="BE12" i="7"/>
  <c r="AY12" i="7"/>
  <c r="AX12" i="7"/>
  <c r="HR12" i="7" s="1"/>
  <c r="AU12" i="7"/>
  <c r="AO12" i="7"/>
  <c r="AN12" i="7"/>
  <c r="AK12" i="7"/>
  <c r="AE12" i="7"/>
  <c r="DC12" i="7" s="1"/>
  <c r="AD12" i="7"/>
  <c r="AA12" i="7"/>
  <c r="U12" i="7"/>
  <c r="T12" i="7"/>
  <c r="HO12" i="7" s="1"/>
  <c r="Q12" i="7"/>
  <c r="K12" i="7"/>
  <c r="J12" i="7"/>
  <c r="HN12" i="7" s="1"/>
  <c r="G12" i="7"/>
  <c r="JX11" i="7"/>
  <c r="JW11" i="7"/>
  <c r="JU11" i="7"/>
  <c r="JT11" i="7"/>
  <c r="JR11" i="7"/>
  <c r="JQ11" i="7"/>
  <c r="JD11" i="7"/>
  <c r="JC11" i="7"/>
  <c r="JA11" i="7"/>
  <c r="IZ11" i="7"/>
  <c r="IX11" i="7"/>
  <c r="IW11" i="7"/>
  <c r="IT11" i="7"/>
  <c r="IS11" i="7"/>
  <c r="IQ11" i="7"/>
  <c r="IP11" i="7"/>
  <c r="IN11" i="7"/>
  <c r="IM11" i="7"/>
  <c r="II11" i="7"/>
  <c r="IH11" i="7"/>
  <c r="IG11" i="7"/>
  <c r="IF11" i="7"/>
  <c r="IC11" i="7"/>
  <c r="IB11" i="7"/>
  <c r="HZ11" i="7"/>
  <c r="HM11" i="7"/>
  <c r="HJ11" i="7"/>
  <c r="HI11" i="7"/>
  <c r="HG11" i="7"/>
  <c r="HF11" i="7"/>
  <c r="HD11" i="7"/>
  <c r="HC11" i="7"/>
  <c r="HB11" i="7"/>
  <c r="GR11" i="7"/>
  <c r="GO11" i="7"/>
  <c r="GH11" i="7"/>
  <c r="GE11" i="7"/>
  <c r="GB11" i="7"/>
  <c r="FX11" i="7"/>
  <c r="FU11" i="7"/>
  <c r="FR11" i="7"/>
  <c r="FO11" i="7"/>
  <c r="FN11" i="7"/>
  <c r="IE11" i="7" s="1"/>
  <c r="FK11" i="7"/>
  <c r="FH11" i="7"/>
  <c r="FE11" i="7"/>
  <c r="FD11" i="7"/>
  <c r="ID11" i="7" s="1"/>
  <c r="FA11" i="7"/>
  <c r="EX11" i="7"/>
  <c r="EU11" i="7"/>
  <c r="ET11" i="7"/>
  <c r="EQ11" i="7"/>
  <c r="EN11" i="7"/>
  <c r="EK11" i="7"/>
  <c r="EJ11" i="7"/>
  <c r="EG11" i="7"/>
  <c r="ED11" i="7"/>
  <c r="EA11" i="7"/>
  <c r="DZ11" i="7"/>
  <c r="DW11" i="7"/>
  <c r="DQ11" i="7"/>
  <c r="DP11" i="7"/>
  <c r="DM11" i="7"/>
  <c r="DG11" i="7"/>
  <c r="DF11" i="7"/>
  <c r="HX11" i="7" s="1"/>
  <c r="CW11" i="7"/>
  <c r="CV11" i="7"/>
  <c r="HW11" i="7" s="1"/>
  <c r="CS11" i="7"/>
  <c r="CM11" i="7"/>
  <c r="CL11" i="7"/>
  <c r="HV11" i="7" s="1"/>
  <c r="CI11" i="7"/>
  <c r="CC11" i="7"/>
  <c r="CB11" i="7"/>
  <c r="BY11" i="7"/>
  <c r="BS11" i="7"/>
  <c r="BR11" i="7"/>
  <c r="HT11" i="7" s="1"/>
  <c r="BO11" i="7"/>
  <c r="BI11" i="7"/>
  <c r="BH11" i="7"/>
  <c r="BE11" i="7"/>
  <c r="AY11" i="7"/>
  <c r="AX11" i="7"/>
  <c r="HR11" i="7" s="1"/>
  <c r="AU11" i="7"/>
  <c r="AO11" i="7"/>
  <c r="AN11" i="7"/>
  <c r="HQ11" i="7" s="1"/>
  <c r="AK11" i="7"/>
  <c r="AE11" i="7"/>
  <c r="AD11" i="7"/>
  <c r="HP11" i="7" s="1"/>
  <c r="AA11" i="7"/>
  <c r="U11" i="7"/>
  <c r="FY11" i="7" s="1"/>
  <c r="T11" i="7"/>
  <c r="Q11" i="7"/>
  <c r="K11" i="7"/>
  <c r="J11" i="7"/>
  <c r="HN11" i="7" s="1"/>
  <c r="G11" i="7"/>
  <c r="JF31" i="6"/>
  <c r="IV31" i="6"/>
  <c r="ID31" i="6"/>
  <c r="IC31" i="6"/>
  <c r="IB31" i="6"/>
  <c r="GZ31" i="6"/>
  <c r="GW31" i="6"/>
  <c r="GT31" i="6"/>
  <c r="GP31" i="6"/>
  <c r="GM31" i="6"/>
  <c r="GJ31" i="6"/>
  <c r="GF31" i="6"/>
  <c r="GC31" i="6"/>
  <c r="FZ31" i="6"/>
  <c r="FV31" i="6"/>
  <c r="FS31" i="6"/>
  <c r="FP31" i="6"/>
  <c r="FL31" i="6"/>
  <c r="FI31" i="6"/>
  <c r="FF31" i="6"/>
  <c r="FB31" i="6"/>
  <c r="EY31" i="6"/>
  <c r="EV31" i="6"/>
  <c r="ER31" i="6"/>
  <c r="EO31" i="6"/>
  <c r="EL31" i="6"/>
  <c r="EH31" i="6"/>
  <c r="EE31" i="6"/>
  <c r="EB31" i="6"/>
  <c r="DX31" i="6"/>
  <c r="DU31" i="6"/>
  <c r="DR31" i="6"/>
  <c r="DN31" i="6"/>
  <c r="DK31" i="6"/>
  <c r="DH31" i="6"/>
  <c r="DD31" i="6"/>
  <c r="DA31" i="6"/>
  <c r="CX31" i="6"/>
  <c r="CT31" i="6"/>
  <c r="CQ31" i="6"/>
  <c r="CN31" i="6"/>
  <c r="CJ31" i="6"/>
  <c r="CG31" i="6"/>
  <c r="CD31" i="6"/>
  <c r="BZ31" i="6"/>
  <c r="BW31" i="6"/>
  <c r="BT31" i="6"/>
  <c r="BP31" i="6"/>
  <c r="BM31" i="6"/>
  <c r="BJ31" i="6"/>
  <c r="BF31" i="6"/>
  <c r="BC31" i="6"/>
  <c r="AZ31" i="6"/>
  <c r="AV31" i="6"/>
  <c r="AS31" i="6"/>
  <c r="AP31" i="6"/>
  <c r="AL31" i="6"/>
  <c r="AI31" i="6"/>
  <c r="AF31" i="6"/>
  <c r="AB31" i="6"/>
  <c r="Y31" i="6"/>
  <c r="V31" i="6"/>
  <c r="R31" i="6"/>
  <c r="O31" i="6"/>
  <c r="L31" i="6"/>
  <c r="H31" i="6"/>
  <c r="E31" i="6"/>
  <c r="B31" i="6"/>
  <c r="JX29" i="6"/>
  <c r="JW29" i="6"/>
  <c r="JU29" i="6"/>
  <c r="JT29" i="6"/>
  <c r="JR29" i="6"/>
  <c r="JQ29" i="6"/>
  <c r="JN29" i="6"/>
  <c r="JM29" i="6"/>
  <c r="JK29" i="6"/>
  <c r="JH29" i="6"/>
  <c r="JP29" i="6" s="1"/>
  <c r="JD29" i="6"/>
  <c r="JC29" i="6"/>
  <c r="JA29" i="6"/>
  <c r="IZ29" i="6"/>
  <c r="IW29" i="6"/>
  <c r="IT29" i="6"/>
  <c r="IS29" i="6"/>
  <c r="IQ29" i="6"/>
  <c r="IP29" i="6"/>
  <c r="IN29" i="6"/>
  <c r="IM29" i="6"/>
  <c r="II29" i="6"/>
  <c r="IH29" i="6"/>
  <c r="ID29" i="6"/>
  <c r="HZ29" i="6"/>
  <c r="HV29" i="6"/>
  <c r="HU29" i="6"/>
  <c r="HT29" i="6"/>
  <c r="HR29" i="6"/>
  <c r="HQ29" i="6"/>
  <c r="HO29" i="6"/>
  <c r="HN29" i="6"/>
  <c r="HM29" i="6"/>
  <c r="HJ29" i="6"/>
  <c r="HI29" i="6"/>
  <c r="HG29" i="6"/>
  <c r="HF29" i="6"/>
  <c r="HD29" i="6"/>
  <c r="HC29" i="6"/>
  <c r="HB29" i="6"/>
  <c r="GR29" i="6"/>
  <c r="GI29" i="6"/>
  <c r="GH29" i="6"/>
  <c r="IG29" i="6" s="1"/>
  <c r="GE29" i="6"/>
  <c r="GB29" i="6"/>
  <c r="FY29" i="6"/>
  <c r="FX29" i="6"/>
  <c r="IF29" i="6" s="1"/>
  <c r="FU29" i="6"/>
  <c r="FR29" i="6"/>
  <c r="FO29" i="6"/>
  <c r="FN29" i="6"/>
  <c r="IE29" i="6" s="1"/>
  <c r="FK29" i="6"/>
  <c r="FH29" i="6"/>
  <c r="FE29" i="6"/>
  <c r="FD29" i="6"/>
  <c r="FA29" i="6"/>
  <c r="EX29" i="6"/>
  <c r="EU29" i="6"/>
  <c r="ET29" i="6"/>
  <c r="IC29" i="6" s="1"/>
  <c r="EQ29" i="6"/>
  <c r="EN29" i="6"/>
  <c r="EK29" i="6"/>
  <c r="EJ29" i="6"/>
  <c r="IB29" i="6" s="1"/>
  <c r="EG29" i="6"/>
  <c r="ED29" i="6"/>
  <c r="EA29" i="6"/>
  <c r="DZ29" i="6"/>
  <c r="IA29" i="6" s="1"/>
  <c r="DP29" i="6"/>
  <c r="HY29" i="6" s="1"/>
  <c r="DM29" i="6"/>
  <c r="DG29" i="6"/>
  <c r="DF29" i="6"/>
  <c r="HX29" i="6" s="1"/>
  <c r="DC29" i="6"/>
  <c r="CW29" i="6"/>
  <c r="CV29" i="6"/>
  <c r="HW29" i="6" s="1"/>
  <c r="CS29" i="6"/>
  <c r="CM29" i="6"/>
  <c r="CL29" i="6"/>
  <c r="CI29" i="6"/>
  <c r="CC29" i="6"/>
  <c r="CB29" i="6"/>
  <c r="BY29" i="6"/>
  <c r="BS29" i="6"/>
  <c r="BR29" i="6"/>
  <c r="BO29" i="6"/>
  <c r="BI29" i="6"/>
  <c r="BH29" i="6"/>
  <c r="HS29" i="6" s="1"/>
  <c r="BE29" i="6"/>
  <c r="AY29" i="6"/>
  <c r="AX29" i="6"/>
  <c r="AU29" i="6"/>
  <c r="AO29" i="6"/>
  <c r="GY29" i="6" s="1"/>
  <c r="AN29" i="6"/>
  <c r="AK29" i="6"/>
  <c r="AE29" i="6"/>
  <c r="DQ29" i="6" s="1"/>
  <c r="AD29" i="6"/>
  <c r="HP29" i="6" s="1"/>
  <c r="AA29" i="6"/>
  <c r="U29" i="6"/>
  <c r="T29" i="6"/>
  <c r="Q29" i="6"/>
  <c r="K29" i="6"/>
  <c r="JJ29" i="6" s="1"/>
  <c r="J29" i="6"/>
  <c r="G29" i="6"/>
  <c r="JX28" i="6"/>
  <c r="JU28" i="6"/>
  <c r="JR28" i="6"/>
  <c r="JZ28" i="6" s="1"/>
  <c r="JN28" i="6"/>
  <c r="JK28" i="6"/>
  <c r="JH28" i="6"/>
  <c r="JD28" i="6"/>
  <c r="JC28" i="6"/>
  <c r="JA28" i="6"/>
  <c r="IZ28" i="6"/>
  <c r="IW28" i="6"/>
  <c r="IT28" i="6"/>
  <c r="IS28" i="6"/>
  <c r="IQ28" i="6"/>
  <c r="IP28" i="6"/>
  <c r="IN28" i="6"/>
  <c r="IM28" i="6"/>
  <c r="IH28" i="6"/>
  <c r="IG28" i="6"/>
  <c r="IC28" i="6"/>
  <c r="IB28" i="6"/>
  <c r="IA28" i="6"/>
  <c r="HZ28" i="6"/>
  <c r="HY28" i="6"/>
  <c r="HU28" i="6"/>
  <c r="HM28" i="6"/>
  <c r="HJ28" i="6"/>
  <c r="HI28" i="6"/>
  <c r="HG28" i="6"/>
  <c r="HF28" i="6"/>
  <c r="HD28" i="6"/>
  <c r="HC28" i="6"/>
  <c r="HB28" i="6"/>
  <c r="II28" i="6" s="1"/>
  <c r="GV28" i="6"/>
  <c r="GR28" i="6"/>
  <c r="GH28" i="6"/>
  <c r="FX28" i="6"/>
  <c r="IF28" i="6" s="1"/>
  <c r="FR28" i="6"/>
  <c r="FO28" i="6"/>
  <c r="FN28" i="6"/>
  <c r="IE28" i="6" s="1"/>
  <c r="FK28" i="6"/>
  <c r="FH28" i="6"/>
  <c r="FE28" i="6"/>
  <c r="FD28" i="6"/>
  <c r="ID28" i="6" s="1"/>
  <c r="FA28" i="6"/>
  <c r="EX28" i="6"/>
  <c r="EU28" i="6"/>
  <c r="ET28" i="6"/>
  <c r="EQ28" i="6"/>
  <c r="EN28" i="6"/>
  <c r="EK28" i="6"/>
  <c r="EJ28" i="6"/>
  <c r="EG28" i="6"/>
  <c r="ED28" i="6"/>
  <c r="EA28" i="6"/>
  <c r="DZ28" i="6"/>
  <c r="DP28" i="6"/>
  <c r="DM28" i="6"/>
  <c r="DG28" i="6"/>
  <c r="DF28" i="6"/>
  <c r="HX28" i="6" s="1"/>
  <c r="DC28" i="6"/>
  <c r="CW28" i="6"/>
  <c r="CV28" i="6"/>
  <c r="HW28" i="6" s="1"/>
  <c r="CS28" i="6"/>
  <c r="CM28" i="6"/>
  <c r="CL28" i="6"/>
  <c r="HV28" i="6" s="1"/>
  <c r="CI28" i="6"/>
  <c r="CC28" i="6"/>
  <c r="CB28" i="6"/>
  <c r="BY28" i="6"/>
  <c r="BS28" i="6"/>
  <c r="BR28" i="6"/>
  <c r="HT28" i="6" s="1"/>
  <c r="BO28" i="6"/>
  <c r="BI28" i="6"/>
  <c r="BH28" i="6"/>
  <c r="HS28" i="6" s="1"/>
  <c r="BE28" i="6"/>
  <c r="AY28" i="6"/>
  <c r="AX28" i="6"/>
  <c r="HR28" i="6" s="1"/>
  <c r="AU28" i="6"/>
  <c r="AO28" i="6"/>
  <c r="GS28" i="6" s="1"/>
  <c r="AN28" i="6"/>
  <c r="HQ28" i="6" s="1"/>
  <c r="AK28" i="6"/>
  <c r="AE28" i="6"/>
  <c r="AD28" i="6"/>
  <c r="HP28" i="6" s="1"/>
  <c r="AA28" i="6"/>
  <c r="U28" i="6"/>
  <c r="JQ28" i="6" s="1"/>
  <c r="T28" i="6"/>
  <c r="HO28" i="6" s="1"/>
  <c r="Q28" i="6"/>
  <c r="K28" i="6"/>
  <c r="J28" i="6"/>
  <c r="HN28" i="6" s="1"/>
  <c r="G28" i="6"/>
  <c r="JX27" i="6"/>
  <c r="JU27" i="6"/>
  <c r="JR27" i="6"/>
  <c r="JZ27" i="6" s="1"/>
  <c r="JN27" i="6"/>
  <c r="JK27" i="6"/>
  <c r="JJ27" i="6"/>
  <c r="JH27" i="6"/>
  <c r="JP27" i="6" s="1"/>
  <c r="JG27" i="6"/>
  <c r="JD27" i="6"/>
  <c r="JC27" i="6"/>
  <c r="JA27" i="6"/>
  <c r="IZ27" i="6"/>
  <c r="IW27" i="6"/>
  <c r="IT27" i="6"/>
  <c r="IS27" i="6"/>
  <c r="IQ27" i="6"/>
  <c r="IP27" i="6"/>
  <c r="IN27" i="6"/>
  <c r="IM27" i="6"/>
  <c r="IG27" i="6"/>
  <c r="IF27" i="6"/>
  <c r="IC27" i="6"/>
  <c r="IA27" i="6"/>
  <c r="HZ27" i="6"/>
  <c r="HY27" i="6"/>
  <c r="HX27" i="6"/>
  <c r="HW27" i="6"/>
  <c r="HT27" i="6"/>
  <c r="HR27" i="6"/>
  <c r="HM27" i="6"/>
  <c r="HJ27" i="6"/>
  <c r="HI27" i="6"/>
  <c r="HG27" i="6"/>
  <c r="HF27" i="6"/>
  <c r="HD27" i="6"/>
  <c r="HC27" i="6"/>
  <c r="HB27" i="6"/>
  <c r="II27" i="6" s="1"/>
  <c r="GY27" i="6"/>
  <c r="GV27" i="6"/>
  <c r="GS27" i="6"/>
  <c r="GR27" i="6"/>
  <c r="IH27" i="6" s="1"/>
  <c r="GO27" i="6"/>
  <c r="GL27" i="6"/>
  <c r="GI27" i="6"/>
  <c r="GH27" i="6"/>
  <c r="FX27" i="6"/>
  <c r="FR27" i="6"/>
  <c r="FN27" i="6"/>
  <c r="IE27" i="6" s="1"/>
  <c r="FK27" i="6"/>
  <c r="FH27" i="6"/>
  <c r="FE27" i="6"/>
  <c r="FD27" i="6"/>
  <c r="ID27" i="6" s="1"/>
  <c r="FA27" i="6"/>
  <c r="EX27" i="6"/>
  <c r="EU27" i="6"/>
  <c r="ET27" i="6"/>
  <c r="EQ27" i="6"/>
  <c r="EN27" i="6"/>
  <c r="EK27" i="6"/>
  <c r="EJ27" i="6"/>
  <c r="IB27" i="6" s="1"/>
  <c r="EG27" i="6"/>
  <c r="ED27" i="6"/>
  <c r="EA27" i="6"/>
  <c r="DZ27" i="6"/>
  <c r="DP27" i="6"/>
  <c r="DM27" i="6"/>
  <c r="DG27" i="6"/>
  <c r="DF27" i="6"/>
  <c r="DC27" i="6"/>
  <c r="CW27" i="6"/>
  <c r="CV27" i="6"/>
  <c r="CS27" i="6"/>
  <c r="CM27" i="6"/>
  <c r="CL27" i="6"/>
  <c r="HV27" i="6" s="1"/>
  <c r="CI27" i="6"/>
  <c r="CC27" i="6"/>
  <c r="CB27" i="6"/>
  <c r="HU27" i="6" s="1"/>
  <c r="BY27" i="6"/>
  <c r="BS27" i="6"/>
  <c r="BR27" i="6"/>
  <c r="BO27" i="6"/>
  <c r="BI27" i="6"/>
  <c r="BH27" i="6"/>
  <c r="HS27" i="6" s="1"/>
  <c r="BE27" i="6"/>
  <c r="AY27" i="6"/>
  <c r="AX27" i="6"/>
  <c r="AU27" i="6"/>
  <c r="AO27" i="6"/>
  <c r="AN27" i="6"/>
  <c r="HQ27" i="6" s="1"/>
  <c r="AK27" i="6"/>
  <c r="AE27" i="6"/>
  <c r="DW27" i="6" s="1"/>
  <c r="AD27" i="6"/>
  <c r="HP27" i="6" s="1"/>
  <c r="AA27" i="6"/>
  <c r="U27" i="6"/>
  <c r="T27" i="6"/>
  <c r="HO27" i="6" s="1"/>
  <c r="Q27" i="6"/>
  <c r="K27" i="6"/>
  <c r="JT27" i="6" s="1"/>
  <c r="J27" i="6"/>
  <c r="HN27" i="6" s="1"/>
  <c r="G27" i="6"/>
  <c r="JX26" i="6"/>
  <c r="JW26" i="6"/>
  <c r="JU26" i="6"/>
  <c r="JR26" i="6"/>
  <c r="JZ26" i="6" s="1"/>
  <c r="JN26" i="6"/>
  <c r="JK26" i="6"/>
  <c r="JH26" i="6"/>
  <c r="JP26" i="6" s="1"/>
  <c r="JG26" i="6"/>
  <c r="JD26" i="6"/>
  <c r="JC26" i="6"/>
  <c r="JA26" i="6"/>
  <c r="IZ26" i="6"/>
  <c r="IW26" i="6"/>
  <c r="IT26" i="6"/>
  <c r="IS26" i="6"/>
  <c r="IQ26" i="6"/>
  <c r="IP26" i="6"/>
  <c r="IN26" i="6"/>
  <c r="IM26" i="6"/>
  <c r="IE26" i="6"/>
  <c r="ID26" i="6"/>
  <c r="HZ26" i="6"/>
  <c r="HY26" i="6"/>
  <c r="HX26" i="6"/>
  <c r="HW26" i="6"/>
  <c r="HV26" i="6"/>
  <c r="HS26" i="6"/>
  <c r="HQ26" i="6"/>
  <c r="HP26" i="6"/>
  <c r="HO26" i="6"/>
  <c r="HM26" i="6"/>
  <c r="HJ26" i="6"/>
  <c r="HI26" i="6"/>
  <c r="HG26" i="6"/>
  <c r="HF26" i="6"/>
  <c r="HD26" i="6"/>
  <c r="HC26" i="6"/>
  <c r="HB26" i="6"/>
  <c r="II26" i="6" s="1"/>
  <c r="GY26" i="6"/>
  <c r="GV26" i="6"/>
  <c r="GS26" i="6"/>
  <c r="GR26" i="6"/>
  <c r="IH26" i="6" s="1"/>
  <c r="GO26" i="6"/>
  <c r="GL26" i="6"/>
  <c r="GI26" i="6"/>
  <c r="GH26" i="6"/>
  <c r="IG26" i="6" s="1"/>
  <c r="GE26" i="6"/>
  <c r="GB26" i="6"/>
  <c r="FY26" i="6"/>
  <c r="FX26" i="6"/>
  <c r="IF26" i="6" s="1"/>
  <c r="FN26" i="6"/>
  <c r="FK26" i="6"/>
  <c r="FH26" i="6"/>
  <c r="FE26" i="6"/>
  <c r="FD26" i="6"/>
  <c r="FA26" i="6"/>
  <c r="EX26" i="6"/>
  <c r="EU26" i="6"/>
  <c r="ET26" i="6"/>
  <c r="IC26" i="6" s="1"/>
  <c r="EQ26" i="6"/>
  <c r="EN26" i="6"/>
  <c r="EK26" i="6"/>
  <c r="EJ26" i="6"/>
  <c r="IB26" i="6" s="1"/>
  <c r="EG26" i="6"/>
  <c r="ED26" i="6"/>
  <c r="EA26" i="6"/>
  <c r="DZ26" i="6"/>
  <c r="IA26" i="6" s="1"/>
  <c r="DW26" i="6"/>
  <c r="DQ26" i="6"/>
  <c r="DP26" i="6"/>
  <c r="DM26" i="6"/>
  <c r="DG26" i="6"/>
  <c r="DF26" i="6"/>
  <c r="DC26" i="6"/>
  <c r="CW26" i="6"/>
  <c r="CV26" i="6"/>
  <c r="CS26" i="6"/>
  <c r="CM26" i="6"/>
  <c r="CL26" i="6"/>
  <c r="CI26" i="6"/>
  <c r="CC26" i="6"/>
  <c r="CB26" i="6"/>
  <c r="HU26" i="6" s="1"/>
  <c r="BY26" i="6"/>
  <c r="BS26" i="6"/>
  <c r="BR26" i="6"/>
  <c r="HT26" i="6" s="1"/>
  <c r="BO26" i="6"/>
  <c r="BI26" i="6"/>
  <c r="BH26" i="6"/>
  <c r="BE26" i="6"/>
  <c r="AY26" i="6"/>
  <c r="AX26" i="6"/>
  <c r="HR26" i="6" s="1"/>
  <c r="AU26" i="6"/>
  <c r="AO26" i="6"/>
  <c r="AN26" i="6"/>
  <c r="AK26" i="6"/>
  <c r="AE26" i="6"/>
  <c r="AD26" i="6"/>
  <c r="AA26" i="6"/>
  <c r="U26" i="6"/>
  <c r="JQ26" i="6" s="1"/>
  <c r="T26" i="6"/>
  <c r="Q26" i="6"/>
  <c r="K26" i="6"/>
  <c r="JT26" i="6" s="1"/>
  <c r="J26" i="6"/>
  <c r="G26" i="6"/>
  <c r="JX25" i="6"/>
  <c r="JW25" i="6"/>
  <c r="JU25" i="6"/>
  <c r="JT25" i="6"/>
  <c r="JR25" i="6"/>
  <c r="JZ25" i="6" s="1"/>
  <c r="JQ25" i="6"/>
  <c r="JP25" i="6"/>
  <c r="JN25" i="6"/>
  <c r="JK25" i="6"/>
  <c r="JH25" i="6"/>
  <c r="JD25" i="6"/>
  <c r="JC25" i="6"/>
  <c r="JA25" i="6"/>
  <c r="IZ25" i="6"/>
  <c r="IW25" i="6"/>
  <c r="IT25" i="6"/>
  <c r="IS25" i="6"/>
  <c r="IQ25" i="6"/>
  <c r="IP25" i="6"/>
  <c r="IN25" i="6"/>
  <c r="IM25" i="6"/>
  <c r="II25" i="6"/>
  <c r="IH25" i="6"/>
  <c r="IG25" i="6"/>
  <c r="ID25" i="6"/>
  <c r="HZ25" i="6"/>
  <c r="HW25" i="6"/>
  <c r="HV25" i="6"/>
  <c r="HU25" i="6"/>
  <c r="HT25" i="6"/>
  <c r="HS25" i="6"/>
  <c r="HR25" i="6"/>
  <c r="HP25" i="6"/>
  <c r="HO25" i="6"/>
  <c r="HN25" i="6"/>
  <c r="HM25" i="6"/>
  <c r="HJ25" i="6"/>
  <c r="HI25" i="6"/>
  <c r="HG25" i="6"/>
  <c r="HF25" i="6"/>
  <c r="HD25" i="6"/>
  <c r="HC25" i="6"/>
  <c r="HB25" i="6"/>
  <c r="GR25" i="6"/>
  <c r="GH25" i="6"/>
  <c r="GE25" i="6"/>
  <c r="GB25" i="6"/>
  <c r="FY25" i="6"/>
  <c r="FX25" i="6"/>
  <c r="HL25" i="6" s="1"/>
  <c r="FU25" i="6"/>
  <c r="FR25" i="6"/>
  <c r="FO25" i="6"/>
  <c r="FN25" i="6"/>
  <c r="IE25" i="6" s="1"/>
  <c r="FK25" i="6"/>
  <c r="FH25" i="6"/>
  <c r="FE25" i="6"/>
  <c r="FD25" i="6"/>
  <c r="FA25" i="6"/>
  <c r="EX25" i="6"/>
  <c r="EU25" i="6"/>
  <c r="ET25" i="6"/>
  <c r="IC25" i="6" s="1"/>
  <c r="EQ25" i="6"/>
  <c r="EN25" i="6"/>
  <c r="EK25" i="6"/>
  <c r="EJ25" i="6"/>
  <c r="IB25" i="6" s="1"/>
  <c r="EG25" i="6"/>
  <c r="ED25" i="6"/>
  <c r="EA25" i="6"/>
  <c r="DZ25" i="6"/>
  <c r="IA25" i="6" s="1"/>
  <c r="DP25" i="6"/>
  <c r="HY25" i="6" s="1"/>
  <c r="DM25" i="6"/>
  <c r="DG25" i="6"/>
  <c r="DF25" i="6"/>
  <c r="HX25" i="6" s="1"/>
  <c r="DC25" i="6"/>
  <c r="CW25" i="6"/>
  <c r="CV25" i="6"/>
  <c r="CS25" i="6"/>
  <c r="CM25" i="6"/>
  <c r="CL25" i="6"/>
  <c r="CI25" i="6"/>
  <c r="CC25" i="6"/>
  <c r="CB25" i="6"/>
  <c r="BY25" i="6"/>
  <c r="BS25" i="6"/>
  <c r="BR25" i="6"/>
  <c r="BO25" i="6"/>
  <c r="BI25" i="6"/>
  <c r="BH25" i="6"/>
  <c r="BE25" i="6"/>
  <c r="AY25" i="6"/>
  <c r="AX25" i="6"/>
  <c r="AU25" i="6"/>
  <c r="AO25" i="6"/>
  <c r="AN25" i="6"/>
  <c r="HQ25" i="6" s="1"/>
  <c r="AK25" i="6"/>
  <c r="AE25" i="6"/>
  <c r="AD25" i="6"/>
  <c r="AA25" i="6"/>
  <c r="U25" i="6"/>
  <c r="T25" i="6"/>
  <c r="Q25" i="6"/>
  <c r="K25" i="6"/>
  <c r="JM25" i="6" s="1"/>
  <c r="J25" i="6"/>
  <c r="G25" i="6"/>
  <c r="JX24" i="6"/>
  <c r="JU24" i="6"/>
  <c r="JT24" i="6"/>
  <c r="JR24" i="6"/>
  <c r="JQ24" i="6"/>
  <c r="JN24" i="6"/>
  <c r="JM24" i="6"/>
  <c r="JK24" i="6"/>
  <c r="JJ24" i="6"/>
  <c r="JH24" i="6"/>
  <c r="JG24" i="6"/>
  <c r="JD24" i="6"/>
  <c r="JC24" i="6"/>
  <c r="JA24" i="6"/>
  <c r="IZ24" i="6"/>
  <c r="IW24" i="6"/>
  <c r="IT24" i="6"/>
  <c r="IS24" i="6"/>
  <c r="IQ24" i="6"/>
  <c r="IP24" i="6"/>
  <c r="IN24" i="6"/>
  <c r="IM24" i="6"/>
  <c r="IH24" i="6"/>
  <c r="IE24" i="6"/>
  <c r="IC24" i="6"/>
  <c r="IB24" i="6"/>
  <c r="IA24" i="6"/>
  <c r="HZ24" i="6"/>
  <c r="HU24" i="6"/>
  <c r="HT24" i="6"/>
  <c r="HO24" i="6"/>
  <c r="HN24" i="6"/>
  <c r="HM24" i="6"/>
  <c r="HJ24" i="6"/>
  <c r="HI24" i="6"/>
  <c r="HG24" i="6"/>
  <c r="HF24" i="6"/>
  <c r="HD24" i="6"/>
  <c r="HC24" i="6"/>
  <c r="HB24" i="6"/>
  <c r="II24" i="6" s="1"/>
  <c r="GR24" i="6"/>
  <c r="GH24" i="6"/>
  <c r="IG24" i="6" s="1"/>
  <c r="FX24" i="6"/>
  <c r="IF24" i="6" s="1"/>
  <c r="FU24" i="6"/>
  <c r="FR24" i="6"/>
  <c r="FO24" i="6"/>
  <c r="FN24" i="6"/>
  <c r="FK24" i="6"/>
  <c r="FH24" i="6"/>
  <c r="FE24" i="6"/>
  <c r="FD24" i="6"/>
  <c r="ID24" i="6" s="1"/>
  <c r="FA24" i="6"/>
  <c r="EX24" i="6"/>
  <c r="EU24" i="6"/>
  <c r="ET24" i="6"/>
  <c r="EQ24" i="6"/>
  <c r="EN24" i="6"/>
  <c r="EK24" i="6"/>
  <c r="EJ24" i="6"/>
  <c r="EG24" i="6"/>
  <c r="ED24" i="6"/>
  <c r="EA24" i="6"/>
  <c r="DZ24" i="6"/>
  <c r="DQ24" i="6"/>
  <c r="DP24" i="6"/>
  <c r="HY24" i="6" s="1"/>
  <c r="DM24" i="6"/>
  <c r="DG24" i="6"/>
  <c r="DF24" i="6"/>
  <c r="HX24" i="6" s="1"/>
  <c r="DC24" i="6"/>
  <c r="CW24" i="6"/>
  <c r="CV24" i="6"/>
  <c r="HW24" i="6" s="1"/>
  <c r="CS24" i="6"/>
  <c r="CM24" i="6"/>
  <c r="CL24" i="6"/>
  <c r="HV24" i="6" s="1"/>
  <c r="CI24" i="6"/>
  <c r="CC24" i="6"/>
  <c r="CB24" i="6"/>
  <c r="BY24" i="6"/>
  <c r="BS24" i="6"/>
  <c r="BR24" i="6"/>
  <c r="BO24" i="6"/>
  <c r="BI24" i="6"/>
  <c r="BH24" i="6"/>
  <c r="HS24" i="6" s="1"/>
  <c r="BE24" i="6"/>
  <c r="AY24" i="6"/>
  <c r="AX24" i="6"/>
  <c r="HR24" i="6" s="1"/>
  <c r="AU24" i="6"/>
  <c r="AO24" i="6"/>
  <c r="GY24" i="6" s="1"/>
  <c r="AN24" i="6"/>
  <c r="HQ24" i="6" s="1"/>
  <c r="AK24" i="6"/>
  <c r="AE24" i="6"/>
  <c r="GI24" i="6" s="1"/>
  <c r="AD24" i="6"/>
  <c r="HP24" i="6" s="1"/>
  <c r="AA24" i="6"/>
  <c r="U24" i="6"/>
  <c r="T24" i="6"/>
  <c r="Q24" i="6"/>
  <c r="K24" i="6"/>
  <c r="J24" i="6"/>
  <c r="G24" i="6"/>
  <c r="JX23" i="6"/>
  <c r="JU23" i="6"/>
  <c r="JR23" i="6"/>
  <c r="JZ23" i="6" s="1"/>
  <c r="JN23" i="6"/>
  <c r="JK23" i="6"/>
  <c r="JH23" i="6"/>
  <c r="JP23" i="6" s="1"/>
  <c r="JD23" i="6"/>
  <c r="JC23" i="6"/>
  <c r="JA23" i="6"/>
  <c r="IZ23" i="6"/>
  <c r="IW23" i="6"/>
  <c r="IT23" i="6"/>
  <c r="IS23" i="6"/>
  <c r="IQ23" i="6"/>
  <c r="IP23" i="6"/>
  <c r="IN23" i="6"/>
  <c r="IM23" i="6"/>
  <c r="II23" i="6"/>
  <c r="IG23" i="6"/>
  <c r="IE23" i="6"/>
  <c r="IC23" i="6"/>
  <c r="IB23" i="6"/>
  <c r="IA23" i="6"/>
  <c r="HZ23" i="6"/>
  <c r="HY23" i="6"/>
  <c r="HX23" i="6"/>
  <c r="HW23" i="6"/>
  <c r="HV23" i="6"/>
  <c r="HT23" i="6"/>
  <c r="HM23" i="6"/>
  <c r="HJ23" i="6"/>
  <c r="HI23" i="6"/>
  <c r="HG23" i="6"/>
  <c r="HF23" i="6"/>
  <c r="HD23" i="6"/>
  <c r="HC23" i="6"/>
  <c r="HB23" i="6"/>
  <c r="GY23" i="6"/>
  <c r="GV23" i="6"/>
  <c r="GS23" i="6"/>
  <c r="GR23" i="6"/>
  <c r="IH23" i="6" s="1"/>
  <c r="GH23" i="6"/>
  <c r="FX23" i="6"/>
  <c r="IF23" i="6" s="1"/>
  <c r="FN23" i="6"/>
  <c r="FK23" i="6"/>
  <c r="FH23" i="6"/>
  <c r="FE23" i="6"/>
  <c r="FD23" i="6"/>
  <c r="ID23" i="6" s="1"/>
  <c r="FA23" i="6"/>
  <c r="EX23" i="6"/>
  <c r="EU23" i="6"/>
  <c r="ET23" i="6"/>
  <c r="EQ23" i="6"/>
  <c r="EN23" i="6"/>
  <c r="EK23" i="6"/>
  <c r="EJ23" i="6"/>
  <c r="EG23" i="6"/>
  <c r="ED23" i="6"/>
  <c r="EA23" i="6"/>
  <c r="DZ23" i="6"/>
  <c r="DP23" i="6"/>
  <c r="DM23" i="6"/>
  <c r="DG23" i="6"/>
  <c r="DF23" i="6"/>
  <c r="DC23" i="6"/>
  <c r="CW23" i="6"/>
  <c r="CV23" i="6"/>
  <c r="CS23" i="6"/>
  <c r="CM23" i="6"/>
  <c r="CL23" i="6"/>
  <c r="CI23" i="6"/>
  <c r="CC23" i="6"/>
  <c r="CB23" i="6"/>
  <c r="HU23" i="6" s="1"/>
  <c r="BY23" i="6"/>
  <c r="BS23" i="6"/>
  <c r="BR23" i="6"/>
  <c r="BO23" i="6"/>
  <c r="BI23" i="6"/>
  <c r="BH23" i="6"/>
  <c r="HS23" i="6" s="1"/>
  <c r="BE23" i="6"/>
  <c r="AY23" i="6"/>
  <c r="AX23" i="6"/>
  <c r="HR23" i="6" s="1"/>
  <c r="AU23" i="6"/>
  <c r="AO23" i="6"/>
  <c r="AN23" i="6"/>
  <c r="HQ23" i="6" s="1"/>
  <c r="AK23" i="6"/>
  <c r="AE23" i="6"/>
  <c r="AD23" i="6"/>
  <c r="HP23" i="6" s="1"/>
  <c r="AA23" i="6"/>
  <c r="U23" i="6"/>
  <c r="T23" i="6"/>
  <c r="HO23" i="6" s="1"/>
  <c r="Q23" i="6"/>
  <c r="K23" i="6"/>
  <c r="JM23" i="6" s="1"/>
  <c r="J23" i="6"/>
  <c r="G23" i="6"/>
  <c r="JX22" i="6"/>
  <c r="JZ22" i="6" s="1"/>
  <c r="JU22" i="6"/>
  <c r="JR22" i="6"/>
  <c r="JN22" i="6"/>
  <c r="JK22" i="6"/>
  <c r="JH22" i="6"/>
  <c r="JP22" i="6" s="1"/>
  <c r="JD22" i="6"/>
  <c r="JC22" i="6"/>
  <c r="JA22" i="6"/>
  <c r="IZ22" i="6"/>
  <c r="IW22" i="6"/>
  <c r="IT22" i="6"/>
  <c r="IS22" i="6"/>
  <c r="IQ22" i="6"/>
  <c r="IP22" i="6"/>
  <c r="IN22" i="6"/>
  <c r="IM22" i="6"/>
  <c r="IF22" i="6"/>
  <c r="IE22" i="6"/>
  <c r="IC22" i="6"/>
  <c r="IA22" i="6"/>
  <c r="HZ22" i="6"/>
  <c r="HY22" i="6"/>
  <c r="HX22" i="6"/>
  <c r="HW22" i="6"/>
  <c r="HS22" i="6"/>
  <c r="HR22" i="6"/>
  <c r="HQ22" i="6"/>
  <c r="HM22" i="6"/>
  <c r="HJ22" i="6"/>
  <c r="HI22" i="6"/>
  <c r="HG22" i="6"/>
  <c r="HF22" i="6"/>
  <c r="HD22" i="6"/>
  <c r="HC22" i="6"/>
  <c r="HB22" i="6"/>
  <c r="II22" i="6" s="1"/>
  <c r="GY22" i="6"/>
  <c r="GV22" i="6"/>
  <c r="GS22" i="6"/>
  <c r="GR22" i="6"/>
  <c r="IH22" i="6" s="1"/>
  <c r="GO22" i="6"/>
  <c r="GL22" i="6"/>
  <c r="GI22" i="6"/>
  <c r="GH22" i="6"/>
  <c r="IG22" i="6" s="1"/>
  <c r="FX22" i="6"/>
  <c r="FN22" i="6"/>
  <c r="FK22" i="6"/>
  <c r="FH22" i="6"/>
  <c r="FE22" i="6"/>
  <c r="FD22" i="6"/>
  <c r="ID22" i="6" s="1"/>
  <c r="FA22" i="6"/>
  <c r="EX22" i="6"/>
  <c r="EU22" i="6"/>
  <c r="ET22" i="6"/>
  <c r="EQ22" i="6"/>
  <c r="EN22" i="6"/>
  <c r="EK22" i="6"/>
  <c r="EJ22" i="6"/>
  <c r="IB22" i="6" s="1"/>
  <c r="EG22" i="6"/>
  <c r="ED22" i="6"/>
  <c r="EA22" i="6"/>
  <c r="DZ22" i="6"/>
  <c r="DP22" i="6"/>
  <c r="DM22" i="6"/>
  <c r="DG22" i="6"/>
  <c r="DF22" i="6"/>
  <c r="DC22" i="6"/>
  <c r="CW22" i="6"/>
  <c r="CV22" i="6"/>
  <c r="CS22" i="6"/>
  <c r="CM22" i="6"/>
  <c r="CL22" i="6"/>
  <c r="HV22" i="6" s="1"/>
  <c r="CI22" i="6"/>
  <c r="CC22" i="6"/>
  <c r="CB22" i="6"/>
  <c r="HU22" i="6" s="1"/>
  <c r="BY22" i="6"/>
  <c r="BS22" i="6"/>
  <c r="BR22" i="6"/>
  <c r="HT22" i="6" s="1"/>
  <c r="BO22" i="6"/>
  <c r="BI22" i="6"/>
  <c r="BH22" i="6"/>
  <c r="BE22" i="6"/>
  <c r="AY22" i="6"/>
  <c r="AX22" i="6"/>
  <c r="AU22" i="6"/>
  <c r="AO22" i="6"/>
  <c r="AN22" i="6"/>
  <c r="AK22" i="6"/>
  <c r="AE22" i="6"/>
  <c r="DW22" i="6" s="1"/>
  <c r="AD22" i="6"/>
  <c r="HP22" i="6" s="1"/>
  <c r="AA22" i="6"/>
  <c r="U22" i="6"/>
  <c r="T22" i="6"/>
  <c r="HO22" i="6" s="1"/>
  <c r="Q22" i="6"/>
  <c r="K22" i="6"/>
  <c r="J22" i="6"/>
  <c r="HN22" i="6" s="1"/>
  <c r="G22" i="6"/>
  <c r="JX21" i="6"/>
  <c r="JW21" i="6"/>
  <c r="JU21" i="6"/>
  <c r="JT21" i="6"/>
  <c r="JR21" i="6"/>
  <c r="JQ21" i="6"/>
  <c r="JN21" i="6"/>
  <c r="JK21" i="6"/>
  <c r="JH21" i="6"/>
  <c r="JP21" i="6" s="1"/>
  <c r="JD21" i="6"/>
  <c r="JC21" i="6"/>
  <c r="JA21" i="6"/>
  <c r="IZ21" i="6"/>
  <c r="IW21" i="6"/>
  <c r="IT21" i="6"/>
  <c r="IS21" i="6"/>
  <c r="IQ21" i="6"/>
  <c r="IP21" i="6"/>
  <c r="IN21" i="6"/>
  <c r="IM21" i="6"/>
  <c r="II21" i="6"/>
  <c r="IH21" i="6"/>
  <c r="IE21" i="6"/>
  <c r="ID21" i="6"/>
  <c r="HZ21" i="6"/>
  <c r="HW21" i="6"/>
  <c r="HS21" i="6"/>
  <c r="HM21" i="6"/>
  <c r="HJ21" i="6"/>
  <c r="HI21" i="6"/>
  <c r="HG21" i="6"/>
  <c r="HF21" i="6"/>
  <c r="HD21" i="6"/>
  <c r="HC21" i="6"/>
  <c r="HB21" i="6"/>
  <c r="GS21" i="6"/>
  <c r="GR21" i="6"/>
  <c r="GO21" i="6"/>
  <c r="GL21" i="6"/>
  <c r="GI21" i="6"/>
  <c r="GH21" i="6"/>
  <c r="IG21" i="6" s="1"/>
  <c r="GE21" i="6"/>
  <c r="GB21" i="6"/>
  <c r="FY21" i="6"/>
  <c r="FX21" i="6"/>
  <c r="IF21" i="6" s="1"/>
  <c r="FU21" i="6"/>
  <c r="FR21" i="6"/>
  <c r="FO21" i="6"/>
  <c r="FN21" i="6"/>
  <c r="FK21" i="6"/>
  <c r="FH21" i="6"/>
  <c r="FE21" i="6"/>
  <c r="FD21" i="6"/>
  <c r="FA21" i="6"/>
  <c r="EX21" i="6"/>
  <c r="EU21" i="6"/>
  <c r="ET21" i="6"/>
  <c r="IC21" i="6" s="1"/>
  <c r="EQ21" i="6"/>
  <c r="EN21" i="6"/>
  <c r="EK21" i="6"/>
  <c r="EJ21" i="6"/>
  <c r="IB21" i="6" s="1"/>
  <c r="EG21" i="6"/>
  <c r="ED21" i="6"/>
  <c r="EA21" i="6"/>
  <c r="DZ21" i="6"/>
  <c r="IA21" i="6" s="1"/>
  <c r="DW21" i="6"/>
  <c r="DQ21" i="6"/>
  <c r="DP21" i="6"/>
  <c r="HY21" i="6" s="1"/>
  <c r="DM21" i="6"/>
  <c r="DG21" i="6"/>
  <c r="DF21" i="6"/>
  <c r="HX21" i="6" s="1"/>
  <c r="DC21" i="6"/>
  <c r="CW21" i="6"/>
  <c r="CV21" i="6"/>
  <c r="CS21" i="6"/>
  <c r="CM21" i="6"/>
  <c r="CL21" i="6"/>
  <c r="HV21" i="6" s="1"/>
  <c r="CI21" i="6"/>
  <c r="CC21" i="6"/>
  <c r="CB21" i="6"/>
  <c r="HU21" i="6" s="1"/>
  <c r="BY21" i="6"/>
  <c r="BS21" i="6"/>
  <c r="BR21" i="6"/>
  <c r="HT21" i="6" s="1"/>
  <c r="BO21" i="6"/>
  <c r="BI21" i="6"/>
  <c r="BH21" i="6"/>
  <c r="BE21" i="6"/>
  <c r="AY21" i="6"/>
  <c r="AX21" i="6"/>
  <c r="HR21" i="6" s="1"/>
  <c r="AU21" i="6"/>
  <c r="AO21" i="6"/>
  <c r="AN21" i="6"/>
  <c r="HQ21" i="6" s="1"/>
  <c r="AK21" i="6"/>
  <c r="AE21" i="6"/>
  <c r="AD21" i="6"/>
  <c r="HP21" i="6" s="1"/>
  <c r="AA21" i="6"/>
  <c r="U21" i="6"/>
  <c r="T21" i="6"/>
  <c r="HO21" i="6" s="1"/>
  <c r="Q21" i="6"/>
  <c r="K21" i="6"/>
  <c r="JM21" i="6" s="1"/>
  <c r="J21" i="6"/>
  <c r="HN21" i="6" s="1"/>
  <c r="G21" i="6"/>
  <c r="JX20" i="6"/>
  <c r="JW20" i="6"/>
  <c r="JU20" i="6"/>
  <c r="JT20" i="6"/>
  <c r="JR20" i="6"/>
  <c r="JN20" i="6"/>
  <c r="JM20" i="6"/>
  <c r="JK20" i="6"/>
  <c r="JP20" i="6" s="1"/>
  <c r="JJ20" i="6"/>
  <c r="JH20" i="6"/>
  <c r="JG20" i="6"/>
  <c r="JD20" i="6"/>
  <c r="JC20" i="6"/>
  <c r="JA20" i="6"/>
  <c r="IZ20" i="6"/>
  <c r="IW20" i="6"/>
  <c r="IT20" i="6"/>
  <c r="IS20" i="6"/>
  <c r="IQ20" i="6"/>
  <c r="IP20" i="6"/>
  <c r="IN20" i="6"/>
  <c r="IM20" i="6"/>
  <c r="II20" i="6"/>
  <c r="IH20" i="6"/>
  <c r="IF20" i="6"/>
  <c r="IC20" i="6"/>
  <c r="HZ20" i="6"/>
  <c r="HV20" i="6"/>
  <c r="HU20" i="6"/>
  <c r="HT20" i="6"/>
  <c r="HS20" i="6"/>
  <c r="HQ20" i="6"/>
  <c r="HM20" i="6"/>
  <c r="HJ20" i="6"/>
  <c r="HI20" i="6"/>
  <c r="HG20" i="6"/>
  <c r="HF20" i="6"/>
  <c r="HD20" i="6"/>
  <c r="HC20" i="6"/>
  <c r="HB20" i="6"/>
  <c r="GR20" i="6"/>
  <c r="GH20" i="6"/>
  <c r="IG20" i="6" s="1"/>
  <c r="FX20" i="6"/>
  <c r="FU20" i="6"/>
  <c r="FR20" i="6"/>
  <c r="FO20" i="6"/>
  <c r="FN20" i="6"/>
  <c r="IE20" i="6" s="1"/>
  <c r="FK20" i="6"/>
  <c r="FH20" i="6"/>
  <c r="FE20" i="6"/>
  <c r="FD20" i="6"/>
  <c r="ID20" i="6" s="1"/>
  <c r="FA20" i="6"/>
  <c r="EX20" i="6"/>
  <c r="EU20" i="6"/>
  <c r="ET20" i="6"/>
  <c r="EQ20" i="6"/>
  <c r="EN20" i="6"/>
  <c r="EK20" i="6"/>
  <c r="EJ20" i="6"/>
  <c r="IB20" i="6" s="1"/>
  <c r="EG20" i="6"/>
  <c r="ED20" i="6"/>
  <c r="EA20" i="6"/>
  <c r="DZ20" i="6"/>
  <c r="IA20" i="6" s="1"/>
  <c r="DP20" i="6"/>
  <c r="HY20" i="6" s="1"/>
  <c r="DM20" i="6"/>
  <c r="DG20" i="6"/>
  <c r="DF20" i="6"/>
  <c r="HX20" i="6" s="1"/>
  <c r="DC20" i="6"/>
  <c r="CW20" i="6"/>
  <c r="CV20" i="6"/>
  <c r="HW20" i="6" s="1"/>
  <c r="CS20" i="6"/>
  <c r="CM20" i="6"/>
  <c r="CL20" i="6"/>
  <c r="CI20" i="6"/>
  <c r="CC20" i="6"/>
  <c r="CB20" i="6"/>
  <c r="BY20" i="6"/>
  <c r="BS20" i="6"/>
  <c r="BR20" i="6"/>
  <c r="BO20" i="6"/>
  <c r="BI20" i="6"/>
  <c r="BH20" i="6"/>
  <c r="BE20" i="6"/>
  <c r="AY20" i="6"/>
  <c r="AX20" i="6"/>
  <c r="HR20" i="6" s="1"/>
  <c r="AU20" i="6"/>
  <c r="AO20" i="6"/>
  <c r="GY20" i="6" s="1"/>
  <c r="AN20" i="6"/>
  <c r="AK20" i="6"/>
  <c r="AE20" i="6"/>
  <c r="AD20" i="6"/>
  <c r="AA20" i="6"/>
  <c r="U20" i="6"/>
  <c r="T20" i="6"/>
  <c r="HO20" i="6" s="1"/>
  <c r="Q20" i="6"/>
  <c r="K20" i="6"/>
  <c r="J20" i="6"/>
  <c r="HN20" i="6" s="1"/>
  <c r="G20" i="6"/>
  <c r="JX19" i="6"/>
  <c r="JU19" i="6"/>
  <c r="JT19" i="6"/>
  <c r="JR19" i="6"/>
  <c r="JZ19" i="6" s="1"/>
  <c r="JQ19" i="6"/>
  <c r="JN19" i="6"/>
  <c r="JK19" i="6"/>
  <c r="JH19" i="6"/>
  <c r="JP19" i="6" s="1"/>
  <c r="JD19" i="6"/>
  <c r="JC19" i="6"/>
  <c r="JA19" i="6"/>
  <c r="IZ19" i="6"/>
  <c r="IW19" i="6"/>
  <c r="IT19" i="6"/>
  <c r="IS19" i="6"/>
  <c r="IQ19" i="6"/>
  <c r="IP19" i="6"/>
  <c r="IN19" i="6"/>
  <c r="IM19" i="6"/>
  <c r="IH19" i="6"/>
  <c r="IG19" i="6"/>
  <c r="ID19" i="6"/>
  <c r="IB19" i="6"/>
  <c r="IA19" i="6"/>
  <c r="HZ19" i="6"/>
  <c r="HY19" i="6"/>
  <c r="HX19" i="6"/>
  <c r="HT19" i="6"/>
  <c r="HM19" i="6"/>
  <c r="HJ19" i="6"/>
  <c r="HI19" i="6"/>
  <c r="HG19" i="6"/>
  <c r="HF19" i="6"/>
  <c r="HD19" i="6"/>
  <c r="HC19" i="6"/>
  <c r="HB19" i="6"/>
  <c r="II19" i="6" s="1"/>
  <c r="GY19" i="6"/>
  <c r="GV19" i="6"/>
  <c r="GS19" i="6"/>
  <c r="GR19" i="6"/>
  <c r="GH19" i="6"/>
  <c r="FX19" i="6"/>
  <c r="IF19" i="6" s="1"/>
  <c r="FN19" i="6"/>
  <c r="IE19" i="6" s="1"/>
  <c r="FK19" i="6"/>
  <c r="FH19" i="6"/>
  <c r="FE19" i="6"/>
  <c r="FD19" i="6"/>
  <c r="FA19" i="6"/>
  <c r="EX19" i="6"/>
  <c r="EU19" i="6"/>
  <c r="ET19" i="6"/>
  <c r="IC19" i="6" s="1"/>
  <c r="EQ19" i="6"/>
  <c r="EN19" i="6"/>
  <c r="EK19" i="6"/>
  <c r="EJ19" i="6"/>
  <c r="EG19" i="6"/>
  <c r="ED19" i="6"/>
  <c r="EA19" i="6"/>
  <c r="DZ19" i="6"/>
  <c r="DQ19" i="6"/>
  <c r="DP19" i="6"/>
  <c r="DM19" i="6"/>
  <c r="DG19" i="6"/>
  <c r="DF19" i="6"/>
  <c r="DC19" i="6"/>
  <c r="CW19" i="6"/>
  <c r="CV19" i="6"/>
  <c r="HW19" i="6" s="1"/>
  <c r="CS19" i="6"/>
  <c r="CM19" i="6"/>
  <c r="CL19" i="6"/>
  <c r="HV19" i="6" s="1"/>
  <c r="CI19" i="6"/>
  <c r="CC19" i="6"/>
  <c r="CB19" i="6"/>
  <c r="HU19" i="6" s="1"/>
  <c r="BY19" i="6"/>
  <c r="BS19" i="6"/>
  <c r="BR19" i="6"/>
  <c r="BO19" i="6"/>
  <c r="BI19" i="6"/>
  <c r="BH19" i="6"/>
  <c r="HS19" i="6" s="1"/>
  <c r="BE19" i="6"/>
  <c r="AY19" i="6"/>
  <c r="AX19" i="6"/>
  <c r="HR19" i="6" s="1"/>
  <c r="AU19" i="6"/>
  <c r="AO19" i="6"/>
  <c r="AN19" i="6"/>
  <c r="HQ19" i="6" s="1"/>
  <c r="AK19" i="6"/>
  <c r="AE19" i="6"/>
  <c r="GO19" i="6" s="1"/>
  <c r="AD19" i="6"/>
  <c r="HP19" i="6" s="1"/>
  <c r="AA19" i="6"/>
  <c r="U19" i="6"/>
  <c r="GE19" i="6" s="1"/>
  <c r="T19" i="6"/>
  <c r="HO19" i="6" s="1"/>
  <c r="Q19" i="6"/>
  <c r="K19" i="6"/>
  <c r="J19" i="6"/>
  <c r="HN19" i="6" s="1"/>
  <c r="G19" i="6"/>
  <c r="JX18" i="6"/>
  <c r="JU18" i="6"/>
  <c r="JR18" i="6"/>
  <c r="JN18" i="6"/>
  <c r="JM18" i="6"/>
  <c r="JK18" i="6"/>
  <c r="JJ18" i="6"/>
  <c r="JH18" i="6"/>
  <c r="JD18" i="6"/>
  <c r="JC18" i="6"/>
  <c r="JA18" i="6"/>
  <c r="IZ18" i="6"/>
  <c r="IW18" i="6"/>
  <c r="IT18" i="6"/>
  <c r="IS18" i="6"/>
  <c r="IQ18" i="6"/>
  <c r="IP18" i="6"/>
  <c r="IN18" i="6"/>
  <c r="IM18" i="6"/>
  <c r="IF18" i="6"/>
  <c r="IE18" i="6"/>
  <c r="IC18" i="6"/>
  <c r="IB18" i="6"/>
  <c r="IA18" i="6"/>
  <c r="HZ18" i="6"/>
  <c r="HY18" i="6"/>
  <c r="HX18" i="6"/>
  <c r="HW18" i="6"/>
  <c r="HV18" i="6"/>
  <c r="HU18" i="6"/>
  <c r="HS18" i="6"/>
  <c r="HM18" i="6"/>
  <c r="HJ18" i="6"/>
  <c r="HI18" i="6"/>
  <c r="HG18" i="6"/>
  <c r="HF18" i="6"/>
  <c r="HD18" i="6"/>
  <c r="HC18" i="6"/>
  <c r="HB18" i="6"/>
  <c r="II18" i="6" s="1"/>
  <c r="GY18" i="6"/>
  <c r="GV18" i="6"/>
  <c r="GS18" i="6"/>
  <c r="GR18" i="6"/>
  <c r="IH18" i="6" s="1"/>
  <c r="GO18" i="6"/>
  <c r="GL18" i="6"/>
  <c r="GI18" i="6"/>
  <c r="GH18" i="6"/>
  <c r="IG18" i="6" s="1"/>
  <c r="FX18" i="6"/>
  <c r="FN18" i="6"/>
  <c r="FK18" i="6"/>
  <c r="FH18" i="6"/>
  <c r="FE18" i="6"/>
  <c r="FD18" i="6"/>
  <c r="ID18" i="6" s="1"/>
  <c r="FA18" i="6"/>
  <c r="EX18" i="6"/>
  <c r="EU18" i="6"/>
  <c r="ET18" i="6"/>
  <c r="EQ18" i="6"/>
  <c r="EN18" i="6"/>
  <c r="EK18" i="6"/>
  <c r="EJ18" i="6"/>
  <c r="EG18" i="6"/>
  <c r="ED18" i="6"/>
  <c r="EA18" i="6"/>
  <c r="DZ18" i="6"/>
  <c r="DP18" i="6"/>
  <c r="DM18" i="6"/>
  <c r="DG18" i="6"/>
  <c r="DF18" i="6"/>
  <c r="DC18" i="6"/>
  <c r="CW18" i="6"/>
  <c r="CV18" i="6"/>
  <c r="CS18" i="6"/>
  <c r="CM18" i="6"/>
  <c r="CL18" i="6"/>
  <c r="CI18" i="6"/>
  <c r="CC18" i="6"/>
  <c r="CB18" i="6"/>
  <c r="BY18" i="6"/>
  <c r="BS18" i="6"/>
  <c r="BR18" i="6"/>
  <c r="HT18" i="6" s="1"/>
  <c r="BO18" i="6"/>
  <c r="BI18" i="6"/>
  <c r="BH18" i="6"/>
  <c r="BE18" i="6"/>
  <c r="AY18" i="6"/>
  <c r="AX18" i="6"/>
  <c r="HR18" i="6" s="1"/>
  <c r="AU18" i="6"/>
  <c r="AO18" i="6"/>
  <c r="AN18" i="6"/>
  <c r="HQ18" i="6" s="1"/>
  <c r="AK18" i="6"/>
  <c r="AE18" i="6"/>
  <c r="DW18" i="6" s="1"/>
  <c r="AD18" i="6"/>
  <c r="HP18" i="6" s="1"/>
  <c r="AA18" i="6"/>
  <c r="U18" i="6"/>
  <c r="T18" i="6"/>
  <c r="HO18" i="6" s="1"/>
  <c r="Q18" i="6"/>
  <c r="K18" i="6"/>
  <c r="J18" i="6"/>
  <c r="G18" i="6"/>
  <c r="JX17" i="6"/>
  <c r="JW17" i="6"/>
  <c r="JU17" i="6"/>
  <c r="JZ17" i="6" s="1"/>
  <c r="JT17" i="6"/>
  <c r="JR17" i="6"/>
  <c r="JN17" i="6"/>
  <c r="JK17" i="6"/>
  <c r="JH17" i="6"/>
  <c r="JP17" i="6" s="1"/>
  <c r="JD17" i="6"/>
  <c r="JC17" i="6"/>
  <c r="JA17" i="6"/>
  <c r="IZ17" i="6"/>
  <c r="IW17" i="6"/>
  <c r="IT17" i="6"/>
  <c r="IS17" i="6"/>
  <c r="IQ17" i="6"/>
  <c r="IP17" i="6"/>
  <c r="IN17" i="6"/>
  <c r="IM17" i="6"/>
  <c r="IE17" i="6"/>
  <c r="HZ17" i="6"/>
  <c r="HX17" i="6"/>
  <c r="HW17" i="6"/>
  <c r="HQ17" i="6"/>
  <c r="HP17" i="6"/>
  <c r="HO17" i="6"/>
  <c r="HN17" i="6"/>
  <c r="HM17" i="6"/>
  <c r="HJ17" i="6"/>
  <c r="HI17" i="6"/>
  <c r="HG17" i="6"/>
  <c r="HF17" i="6"/>
  <c r="HD17" i="6"/>
  <c r="HC17" i="6"/>
  <c r="HB17" i="6"/>
  <c r="II17" i="6" s="1"/>
  <c r="GY17" i="6"/>
  <c r="GV17" i="6"/>
  <c r="GS17" i="6"/>
  <c r="GR17" i="6"/>
  <c r="IH17" i="6" s="1"/>
  <c r="GO17" i="6"/>
  <c r="GL17" i="6"/>
  <c r="GI17" i="6"/>
  <c r="GH17" i="6"/>
  <c r="IG17" i="6" s="1"/>
  <c r="GE17" i="6"/>
  <c r="GB17" i="6"/>
  <c r="FY17" i="6"/>
  <c r="FX17" i="6"/>
  <c r="IF17" i="6" s="1"/>
  <c r="FU17" i="6"/>
  <c r="FN17" i="6"/>
  <c r="FK17" i="6"/>
  <c r="FH17" i="6"/>
  <c r="FE17" i="6"/>
  <c r="FD17" i="6"/>
  <c r="ID17" i="6" s="1"/>
  <c r="FA17" i="6"/>
  <c r="EX17" i="6"/>
  <c r="EU17" i="6"/>
  <c r="ET17" i="6"/>
  <c r="IC17" i="6" s="1"/>
  <c r="EQ17" i="6"/>
  <c r="EN17" i="6"/>
  <c r="EK17" i="6"/>
  <c r="EJ17" i="6"/>
  <c r="IB17" i="6" s="1"/>
  <c r="EG17" i="6"/>
  <c r="ED17" i="6"/>
  <c r="EA17" i="6"/>
  <c r="DZ17" i="6"/>
  <c r="IA17" i="6" s="1"/>
  <c r="DW17" i="6"/>
  <c r="DQ17" i="6"/>
  <c r="DP17" i="6"/>
  <c r="HY17" i="6" s="1"/>
  <c r="DM17" i="6"/>
  <c r="DG17" i="6"/>
  <c r="DF17" i="6"/>
  <c r="DC17" i="6"/>
  <c r="CW17" i="6"/>
  <c r="CV17" i="6"/>
  <c r="CS17" i="6"/>
  <c r="CM17" i="6"/>
  <c r="CL17" i="6"/>
  <c r="HV17" i="6" s="1"/>
  <c r="CI17" i="6"/>
  <c r="CC17" i="6"/>
  <c r="CB17" i="6"/>
  <c r="HU17" i="6" s="1"/>
  <c r="BY17" i="6"/>
  <c r="BS17" i="6"/>
  <c r="BR17" i="6"/>
  <c r="HT17" i="6" s="1"/>
  <c r="BO17" i="6"/>
  <c r="BI17" i="6"/>
  <c r="BH17" i="6"/>
  <c r="HS17" i="6" s="1"/>
  <c r="BE17" i="6"/>
  <c r="AY17" i="6"/>
  <c r="AX17" i="6"/>
  <c r="HR17" i="6" s="1"/>
  <c r="AU17" i="6"/>
  <c r="AO17" i="6"/>
  <c r="AN17" i="6"/>
  <c r="AK17" i="6"/>
  <c r="AE17" i="6"/>
  <c r="AD17" i="6"/>
  <c r="AA17" i="6"/>
  <c r="U17" i="6"/>
  <c r="JQ17" i="6" s="1"/>
  <c r="T17" i="6"/>
  <c r="Q17" i="6"/>
  <c r="K17" i="6"/>
  <c r="J17" i="6"/>
  <c r="G17" i="6"/>
  <c r="JX16" i="6"/>
  <c r="JW16" i="6"/>
  <c r="JU16" i="6"/>
  <c r="JT16" i="6"/>
  <c r="JR16" i="6"/>
  <c r="JZ16" i="6" s="1"/>
  <c r="JQ16" i="6"/>
  <c r="JN16" i="6"/>
  <c r="JP16" i="6" s="1"/>
  <c r="JM16" i="6"/>
  <c r="JK16" i="6"/>
  <c r="JJ16" i="6"/>
  <c r="JH16" i="6"/>
  <c r="JG16" i="6"/>
  <c r="JD16" i="6"/>
  <c r="JC16" i="6"/>
  <c r="JA16" i="6"/>
  <c r="IZ16" i="6"/>
  <c r="IW16" i="6"/>
  <c r="IT16" i="6"/>
  <c r="IS16" i="6"/>
  <c r="IQ16" i="6"/>
  <c r="IP16" i="6"/>
  <c r="IN16" i="6"/>
  <c r="IM16" i="6"/>
  <c r="II16" i="6"/>
  <c r="IH16" i="6"/>
  <c r="IC16" i="6"/>
  <c r="HZ16" i="6"/>
  <c r="HW16" i="6"/>
  <c r="HV16" i="6"/>
  <c r="HU16" i="6"/>
  <c r="HR16" i="6"/>
  <c r="HO16" i="6"/>
  <c r="HN16" i="6"/>
  <c r="HM16" i="6"/>
  <c r="HJ16" i="6"/>
  <c r="HI16" i="6"/>
  <c r="HG16" i="6"/>
  <c r="HF16" i="6"/>
  <c r="HD16" i="6"/>
  <c r="HC16" i="6"/>
  <c r="HB16" i="6"/>
  <c r="GR16" i="6"/>
  <c r="GH16" i="6"/>
  <c r="IG16" i="6" s="1"/>
  <c r="GE16" i="6"/>
  <c r="GB16" i="6"/>
  <c r="FY16" i="6"/>
  <c r="FX16" i="6"/>
  <c r="IF16" i="6" s="1"/>
  <c r="FU16" i="6"/>
  <c r="FR16" i="6"/>
  <c r="FO16" i="6"/>
  <c r="FN16" i="6"/>
  <c r="IE16" i="6" s="1"/>
  <c r="FK16" i="6"/>
  <c r="FH16" i="6"/>
  <c r="FE16" i="6"/>
  <c r="FD16" i="6"/>
  <c r="ID16" i="6" s="1"/>
  <c r="FA16" i="6"/>
  <c r="EX16" i="6"/>
  <c r="EU16" i="6"/>
  <c r="ET16" i="6"/>
  <c r="EQ16" i="6"/>
  <c r="EN16" i="6"/>
  <c r="EK16" i="6"/>
  <c r="EJ16" i="6"/>
  <c r="IB16" i="6" s="1"/>
  <c r="EG16" i="6"/>
  <c r="ED16" i="6"/>
  <c r="EA16" i="6"/>
  <c r="DZ16" i="6"/>
  <c r="IA16" i="6" s="1"/>
  <c r="DP16" i="6"/>
  <c r="HY16" i="6" s="1"/>
  <c r="DM16" i="6"/>
  <c r="DG16" i="6"/>
  <c r="DF16" i="6"/>
  <c r="HX16" i="6" s="1"/>
  <c r="CW16" i="6"/>
  <c r="CV16" i="6"/>
  <c r="CS16" i="6"/>
  <c r="CM16" i="6"/>
  <c r="CL16" i="6"/>
  <c r="CI16" i="6"/>
  <c r="CC16" i="6"/>
  <c r="CB16" i="6"/>
  <c r="BY16" i="6"/>
  <c r="BS16" i="6"/>
  <c r="BR16" i="6"/>
  <c r="HT16" i="6" s="1"/>
  <c r="BO16" i="6"/>
  <c r="BI16" i="6"/>
  <c r="BH16" i="6"/>
  <c r="HS16" i="6" s="1"/>
  <c r="BE16" i="6"/>
  <c r="AY16" i="6"/>
  <c r="AX16" i="6"/>
  <c r="AU16" i="6"/>
  <c r="AO16" i="6"/>
  <c r="AN16" i="6"/>
  <c r="HQ16" i="6" s="1"/>
  <c r="AK16" i="6"/>
  <c r="AE16" i="6"/>
  <c r="AD16" i="6"/>
  <c r="AA16" i="6"/>
  <c r="U16" i="6"/>
  <c r="T16" i="6"/>
  <c r="Q16" i="6"/>
  <c r="K16" i="6"/>
  <c r="J16" i="6"/>
  <c r="G16" i="6"/>
  <c r="JX15" i="6"/>
  <c r="JU15" i="6"/>
  <c r="JR15" i="6"/>
  <c r="JZ15" i="6" s="1"/>
  <c r="JP15" i="6"/>
  <c r="JN15" i="6"/>
  <c r="JK15" i="6"/>
  <c r="JH15" i="6"/>
  <c r="JD15" i="6"/>
  <c r="JC15" i="6"/>
  <c r="JA15" i="6"/>
  <c r="IZ15" i="6"/>
  <c r="IW15" i="6"/>
  <c r="IT15" i="6"/>
  <c r="IS15" i="6"/>
  <c r="IQ15" i="6"/>
  <c r="IP15" i="6"/>
  <c r="IN15" i="6"/>
  <c r="IM15" i="6"/>
  <c r="II15" i="6"/>
  <c r="IH15" i="6"/>
  <c r="IG15" i="6"/>
  <c r="IF15" i="6"/>
  <c r="IC15" i="6"/>
  <c r="IB15" i="6"/>
  <c r="IA15" i="6"/>
  <c r="HZ15" i="6"/>
  <c r="HN15" i="6"/>
  <c r="HM15" i="6"/>
  <c r="HJ15" i="6"/>
  <c r="HI15" i="6"/>
  <c r="HG15" i="6"/>
  <c r="HF15" i="6"/>
  <c r="HD15" i="6"/>
  <c r="HC15" i="6"/>
  <c r="HB15" i="6"/>
  <c r="GR15" i="6"/>
  <c r="GH15" i="6"/>
  <c r="FX15" i="6"/>
  <c r="FN15" i="6"/>
  <c r="IE15" i="6" s="1"/>
  <c r="FK15" i="6"/>
  <c r="FH15" i="6"/>
  <c r="FE15" i="6"/>
  <c r="FD15" i="6"/>
  <c r="ID15" i="6" s="1"/>
  <c r="FA15" i="6"/>
  <c r="EX15" i="6"/>
  <c r="EU15" i="6"/>
  <c r="ET15" i="6"/>
  <c r="EQ15" i="6"/>
  <c r="EN15" i="6"/>
  <c r="EK15" i="6"/>
  <c r="EJ15" i="6"/>
  <c r="EG15" i="6"/>
  <c r="ED15" i="6"/>
  <c r="EA15" i="6"/>
  <c r="DZ15" i="6"/>
  <c r="DW15" i="6"/>
  <c r="DP15" i="6"/>
  <c r="HY15" i="6" s="1"/>
  <c r="DM15" i="6"/>
  <c r="DG15" i="6"/>
  <c r="DF15" i="6"/>
  <c r="HX15" i="6" s="1"/>
  <c r="CW15" i="6"/>
  <c r="CV15" i="6"/>
  <c r="HW15" i="6" s="1"/>
  <c r="CS15" i="6"/>
  <c r="CM15" i="6"/>
  <c r="CL15" i="6"/>
  <c r="HV15" i="6" s="1"/>
  <c r="CI15" i="6"/>
  <c r="CC15" i="6"/>
  <c r="CB15" i="6"/>
  <c r="HU15" i="6" s="1"/>
  <c r="BY15" i="6"/>
  <c r="BS15" i="6"/>
  <c r="BR15" i="6"/>
  <c r="HT15" i="6" s="1"/>
  <c r="BO15" i="6"/>
  <c r="BI15" i="6"/>
  <c r="BH15" i="6"/>
  <c r="HS15" i="6" s="1"/>
  <c r="BE15" i="6"/>
  <c r="AY15" i="6"/>
  <c r="AX15" i="6"/>
  <c r="HR15" i="6" s="1"/>
  <c r="AU15" i="6"/>
  <c r="AO15" i="6"/>
  <c r="AN15" i="6"/>
  <c r="HQ15" i="6" s="1"/>
  <c r="AK15" i="6"/>
  <c r="AE15" i="6"/>
  <c r="GO15" i="6" s="1"/>
  <c r="AD15" i="6"/>
  <c r="HP15" i="6" s="1"/>
  <c r="AA15" i="6"/>
  <c r="U15" i="6"/>
  <c r="T15" i="6"/>
  <c r="Q15" i="6"/>
  <c r="K15" i="6"/>
  <c r="FU15" i="6" s="1"/>
  <c r="J15" i="6"/>
  <c r="G15" i="6"/>
  <c r="JX14" i="6"/>
  <c r="JU14" i="6"/>
  <c r="JR14" i="6"/>
  <c r="JZ14" i="6" s="1"/>
  <c r="JQ14" i="6"/>
  <c r="JN14" i="6"/>
  <c r="JM14" i="6"/>
  <c r="JK14" i="6"/>
  <c r="JH14" i="6"/>
  <c r="JP14" i="6" s="1"/>
  <c r="JD14" i="6"/>
  <c r="JC14" i="6"/>
  <c r="JA14" i="6"/>
  <c r="IZ14" i="6"/>
  <c r="IW14" i="6"/>
  <c r="IT14" i="6"/>
  <c r="IS14" i="6"/>
  <c r="IQ14" i="6"/>
  <c r="IP14" i="6"/>
  <c r="IN14" i="6"/>
  <c r="IM14" i="6"/>
  <c r="IG14" i="6"/>
  <c r="ID14" i="6"/>
  <c r="IA14" i="6"/>
  <c r="HZ14" i="6"/>
  <c r="HY14" i="6"/>
  <c r="HX14" i="6"/>
  <c r="HW14" i="6"/>
  <c r="HM14" i="6"/>
  <c r="HJ14" i="6"/>
  <c r="HJ31" i="6" s="1"/>
  <c r="HI14" i="6"/>
  <c r="HG14" i="6"/>
  <c r="HF14" i="6"/>
  <c r="HD14" i="6"/>
  <c r="HC14" i="6"/>
  <c r="HB14" i="6"/>
  <c r="II14" i="6" s="1"/>
  <c r="GY14" i="6"/>
  <c r="GV14" i="6"/>
  <c r="GS14" i="6"/>
  <c r="GR14" i="6"/>
  <c r="IH14" i="6" s="1"/>
  <c r="GO14" i="6"/>
  <c r="GL14" i="6"/>
  <c r="GH14" i="6"/>
  <c r="FX14" i="6"/>
  <c r="IF14" i="6" s="1"/>
  <c r="FN14" i="6"/>
  <c r="IE14" i="6" s="1"/>
  <c r="FK14" i="6"/>
  <c r="FH14" i="6"/>
  <c r="FE14" i="6"/>
  <c r="FD14" i="6"/>
  <c r="FA14" i="6"/>
  <c r="EX14" i="6"/>
  <c r="EU14" i="6"/>
  <c r="ET14" i="6"/>
  <c r="IC14" i="6" s="1"/>
  <c r="EQ14" i="6"/>
  <c r="EN14" i="6"/>
  <c r="EK14" i="6"/>
  <c r="EJ14" i="6"/>
  <c r="IB14" i="6" s="1"/>
  <c r="EG14" i="6"/>
  <c r="ED14" i="6"/>
  <c r="EA14" i="6"/>
  <c r="DZ14" i="6"/>
  <c r="DP14" i="6"/>
  <c r="DM14" i="6"/>
  <c r="DG14" i="6"/>
  <c r="DF14" i="6"/>
  <c r="CW14" i="6"/>
  <c r="CV14" i="6"/>
  <c r="CS14" i="6"/>
  <c r="CM14" i="6"/>
  <c r="CL14" i="6"/>
  <c r="HV14" i="6" s="1"/>
  <c r="CI14" i="6"/>
  <c r="CC14" i="6"/>
  <c r="CB14" i="6"/>
  <c r="HU14" i="6" s="1"/>
  <c r="BY14" i="6"/>
  <c r="BS14" i="6"/>
  <c r="BR14" i="6"/>
  <c r="HT14" i="6" s="1"/>
  <c r="BO14" i="6"/>
  <c r="BI14" i="6"/>
  <c r="BH14" i="6"/>
  <c r="HS14" i="6" s="1"/>
  <c r="BE14" i="6"/>
  <c r="AY14" i="6"/>
  <c r="AX14" i="6"/>
  <c r="HR14" i="6" s="1"/>
  <c r="AU14" i="6"/>
  <c r="AO14" i="6"/>
  <c r="AN14" i="6"/>
  <c r="HQ14" i="6" s="1"/>
  <c r="AK14" i="6"/>
  <c r="AE14" i="6"/>
  <c r="GI14" i="6" s="1"/>
  <c r="AD14" i="6"/>
  <c r="HP14" i="6" s="1"/>
  <c r="AA14" i="6"/>
  <c r="U14" i="6"/>
  <c r="GE14" i="6" s="1"/>
  <c r="T14" i="6"/>
  <c r="HO14" i="6" s="1"/>
  <c r="Q14" i="6"/>
  <c r="K14" i="6"/>
  <c r="JT14" i="6" s="1"/>
  <c r="J14" i="6"/>
  <c r="G14" i="6"/>
  <c r="JX13" i="6"/>
  <c r="JW13" i="6"/>
  <c r="JU13" i="6"/>
  <c r="JR13" i="6"/>
  <c r="JN13" i="6"/>
  <c r="JK13" i="6"/>
  <c r="JH13" i="6"/>
  <c r="JP13" i="6" s="1"/>
  <c r="JD13" i="6"/>
  <c r="JD31" i="6" s="1"/>
  <c r="JC13" i="6"/>
  <c r="JA13" i="6"/>
  <c r="IZ13" i="6"/>
  <c r="IW13" i="6"/>
  <c r="IT13" i="6"/>
  <c r="IS13" i="6"/>
  <c r="IQ13" i="6"/>
  <c r="IP13" i="6"/>
  <c r="IN13" i="6"/>
  <c r="IM13" i="6"/>
  <c r="IE13" i="6"/>
  <c r="IB13" i="6"/>
  <c r="HZ13" i="6"/>
  <c r="HY13" i="6"/>
  <c r="HS13" i="6"/>
  <c r="HR13" i="6"/>
  <c r="HQ13" i="6"/>
  <c r="HP13" i="6"/>
  <c r="HM13" i="6"/>
  <c r="HJ13" i="6"/>
  <c r="HI13" i="6"/>
  <c r="HG13" i="6"/>
  <c r="HF13" i="6"/>
  <c r="HD13" i="6"/>
  <c r="HC13" i="6"/>
  <c r="HB13" i="6"/>
  <c r="II13" i="6" s="1"/>
  <c r="GY13" i="6"/>
  <c r="GV13" i="6"/>
  <c r="GS13" i="6"/>
  <c r="GR13" i="6"/>
  <c r="IH13" i="6" s="1"/>
  <c r="GO13" i="6"/>
  <c r="GL13" i="6"/>
  <c r="GI13" i="6"/>
  <c r="GH13" i="6"/>
  <c r="IG13" i="6" s="1"/>
  <c r="GE13" i="6"/>
  <c r="GB13" i="6"/>
  <c r="FY13" i="6"/>
  <c r="FX13" i="6"/>
  <c r="IF13" i="6" s="1"/>
  <c r="FN13" i="6"/>
  <c r="FK13" i="6"/>
  <c r="FH13" i="6"/>
  <c r="FE13" i="6"/>
  <c r="FD13" i="6"/>
  <c r="ID13" i="6" s="1"/>
  <c r="FA13" i="6"/>
  <c r="EX13" i="6"/>
  <c r="EU13" i="6"/>
  <c r="ET13" i="6"/>
  <c r="IC13" i="6" s="1"/>
  <c r="EQ13" i="6"/>
  <c r="EN13" i="6"/>
  <c r="EK13" i="6"/>
  <c r="EJ13" i="6"/>
  <c r="EG13" i="6"/>
  <c r="ED13" i="6"/>
  <c r="EA13" i="6"/>
  <c r="DZ13" i="6"/>
  <c r="IA13" i="6" s="1"/>
  <c r="DW13" i="6"/>
  <c r="DP13" i="6"/>
  <c r="DM13" i="6"/>
  <c r="DG13" i="6"/>
  <c r="DF13" i="6"/>
  <c r="HX13" i="6" s="1"/>
  <c r="CW13" i="6"/>
  <c r="CV13" i="6"/>
  <c r="HW13" i="6" s="1"/>
  <c r="CS13" i="6"/>
  <c r="CM13" i="6"/>
  <c r="CL13" i="6"/>
  <c r="HV13" i="6" s="1"/>
  <c r="CI13" i="6"/>
  <c r="CC13" i="6"/>
  <c r="CB13" i="6"/>
  <c r="HU13" i="6" s="1"/>
  <c r="BY13" i="6"/>
  <c r="BS13" i="6"/>
  <c r="BR13" i="6"/>
  <c r="HT13" i="6" s="1"/>
  <c r="BO13" i="6"/>
  <c r="BI13" i="6"/>
  <c r="BH13" i="6"/>
  <c r="BE13" i="6"/>
  <c r="AY13" i="6"/>
  <c r="AX13" i="6"/>
  <c r="AU13" i="6"/>
  <c r="AO13" i="6"/>
  <c r="AN13" i="6"/>
  <c r="AK13" i="6"/>
  <c r="AE13" i="6"/>
  <c r="DQ13" i="6" s="1"/>
  <c r="AD13" i="6"/>
  <c r="AA13" i="6"/>
  <c r="U13" i="6"/>
  <c r="JQ13" i="6" s="1"/>
  <c r="T13" i="6"/>
  <c r="HO13" i="6" s="1"/>
  <c r="Q13" i="6"/>
  <c r="K13" i="6"/>
  <c r="J13" i="6"/>
  <c r="G13" i="6"/>
  <c r="JX12" i="6"/>
  <c r="JW12" i="6"/>
  <c r="JU12" i="6"/>
  <c r="JT12" i="6"/>
  <c r="JR12" i="6"/>
  <c r="JZ12" i="6" s="1"/>
  <c r="JQ12" i="6"/>
  <c r="JP12" i="6"/>
  <c r="JN12" i="6"/>
  <c r="JK12" i="6"/>
  <c r="JH12" i="6"/>
  <c r="JD12" i="6"/>
  <c r="JC12" i="6"/>
  <c r="JA12" i="6"/>
  <c r="JA31" i="6" s="1"/>
  <c r="IZ12" i="6"/>
  <c r="IW12" i="6"/>
  <c r="IT12" i="6"/>
  <c r="IS12" i="6"/>
  <c r="IQ12" i="6"/>
  <c r="IP12" i="6"/>
  <c r="IN12" i="6"/>
  <c r="IM12" i="6"/>
  <c r="II12" i="6"/>
  <c r="IH12" i="6"/>
  <c r="IG12" i="6"/>
  <c r="HZ12" i="6"/>
  <c r="HU12" i="6"/>
  <c r="HT12" i="6"/>
  <c r="HP12" i="6"/>
  <c r="HM12" i="6"/>
  <c r="HJ12" i="6"/>
  <c r="HI12" i="6"/>
  <c r="HG12" i="6"/>
  <c r="HF12" i="6"/>
  <c r="HD12" i="6"/>
  <c r="HC12" i="6"/>
  <c r="HB12" i="6"/>
  <c r="GR12" i="6"/>
  <c r="GO12" i="6"/>
  <c r="GL12" i="6"/>
  <c r="GI12" i="6"/>
  <c r="GH12" i="6"/>
  <c r="GE12" i="6"/>
  <c r="GB12" i="6"/>
  <c r="FY12" i="6"/>
  <c r="FX12" i="6"/>
  <c r="IF12" i="6" s="1"/>
  <c r="FU12" i="6"/>
  <c r="FR12" i="6"/>
  <c r="FO12" i="6"/>
  <c r="FN12" i="6"/>
  <c r="IE12" i="6" s="1"/>
  <c r="FK12" i="6"/>
  <c r="FH12" i="6"/>
  <c r="FE12" i="6"/>
  <c r="FD12" i="6"/>
  <c r="ID12" i="6" s="1"/>
  <c r="FA12" i="6"/>
  <c r="EX12" i="6"/>
  <c r="EU12" i="6"/>
  <c r="ET12" i="6"/>
  <c r="IC12" i="6" s="1"/>
  <c r="EQ12" i="6"/>
  <c r="EN12" i="6"/>
  <c r="EK12" i="6"/>
  <c r="EJ12" i="6"/>
  <c r="IB12" i="6" s="1"/>
  <c r="EG12" i="6"/>
  <c r="ED12" i="6"/>
  <c r="EA12" i="6"/>
  <c r="DZ12" i="6"/>
  <c r="IA12" i="6" s="1"/>
  <c r="DW12" i="6"/>
  <c r="DQ12" i="6"/>
  <c r="DP12" i="6"/>
  <c r="HY12" i="6" s="1"/>
  <c r="DM12" i="6"/>
  <c r="DG12" i="6"/>
  <c r="DF12" i="6"/>
  <c r="HX12" i="6" s="1"/>
  <c r="CW12" i="6"/>
  <c r="CV12" i="6"/>
  <c r="HW12" i="6" s="1"/>
  <c r="CS12" i="6"/>
  <c r="CM12" i="6"/>
  <c r="CL12" i="6"/>
  <c r="HV12" i="6" s="1"/>
  <c r="CI12" i="6"/>
  <c r="CC12" i="6"/>
  <c r="CB12" i="6"/>
  <c r="BY12" i="6"/>
  <c r="BS12" i="6"/>
  <c r="BR12" i="6"/>
  <c r="BO12" i="6"/>
  <c r="BI12" i="6"/>
  <c r="BH12" i="6"/>
  <c r="HS12" i="6" s="1"/>
  <c r="BE12" i="6"/>
  <c r="AY12" i="6"/>
  <c r="AX12" i="6"/>
  <c r="HR12" i="6" s="1"/>
  <c r="AU12" i="6"/>
  <c r="AO12" i="6"/>
  <c r="AN12" i="6"/>
  <c r="HQ12" i="6" s="1"/>
  <c r="AK12" i="6"/>
  <c r="AE12" i="6"/>
  <c r="DC12" i="6" s="1"/>
  <c r="AD12" i="6"/>
  <c r="AA12" i="6"/>
  <c r="U12" i="6"/>
  <c r="T12" i="6"/>
  <c r="HO12" i="6" s="1"/>
  <c r="Q12" i="6"/>
  <c r="K12" i="6"/>
  <c r="JM12" i="6" s="1"/>
  <c r="J12" i="6"/>
  <c r="HN12" i="6" s="1"/>
  <c r="G12" i="6"/>
  <c r="JX11" i="6"/>
  <c r="JW11" i="6"/>
  <c r="JU11" i="6"/>
  <c r="JT11" i="6"/>
  <c r="JR11" i="6"/>
  <c r="JN11" i="6"/>
  <c r="JM11" i="6"/>
  <c r="JK11" i="6"/>
  <c r="JJ11" i="6"/>
  <c r="JH11" i="6"/>
  <c r="JD11" i="6"/>
  <c r="JC11" i="6"/>
  <c r="JA11" i="6"/>
  <c r="IZ11" i="6"/>
  <c r="IW11" i="6"/>
  <c r="IT11" i="6"/>
  <c r="IS11" i="6"/>
  <c r="IQ11" i="6"/>
  <c r="IQ31" i="6" s="1"/>
  <c r="IP11" i="6"/>
  <c r="IN11" i="6"/>
  <c r="IM11" i="6"/>
  <c r="II11" i="6"/>
  <c r="IH11" i="6"/>
  <c r="IG11" i="6"/>
  <c r="IF11" i="6"/>
  <c r="ID11" i="6"/>
  <c r="IC11" i="6"/>
  <c r="IB11" i="6"/>
  <c r="HZ11" i="6"/>
  <c r="HV11" i="6"/>
  <c r="HM11" i="6"/>
  <c r="HJ11" i="6"/>
  <c r="HI11" i="6"/>
  <c r="HG11" i="6"/>
  <c r="HF11" i="6"/>
  <c r="HD11" i="6"/>
  <c r="HC11" i="6"/>
  <c r="HB11" i="6"/>
  <c r="GR11" i="6"/>
  <c r="GH11" i="6"/>
  <c r="GE11" i="6"/>
  <c r="FY11" i="6"/>
  <c r="FX11" i="6"/>
  <c r="FU11" i="6"/>
  <c r="FR11" i="6"/>
  <c r="FO11" i="6"/>
  <c r="FN11" i="6"/>
  <c r="IE11" i="6" s="1"/>
  <c r="FK11" i="6"/>
  <c r="FH11" i="6"/>
  <c r="FE11" i="6"/>
  <c r="FD11" i="6"/>
  <c r="FA11" i="6"/>
  <c r="EX11" i="6"/>
  <c r="EU11" i="6"/>
  <c r="ET11" i="6"/>
  <c r="EQ11" i="6"/>
  <c r="EN11" i="6"/>
  <c r="EK11" i="6"/>
  <c r="EJ11" i="6"/>
  <c r="EG11" i="6"/>
  <c r="ED11" i="6"/>
  <c r="EA11" i="6"/>
  <c r="DZ11" i="6"/>
  <c r="IA11" i="6" s="1"/>
  <c r="DP11" i="6"/>
  <c r="HY11" i="6" s="1"/>
  <c r="DM11" i="6"/>
  <c r="DG11" i="6"/>
  <c r="DF11" i="6"/>
  <c r="HX11" i="6" s="1"/>
  <c r="CW11" i="6"/>
  <c r="CV11" i="6"/>
  <c r="CS11" i="6"/>
  <c r="CM11" i="6"/>
  <c r="CL11" i="6"/>
  <c r="CI11" i="6"/>
  <c r="CC11" i="6"/>
  <c r="CB11" i="6"/>
  <c r="HU11" i="6" s="1"/>
  <c r="BY11" i="6"/>
  <c r="BS11" i="6"/>
  <c r="BR11" i="6"/>
  <c r="HT11" i="6" s="1"/>
  <c r="BO11" i="6"/>
  <c r="BI11" i="6"/>
  <c r="BH11" i="6"/>
  <c r="BE11" i="6"/>
  <c r="AY11" i="6"/>
  <c r="AX11" i="6"/>
  <c r="HR11" i="6" s="1"/>
  <c r="AU11" i="6"/>
  <c r="AO11" i="6"/>
  <c r="AN11" i="6"/>
  <c r="HQ11" i="6" s="1"/>
  <c r="AK11" i="6"/>
  <c r="AE11" i="6"/>
  <c r="DC11" i="6" s="1"/>
  <c r="AD11" i="6"/>
  <c r="HP11" i="6" s="1"/>
  <c r="AA11" i="6"/>
  <c r="U11" i="6"/>
  <c r="T11" i="6"/>
  <c r="Q11" i="6"/>
  <c r="K11" i="6"/>
  <c r="JG11" i="6" s="1"/>
  <c r="J11" i="6"/>
  <c r="HN11" i="6" s="1"/>
  <c r="G11" i="6"/>
  <c r="HM8" i="6"/>
  <c r="JF31" i="8"/>
  <c r="IV31" i="8"/>
  <c r="ID31" i="8"/>
  <c r="IC31" i="8"/>
  <c r="IB31" i="8"/>
  <c r="GZ31" i="8"/>
  <c r="GW31" i="8"/>
  <c r="GT31" i="8"/>
  <c r="GP31" i="8"/>
  <c r="GM31" i="8"/>
  <c r="GJ31" i="8"/>
  <c r="GF31" i="8"/>
  <c r="GC31" i="8"/>
  <c r="FZ31" i="8"/>
  <c r="FV31" i="8"/>
  <c r="FS31" i="8"/>
  <c r="FP31" i="8"/>
  <c r="FL31" i="8"/>
  <c r="FI31" i="8"/>
  <c r="FF31" i="8"/>
  <c r="FB31" i="8"/>
  <c r="EY31" i="8"/>
  <c r="EV31" i="8"/>
  <c r="ER31" i="8"/>
  <c r="EO31" i="8"/>
  <c r="EL31" i="8"/>
  <c r="EH31" i="8"/>
  <c r="EE31" i="8"/>
  <c r="EB31" i="8"/>
  <c r="DX31" i="8"/>
  <c r="DU31" i="8"/>
  <c r="DR31" i="8"/>
  <c r="DN31" i="8"/>
  <c r="DK31" i="8"/>
  <c r="DH31" i="8"/>
  <c r="DD31" i="8"/>
  <c r="DA31" i="8"/>
  <c r="CX31" i="8"/>
  <c r="CT31" i="8"/>
  <c r="CQ31" i="8"/>
  <c r="CN31" i="8"/>
  <c r="CJ31" i="8"/>
  <c r="CG31" i="8"/>
  <c r="CD31" i="8"/>
  <c r="BZ31" i="8"/>
  <c r="BW31" i="8"/>
  <c r="BT31" i="8"/>
  <c r="BP31" i="8"/>
  <c r="BM31" i="8"/>
  <c r="BJ31" i="8"/>
  <c r="BF31" i="8"/>
  <c r="BC31" i="8"/>
  <c r="AZ31" i="8"/>
  <c r="AV31" i="8"/>
  <c r="AS31" i="8"/>
  <c r="AP31" i="8"/>
  <c r="AL31" i="8"/>
  <c r="AI31" i="8"/>
  <c r="AF31" i="8"/>
  <c r="AB31" i="8"/>
  <c r="Y31" i="8"/>
  <c r="V31" i="8"/>
  <c r="R31" i="8"/>
  <c r="O31" i="8"/>
  <c r="L31" i="8"/>
  <c r="H31" i="8"/>
  <c r="E31" i="8"/>
  <c r="B31" i="8"/>
  <c r="JX29" i="8"/>
  <c r="JW29" i="8"/>
  <c r="JU29" i="8"/>
  <c r="JT29" i="8"/>
  <c r="JR29" i="8"/>
  <c r="JQ29" i="8"/>
  <c r="JN29" i="8"/>
  <c r="JM29" i="8"/>
  <c r="JK29" i="8"/>
  <c r="JJ29" i="8"/>
  <c r="JH29" i="8"/>
  <c r="JD29" i="8"/>
  <c r="JC29" i="8"/>
  <c r="JA29" i="8"/>
  <c r="IZ29" i="8"/>
  <c r="IX29" i="8"/>
  <c r="IW29" i="8"/>
  <c r="IT29" i="8"/>
  <c r="IS29" i="8"/>
  <c r="IQ29" i="8"/>
  <c r="IP29" i="8"/>
  <c r="IN29" i="8"/>
  <c r="IM29" i="8"/>
  <c r="IH29" i="8"/>
  <c r="ID29" i="8"/>
  <c r="HZ29" i="8"/>
  <c r="HV29" i="8"/>
  <c r="HT29" i="8"/>
  <c r="HS29" i="8"/>
  <c r="HP29" i="8"/>
  <c r="HO29" i="8"/>
  <c r="HN29" i="8"/>
  <c r="HM29" i="8"/>
  <c r="HJ29" i="8"/>
  <c r="HI29" i="8"/>
  <c r="HG29" i="8"/>
  <c r="HF29" i="8"/>
  <c r="HD29" i="8"/>
  <c r="HC29" i="8"/>
  <c r="HB29" i="8"/>
  <c r="II29" i="8" s="1"/>
  <c r="GR29" i="8"/>
  <c r="GH29" i="8"/>
  <c r="IG29" i="8" s="1"/>
  <c r="GE29" i="8"/>
  <c r="GB29" i="8"/>
  <c r="FY29" i="8"/>
  <c r="FX29" i="8"/>
  <c r="IF29" i="8" s="1"/>
  <c r="FU29" i="8"/>
  <c r="FR29" i="8"/>
  <c r="FO29" i="8"/>
  <c r="FN29" i="8"/>
  <c r="IE29" i="8" s="1"/>
  <c r="FK29" i="8"/>
  <c r="FH29" i="8"/>
  <c r="FE29" i="8"/>
  <c r="FD29" i="8"/>
  <c r="FA29" i="8"/>
  <c r="EX29" i="8"/>
  <c r="EU29" i="8"/>
  <c r="ET29" i="8"/>
  <c r="IC29" i="8" s="1"/>
  <c r="EQ29" i="8"/>
  <c r="EN29" i="8"/>
  <c r="EK29" i="8"/>
  <c r="EJ29" i="8"/>
  <c r="IB29" i="8" s="1"/>
  <c r="EG29" i="8"/>
  <c r="ED29" i="8"/>
  <c r="EA29" i="8"/>
  <c r="DZ29" i="8"/>
  <c r="IA29" i="8" s="1"/>
  <c r="DP29" i="8"/>
  <c r="HY29" i="8" s="1"/>
  <c r="DM29" i="8"/>
  <c r="DG29" i="8"/>
  <c r="DF29" i="8"/>
  <c r="HX29" i="8" s="1"/>
  <c r="DC29" i="8"/>
  <c r="CW29" i="8"/>
  <c r="CV29" i="8"/>
  <c r="HW29" i="8" s="1"/>
  <c r="CS29" i="8"/>
  <c r="CM29" i="8"/>
  <c r="CL29" i="8"/>
  <c r="CI29" i="8"/>
  <c r="CC29" i="8"/>
  <c r="CB29" i="8"/>
  <c r="HU29" i="8" s="1"/>
  <c r="BY29" i="8"/>
  <c r="BS29" i="8"/>
  <c r="BR29" i="8"/>
  <c r="BO29" i="8"/>
  <c r="BI29" i="8"/>
  <c r="BH29" i="8"/>
  <c r="BE29" i="8"/>
  <c r="AY29" i="8"/>
  <c r="AX29" i="8"/>
  <c r="HR29" i="8" s="1"/>
  <c r="AU29" i="8"/>
  <c r="AO29" i="8"/>
  <c r="GV29" i="8" s="1"/>
  <c r="AN29" i="8"/>
  <c r="HQ29" i="8" s="1"/>
  <c r="AK29" i="8"/>
  <c r="AE29" i="8"/>
  <c r="AD29" i="8"/>
  <c r="AA29" i="8"/>
  <c r="U29" i="8"/>
  <c r="T29" i="8"/>
  <c r="Q29" i="8"/>
  <c r="K29" i="8"/>
  <c r="JG29" i="8" s="1"/>
  <c r="J29" i="8"/>
  <c r="G29" i="8"/>
  <c r="JX28" i="8"/>
  <c r="JU28" i="8"/>
  <c r="JT28" i="8"/>
  <c r="JR28" i="8"/>
  <c r="JN28" i="8"/>
  <c r="JK28" i="8"/>
  <c r="JH28" i="8"/>
  <c r="JD28" i="8"/>
  <c r="JC28" i="8"/>
  <c r="JA28" i="8"/>
  <c r="IZ28" i="8"/>
  <c r="IX28" i="8"/>
  <c r="IW28" i="8"/>
  <c r="IT28" i="8"/>
  <c r="IS28" i="8"/>
  <c r="IQ28" i="8"/>
  <c r="IP28" i="8"/>
  <c r="IN28" i="8"/>
  <c r="IM28" i="8"/>
  <c r="IH28" i="8"/>
  <c r="IG28" i="8"/>
  <c r="IC28" i="8"/>
  <c r="IB28" i="8"/>
  <c r="IA28" i="8"/>
  <c r="HZ28" i="8"/>
  <c r="HT28" i="8"/>
  <c r="HO28" i="8"/>
  <c r="HM28" i="8"/>
  <c r="HJ28" i="8"/>
  <c r="HI28" i="8"/>
  <c r="HG28" i="8"/>
  <c r="HF28" i="8"/>
  <c r="HD28" i="8"/>
  <c r="HC28" i="8"/>
  <c r="HB28" i="8"/>
  <c r="II28" i="8" s="1"/>
  <c r="GY28" i="8"/>
  <c r="GV28" i="8"/>
  <c r="GR28" i="8"/>
  <c r="GH28" i="8"/>
  <c r="FX28" i="8"/>
  <c r="IF28" i="8" s="1"/>
  <c r="FU28" i="8"/>
  <c r="FN28" i="8"/>
  <c r="IE28" i="8" s="1"/>
  <c r="FK28" i="8"/>
  <c r="FH28" i="8"/>
  <c r="FE28" i="8"/>
  <c r="FD28" i="8"/>
  <c r="ID28" i="8" s="1"/>
  <c r="FA28" i="8"/>
  <c r="EX28" i="8"/>
  <c r="EU28" i="8"/>
  <c r="ET28" i="8"/>
  <c r="EQ28" i="8"/>
  <c r="EN28" i="8"/>
  <c r="EK28" i="8"/>
  <c r="EJ28" i="8"/>
  <c r="EG28" i="8"/>
  <c r="ED28" i="8"/>
  <c r="EA28" i="8"/>
  <c r="DZ28" i="8"/>
  <c r="DQ28" i="8"/>
  <c r="DP28" i="8"/>
  <c r="HY28" i="8" s="1"/>
  <c r="DM28" i="8"/>
  <c r="DG28" i="8"/>
  <c r="DF28" i="8"/>
  <c r="HX28" i="8" s="1"/>
  <c r="DC28" i="8"/>
  <c r="CW28" i="8"/>
  <c r="CV28" i="8"/>
  <c r="HW28" i="8" s="1"/>
  <c r="CS28" i="8"/>
  <c r="CM28" i="8"/>
  <c r="CL28" i="8"/>
  <c r="HV28" i="8" s="1"/>
  <c r="CI28" i="8"/>
  <c r="CC28" i="8"/>
  <c r="CB28" i="8"/>
  <c r="HU28" i="8" s="1"/>
  <c r="BY28" i="8"/>
  <c r="BS28" i="8"/>
  <c r="BR28" i="8"/>
  <c r="BO28" i="8"/>
  <c r="BI28" i="8"/>
  <c r="BH28" i="8"/>
  <c r="HS28" i="8" s="1"/>
  <c r="BE28" i="8"/>
  <c r="AY28" i="8"/>
  <c r="AX28" i="8"/>
  <c r="HR28" i="8" s="1"/>
  <c r="AU28" i="8"/>
  <c r="AO28" i="8"/>
  <c r="GS28" i="8" s="1"/>
  <c r="AN28" i="8"/>
  <c r="HQ28" i="8" s="1"/>
  <c r="AK28" i="8"/>
  <c r="AE28" i="8"/>
  <c r="AD28" i="8"/>
  <c r="HP28" i="8" s="1"/>
  <c r="AA28" i="8"/>
  <c r="U28" i="8"/>
  <c r="T28" i="8"/>
  <c r="Q28" i="8"/>
  <c r="K28" i="8"/>
  <c r="J28" i="8"/>
  <c r="G28" i="8"/>
  <c r="JX27" i="8"/>
  <c r="JU27" i="8"/>
  <c r="JR27" i="8"/>
  <c r="JZ27" i="8" s="1"/>
  <c r="JN27" i="8"/>
  <c r="JM27" i="8"/>
  <c r="JK27" i="8"/>
  <c r="JH27" i="8"/>
  <c r="JP27" i="8" s="1"/>
  <c r="JG27" i="8"/>
  <c r="JD27" i="8"/>
  <c r="JC27" i="8"/>
  <c r="JA27" i="8"/>
  <c r="IZ27" i="8"/>
  <c r="IX27" i="8"/>
  <c r="IW27" i="8"/>
  <c r="IT27" i="8"/>
  <c r="IS27" i="8"/>
  <c r="IQ27" i="8"/>
  <c r="IP27" i="8"/>
  <c r="IN27" i="8"/>
  <c r="IM27" i="8"/>
  <c r="IE27" i="8"/>
  <c r="IB27" i="8"/>
  <c r="IA27" i="8"/>
  <c r="HZ27" i="8"/>
  <c r="HY27" i="8"/>
  <c r="HW27" i="8"/>
  <c r="HV27" i="8"/>
  <c r="HM27" i="8"/>
  <c r="HJ27" i="8"/>
  <c r="HI27" i="8"/>
  <c r="HG27" i="8"/>
  <c r="HF27" i="8"/>
  <c r="HD27" i="8"/>
  <c r="HC27" i="8"/>
  <c r="HB27" i="8"/>
  <c r="II27" i="8" s="1"/>
  <c r="GY27" i="8"/>
  <c r="GV27" i="8"/>
  <c r="GS27" i="8"/>
  <c r="GR27" i="8"/>
  <c r="IH27" i="8" s="1"/>
  <c r="GH27" i="8"/>
  <c r="IG27" i="8" s="1"/>
  <c r="FX27" i="8"/>
  <c r="IF27" i="8" s="1"/>
  <c r="FN27" i="8"/>
  <c r="FK27" i="8"/>
  <c r="FH27" i="8"/>
  <c r="FE27" i="8"/>
  <c r="FD27" i="8"/>
  <c r="ID27" i="8" s="1"/>
  <c r="FA27" i="8"/>
  <c r="EX27" i="8"/>
  <c r="EU27" i="8"/>
  <c r="ET27" i="8"/>
  <c r="IC27" i="8" s="1"/>
  <c r="EQ27" i="8"/>
  <c r="EN27" i="8"/>
  <c r="EK27" i="8"/>
  <c r="EJ27" i="8"/>
  <c r="EG27" i="8"/>
  <c r="ED27" i="8"/>
  <c r="EA27" i="8"/>
  <c r="DZ27" i="8"/>
  <c r="DP27" i="8"/>
  <c r="DM27" i="8"/>
  <c r="DG27" i="8"/>
  <c r="DF27" i="8"/>
  <c r="HX27" i="8" s="1"/>
  <c r="DC27" i="8"/>
  <c r="CW27" i="8"/>
  <c r="CV27" i="8"/>
  <c r="CS27" i="8"/>
  <c r="CM27" i="8"/>
  <c r="CL27" i="8"/>
  <c r="CI27" i="8"/>
  <c r="CC27" i="8"/>
  <c r="CB27" i="8"/>
  <c r="HU27" i="8" s="1"/>
  <c r="BY27" i="8"/>
  <c r="BS27" i="8"/>
  <c r="BR27" i="8"/>
  <c r="HT27" i="8" s="1"/>
  <c r="BO27" i="8"/>
  <c r="BI27" i="8"/>
  <c r="BH27" i="8"/>
  <c r="HS27" i="8" s="1"/>
  <c r="BE27" i="8"/>
  <c r="AY27" i="8"/>
  <c r="AX27" i="8"/>
  <c r="HR27" i="8" s="1"/>
  <c r="AU27" i="8"/>
  <c r="AO27" i="8"/>
  <c r="AN27" i="8"/>
  <c r="HQ27" i="8" s="1"/>
  <c r="AK27" i="8"/>
  <c r="AE27" i="8"/>
  <c r="AD27" i="8"/>
  <c r="HP27" i="8" s="1"/>
  <c r="AA27" i="8"/>
  <c r="U27" i="8"/>
  <c r="GE27" i="8" s="1"/>
  <c r="T27" i="8"/>
  <c r="HO27" i="8" s="1"/>
  <c r="Q27" i="8"/>
  <c r="K27" i="8"/>
  <c r="JT27" i="8" s="1"/>
  <c r="J27" i="8"/>
  <c r="G27" i="8"/>
  <c r="JX26" i="8"/>
  <c r="JW26" i="8"/>
  <c r="JU26" i="8"/>
  <c r="JR26" i="8"/>
  <c r="JN26" i="8"/>
  <c r="JK26" i="8"/>
  <c r="JH26" i="8"/>
  <c r="JP26" i="8" s="1"/>
  <c r="JD26" i="8"/>
  <c r="JC26" i="8"/>
  <c r="JA26" i="8"/>
  <c r="IZ26" i="8"/>
  <c r="IX26" i="8"/>
  <c r="IW26" i="8"/>
  <c r="IT26" i="8"/>
  <c r="IS26" i="8"/>
  <c r="IQ26" i="8"/>
  <c r="IP26" i="8"/>
  <c r="IN26" i="8"/>
  <c r="IM26" i="8"/>
  <c r="IA26" i="8"/>
  <c r="HZ26" i="8"/>
  <c r="HY26" i="8"/>
  <c r="HT26" i="8"/>
  <c r="HS26" i="8"/>
  <c r="HR26" i="8"/>
  <c r="HO26" i="8"/>
  <c r="HM26" i="8"/>
  <c r="HJ26" i="8"/>
  <c r="HI26" i="8"/>
  <c r="HG26" i="8"/>
  <c r="HF26" i="8"/>
  <c r="HD26" i="8"/>
  <c r="HC26" i="8"/>
  <c r="HB26" i="8"/>
  <c r="II26" i="8" s="1"/>
  <c r="GY26" i="8"/>
  <c r="GV26" i="8"/>
  <c r="GS26" i="8"/>
  <c r="GR26" i="8"/>
  <c r="IH26" i="8" s="1"/>
  <c r="GO26" i="8"/>
  <c r="GL26" i="8"/>
  <c r="GI26" i="8"/>
  <c r="GH26" i="8"/>
  <c r="IG26" i="8" s="1"/>
  <c r="GE26" i="8"/>
  <c r="GB26" i="8"/>
  <c r="FY26" i="8"/>
  <c r="FX26" i="8"/>
  <c r="IF26" i="8" s="1"/>
  <c r="FN26" i="8"/>
  <c r="IE26" i="8" s="1"/>
  <c r="FK26" i="8"/>
  <c r="FH26" i="8"/>
  <c r="FE26" i="8"/>
  <c r="FD26" i="8"/>
  <c r="ID26" i="8" s="1"/>
  <c r="FA26" i="8"/>
  <c r="EX26" i="8"/>
  <c r="EU26" i="8"/>
  <c r="ET26" i="8"/>
  <c r="IC26" i="8" s="1"/>
  <c r="EQ26" i="8"/>
  <c r="EN26" i="8"/>
  <c r="EK26" i="8"/>
  <c r="EJ26" i="8"/>
  <c r="IB26" i="8" s="1"/>
  <c r="EG26" i="8"/>
  <c r="ED26" i="8"/>
  <c r="EA26" i="8"/>
  <c r="DZ26" i="8"/>
  <c r="DW26" i="8"/>
  <c r="DQ26" i="8"/>
  <c r="DP26" i="8"/>
  <c r="DM26" i="8"/>
  <c r="DG26" i="8"/>
  <c r="DF26" i="8"/>
  <c r="HX26" i="8" s="1"/>
  <c r="DC26" i="8"/>
  <c r="CW26" i="8"/>
  <c r="CV26" i="8"/>
  <c r="HW26" i="8" s="1"/>
  <c r="CS26" i="8"/>
  <c r="CM26" i="8"/>
  <c r="CL26" i="8"/>
  <c r="HV26" i="8" s="1"/>
  <c r="CI26" i="8"/>
  <c r="CC26" i="8"/>
  <c r="CB26" i="8"/>
  <c r="HU26" i="8" s="1"/>
  <c r="BY26" i="8"/>
  <c r="BS26" i="8"/>
  <c r="BR26" i="8"/>
  <c r="BO26" i="8"/>
  <c r="BI26" i="8"/>
  <c r="BH26" i="8"/>
  <c r="BE26" i="8"/>
  <c r="AY26" i="8"/>
  <c r="AX26" i="8"/>
  <c r="AU26" i="8"/>
  <c r="AO26" i="8"/>
  <c r="AN26" i="8"/>
  <c r="HQ26" i="8" s="1"/>
  <c r="AK26" i="8"/>
  <c r="AE26" i="8"/>
  <c r="AD26" i="8"/>
  <c r="HP26" i="8" s="1"/>
  <c r="AA26" i="8"/>
  <c r="U26" i="8"/>
  <c r="JQ26" i="8" s="1"/>
  <c r="T26" i="8"/>
  <c r="Q26" i="8"/>
  <c r="K26" i="8"/>
  <c r="J26" i="8"/>
  <c r="HN26" i="8" s="1"/>
  <c r="G26" i="8"/>
  <c r="JX25" i="8"/>
  <c r="JW25" i="8"/>
  <c r="JU25" i="8"/>
  <c r="JT25" i="8"/>
  <c r="JR25" i="8"/>
  <c r="JQ25" i="8"/>
  <c r="JN25" i="8"/>
  <c r="JM25" i="8"/>
  <c r="JK25" i="8"/>
  <c r="JH25" i="8"/>
  <c r="JG25" i="8"/>
  <c r="JD25" i="8"/>
  <c r="JC25" i="8"/>
  <c r="JA25" i="8"/>
  <c r="IZ25" i="8"/>
  <c r="IX25" i="8"/>
  <c r="IW25" i="8"/>
  <c r="IT25" i="8"/>
  <c r="IS25" i="8"/>
  <c r="IQ25" i="8"/>
  <c r="IP25" i="8"/>
  <c r="IN25" i="8"/>
  <c r="IM25" i="8"/>
  <c r="II25" i="8"/>
  <c r="IH25" i="8"/>
  <c r="IG25" i="8"/>
  <c r="ID25" i="8"/>
  <c r="HZ25" i="8"/>
  <c r="HQ25" i="8"/>
  <c r="HP25" i="8"/>
  <c r="HO25" i="8"/>
  <c r="HM25" i="8"/>
  <c r="HJ25" i="8"/>
  <c r="HI25" i="8"/>
  <c r="HG25" i="8"/>
  <c r="HF25" i="8"/>
  <c r="HD25" i="8"/>
  <c r="HC25" i="8"/>
  <c r="HB25" i="8"/>
  <c r="GR25" i="8"/>
  <c r="GH25" i="8"/>
  <c r="GE25" i="8"/>
  <c r="GB25" i="8"/>
  <c r="FY25" i="8"/>
  <c r="FX25" i="8"/>
  <c r="IF25" i="8" s="1"/>
  <c r="FU25" i="8"/>
  <c r="FR25" i="8"/>
  <c r="FO25" i="8"/>
  <c r="FN25" i="8"/>
  <c r="IE25" i="8" s="1"/>
  <c r="FK25" i="8"/>
  <c r="FH25" i="8"/>
  <c r="FE25" i="8"/>
  <c r="FD25" i="8"/>
  <c r="FA25" i="8"/>
  <c r="EX25" i="8"/>
  <c r="EU25" i="8"/>
  <c r="ET25" i="8"/>
  <c r="IC25" i="8" s="1"/>
  <c r="EQ25" i="8"/>
  <c r="EN25" i="8"/>
  <c r="EK25" i="8"/>
  <c r="EJ25" i="8"/>
  <c r="IB25" i="8" s="1"/>
  <c r="EG25" i="8"/>
  <c r="ED25" i="8"/>
  <c r="EA25" i="8"/>
  <c r="DZ25" i="8"/>
  <c r="IA25" i="8" s="1"/>
  <c r="DP25" i="8"/>
  <c r="HY25" i="8" s="1"/>
  <c r="DM25" i="8"/>
  <c r="DG25" i="8"/>
  <c r="DF25" i="8"/>
  <c r="HX25" i="8" s="1"/>
  <c r="DC25" i="8"/>
  <c r="CW25" i="8"/>
  <c r="CV25" i="8"/>
  <c r="HW25" i="8" s="1"/>
  <c r="CS25" i="8"/>
  <c r="CM25" i="8"/>
  <c r="CL25" i="8"/>
  <c r="HV25" i="8" s="1"/>
  <c r="CI25" i="8"/>
  <c r="CC25" i="8"/>
  <c r="CB25" i="8"/>
  <c r="HU25" i="8" s="1"/>
  <c r="BY25" i="8"/>
  <c r="BS25" i="8"/>
  <c r="BR25" i="8"/>
  <c r="HT25" i="8" s="1"/>
  <c r="BO25" i="8"/>
  <c r="BI25" i="8"/>
  <c r="BH25" i="8"/>
  <c r="HS25" i="8" s="1"/>
  <c r="BE25" i="8"/>
  <c r="AY25" i="8"/>
  <c r="AX25" i="8"/>
  <c r="HR25" i="8" s="1"/>
  <c r="AU25" i="8"/>
  <c r="AO25" i="8"/>
  <c r="AN25" i="8"/>
  <c r="AK25" i="8"/>
  <c r="AE25" i="8"/>
  <c r="AD25" i="8"/>
  <c r="AA25" i="8"/>
  <c r="U25" i="8"/>
  <c r="T25" i="8"/>
  <c r="Q25" i="8"/>
  <c r="K25" i="8"/>
  <c r="JJ25" i="8" s="1"/>
  <c r="J25" i="8"/>
  <c r="HN25" i="8" s="1"/>
  <c r="G25" i="8"/>
  <c r="JX24" i="8"/>
  <c r="JU24" i="8"/>
  <c r="JT24" i="8"/>
  <c r="JR24" i="8"/>
  <c r="JZ24" i="8" s="1"/>
  <c r="JN24" i="8"/>
  <c r="JM24" i="8"/>
  <c r="JK24" i="8"/>
  <c r="JJ24" i="8"/>
  <c r="JH24" i="8"/>
  <c r="JG24" i="8"/>
  <c r="JD24" i="8"/>
  <c r="JC24" i="8"/>
  <c r="JA24" i="8"/>
  <c r="IZ24" i="8"/>
  <c r="IX24" i="8"/>
  <c r="IW24" i="8"/>
  <c r="IT24" i="8"/>
  <c r="IS24" i="8"/>
  <c r="IQ24" i="8"/>
  <c r="IP24" i="8"/>
  <c r="IN24" i="8"/>
  <c r="IM24" i="8"/>
  <c r="IH24" i="8"/>
  <c r="IG24" i="8"/>
  <c r="IF24" i="8"/>
  <c r="IE24" i="8"/>
  <c r="IC24" i="8"/>
  <c r="IB24" i="8"/>
  <c r="IA24" i="8"/>
  <c r="HZ24" i="8"/>
  <c r="HP24" i="8"/>
  <c r="HN24" i="8"/>
  <c r="HM24" i="8"/>
  <c r="HJ24" i="8"/>
  <c r="HI24" i="8"/>
  <c r="HG24" i="8"/>
  <c r="HF24" i="8"/>
  <c r="HD24" i="8"/>
  <c r="HC24" i="8"/>
  <c r="HB24" i="8"/>
  <c r="II24" i="8" s="1"/>
  <c r="GR24" i="8"/>
  <c r="GH24" i="8"/>
  <c r="FX24" i="8"/>
  <c r="FU24" i="8"/>
  <c r="FR24" i="8"/>
  <c r="FO24" i="8"/>
  <c r="FN24" i="8"/>
  <c r="FK24" i="8"/>
  <c r="FH24" i="8"/>
  <c r="FE24" i="8"/>
  <c r="FD24" i="8"/>
  <c r="ID24" i="8" s="1"/>
  <c r="FA24" i="8"/>
  <c r="EX24" i="8"/>
  <c r="EU24" i="8"/>
  <c r="ET24" i="8"/>
  <c r="EQ24" i="8"/>
  <c r="EN24" i="8"/>
  <c r="EK24" i="8"/>
  <c r="EJ24" i="8"/>
  <c r="EG24" i="8"/>
  <c r="ED24" i="8"/>
  <c r="EA24" i="8"/>
  <c r="DZ24" i="8"/>
  <c r="DP24" i="8"/>
  <c r="HY24" i="8" s="1"/>
  <c r="DM24" i="8"/>
  <c r="DG24" i="8"/>
  <c r="DF24" i="8"/>
  <c r="HX24" i="8" s="1"/>
  <c r="DC24" i="8"/>
  <c r="CW24" i="8"/>
  <c r="CV24" i="8"/>
  <c r="HW24" i="8" s="1"/>
  <c r="CS24" i="8"/>
  <c r="CM24" i="8"/>
  <c r="CL24" i="8"/>
  <c r="HV24" i="8" s="1"/>
  <c r="CI24" i="8"/>
  <c r="CC24" i="8"/>
  <c r="CB24" i="8"/>
  <c r="HU24" i="8" s="1"/>
  <c r="BY24" i="8"/>
  <c r="BS24" i="8"/>
  <c r="BR24" i="8"/>
  <c r="HT24" i="8" s="1"/>
  <c r="BO24" i="8"/>
  <c r="BI24" i="8"/>
  <c r="BH24" i="8"/>
  <c r="HS24" i="8" s="1"/>
  <c r="BE24" i="8"/>
  <c r="AY24" i="8"/>
  <c r="AX24" i="8"/>
  <c r="HR24" i="8" s="1"/>
  <c r="AU24" i="8"/>
  <c r="AO24" i="8"/>
  <c r="AN24" i="8"/>
  <c r="AK24" i="8"/>
  <c r="AE24" i="8"/>
  <c r="AD24" i="8"/>
  <c r="AA24" i="8"/>
  <c r="U24" i="8"/>
  <c r="T24" i="8"/>
  <c r="HO24" i="8" s="1"/>
  <c r="Q24" i="8"/>
  <c r="K24" i="8"/>
  <c r="J24" i="8"/>
  <c r="G24" i="8"/>
  <c r="JX23" i="8"/>
  <c r="JU23" i="8"/>
  <c r="JR23" i="8"/>
  <c r="JZ23" i="8" s="1"/>
  <c r="JN23" i="8"/>
  <c r="JK23" i="8"/>
  <c r="JH23" i="8"/>
  <c r="JD23" i="8"/>
  <c r="JC23" i="8"/>
  <c r="JA23" i="8"/>
  <c r="IZ23" i="8"/>
  <c r="IX23" i="8"/>
  <c r="IW23" i="8"/>
  <c r="IT23" i="8"/>
  <c r="IS23" i="8"/>
  <c r="IQ23" i="8"/>
  <c r="IP23" i="8"/>
  <c r="IN23" i="8"/>
  <c r="IM23" i="8"/>
  <c r="IH23" i="8"/>
  <c r="IG23" i="8"/>
  <c r="IF23" i="8"/>
  <c r="IB23" i="8"/>
  <c r="IA23" i="8"/>
  <c r="HZ23" i="8"/>
  <c r="HY23" i="8"/>
  <c r="HW23" i="8"/>
  <c r="HM23" i="8"/>
  <c r="HJ23" i="8"/>
  <c r="HI23" i="8"/>
  <c r="HG23" i="8"/>
  <c r="HF23" i="8"/>
  <c r="HD23" i="8"/>
  <c r="HC23" i="8"/>
  <c r="HB23" i="8"/>
  <c r="II23" i="8" s="1"/>
  <c r="GY23" i="8"/>
  <c r="GV23" i="8"/>
  <c r="GS23" i="8"/>
  <c r="GR23" i="8"/>
  <c r="GO23" i="8"/>
  <c r="GH23" i="8"/>
  <c r="FX23" i="8"/>
  <c r="FN23" i="8"/>
  <c r="IE23" i="8" s="1"/>
  <c r="FK23" i="8"/>
  <c r="FH23" i="8"/>
  <c r="FE23" i="8"/>
  <c r="FD23" i="8"/>
  <c r="ID23" i="8" s="1"/>
  <c r="FA23" i="8"/>
  <c r="EX23" i="8"/>
  <c r="EU23" i="8"/>
  <c r="ET23" i="8"/>
  <c r="IC23" i="8" s="1"/>
  <c r="EQ23" i="8"/>
  <c r="EN23" i="8"/>
  <c r="EK23" i="8"/>
  <c r="EJ23" i="8"/>
  <c r="EG23" i="8"/>
  <c r="ED23" i="8"/>
  <c r="EA23" i="8"/>
  <c r="DZ23" i="8"/>
  <c r="DP23" i="8"/>
  <c r="DM23" i="8"/>
  <c r="DG23" i="8"/>
  <c r="DF23" i="8"/>
  <c r="HX23" i="8" s="1"/>
  <c r="DC23" i="8"/>
  <c r="CW23" i="8"/>
  <c r="CV23" i="8"/>
  <c r="CS23" i="8"/>
  <c r="CM23" i="8"/>
  <c r="CL23" i="8"/>
  <c r="HV23" i="8" s="1"/>
  <c r="CI23" i="8"/>
  <c r="CC23" i="8"/>
  <c r="CB23" i="8"/>
  <c r="HU23" i="8" s="1"/>
  <c r="BY23" i="8"/>
  <c r="BS23" i="8"/>
  <c r="BR23" i="8"/>
  <c r="HT23" i="8" s="1"/>
  <c r="BO23" i="8"/>
  <c r="BI23" i="8"/>
  <c r="BH23" i="8"/>
  <c r="HS23" i="8" s="1"/>
  <c r="BE23" i="8"/>
  <c r="AY23" i="8"/>
  <c r="AX23" i="8"/>
  <c r="HR23" i="8" s="1"/>
  <c r="AU23" i="8"/>
  <c r="AO23" i="8"/>
  <c r="AN23" i="8"/>
  <c r="HQ23" i="8" s="1"/>
  <c r="AK23" i="8"/>
  <c r="AE23" i="8"/>
  <c r="GL23" i="8" s="1"/>
  <c r="AD23" i="8"/>
  <c r="HP23" i="8" s="1"/>
  <c r="AA23" i="8"/>
  <c r="U23" i="8"/>
  <c r="T23" i="8"/>
  <c r="HO23" i="8" s="1"/>
  <c r="Q23" i="8"/>
  <c r="K23" i="8"/>
  <c r="J23" i="8"/>
  <c r="HN23" i="8" s="1"/>
  <c r="G23" i="8"/>
  <c r="JX22" i="8"/>
  <c r="JU22" i="8"/>
  <c r="JR22" i="8"/>
  <c r="JN22" i="8"/>
  <c r="JK22" i="8"/>
  <c r="JJ22" i="8"/>
  <c r="JH22" i="8"/>
  <c r="JP22" i="8" s="1"/>
  <c r="JD22" i="8"/>
  <c r="JC22" i="8"/>
  <c r="JA22" i="8"/>
  <c r="IZ22" i="8"/>
  <c r="IX22" i="8"/>
  <c r="IW22" i="8"/>
  <c r="IT22" i="8"/>
  <c r="IS22" i="8"/>
  <c r="IQ22" i="8"/>
  <c r="IP22" i="8"/>
  <c r="IN22" i="8"/>
  <c r="IM22" i="8"/>
  <c r="IF22" i="8"/>
  <c r="IE22" i="8"/>
  <c r="IC22" i="8"/>
  <c r="HZ22" i="8"/>
  <c r="HY22" i="8"/>
  <c r="HR22" i="8"/>
  <c r="HM22" i="8"/>
  <c r="HJ22" i="8"/>
  <c r="HI22" i="8"/>
  <c r="HG22" i="8"/>
  <c r="HF22" i="8"/>
  <c r="HD22" i="8"/>
  <c r="HC22" i="8"/>
  <c r="HB22" i="8"/>
  <c r="II22" i="8" s="1"/>
  <c r="GY22" i="8"/>
  <c r="GV22" i="8"/>
  <c r="GS22" i="8"/>
  <c r="GR22" i="8"/>
  <c r="IH22" i="8" s="1"/>
  <c r="GO22" i="8"/>
  <c r="GL22" i="8"/>
  <c r="GI22" i="8"/>
  <c r="GH22" i="8"/>
  <c r="IG22" i="8" s="1"/>
  <c r="GE22" i="8"/>
  <c r="GB22" i="8"/>
  <c r="FX22" i="8"/>
  <c r="FN22" i="8"/>
  <c r="FK22" i="8"/>
  <c r="FH22" i="8"/>
  <c r="FE22" i="8"/>
  <c r="FD22" i="8"/>
  <c r="ID22" i="8" s="1"/>
  <c r="FA22" i="8"/>
  <c r="EX22" i="8"/>
  <c r="EU22" i="8"/>
  <c r="ET22" i="8"/>
  <c r="EQ22" i="8"/>
  <c r="EN22" i="8"/>
  <c r="EK22" i="8"/>
  <c r="EJ22" i="8"/>
  <c r="IB22" i="8" s="1"/>
  <c r="EG22" i="8"/>
  <c r="ED22" i="8"/>
  <c r="EA22" i="8"/>
  <c r="DZ22" i="8"/>
  <c r="IA22" i="8" s="1"/>
  <c r="DP22" i="8"/>
  <c r="DM22" i="8"/>
  <c r="DG22" i="8"/>
  <c r="DF22" i="8"/>
  <c r="HX22" i="8" s="1"/>
  <c r="DC22" i="8"/>
  <c r="CW22" i="8"/>
  <c r="CV22" i="8"/>
  <c r="HW22" i="8" s="1"/>
  <c r="CS22" i="8"/>
  <c r="CM22" i="8"/>
  <c r="CL22" i="8"/>
  <c r="HV22" i="8" s="1"/>
  <c r="CI22" i="8"/>
  <c r="CC22" i="8"/>
  <c r="CB22" i="8"/>
  <c r="HU22" i="8" s="1"/>
  <c r="BY22" i="8"/>
  <c r="BS22" i="8"/>
  <c r="BR22" i="8"/>
  <c r="HT22" i="8" s="1"/>
  <c r="BO22" i="8"/>
  <c r="BI22" i="8"/>
  <c r="BH22" i="8"/>
  <c r="HS22" i="8" s="1"/>
  <c r="BE22" i="8"/>
  <c r="AY22" i="8"/>
  <c r="AX22" i="8"/>
  <c r="AU22" i="8"/>
  <c r="AO22" i="8"/>
  <c r="AN22" i="8"/>
  <c r="HQ22" i="8" s="1"/>
  <c r="AK22" i="8"/>
  <c r="AE22" i="8"/>
  <c r="DW22" i="8" s="1"/>
  <c r="AD22" i="8"/>
  <c r="HP22" i="8" s="1"/>
  <c r="AA22" i="8"/>
  <c r="U22" i="8"/>
  <c r="T22" i="8"/>
  <c r="HO22" i="8" s="1"/>
  <c r="Q22" i="8"/>
  <c r="K22" i="8"/>
  <c r="J22" i="8"/>
  <c r="G22" i="8"/>
  <c r="JX21" i="8"/>
  <c r="JW21" i="8"/>
  <c r="JU21" i="8"/>
  <c r="JT21" i="8"/>
  <c r="JR21" i="8"/>
  <c r="JZ21" i="8" s="1"/>
  <c r="JQ21" i="8"/>
  <c r="JN21" i="8"/>
  <c r="JK21" i="8"/>
  <c r="JH21" i="8"/>
  <c r="JD21" i="8"/>
  <c r="JC21" i="8"/>
  <c r="JA21" i="8"/>
  <c r="IZ21" i="8"/>
  <c r="IX21" i="8"/>
  <c r="IW21" i="8"/>
  <c r="IT21" i="8"/>
  <c r="IS21" i="8"/>
  <c r="IQ21" i="8"/>
  <c r="IP21" i="8"/>
  <c r="IN21" i="8"/>
  <c r="IM21" i="8"/>
  <c r="IH21" i="8"/>
  <c r="HZ21" i="8"/>
  <c r="HW21" i="8"/>
  <c r="HT21" i="8"/>
  <c r="HS21" i="8"/>
  <c r="HO21" i="8"/>
  <c r="HN21" i="8"/>
  <c r="HM21" i="8"/>
  <c r="HJ21" i="8"/>
  <c r="HI21" i="8"/>
  <c r="HG21" i="8"/>
  <c r="HF21" i="8"/>
  <c r="HD21" i="8"/>
  <c r="HC21" i="8"/>
  <c r="HB21" i="8"/>
  <c r="II21" i="8" s="1"/>
  <c r="GS21" i="8"/>
  <c r="GR21" i="8"/>
  <c r="GO21" i="8"/>
  <c r="GL21" i="8"/>
  <c r="GI21" i="8"/>
  <c r="GH21" i="8"/>
  <c r="IG21" i="8" s="1"/>
  <c r="GE21" i="8"/>
  <c r="GB21" i="8"/>
  <c r="FY21" i="8"/>
  <c r="FX21" i="8"/>
  <c r="IF21" i="8" s="1"/>
  <c r="FU21" i="8"/>
  <c r="FR21" i="8"/>
  <c r="FO21" i="8"/>
  <c r="FN21" i="8"/>
  <c r="IE21" i="8" s="1"/>
  <c r="FK21" i="8"/>
  <c r="FH21" i="8"/>
  <c r="FE21" i="8"/>
  <c r="FD21" i="8"/>
  <c r="ID21" i="8" s="1"/>
  <c r="FA21" i="8"/>
  <c r="EX21" i="8"/>
  <c r="EU21" i="8"/>
  <c r="ET21" i="8"/>
  <c r="IC21" i="8" s="1"/>
  <c r="EQ21" i="8"/>
  <c r="EN21" i="8"/>
  <c r="EK21" i="8"/>
  <c r="EJ21" i="8"/>
  <c r="IB21" i="8" s="1"/>
  <c r="EG21" i="8"/>
  <c r="ED21" i="8"/>
  <c r="EA21" i="8"/>
  <c r="DZ21" i="8"/>
  <c r="IA21" i="8" s="1"/>
  <c r="DW21" i="8"/>
  <c r="DQ21" i="8"/>
  <c r="DP21" i="8"/>
  <c r="HY21" i="8" s="1"/>
  <c r="DM21" i="8"/>
  <c r="DG21" i="8"/>
  <c r="DF21" i="8"/>
  <c r="HX21" i="8" s="1"/>
  <c r="DC21" i="8"/>
  <c r="CW21" i="8"/>
  <c r="CV21" i="8"/>
  <c r="CS21" i="8"/>
  <c r="CM21" i="8"/>
  <c r="CL21" i="8"/>
  <c r="HV21" i="8" s="1"/>
  <c r="CI21" i="8"/>
  <c r="CC21" i="8"/>
  <c r="CB21" i="8"/>
  <c r="HU21" i="8" s="1"/>
  <c r="BY21" i="8"/>
  <c r="BS21" i="8"/>
  <c r="BR21" i="8"/>
  <c r="BO21" i="8"/>
  <c r="BI21" i="8"/>
  <c r="BH21" i="8"/>
  <c r="BE21" i="8"/>
  <c r="AY21" i="8"/>
  <c r="AX21" i="8"/>
  <c r="AU21" i="8"/>
  <c r="AO21" i="8"/>
  <c r="AN21" i="8"/>
  <c r="HQ21" i="8" s="1"/>
  <c r="AK21" i="8"/>
  <c r="AE21" i="8"/>
  <c r="AD21" i="8"/>
  <c r="HP21" i="8" s="1"/>
  <c r="AA21" i="8"/>
  <c r="U21" i="8"/>
  <c r="T21" i="8"/>
  <c r="Q21" i="8"/>
  <c r="K21" i="8"/>
  <c r="JM21" i="8" s="1"/>
  <c r="J21" i="8"/>
  <c r="G21" i="8"/>
  <c r="JX20" i="8"/>
  <c r="JW20" i="8"/>
  <c r="JU20" i="8"/>
  <c r="JT20" i="8"/>
  <c r="JR20" i="8"/>
  <c r="JZ20" i="8" s="1"/>
  <c r="JQ20" i="8"/>
  <c r="JN20" i="8"/>
  <c r="JM20" i="8"/>
  <c r="JK20" i="8"/>
  <c r="JJ20" i="8"/>
  <c r="JH20" i="8"/>
  <c r="JG20" i="8"/>
  <c r="JD20" i="8"/>
  <c r="JC20" i="8"/>
  <c r="JA20" i="8"/>
  <c r="IZ20" i="8"/>
  <c r="IX20" i="8"/>
  <c r="IW20" i="8"/>
  <c r="IT20" i="8"/>
  <c r="IS20" i="8"/>
  <c r="IQ20" i="8"/>
  <c r="IP20" i="8"/>
  <c r="IN20" i="8"/>
  <c r="IM20" i="8"/>
  <c r="II20" i="8"/>
  <c r="IH20" i="8"/>
  <c r="IG20" i="8"/>
  <c r="IF20" i="8"/>
  <c r="IC20" i="8"/>
  <c r="HZ20" i="8"/>
  <c r="HS20" i="8"/>
  <c r="HR20" i="8"/>
  <c r="HQ20" i="8"/>
  <c r="HP20" i="8"/>
  <c r="HO20" i="8"/>
  <c r="HM20" i="8"/>
  <c r="HJ20" i="8"/>
  <c r="HI20" i="8"/>
  <c r="HG20" i="8"/>
  <c r="HF20" i="8"/>
  <c r="HD20" i="8"/>
  <c r="HC20" i="8"/>
  <c r="HB20" i="8"/>
  <c r="GR20" i="8"/>
  <c r="GH20" i="8"/>
  <c r="FX20" i="8"/>
  <c r="FU20" i="8"/>
  <c r="FR20" i="8"/>
  <c r="FO20" i="8"/>
  <c r="FN20" i="8"/>
  <c r="IE20" i="8" s="1"/>
  <c r="FK20" i="8"/>
  <c r="FH20" i="8"/>
  <c r="FE20" i="8"/>
  <c r="FD20" i="8"/>
  <c r="ID20" i="8" s="1"/>
  <c r="FA20" i="8"/>
  <c r="EX20" i="8"/>
  <c r="EU20" i="8"/>
  <c r="ET20" i="8"/>
  <c r="EQ20" i="8"/>
  <c r="EN20" i="8"/>
  <c r="EK20" i="8"/>
  <c r="EJ20" i="8"/>
  <c r="IB20" i="8" s="1"/>
  <c r="EG20" i="8"/>
  <c r="ED20" i="8"/>
  <c r="EA20" i="8"/>
  <c r="DZ20" i="8"/>
  <c r="IA20" i="8" s="1"/>
  <c r="DP20" i="8"/>
  <c r="HY20" i="8" s="1"/>
  <c r="DM20" i="8"/>
  <c r="DG20" i="8"/>
  <c r="DF20" i="8"/>
  <c r="HX20" i="8" s="1"/>
  <c r="DC20" i="8"/>
  <c r="CW20" i="8"/>
  <c r="CV20" i="8"/>
  <c r="HW20" i="8" s="1"/>
  <c r="CS20" i="8"/>
  <c r="CM20" i="8"/>
  <c r="CL20" i="8"/>
  <c r="HV20" i="8" s="1"/>
  <c r="CI20" i="8"/>
  <c r="CC20" i="8"/>
  <c r="CB20" i="8"/>
  <c r="HU20" i="8" s="1"/>
  <c r="BY20" i="8"/>
  <c r="BS20" i="8"/>
  <c r="BR20" i="8"/>
  <c r="HT20" i="8" s="1"/>
  <c r="BO20" i="8"/>
  <c r="BI20" i="8"/>
  <c r="BH20" i="8"/>
  <c r="BE20" i="8"/>
  <c r="AY20" i="8"/>
  <c r="AX20" i="8"/>
  <c r="AU20" i="8"/>
  <c r="AO20" i="8"/>
  <c r="AN20" i="8"/>
  <c r="AK20" i="8"/>
  <c r="AE20" i="8"/>
  <c r="AD20" i="8"/>
  <c r="AA20" i="8"/>
  <c r="U20" i="8"/>
  <c r="T20" i="8"/>
  <c r="Q20" i="8"/>
  <c r="K20" i="8"/>
  <c r="J20" i="8"/>
  <c r="HN20" i="8" s="1"/>
  <c r="G20" i="8"/>
  <c r="JX19" i="8"/>
  <c r="JU19" i="8"/>
  <c r="JT19" i="8"/>
  <c r="JR19" i="8"/>
  <c r="JZ19" i="8" s="1"/>
  <c r="JN19" i="8"/>
  <c r="JK19" i="8"/>
  <c r="JH19" i="8"/>
  <c r="JG19" i="8"/>
  <c r="JD19" i="8"/>
  <c r="JC19" i="8"/>
  <c r="JA19" i="8"/>
  <c r="IZ19" i="8"/>
  <c r="IX19" i="8"/>
  <c r="IW19" i="8"/>
  <c r="IT19" i="8"/>
  <c r="IS19" i="8"/>
  <c r="IQ19" i="8"/>
  <c r="IP19" i="8"/>
  <c r="IN19" i="8"/>
  <c r="IM19" i="8"/>
  <c r="II19" i="8"/>
  <c r="IH19" i="8"/>
  <c r="IG19" i="8"/>
  <c r="IB19" i="8"/>
  <c r="IA19" i="8"/>
  <c r="HZ19" i="8"/>
  <c r="HY19" i="8"/>
  <c r="HO19" i="8"/>
  <c r="HM19" i="8"/>
  <c r="HJ19" i="8"/>
  <c r="HI19" i="8"/>
  <c r="HG19" i="8"/>
  <c r="HF19" i="8"/>
  <c r="HD19" i="8"/>
  <c r="HC19" i="8"/>
  <c r="HB19" i="8"/>
  <c r="GR19" i="8"/>
  <c r="GH19" i="8"/>
  <c r="FX19" i="8"/>
  <c r="IF19" i="8" s="1"/>
  <c r="FN19" i="8"/>
  <c r="IE19" i="8" s="1"/>
  <c r="FK19" i="8"/>
  <c r="FH19" i="8"/>
  <c r="FE19" i="8"/>
  <c r="FD19" i="8"/>
  <c r="ID19" i="8" s="1"/>
  <c r="FA19" i="8"/>
  <c r="EX19" i="8"/>
  <c r="EU19" i="8"/>
  <c r="ET19" i="8"/>
  <c r="IC19" i="8" s="1"/>
  <c r="EQ19" i="8"/>
  <c r="EN19" i="8"/>
  <c r="EK19" i="8"/>
  <c r="EJ19" i="8"/>
  <c r="EG19" i="8"/>
  <c r="ED19" i="8"/>
  <c r="EA19" i="8"/>
  <c r="DZ19" i="8"/>
  <c r="DP19" i="8"/>
  <c r="DM19" i="8"/>
  <c r="DG19" i="8"/>
  <c r="DF19" i="8"/>
  <c r="HX19" i="8" s="1"/>
  <c r="DC19" i="8"/>
  <c r="CW19" i="8"/>
  <c r="CV19" i="8"/>
  <c r="HW19" i="8" s="1"/>
  <c r="CS19" i="8"/>
  <c r="CM19" i="8"/>
  <c r="CL19" i="8"/>
  <c r="HV19" i="8" s="1"/>
  <c r="CI19" i="8"/>
  <c r="CC19" i="8"/>
  <c r="CB19" i="8"/>
  <c r="HU19" i="8" s="1"/>
  <c r="BY19" i="8"/>
  <c r="BS19" i="8"/>
  <c r="BR19" i="8"/>
  <c r="HT19" i="8" s="1"/>
  <c r="BO19" i="8"/>
  <c r="BI19" i="8"/>
  <c r="BH19" i="8"/>
  <c r="HS19" i="8" s="1"/>
  <c r="BE19" i="8"/>
  <c r="AY19" i="8"/>
  <c r="AX19" i="8"/>
  <c r="HR19" i="8" s="1"/>
  <c r="AU19" i="8"/>
  <c r="AO19" i="8"/>
  <c r="AN19" i="8"/>
  <c r="HQ19" i="8" s="1"/>
  <c r="AK19" i="8"/>
  <c r="AE19" i="8"/>
  <c r="AD19" i="8"/>
  <c r="HP19" i="8" s="1"/>
  <c r="AA19" i="8"/>
  <c r="U19" i="8"/>
  <c r="T19" i="8"/>
  <c r="Q19" i="8"/>
  <c r="K19" i="8"/>
  <c r="J19" i="8"/>
  <c r="HN19" i="8" s="1"/>
  <c r="G19" i="8"/>
  <c r="JX18" i="8"/>
  <c r="JU18" i="8"/>
  <c r="JR18" i="8"/>
  <c r="JN18" i="8"/>
  <c r="JK18" i="8"/>
  <c r="JH18" i="8"/>
  <c r="JD18" i="8"/>
  <c r="JC18" i="8"/>
  <c r="JA18" i="8"/>
  <c r="IZ18" i="8"/>
  <c r="IX18" i="8"/>
  <c r="IW18" i="8"/>
  <c r="IT18" i="8"/>
  <c r="IS18" i="8"/>
  <c r="IQ18" i="8"/>
  <c r="IP18" i="8"/>
  <c r="IN18" i="8"/>
  <c r="IM18" i="8"/>
  <c r="IF18" i="8"/>
  <c r="IE18" i="8"/>
  <c r="IA18" i="8"/>
  <c r="HZ18" i="8"/>
  <c r="HY18" i="8"/>
  <c r="HM18" i="8"/>
  <c r="HJ18" i="8"/>
  <c r="HI18" i="8"/>
  <c r="HG18" i="8"/>
  <c r="HF18" i="8"/>
  <c r="HD18" i="8"/>
  <c r="HC18" i="8"/>
  <c r="HB18" i="8"/>
  <c r="II18" i="8" s="1"/>
  <c r="GY18" i="8"/>
  <c r="GV18" i="8"/>
  <c r="GS18" i="8"/>
  <c r="GR18" i="8"/>
  <c r="IH18" i="8" s="1"/>
  <c r="GH18" i="8"/>
  <c r="IG18" i="8" s="1"/>
  <c r="FX18" i="8"/>
  <c r="FN18" i="8"/>
  <c r="FK18" i="8"/>
  <c r="FH18" i="8"/>
  <c r="FE18" i="8"/>
  <c r="FD18" i="8"/>
  <c r="ID18" i="8" s="1"/>
  <c r="FA18" i="8"/>
  <c r="EX18" i="8"/>
  <c r="EU18" i="8"/>
  <c r="ET18" i="8"/>
  <c r="IC18" i="8" s="1"/>
  <c r="EQ18" i="8"/>
  <c r="EN18" i="8"/>
  <c r="EK18" i="8"/>
  <c r="EJ18" i="8"/>
  <c r="IB18" i="8" s="1"/>
  <c r="EG18" i="8"/>
  <c r="ED18" i="8"/>
  <c r="EA18" i="8"/>
  <c r="DZ18" i="8"/>
  <c r="DP18" i="8"/>
  <c r="DM18" i="8"/>
  <c r="DG18" i="8"/>
  <c r="DF18" i="8"/>
  <c r="HX18" i="8" s="1"/>
  <c r="DC18" i="8"/>
  <c r="CW18" i="8"/>
  <c r="CV18" i="8"/>
  <c r="HW18" i="8" s="1"/>
  <c r="CS18" i="8"/>
  <c r="CM18" i="8"/>
  <c r="CL18" i="8"/>
  <c r="HV18" i="8" s="1"/>
  <c r="CI18" i="8"/>
  <c r="CC18" i="8"/>
  <c r="CB18" i="8"/>
  <c r="HU18" i="8" s="1"/>
  <c r="BY18" i="8"/>
  <c r="BS18" i="8"/>
  <c r="BR18" i="8"/>
  <c r="HT18" i="8" s="1"/>
  <c r="BO18" i="8"/>
  <c r="BI18" i="8"/>
  <c r="BH18" i="8"/>
  <c r="HS18" i="8" s="1"/>
  <c r="BE18" i="8"/>
  <c r="AY18" i="8"/>
  <c r="AX18" i="8"/>
  <c r="HR18" i="8" s="1"/>
  <c r="AU18" i="8"/>
  <c r="AO18" i="8"/>
  <c r="AN18" i="8"/>
  <c r="HQ18" i="8" s="1"/>
  <c r="AK18" i="8"/>
  <c r="AE18" i="8"/>
  <c r="AD18" i="8"/>
  <c r="HP18" i="8" s="1"/>
  <c r="AA18" i="8"/>
  <c r="U18" i="8"/>
  <c r="T18" i="8"/>
  <c r="HO18" i="8" s="1"/>
  <c r="Q18" i="8"/>
  <c r="K18" i="8"/>
  <c r="J18" i="8"/>
  <c r="G18" i="8"/>
  <c r="JX17" i="8"/>
  <c r="JW17" i="8"/>
  <c r="JU17" i="8"/>
  <c r="JZ17" i="8" s="1"/>
  <c r="JT17" i="8"/>
  <c r="JR17" i="8"/>
  <c r="JN17" i="8"/>
  <c r="JK17" i="8"/>
  <c r="JH17" i="8"/>
  <c r="JD17" i="8"/>
  <c r="JC17" i="8"/>
  <c r="JA17" i="8"/>
  <c r="IZ17" i="8"/>
  <c r="IX17" i="8"/>
  <c r="IW17" i="8"/>
  <c r="IT17" i="8"/>
  <c r="IS17" i="8"/>
  <c r="IQ17" i="8"/>
  <c r="IP17" i="8"/>
  <c r="IN17" i="8"/>
  <c r="IM17" i="8"/>
  <c r="IE17" i="8"/>
  <c r="IA17" i="8"/>
  <c r="HZ17" i="8"/>
  <c r="HY17" i="8"/>
  <c r="HV17" i="8"/>
  <c r="HQ17" i="8"/>
  <c r="HN17" i="8"/>
  <c r="HM17" i="8"/>
  <c r="HJ17" i="8"/>
  <c r="HI17" i="8"/>
  <c r="HG17" i="8"/>
  <c r="HF17" i="8"/>
  <c r="HD17" i="8"/>
  <c r="HC17" i="8"/>
  <c r="HB17" i="8"/>
  <c r="II17" i="8" s="1"/>
  <c r="GY17" i="8"/>
  <c r="GV17" i="8"/>
  <c r="GS17" i="8"/>
  <c r="GR17" i="8"/>
  <c r="IH17" i="8" s="1"/>
  <c r="GO17" i="8"/>
  <c r="GL17" i="8"/>
  <c r="GI17" i="8"/>
  <c r="GH17" i="8"/>
  <c r="IG17" i="8" s="1"/>
  <c r="GE17" i="8"/>
  <c r="GB17" i="8"/>
  <c r="FY17" i="8"/>
  <c r="FX17" i="8"/>
  <c r="IF17" i="8" s="1"/>
  <c r="FN17" i="8"/>
  <c r="FK17" i="8"/>
  <c r="FH17" i="8"/>
  <c r="FE17" i="8"/>
  <c r="FD17" i="8"/>
  <c r="ID17" i="8" s="1"/>
  <c r="FA17" i="8"/>
  <c r="EX17" i="8"/>
  <c r="EU17" i="8"/>
  <c r="ET17" i="8"/>
  <c r="IC17" i="8" s="1"/>
  <c r="EQ17" i="8"/>
  <c r="EN17" i="8"/>
  <c r="EK17" i="8"/>
  <c r="EJ17" i="8"/>
  <c r="IB17" i="8" s="1"/>
  <c r="EG17" i="8"/>
  <c r="ED17" i="8"/>
  <c r="EA17" i="8"/>
  <c r="DZ17" i="8"/>
  <c r="DW17" i="8"/>
  <c r="DQ17" i="8"/>
  <c r="DP17" i="8"/>
  <c r="DM17" i="8"/>
  <c r="DG17" i="8"/>
  <c r="DF17" i="8"/>
  <c r="HX17" i="8" s="1"/>
  <c r="DC17" i="8"/>
  <c r="CW17" i="8"/>
  <c r="CV17" i="8"/>
  <c r="HW17" i="8" s="1"/>
  <c r="CS17" i="8"/>
  <c r="CM17" i="8"/>
  <c r="CL17" i="8"/>
  <c r="CI17" i="8"/>
  <c r="CC17" i="8"/>
  <c r="CB17" i="8"/>
  <c r="HU17" i="8" s="1"/>
  <c r="BY17" i="8"/>
  <c r="BS17" i="8"/>
  <c r="BR17" i="8"/>
  <c r="HT17" i="8" s="1"/>
  <c r="BO17" i="8"/>
  <c r="BI17" i="8"/>
  <c r="BH17" i="8"/>
  <c r="HS17" i="8" s="1"/>
  <c r="BE17" i="8"/>
  <c r="AY17" i="8"/>
  <c r="AX17" i="8"/>
  <c r="HR17" i="8" s="1"/>
  <c r="AU17" i="8"/>
  <c r="AO17" i="8"/>
  <c r="AN17" i="8"/>
  <c r="AK17" i="8"/>
  <c r="AE17" i="8"/>
  <c r="AD17" i="8"/>
  <c r="HP17" i="8" s="1"/>
  <c r="AA17" i="8"/>
  <c r="U17" i="8"/>
  <c r="JQ17" i="8" s="1"/>
  <c r="T17" i="8"/>
  <c r="HO17" i="8" s="1"/>
  <c r="Q17" i="8"/>
  <c r="K17" i="8"/>
  <c r="J17" i="8"/>
  <c r="G17" i="8"/>
  <c r="JX16" i="8"/>
  <c r="JW16" i="8"/>
  <c r="JU16" i="8"/>
  <c r="JT16" i="8"/>
  <c r="JR16" i="8"/>
  <c r="JQ16" i="8"/>
  <c r="JN16" i="8"/>
  <c r="JM16" i="8"/>
  <c r="JK16" i="8"/>
  <c r="JH16" i="8"/>
  <c r="JD16" i="8"/>
  <c r="JC16" i="8"/>
  <c r="JA16" i="8"/>
  <c r="IZ16" i="8"/>
  <c r="IX16" i="8"/>
  <c r="IW16" i="8"/>
  <c r="IT16" i="8"/>
  <c r="IS16" i="8"/>
  <c r="IQ16" i="8"/>
  <c r="IP16" i="8"/>
  <c r="IN16" i="8"/>
  <c r="IM16" i="8"/>
  <c r="II16" i="8"/>
  <c r="IH16" i="8"/>
  <c r="IC16" i="8"/>
  <c r="HZ16" i="8"/>
  <c r="HQ16" i="8"/>
  <c r="HP16" i="8"/>
  <c r="HO16" i="8"/>
  <c r="HM16" i="8"/>
  <c r="HJ16" i="8"/>
  <c r="HI16" i="8"/>
  <c r="HG16" i="8"/>
  <c r="HF16" i="8"/>
  <c r="HD16" i="8"/>
  <c r="HC16" i="8"/>
  <c r="HB16" i="8"/>
  <c r="GR16" i="8"/>
  <c r="GH16" i="8"/>
  <c r="IG16" i="8" s="1"/>
  <c r="GE16" i="8"/>
  <c r="GB16" i="8"/>
  <c r="FY16" i="8"/>
  <c r="FX16" i="8"/>
  <c r="IF16" i="8" s="1"/>
  <c r="FU16" i="8"/>
  <c r="FR16" i="8"/>
  <c r="FO16" i="8"/>
  <c r="FN16" i="8"/>
  <c r="IE16" i="8" s="1"/>
  <c r="FK16" i="8"/>
  <c r="FH16" i="8"/>
  <c r="FE16" i="8"/>
  <c r="FD16" i="8"/>
  <c r="ID16" i="8" s="1"/>
  <c r="FA16" i="8"/>
  <c r="EX16" i="8"/>
  <c r="EU16" i="8"/>
  <c r="ET16" i="8"/>
  <c r="EQ16" i="8"/>
  <c r="EN16" i="8"/>
  <c r="EK16" i="8"/>
  <c r="EJ16" i="8"/>
  <c r="IB16" i="8" s="1"/>
  <c r="EG16" i="8"/>
  <c r="ED16" i="8"/>
  <c r="EA16" i="8"/>
  <c r="DZ16" i="8"/>
  <c r="IA16" i="8" s="1"/>
  <c r="DQ16" i="8"/>
  <c r="DP16" i="8"/>
  <c r="HY16" i="8" s="1"/>
  <c r="DM16" i="8"/>
  <c r="DG16" i="8"/>
  <c r="DF16" i="8"/>
  <c r="HX16" i="8" s="1"/>
  <c r="CW16" i="8"/>
  <c r="CV16" i="8"/>
  <c r="HW16" i="8" s="1"/>
  <c r="CS16" i="8"/>
  <c r="CM16" i="8"/>
  <c r="CL16" i="8"/>
  <c r="HV16" i="8" s="1"/>
  <c r="CI16" i="8"/>
  <c r="CC16" i="8"/>
  <c r="CB16" i="8"/>
  <c r="HU16" i="8" s="1"/>
  <c r="BY16" i="8"/>
  <c r="BS16" i="8"/>
  <c r="BR16" i="8"/>
  <c r="HT16" i="8" s="1"/>
  <c r="BO16" i="8"/>
  <c r="BI16" i="8"/>
  <c r="BH16" i="8"/>
  <c r="HS16" i="8" s="1"/>
  <c r="BE16" i="8"/>
  <c r="AY16" i="8"/>
  <c r="AX16" i="8"/>
  <c r="HR16" i="8" s="1"/>
  <c r="AU16" i="8"/>
  <c r="AO16" i="8"/>
  <c r="AN16" i="8"/>
  <c r="AK16" i="8"/>
  <c r="AE16" i="8"/>
  <c r="AD16" i="8"/>
  <c r="AA16" i="8"/>
  <c r="U16" i="8"/>
  <c r="T16" i="8"/>
  <c r="Q16" i="8"/>
  <c r="K16" i="8"/>
  <c r="JJ16" i="8" s="1"/>
  <c r="J16" i="8"/>
  <c r="HN16" i="8" s="1"/>
  <c r="G16" i="8"/>
  <c r="JX15" i="8"/>
  <c r="JU15" i="8"/>
  <c r="JT15" i="8"/>
  <c r="JR15" i="8"/>
  <c r="JQ15" i="8"/>
  <c r="JN15" i="8"/>
  <c r="JM15" i="8"/>
  <c r="JK15" i="8"/>
  <c r="JJ15" i="8"/>
  <c r="JH15" i="8"/>
  <c r="JG15" i="8"/>
  <c r="JD15" i="8"/>
  <c r="JC15" i="8"/>
  <c r="JA15" i="8"/>
  <c r="IZ15" i="8"/>
  <c r="IX15" i="8"/>
  <c r="IW15" i="8"/>
  <c r="IT15" i="8"/>
  <c r="IS15" i="8"/>
  <c r="IQ15" i="8"/>
  <c r="IP15" i="8"/>
  <c r="IN15" i="8"/>
  <c r="IM15" i="8"/>
  <c r="IH15" i="8"/>
  <c r="IC15" i="8"/>
  <c r="IB15" i="8"/>
  <c r="IA15" i="8"/>
  <c r="HZ15" i="8"/>
  <c r="HM15" i="8"/>
  <c r="HJ15" i="8"/>
  <c r="HI15" i="8"/>
  <c r="HG15" i="8"/>
  <c r="HF15" i="8"/>
  <c r="HD15" i="8"/>
  <c r="HC15" i="8"/>
  <c r="HB15" i="8"/>
  <c r="II15" i="8" s="1"/>
  <c r="GR15" i="8"/>
  <c r="GH15" i="8"/>
  <c r="IG15" i="8" s="1"/>
  <c r="GB15" i="8"/>
  <c r="FY15" i="8"/>
  <c r="FX15" i="8"/>
  <c r="IF15" i="8" s="1"/>
  <c r="FU15" i="8"/>
  <c r="FR15" i="8"/>
  <c r="FO15" i="8"/>
  <c r="FN15" i="8"/>
  <c r="IE15" i="8" s="1"/>
  <c r="FK15" i="8"/>
  <c r="FH15" i="8"/>
  <c r="FE15" i="8"/>
  <c r="FD15" i="8"/>
  <c r="ID15" i="8" s="1"/>
  <c r="FA15" i="8"/>
  <c r="EX15" i="8"/>
  <c r="EU15" i="8"/>
  <c r="ET15" i="8"/>
  <c r="EQ15" i="8"/>
  <c r="EN15" i="8"/>
  <c r="EK15" i="8"/>
  <c r="EJ15" i="8"/>
  <c r="EG15" i="8"/>
  <c r="ED15" i="8"/>
  <c r="EA15" i="8"/>
  <c r="DZ15" i="8"/>
  <c r="DP15" i="8"/>
  <c r="HY15" i="8" s="1"/>
  <c r="DM15" i="8"/>
  <c r="DG15" i="8"/>
  <c r="DF15" i="8"/>
  <c r="HX15" i="8" s="1"/>
  <c r="CW15" i="8"/>
  <c r="CV15" i="8"/>
  <c r="HW15" i="8" s="1"/>
  <c r="CS15" i="8"/>
  <c r="CM15" i="8"/>
  <c r="CL15" i="8"/>
  <c r="HV15" i="8" s="1"/>
  <c r="CI15" i="8"/>
  <c r="CC15" i="8"/>
  <c r="CB15" i="8"/>
  <c r="HU15" i="8" s="1"/>
  <c r="BY15" i="8"/>
  <c r="BS15" i="8"/>
  <c r="BR15" i="8"/>
  <c r="HT15" i="8" s="1"/>
  <c r="BO15" i="8"/>
  <c r="BI15" i="8"/>
  <c r="BH15" i="8"/>
  <c r="HS15" i="8" s="1"/>
  <c r="BE15" i="8"/>
  <c r="AY15" i="8"/>
  <c r="AX15" i="8"/>
  <c r="HR15" i="8" s="1"/>
  <c r="AU15" i="8"/>
  <c r="AO15" i="8"/>
  <c r="AN15" i="8"/>
  <c r="HQ15" i="8" s="1"/>
  <c r="AK15" i="8"/>
  <c r="AE15" i="8"/>
  <c r="AD15" i="8"/>
  <c r="HP15" i="8" s="1"/>
  <c r="AA15" i="8"/>
  <c r="U15" i="8"/>
  <c r="T15" i="8"/>
  <c r="HO15" i="8" s="1"/>
  <c r="Q15" i="8"/>
  <c r="K15" i="8"/>
  <c r="J15" i="8"/>
  <c r="HN15" i="8" s="1"/>
  <c r="G15" i="8"/>
  <c r="JX14" i="8"/>
  <c r="JU14" i="8"/>
  <c r="JR14" i="8"/>
  <c r="JZ14" i="8" s="1"/>
  <c r="JN14" i="8"/>
  <c r="JM14" i="8"/>
  <c r="JK14" i="8"/>
  <c r="JJ14" i="8"/>
  <c r="JH14" i="8"/>
  <c r="JG14" i="8"/>
  <c r="JD14" i="8"/>
  <c r="JC14" i="8"/>
  <c r="JA14" i="8"/>
  <c r="IZ14" i="8"/>
  <c r="IX14" i="8"/>
  <c r="IW14" i="8"/>
  <c r="IT14" i="8"/>
  <c r="IS14" i="8"/>
  <c r="IQ14" i="8"/>
  <c r="IP14" i="8"/>
  <c r="IN14" i="8"/>
  <c r="IM14" i="8"/>
  <c r="IF14" i="8"/>
  <c r="IC14" i="8"/>
  <c r="IB14" i="8"/>
  <c r="IA14" i="8"/>
  <c r="HZ14" i="8"/>
  <c r="HY14" i="8"/>
  <c r="HV14" i="8"/>
  <c r="HM14" i="8"/>
  <c r="HJ14" i="8"/>
  <c r="HI14" i="8"/>
  <c r="HG14" i="8"/>
  <c r="HF14" i="8"/>
  <c r="HD14" i="8"/>
  <c r="HC14" i="8"/>
  <c r="HB14" i="8"/>
  <c r="II14" i="8" s="1"/>
  <c r="GR14" i="8"/>
  <c r="IH14" i="8" s="1"/>
  <c r="GH14" i="8"/>
  <c r="IG14" i="8" s="1"/>
  <c r="FX14" i="8"/>
  <c r="FO14" i="8"/>
  <c r="FN14" i="8"/>
  <c r="IE14" i="8" s="1"/>
  <c r="FK14" i="8"/>
  <c r="FH14" i="8"/>
  <c r="FE14" i="8"/>
  <c r="FD14" i="8"/>
  <c r="ID14" i="8" s="1"/>
  <c r="FA14" i="8"/>
  <c r="EX14" i="8"/>
  <c r="EU14" i="8"/>
  <c r="ET14" i="8"/>
  <c r="EQ14" i="8"/>
  <c r="EN14" i="8"/>
  <c r="EK14" i="8"/>
  <c r="EJ14" i="8"/>
  <c r="EG14" i="8"/>
  <c r="ED14" i="8"/>
  <c r="EA14" i="8"/>
  <c r="DZ14" i="8"/>
  <c r="DP14" i="8"/>
  <c r="DM14" i="8"/>
  <c r="DG14" i="8"/>
  <c r="DF14" i="8"/>
  <c r="HX14" i="8" s="1"/>
  <c r="CW14" i="8"/>
  <c r="CV14" i="8"/>
  <c r="HW14" i="8" s="1"/>
  <c r="CS14" i="8"/>
  <c r="CM14" i="8"/>
  <c r="CL14" i="8"/>
  <c r="CI14" i="8"/>
  <c r="CC14" i="8"/>
  <c r="CB14" i="8"/>
  <c r="HU14" i="8" s="1"/>
  <c r="BY14" i="8"/>
  <c r="BS14" i="8"/>
  <c r="BR14" i="8"/>
  <c r="HT14" i="8" s="1"/>
  <c r="BO14" i="8"/>
  <c r="BI14" i="8"/>
  <c r="BH14" i="8"/>
  <c r="HS14" i="8" s="1"/>
  <c r="BE14" i="8"/>
  <c r="AY14" i="8"/>
  <c r="AX14" i="8"/>
  <c r="HR14" i="8" s="1"/>
  <c r="AU14" i="8"/>
  <c r="AO14" i="8"/>
  <c r="GY14" i="8" s="1"/>
  <c r="AN14" i="8"/>
  <c r="HQ14" i="8" s="1"/>
  <c r="AK14" i="8"/>
  <c r="AE14" i="8"/>
  <c r="AD14" i="8"/>
  <c r="HP14" i="8" s="1"/>
  <c r="AA14" i="8"/>
  <c r="U14" i="8"/>
  <c r="T14" i="8"/>
  <c r="HO14" i="8" s="1"/>
  <c r="Q14" i="8"/>
  <c r="K14" i="8"/>
  <c r="J14" i="8"/>
  <c r="HN14" i="8" s="1"/>
  <c r="G14" i="8"/>
  <c r="JX13" i="8"/>
  <c r="JU13" i="8"/>
  <c r="JR13" i="8"/>
  <c r="JN13" i="8"/>
  <c r="JK13" i="8"/>
  <c r="JJ13" i="8"/>
  <c r="JH13" i="8"/>
  <c r="JP13" i="8" s="1"/>
  <c r="JG13" i="8"/>
  <c r="JD13" i="8"/>
  <c r="JC13" i="8"/>
  <c r="JA13" i="8"/>
  <c r="IZ13" i="8"/>
  <c r="IX13" i="8"/>
  <c r="IW13" i="8"/>
  <c r="IT13" i="8"/>
  <c r="IS13" i="8"/>
  <c r="IQ13" i="8"/>
  <c r="IP13" i="8"/>
  <c r="IN13" i="8"/>
  <c r="IM13" i="8"/>
  <c r="IC13" i="8"/>
  <c r="HZ13" i="8"/>
  <c r="HY13" i="8"/>
  <c r="HR13" i="8"/>
  <c r="HQ13" i="8"/>
  <c r="HM13" i="8"/>
  <c r="HJ13" i="8"/>
  <c r="HI13" i="8"/>
  <c r="HG13" i="8"/>
  <c r="HF13" i="8"/>
  <c r="HD13" i="8"/>
  <c r="HC13" i="8"/>
  <c r="HB13" i="8"/>
  <c r="GY13" i="8"/>
  <c r="GV13" i="8"/>
  <c r="GS13" i="8"/>
  <c r="GR13" i="8"/>
  <c r="IH13" i="8" s="1"/>
  <c r="GO13" i="8"/>
  <c r="GL13" i="8"/>
  <c r="GI13" i="8"/>
  <c r="GH13" i="8"/>
  <c r="IG13" i="8" s="1"/>
  <c r="FX13" i="8"/>
  <c r="IF13" i="8" s="1"/>
  <c r="FN13" i="8"/>
  <c r="IE13" i="8" s="1"/>
  <c r="FK13" i="8"/>
  <c r="FH13" i="8"/>
  <c r="FE13" i="8"/>
  <c r="FD13" i="8"/>
  <c r="ID13" i="8" s="1"/>
  <c r="FA13" i="8"/>
  <c r="EX13" i="8"/>
  <c r="EU13" i="8"/>
  <c r="ET13" i="8"/>
  <c r="EQ13" i="8"/>
  <c r="EN13" i="8"/>
  <c r="EK13" i="8"/>
  <c r="EJ13" i="8"/>
  <c r="IB13" i="8" s="1"/>
  <c r="EG13" i="8"/>
  <c r="ED13" i="8"/>
  <c r="EA13" i="8"/>
  <c r="DZ13" i="8"/>
  <c r="IA13" i="8" s="1"/>
  <c r="DW13" i="8"/>
  <c r="DP13" i="8"/>
  <c r="DM13" i="8"/>
  <c r="DG13" i="8"/>
  <c r="DF13" i="8"/>
  <c r="HX13" i="8" s="1"/>
  <c r="CW13" i="8"/>
  <c r="CV13" i="8"/>
  <c r="HW13" i="8" s="1"/>
  <c r="CS13" i="8"/>
  <c r="CM13" i="8"/>
  <c r="CL13" i="8"/>
  <c r="CI13" i="8"/>
  <c r="CC13" i="8"/>
  <c r="CB13" i="8"/>
  <c r="HU13" i="8" s="1"/>
  <c r="BY13" i="8"/>
  <c r="BS13" i="8"/>
  <c r="BR13" i="8"/>
  <c r="HT13" i="8" s="1"/>
  <c r="BO13" i="8"/>
  <c r="BI13" i="8"/>
  <c r="BH13" i="8"/>
  <c r="HS13" i="8" s="1"/>
  <c r="BE13" i="8"/>
  <c r="AY13" i="8"/>
  <c r="AX13" i="8"/>
  <c r="AU13" i="8"/>
  <c r="AO13" i="8"/>
  <c r="AN13" i="8"/>
  <c r="AK13" i="8"/>
  <c r="AE13" i="8"/>
  <c r="DQ13" i="8" s="1"/>
  <c r="AD13" i="8"/>
  <c r="HP13" i="8" s="1"/>
  <c r="AA13" i="8"/>
  <c r="U13" i="8"/>
  <c r="T13" i="8"/>
  <c r="HO13" i="8" s="1"/>
  <c r="Q13" i="8"/>
  <c r="K13" i="8"/>
  <c r="J13" i="8"/>
  <c r="G13" i="8"/>
  <c r="JX12" i="8"/>
  <c r="JW12" i="8"/>
  <c r="JU12" i="8"/>
  <c r="JT12" i="8"/>
  <c r="JR12" i="8"/>
  <c r="JZ12" i="8" s="1"/>
  <c r="JQ12" i="8"/>
  <c r="JN12" i="8"/>
  <c r="JK12" i="8"/>
  <c r="JH12" i="8"/>
  <c r="JP12" i="8" s="1"/>
  <c r="JD12" i="8"/>
  <c r="JC12" i="8"/>
  <c r="JA12" i="8"/>
  <c r="IZ12" i="8"/>
  <c r="IX12" i="8"/>
  <c r="IW12" i="8"/>
  <c r="IT12" i="8"/>
  <c r="IS12" i="8"/>
  <c r="IQ12" i="8"/>
  <c r="IP12" i="8"/>
  <c r="IN12" i="8"/>
  <c r="IM12" i="8"/>
  <c r="II12" i="8"/>
  <c r="HZ12" i="8"/>
  <c r="HT12" i="8"/>
  <c r="HM12" i="8"/>
  <c r="HJ12" i="8"/>
  <c r="HI12" i="8"/>
  <c r="HG12" i="8"/>
  <c r="HF12" i="8"/>
  <c r="HD12" i="8"/>
  <c r="HC12" i="8"/>
  <c r="HB12" i="8"/>
  <c r="GR12" i="8"/>
  <c r="IH12" i="8" s="1"/>
  <c r="GO12" i="8"/>
  <c r="GL12" i="8"/>
  <c r="GI12" i="8"/>
  <c r="GH12" i="8"/>
  <c r="IG12" i="8" s="1"/>
  <c r="GE12" i="8"/>
  <c r="GB12" i="8"/>
  <c r="FY12" i="8"/>
  <c r="FX12" i="8"/>
  <c r="IF12" i="8" s="1"/>
  <c r="FU12" i="8"/>
  <c r="FR12" i="8"/>
  <c r="FO12" i="8"/>
  <c r="FN12" i="8"/>
  <c r="IE12" i="8" s="1"/>
  <c r="FK12" i="8"/>
  <c r="FH12" i="8"/>
  <c r="FE12" i="8"/>
  <c r="FD12" i="8"/>
  <c r="ID12" i="8" s="1"/>
  <c r="FA12" i="8"/>
  <c r="EX12" i="8"/>
  <c r="EU12" i="8"/>
  <c r="ET12" i="8"/>
  <c r="IC12" i="8" s="1"/>
  <c r="EQ12" i="8"/>
  <c r="EN12" i="8"/>
  <c r="EK12" i="8"/>
  <c r="EJ12" i="8"/>
  <c r="EG12" i="8"/>
  <c r="ED12" i="8"/>
  <c r="EA12" i="8"/>
  <c r="DZ12" i="8"/>
  <c r="IA12" i="8" s="1"/>
  <c r="DW12" i="8"/>
  <c r="DQ12" i="8"/>
  <c r="DP12" i="8"/>
  <c r="HY12" i="8" s="1"/>
  <c r="DM12" i="8"/>
  <c r="DG12" i="8"/>
  <c r="DF12" i="8"/>
  <c r="HX12" i="8" s="1"/>
  <c r="CW12" i="8"/>
  <c r="CV12" i="8"/>
  <c r="HW12" i="8" s="1"/>
  <c r="CS12" i="8"/>
  <c r="CM12" i="8"/>
  <c r="CL12" i="8"/>
  <c r="HV12" i="8" s="1"/>
  <c r="CI12" i="8"/>
  <c r="CC12" i="8"/>
  <c r="CB12" i="8"/>
  <c r="HU12" i="8" s="1"/>
  <c r="BY12" i="8"/>
  <c r="BS12" i="8"/>
  <c r="BR12" i="8"/>
  <c r="BO12" i="8"/>
  <c r="BI12" i="8"/>
  <c r="BH12" i="8"/>
  <c r="HS12" i="8" s="1"/>
  <c r="BE12" i="8"/>
  <c r="AY12" i="8"/>
  <c r="AX12" i="8"/>
  <c r="HR12" i="8" s="1"/>
  <c r="AU12" i="8"/>
  <c r="AO12" i="8"/>
  <c r="GY12" i="8" s="1"/>
  <c r="AN12" i="8"/>
  <c r="HQ12" i="8" s="1"/>
  <c r="AK12" i="8"/>
  <c r="AE12" i="8"/>
  <c r="DC12" i="8" s="1"/>
  <c r="AD12" i="8"/>
  <c r="HP12" i="8" s="1"/>
  <c r="AA12" i="8"/>
  <c r="U12" i="8"/>
  <c r="T12" i="8"/>
  <c r="HO12" i="8" s="1"/>
  <c r="Q12" i="8"/>
  <c r="K12" i="8"/>
  <c r="JM12" i="8" s="1"/>
  <c r="J12" i="8"/>
  <c r="G12" i="8"/>
  <c r="JX11" i="8"/>
  <c r="JU11" i="8"/>
  <c r="JT11" i="8"/>
  <c r="JR11" i="8"/>
  <c r="JN11" i="8"/>
  <c r="JM11" i="8"/>
  <c r="JK11" i="8"/>
  <c r="JJ11" i="8"/>
  <c r="JH11" i="8"/>
  <c r="JD11" i="8"/>
  <c r="JC11" i="8"/>
  <c r="JA11" i="8"/>
  <c r="IZ11" i="8"/>
  <c r="IX11" i="8"/>
  <c r="IW11" i="8"/>
  <c r="IT11" i="8"/>
  <c r="IS11" i="8"/>
  <c r="IQ11" i="8"/>
  <c r="IP11" i="8"/>
  <c r="IN11" i="8"/>
  <c r="IM11" i="8"/>
  <c r="II11" i="8"/>
  <c r="IH11" i="8"/>
  <c r="IF11" i="8"/>
  <c r="IC11" i="8"/>
  <c r="IB11" i="8"/>
  <c r="HZ11" i="8"/>
  <c r="HV11" i="8"/>
  <c r="HR11" i="8"/>
  <c r="HO11" i="8"/>
  <c r="HN11" i="8"/>
  <c r="HM11" i="8"/>
  <c r="HJ11" i="8"/>
  <c r="HI11" i="8"/>
  <c r="HG11" i="8"/>
  <c r="HF11" i="8"/>
  <c r="HD11" i="8"/>
  <c r="HC11" i="8"/>
  <c r="HB11" i="8"/>
  <c r="GR11" i="8"/>
  <c r="GH11" i="8"/>
  <c r="FX11" i="8"/>
  <c r="FU11" i="8"/>
  <c r="FR11" i="8"/>
  <c r="FO11" i="8"/>
  <c r="FN11" i="8"/>
  <c r="FK11" i="8"/>
  <c r="FH11" i="8"/>
  <c r="FE11" i="8"/>
  <c r="FD11" i="8"/>
  <c r="FA11" i="8"/>
  <c r="EX11" i="8"/>
  <c r="EU11" i="8"/>
  <c r="ET11" i="8"/>
  <c r="EQ11" i="8"/>
  <c r="EN11" i="8"/>
  <c r="EK11" i="8"/>
  <c r="EJ11" i="8"/>
  <c r="EG11" i="8"/>
  <c r="ED11" i="8"/>
  <c r="EA11" i="8"/>
  <c r="DZ11" i="8"/>
  <c r="DP11" i="8"/>
  <c r="DM11" i="8"/>
  <c r="DG11" i="8"/>
  <c r="DF11" i="8"/>
  <c r="CW11" i="8"/>
  <c r="CV11" i="8"/>
  <c r="CS11" i="8"/>
  <c r="CM11" i="8"/>
  <c r="CL11" i="8"/>
  <c r="CI11" i="8"/>
  <c r="CC11" i="8"/>
  <c r="CB11" i="8"/>
  <c r="HU11" i="8" s="1"/>
  <c r="BY11" i="8"/>
  <c r="BS11" i="8"/>
  <c r="BR11" i="8"/>
  <c r="HT11" i="8" s="1"/>
  <c r="BO11" i="8"/>
  <c r="BI11" i="8"/>
  <c r="BH11" i="8"/>
  <c r="HS11" i="8" s="1"/>
  <c r="BE11" i="8"/>
  <c r="AY11" i="8"/>
  <c r="AX11" i="8"/>
  <c r="AU11" i="8"/>
  <c r="AO11" i="8"/>
  <c r="AN11" i="8"/>
  <c r="AK11" i="8"/>
  <c r="AE11" i="8"/>
  <c r="AD11" i="8"/>
  <c r="HP11" i="8" s="1"/>
  <c r="AA11" i="8"/>
  <c r="U11" i="8"/>
  <c r="T11" i="8"/>
  <c r="Q11" i="8"/>
  <c r="K11" i="8"/>
  <c r="JG11" i="8" s="1"/>
  <c r="J11" i="8"/>
  <c r="G11" i="8"/>
  <c r="JQ9" i="8"/>
  <c r="JG9" i="8"/>
  <c r="IW9" i="8"/>
  <c r="JC9" i="8" s="1"/>
  <c r="IM9" i="8"/>
  <c r="IS9" i="8" s="1"/>
  <c r="HC9" i="8"/>
  <c r="GV9" i="8"/>
  <c r="GS9" i="8"/>
  <c r="GL9" i="8"/>
  <c r="GI9" i="8"/>
  <c r="GB9" i="8"/>
  <c r="FY9" i="8"/>
  <c r="FR9" i="8"/>
  <c r="FO9" i="8"/>
  <c r="FE9" i="8"/>
  <c r="EU9" i="8"/>
  <c r="EK9" i="8"/>
  <c r="DQ9" i="8"/>
  <c r="DG9" i="8"/>
  <c r="CW9" i="8"/>
  <c r="CM9" i="8"/>
  <c r="CC9" i="8"/>
  <c r="BS9" i="8"/>
  <c r="BI9" i="8"/>
  <c r="AY9" i="8"/>
  <c r="AO9" i="8"/>
  <c r="AE9" i="8"/>
  <c r="U9" i="8"/>
  <c r="EA9" i="8" s="1"/>
  <c r="K9" i="8"/>
  <c r="G9" i="8"/>
  <c r="HZ8" i="8" s="1"/>
  <c r="IF25" i="6" l="1"/>
  <c r="JZ24" i="6"/>
  <c r="JZ18" i="6"/>
  <c r="JZ13" i="6"/>
  <c r="JZ29" i="6"/>
  <c r="HL16" i="6"/>
  <c r="HL20" i="6"/>
  <c r="IL17" i="6"/>
  <c r="IX31" i="6"/>
  <c r="IL19" i="6"/>
  <c r="IL12" i="6"/>
  <c r="IL21" i="6"/>
  <c r="HD31" i="6"/>
  <c r="JP18" i="6"/>
  <c r="JK31" i="6"/>
  <c r="HL24" i="7"/>
  <c r="HL23" i="7"/>
  <c r="HB31" i="7"/>
  <c r="HJ31" i="7"/>
  <c r="JZ26" i="7"/>
  <c r="JZ24" i="7"/>
  <c r="JZ25" i="7"/>
  <c r="JZ14" i="7"/>
  <c r="JZ13" i="7"/>
  <c r="CV31" i="7"/>
  <c r="HW31" i="7" s="1"/>
  <c r="AD31" i="7"/>
  <c r="HP31" i="7" s="1"/>
  <c r="HP12" i="7"/>
  <c r="HL15" i="7"/>
  <c r="HU15" i="7"/>
  <c r="IL15" i="7"/>
  <c r="AX31" i="7"/>
  <c r="HR31" i="7" s="1"/>
  <c r="IL20" i="7"/>
  <c r="HL19" i="7"/>
  <c r="HD31" i="7"/>
  <c r="JP21" i="7"/>
  <c r="JP24" i="7"/>
  <c r="JN31" i="7"/>
  <c r="JP13" i="7"/>
  <c r="JP29" i="7"/>
  <c r="IL29" i="7"/>
  <c r="JP25" i="7"/>
  <c r="IF24" i="7"/>
  <c r="IL24" i="7" s="1"/>
  <c r="JP16" i="7"/>
  <c r="GE9" i="13"/>
  <c r="IL25" i="13"/>
  <c r="IL20" i="13"/>
  <c r="IL15" i="13"/>
  <c r="T31" i="13"/>
  <c r="HO31" i="13" s="1"/>
  <c r="HO11" i="13"/>
  <c r="IL21" i="13"/>
  <c r="BR31" i="13"/>
  <c r="HT31" i="13" s="1"/>
  <c r="HT12" i="13"/>
  <c r="IL12" i="13"/>
  <c r="HO15" i="13"/>
  <c r="HL15" i="13"/>
  <c r="IL16" i="13"/>
  <c r="HT25" i="13"/>
  <c r="HL25" i="13"/>
  <c r="HG31" i="13"/>
  <c r="IL28" i="13"/>
  <c r="HL11" i="13"/>
  <c r="GE19" i="13"/>
  <c r="GB19" i="13"/>
  <c r="JW19" i="13"/>
  <c r="FY19" i="13"/>
  <c r="JQ19" i="13"/>
  <c r="JZ21" i="13"/>
  <c r="JZ31" i="13" s="1"/>
  <c r="FO23" i="13"/>
  <c r="FR23" i="13"/>
  <c r="JT23" i="13"/>
  <c r="FU23" i="13"/>
  <c r="JM23" i="13"/>
  <c r="JG23" i="13"/>
  <c r="GI28" i="13"/>
  <c r="GO28" i="13"/>
  <c r="GL28" i="13"/>
  <c r="DQ28" i="13"/>
  <c r="DW28" i="13"/>
  <c r="BO9" i="13"/>
  <c r="FA9" i="13"/>
  <c r="FK9" i="13"/>
  <c r="BE9" i="13"/>
  <c r="AU9" i="13"/>
  <c r="AA9" i="13"/>
  <c r="EQ9" i="13"/>
  <c r="AK9" i="13"/>
  <c r="EG9" i="13"/>
  <c r="JU31" i="13"/>
  <c r="HN27" i="13"/>
  <c r="IL27" i="13" s="1"/>
  <c r="HL27" i="13"/>
  <c r="IB13" i="13"/>
  <c r="FU9" i="13"/>
  <c r="HW11" i="13"/>
  <c r="CV31" i="13"/>
  <c r="HW31" i="13" s="1"/>
  <c r="GL16" i="13"/>
  <c r="GO16" i="13"/>
  <c r="DC16" i="13"/>
  <c r="HN18" i="13"/>
  <c r="IL18" i="13" s="1"/>
  <c r="HL18" i="13"/>
  <c r="IL26" i="13"/>
  <c r="GR31" i="13"/>
  <c r="BY9" i="13"/>
  <c r="GY11" i="13"/>
  <c r="GV11" i="13"/>
  <c r="GS11" i="13"/>
  <c r="JT13" i="13"/>
  <c r="FU13" i="13"/>
  <c r="FR13" i="13"/>
  <c r="FO13" i="13"/>
  <c r="JM13" i="13"/>
  <c r="JJ13" i="13"/>
  <c r="GE14" i="13"/>
  <c r="GB14" i="13"/>
  <c r="JW14" i="13"/>
  <c r="FY14" i="13"/>
  <c r="JQ14" i="13"/>
  <c r="JG14" i="13"/>
  <c r="FU15" i="13"/>
  <c r="DQ16" i="13"/>
  <c r="HL24" i="13"/>
  <c r="ET31" i="13"/>
  <c r="GO9" i="13"/>
  <c r="HY11" i="13"/>
  <c r="DP31" i="13"/>
  <c r="HY31" i="13" s="1"/>
  <c r="HL12" i="13"/>
  <c r="JM15" i="13"/>
  <c r="DW16" i="13"/>
  <c r="JP18" i="13"/>
  <c r="IL29" i="13"/>
  <c r="FY11" i="13"/>
  <c r="IX31" i="13"/>
  <c r="GI14" i="13"/>
  <c r="DW14" i="13"/>
  <c r="DQ14" i="13"/>
  <c r="DC14" i="13"/>
  <c r="GO25" i="13"/>
  <c r="GI25" i="13"/>
  <c r="DW25" i="13"/>
  <c r="GI29" i="13"/>
  <c r="GL29" i="13"/>
  <c r="GO29" i="13"/>
  <c r="AD31" i="13"/>
  <c r="HP31" i="13" s="1"/>
  <c r="CS9" i="13"/>
  <c r="GY9" i="13"/>
  <c r="IA11" i="13"/>
  <c r="DZ31" i="13"/>
  <c r="IA31" i="13" s="1"/>
  <c r="GB11" i="13"/>
  <c r="JH31" i="13"/>
  <c r="GB24" i="13"/>
  <c r="GE24" i="13"/>
  <c r="FD31" i="13"/>
  <c r="JX31" i="13"/>
  <c r="JW15" i="13"/>
  <c r="FY15" i="13"/>
  <c r="GB15" i="13"/>
  <c r="GE15" i="13"/>
  <c r="HL17" i="13"/>
  <c r="GO19" i="13"/>
  <c r="GL19" i="13"/>
  <c r="GI19" i="13"/>
  <c r="DW19" i="13"/>
  <c r="DQ19" i="13"/>
  <c r="GE23" i="13"/>
  <c r="GB23" i="13"/>
  <c r="JQ23" i="13"/>
  <c r="JW23" i="13"/>
  <c r="FY23" i="13"/>
  <c r="J31" i="13"/>
  <c r="HN31" i="13" s="1"/>
  <c r="II13" i="13"/>
  <c r="HB31" i="13"/>
  <c r="HN14" i="13"/>
  <c r="HL14" i="13"/>
  <c r="GI15" i="13"/>
  <c r="GO15" i="13"/>
  <c r="GL15" i="13"/>
  <c r="DC15" i="13"/>
  <c r="JT18" i="13"/>
  <c r="FU18" i="13"/>
  <c r="JM18" i="13"/>
  <c r="FR18" i="13"/>
  <c r="FO18" i="13"/>
  <c r="JJ18" i="13"/>
  <c r="HN22" i="13"/>
  <c r="IL22" i="13" s="1"/>
  <c r="HL22" i="13"/>
  <c r="JT26" i="13"/>
  <c r="FU26" i="13"/>
  <c r="FR26" i="13"/>
  <c r="FO26" i="13"/>
  <c r="JG26" i="13"/>
  <c r="JM26" i="13"/>
  <c r="JJ26" i="13"/>
  <c r="GO11" i="13"/>
  <c r="GL11" i="13"/>
  <c r="GI11" i="13"/>
  <c r="DC11" i="13"/>
  <c r="JT14" i="13"/>
  <c r="FU14" i="13"/>
  <c r="FO14" i="13"/>
  <c r="FR14" i="13"/>
  <c r="GS19" i="13"/>
  <c r="HX11" i="13"/>
  <c r="DF31" i="13"/>
  <c r="HX31" i="13" s="1"/>
  <c r="FN31" i="13"/>
  <c r="HV14" i="13"/>
  <c r="GV16" i="13"/>
  <c r="GY16" i="13"/>
  <c r="GS16" i="13"/>
  <c r="GV19" i="13"/>
  <c r="HN13" i="13"/>
  <c r="HL13" i="13"/>
  <c r="GV15" i="13"/>
  <c r="GS15" i="13"/>
  <c r="DQ11" i="13"/>
  <c r="JJ14" i="13"/>
  <c r="DW15" i="13"/>
  <c r="GB20" i="13"/>
  <c r="JW20" i="13"/>
  <c r="FY20" i="13"/>
  <c r="IL24" i="13"/>
  <c r="HS11" i="13"/>
  <c r="BH31" i="13"/>
  <c r="HS31" i="13" s="1"/>
  <c r="GE11" i="13"/>
  <c r="GO20" i="13"/>
  <c r="GI20" i="13"/>
  <c r="GL20" i="13"/>
  <c r="DW20" i="13"/>
  <c r="GS21" i="13"/>
  <c r="GV21" i="13"/>
  <c r="GY21" i="13"/>
  <c r="HL28" i="13"/>
  <c r="DC9" i="13"/>
  <c r="HI9" i="13"/>
  <c r="GH31" i="13"/>
  <c r="JK31" i="13"/>
  <c r="GS12" i="13"/>
  <c r="GY12" i="13"/>
  <c r="GV12" i="13"/>
  <c r="GY25" i="13"/>
  <c r="GV25" i="13"/>
  <c r="GS25" i="13"/>
  <c r="FR28" i="13"/>
  <c r="FO28" i="13"/>
  <c r="JM28" i="13"/>
  <c r="IE11" i="13"/>
  <c r="JD31" i="13"/>
  <c r="GO24" i="13"/>
  <c r="GL24" i="13"/>
  <c r="GI24" i="13"/>
  <c r="DQ24" i="13"/>
  <c r="JG28" i="13"/>
  <c r="DM9" i="13"/>
  <c r="IF11" i="13"/>
  <c r="JN31" i="13"/>
  <c r="JG13" i="13"/>
  <c r="HN19" i="13"/>
  <c r="IL19" i="13" s="1"/>
  <c r="HL19" i="13"/>
  <c r="DQ25" i="13"/>
  <c r="DQ29" i="13"/>
  <c r="JP11" i="13"/>
  <c r="JT19" i="13"/>
  <c r="FU19" i="13"/>
  <c r="FO19" i="13"/>
  <c r="GE28" i="13"/>
  <c r="JW28" i="13"/>
  <c r="FY28" i="13"/>
  <c r="GB28" i="13"/>
  <c r="JQ28" i="13"/>
  <c r="JJ28" i="13"/>
  <c r="DW29" i="13"/>
  <c r="DW9" i="13"/>
  <c r="DQ20" i="13"/>
  <c r="GE20" i="13"/>
  <c r="JQ20" i="13"/>
  <c r="GY24" i="13"/>
  <c r="GV24" i="13"/>
  <c r="GS24" i="13"/>
  <c r="HM8" i="13"/>
  <c r="CB31" i="13"/>
  <c r="HU31" i="13" s="1"/>
  <c r="JR31" i="13"/>
  <c r="JP19" i="13"/>
  <c r="HL23" i="13"/>
  <c r="HN23" i="13"/>
  <c r="IL23" i="13" s="1"/>
  <c r="JQ24" i="13"/>
  <c r="JZ29" i="13"/>
  <c r="JJ27" i="13"/>
  <c r="JG22" i="13"/>
  <c r="JM22" i="13"/>
  <c r="FO27" i="13"/>
  <c r="JQ27" i="13"/>
  <c r="JG17" i="13"/>
  <c r="JJ17" i="13"/>
  <c r="JQ18" i="13"/>
  <c r="JG21" i="13"/>
  <c r="DQ23" i="13"/>
  <c r="FR27" i="13"/>
  <c r="DW23" i="13"/>
  <c r="FU27" i="13"/>
  <c r="GS29" i="13"/>
  <c r="DC13" i="13"/>
  <c r="JM17" i="13"/>
  <c r="GS20" i="13"/>
  <c r="JJ12" i="13"/>
  <c r="JG16" i="13"/>
  <c r="DQ18" i="13"/>
  <c r="GV20" i="13"/>
  <c r="FR22" i="13"/>
  <c r="DW27" i="13"/>
  <c r="FY27" i="13"/>
  <c r="JW27" i="13"/>
  <c r="GY29" i="13"/>
  <c r="FY18" i="13"/>
  <c r="JW18" i="13"/>
  <c r="FU22" i="13"/>
  <c r="JT22" i="13"/>
  <c r="JJ25" i="13"/>
  <c r="HL26" i="13"/>
  <c r="GB27" i="13"/>
  <c r="JG29" i="13"/>
  <c r="JQ22" i="13"/>
  <c r="JG25" i="13"/>
  <c r="FO17" i="13"/>
  <c r="GB18" i="13"/>
  <c r="DQ22" i="13"/>
  <c r="GI23" i="13"/>
  <c r="FY22" i="13"/>
  <c r="AA9" i="8"/>
  <c r="FK9" i="11"/>
  <c r="AA9" i="11"/>
  <c r="FU9" i="11"/>
  <c r="BE9" i="11"/>
  <c r="GE9" i="11"/>
  <c r="BO9" i="11"/>
  <c r="BY9" i="11"/>
  <c r="CI9" i="11"/>
  <c r="CS9" i="11"/>
  <c r="FU9" i="6"/>
  <c r="BO9" i="6"/>
  <c r="BY9" i="6"/>
  <c r="CI9" i="2"/>
  <c r="EQ9" i="2"/>
  <c r="GO9" i="11"/>
  <c r="DC9" i="11"/>
  <c r="DM9" i="11"/>
  <c r="GY9" i="11"/>
  <c r="Q9" i="11"/>
  <c r="DW9" i="11"/>
  <c r="HI9" i="11"/>
  <c r="EG9" i="11"/>
  <c r="AK9" i="11"/>
  <c r="EQ9" i="11"/>
  <c r="AU9" i="11"/>
  <c r="CS9" i="6"/>
  <c r="GO9" i="6"/>
  <c r="DM9" i="6"/>
  <c r="GY9" i="6"/>
  <c r="Q9" i="6"/>
  <c r="DW9" i="6"/>
  <c r="HI9" i="6"/>
  <c r="EG9" i="6"/>
  <c r="AK9" i="6"/>
  <c r="EQ9" i="6"/>
  <c r="AA9" i="6"/>
  <c r="AU9" i="6"/>
  <c r="CS9" i="7"/>
  <c r="GO9" i="7"/>
  <c r="DC9" i="7"/>
  <c r="DM9" i="7"/>
  <c r="GY9" i="7"/>
  <c r="Q9" i="7"/>
  <c r="DW9" i="7"/>
  <c r="HI9" i="7"/>
  <c r="AK9" i="7"/>
  <c r="EQ9" i="7"/>
  <c r="EG9" i="7"/>
  <c r="AA9" i="7"/>
  <c r="AU9" i="7"/>
  <c r="GY9" i="2"/>
  <c r="Q9" i="2"/>
  <c r="DW9" i="2"/>
  <c r="HI9" i="2"/>
  <c r="AA9" i="2"/>
  <c r="EG9" i="2"/>
  <c r="AK9" i="2"/>
  <c r="AU9" i="2"/>
  <c r="Q9" i="8"/>
  <c r="HP14" i="11"/>
  <c r="AD31" i="11"/>
  <c r="HP31" i="11" s="1"/>
  <c r="GI14" i="11"/>
  <c r="DQ14" i="11"/>
  <c r="GO14" i="11"/>
  <c r="GL14" i="11"/>
  <c r="DW14" i="11"/>
  <c r="DC14" i="11"/>
  <c r="HN27" i="11"/>
  <c r="IL27" i="11" s="1"/>
  <c r="HL27" i="11"/>
  <c r="CV31" i="11"/>
  <c r="HW31" i="11" s="1"/>
  <c r="HW18" i="11"/>
  <c r="IB12" i="11"/>
  <c r="EJ31" i="11"/>
  <c r="BR31" i="11"/>
  <c r="HT31" i="11" s="1"/>
  <c r="GR31" i="11"/>
  <c r="JQ24" i="11"/>
  <c r="GE24" i="11"/>
  <c r="GB24" i="11"/>
  <c r="FY24" i="11"/>
  <c r="IN31" i="11"/>
  <c r="IT31" i="11"/>
  <c r="HO22" i="11"/>
  <c r="HL22" i="11"/>
  <c r="FY11" i="11"/>
  <c r="GE11" i="11"/>
  <c r="GB11" i="11"/>
  <c r="JQ11" i="11"/>
  <c r="HD31" i="11"/>
  <c r="HP28" i="11"/>
  <c r="HL28" i="11"/>
  <c r="JW24" i="11"/>
  <c r="HJ31" i="11"/>
  <c r="IX31" i="11"/>
  <c r="GE15" i="11"/>
  <c r="GB15" i="11"/>
  <c r="FY15" i="11"/>
  <c r="JQ15" i="11"/>
  <c r="HO15" i="11"/>
  <c r="IL15" i="11" s="1"/>
  <c r="HL15" i="11"/>
  <c r="IL21" i="11"/>
  <c r="HL23" i="11"/>
  <c r="IL20" i="11"/>
  <c r="HT12" i="11"/>
  <c r="HL14" i="11"/>
  <c r="T31" i="11"/>
  <c r="HO31" i="11" s="1"/>
  <c r="HO11" i="11"/>
  <c r="HL11" i="11"/>
  <c r="CL31" i="11"/>
  <c r="HV31" i="11" s="1"/>
  <c r="FD31" i="11"/>
  <c r="JK31" i="11"/>
  <c r="GY12" i="11"/>
  <c r="GV12" i="11"/>
  <c r="JT13" i="11"/>
  <c r="FU13" i="11"/>
  <c r="FR13" i="11"/>
  <c r="FO13" i="11"/>
  <c r="JM13" i="11"/>
  <c r="JM15" i="11"/>
  <c r="IL14" i="11"/>
  <c r="HL21" i="11"/>
  <c r="IL22" i="11"/>
  <c r="JN31" i="11"/>
  <c r="HR12" i="11"/>
  <c r="JT14" i="11"/>
  <c r="FU14" i="11"/>
  <c r="FR14" i="11"/>
  <c r="HL18" i="11"/>
  <c r="FR22" i="11"/>
  <c r="JT22" i="11"/>
  <c r="FU22" i="11"/>
  <c r="JM22" i="11"/>
  <c r="IL23" i="11"/>
  <c r="CB31" i="11"/>
  <c r="HU31" i="11" s="1"/>
  <c r="HU11" i="11"/>
  <c r="JP11" i="11"/>
  <c r="JP31" i="11" s="1"/>
  <c r="HS12" i="11"/>
  <c r="IL12" i="11" s="1"/>
  <c r="JT23" i="11"/>
  <c r="FU23" i="11"/>
  <c r="GO29" i="11"/>
  <c r="DQ29" i="11"/>
  <c r="HB31" i="11"/>
  <c r="JR31" i="11"/>
  <c r="GB14" i="11"/>
  <c r="GE14" i="11"/>
  <c r="JT15" i="11"/>
  <c r="JW22" i="11"/>
  <c r="FY22" i="11"/>
  <c r="DC13" i="11"/>
  <c r="GE18" i="11"/>
  <c r="GB18" i="11"/>
  <c r="JW18" i="11"/>
  <c r="FY18" i="11"/>
  <c r="JQ18" i="11"/>
  <c r="HN18" i="11"/>
  <c r="IL18" i="11" s="1"/>
  <c r="GB19" i="11"/>
  <c r="JW19" i="11"/>
  <c r="FY19" i="11"/>
  <c r="GE23" i="11"/>
  <c r="JW23" i="11"/>
  <c r="FY23" i="11"/>
  <c r="HL24" i="11"/>
  <c r="GY29" i="11"/>
  <c r="GS29" i="11"/>
  <c r="DC11" i="11"/>
  <c r="IQ31" i="11"/>
  <c r="DW13" i="11"/>
  <c r="JG13" i="11"/>
  <c r="DC15" i="11"/>
  <c r="JJ16" i="11"/>
  <c r="JG16" i="11"/>
  <c r="FR19" i="11"/>
  <c r="JW20" i="11"/>
  <c r="GE22" i="11"/>
  <c r="HN26" i="11"/>
  <c r="IL26" i="11" s="1"/>
  <c r="HL26" i="11"/>
  <c r="GE27" i="11"/>
  <c r="JW27" i="11"/>
  <c r="FY27" i="11"/>
  <c r="GB27" i="11"/>
  <c r="JQ27" i="11"/>
  <c r="GI29" i="11"/>
  <c r="GY11" i="11"/>
  <c r="GV11" i="11"/>
  <c r="GS11" i="11"/>
  <c r="GO13" i="11"/>
  <c r="GV15" i="11"/>
  <c r="GS15" i="11"/>
  <c r="FR15" i="11"/>
  <c r="GL18" i="11"/>
  <c r="GE19" i="11"/>
  <c r="GO20" i="11"/>
  <c r="GL20" i="11"/>
  <c r="GS21" i="11"/>
  <c r="HL25" i="11"/>
  <c r="DW27" i="11"/>
  <c r="GL27" i="11"/>
  <c r="GV29" i="11"/>
  <c r="HY11" i="11"/>
  <c r="DP31" i="11"/>
  <c r="HY31" i="11" s="1"/>
  <c r="JJ14" i="11"/>
  <c r="FU15" i="11"/>
  <c r="JJ18" i="11"/>
  <c r="JG19" i="11"/>
  <c r="GV21" i="11"/>
  <c r="JJ22" i="11"/>
  <c r="JJ23" i="11"/>
  <c r="DQ24" i="11"/>
  <c r="JX31" i="11"/>
  <c r="J31" i="11"/>
  <c r="HN31" i="11" s="1"/>
  <c r="GL13" i="11"/>
  <c r="DQ11" i="11"/>
  <c r="FX31" i="11"/>
  <c r="DQ15" i="11"/>
  <c r="GS23" i="11"/>
  <c r="IL25" i="11"/>
  <c r="JZ27" i="11"/>
  <c r="GL23" i="11"/>
  <c r="GI23" i="11"/>
  <c r="DW23" i="11"/>
  <c r="DQ23" i="11"/>
  <c r="DW11" i="11"/>
  <c r="GS19" i="11"/>
  <c r="GV23" i="11"/>
  <c r="IA11" i="11"/>
  <c r="DZ31" i="11"/>
  <c r="IA31" i="11" s="1"/>
  <c r="HL12" i="11"/>
  <c r="JG15" i="11"/>
  <c r="HL16" i="11"/>
  <c r="GV18" i="11"/>
  <c r="GV19" i="11"/>
  <c r="JQ22" i="11"/>
  <c r="GY25" i="11"/>
  <c r="GV25" i="11"/>
  <c r="GS25" i="11"/>
  <c r="GO26" i="11"/>
  <c r="DW26" i="11"/>
  <c r="GO27" i="11"/>
  <c r="HL29" i="11"/>
  <c r="GO19" i="11"/>
  <c r="GI19" i="11"/>
  <c r="GL19" i="11"/>
  <c r="DW19" i="11"/>
  <c r="FO14" i="11"/>
  <c r="DF31" i="11"/>
  <c r="HX31" i="11" s="1"/>
  <c r="AN31" i="11"/>
  <c r="HQ31" i="11" s="1"/>
  <c r="JJ13" i="11"/>
  <c r="JG14" i="11"/>
  <c r="JA31" i="11"/>
  <c r="JM18" i="11"/>
  <c r="JJ19" i="11"/>
  <c r="JM23" i="11"/>
  <c r="JW13" i="11"/>
  <c r="FO16" i="11"/>
  <c r="HL17" i="11"/>
  <c r="GY18" i="11"/>
  <c r="DQ20" i="11"/>
  <c r="HS20" i="11"/>
  <c r="DQ27" i="11"/>
  <c r="JT27" i="11"/>
  <c r="FU27" i="11"/>
  <c r="FR27" i="11"/>
  <c r="FO27" i="11"/>
  <c r="JM27" i="11"/>
  <c r="JG27" i="11"/>
  <c r="GS28" i="11"/>
  <c r="GY28" i="11"/>
  <c r="DQ18" i="11"/>
  <c r="DW18" i="11"/>
  <c r="JZ11" i="11"/>
  <c r="GS12" i="11"/>
  <c r="GB22" i="11"/>
  <c r="GL24" i="11"/>
  <c r="GI24" i="11"/>
  <c r="FY14" i="11"/>
  <c r="JJ27" i="11"/>
  <c r="FO15" i="11"/>
  <c r="GI18" i="11"/>
  <c r="JG22" i="11"/>
  <c r="GY24" i="11"/>
  <c r="GV24" i="11"/>
  <c r="GS24" i="11"/>
  <c r="JM14" i="11"/>
  <c r="DW15" i="11"/>
  <c r="GV20" i="11"/>
  <c r="GY20" i="11"/>
  <c r="HM8" i="11"/>
  <c r="GH31" i="11"/>
  <c r="JH31" i="11"/>
  <c r="JQ14" i="11"/>
  <c r="GI15" i="11"/>
  <c r="FR16" i="11"/>
  <c r="FR17" i="11"/>
  <c r="FO17" i="11"/>
  <c r="JJ17" i="11"/>
  <c r="JT18" i="11"/>
  <c r="DW20" i="11"/>
  <c r="FY20" i="11"/>
  <c r="JQ23" i="11"/>
  <c r="GO24" i="11"/>
  <c r="DQ25" i="11"/>
  <c r="JP26" i="11"/>
  <c r="IL28" i="11"/>
  <c r="HZ8" i="11"/>
  <c r="GI11" i="11"/>
  <c r="HN13" i="11"/>
  <c r="IL13" i="11" s="1"/>
  <c r="HL13" i="11"/>
  <c r="JZ14" i="11"/>
  <c r="GL15" i="11"/>
  <c r="FU16" i="11"/>
  <c r="JZ23" i="11"/>
  <c r="JM29" i="11"/>
  <c r="JJ28" i="11"/>
  <c r="FO29" i="11"/>
  <c r="ET31" i="11"/>
  <c r="FU28" i="11"/>
  <c r="JJ26" i="11"/>
  <c r="GB28" i="11"/>
  <c r="JG21" i="11"/>
  <c r="JM26" i="11"/>
  <c r="JJ25" i="11"/>
  <c r="FO26" i="11"/>
  <c r="GO28" i="11"/>
  <c r="JG29" i="11"/>
  <c r="DQ22" i="11"/>
  <c r="FR26" i="11"/>
  <c r="FU26" i="11"/>
  <c r="IL23" i="7"/>
  <c r="IA11" i="7"/>
  <c r="DZ31" i="7"/>
  <c r="IA31" i="7" s="1"/>
  <c r="JR31" i="7"/>
  <c r="JZ11" i="7"/>
  <c r="JT23" i="7"/>
  <c r="FU23" i="7"/>
  <c r="FR23" i="7"/>
  <c r="JG23" i="7"/>
  <c r="FO23" i="7"/>
  <c r="HS11" i="7"/>
  <c r="BH31" i="7"/>
  <c r="HS31" i="7" s="1"/>
  <c r="HQ21" i="7"/>
  <c r="IL21" i="7" s="1"/>
  <c r="HL21" i="7"/>
  <c r="IL28" i="7"/>
  <c r="HZ8" i="7"/>
  <c r="GY12" i="7"/>
  <c r="GV12" i="7"/>
  <c r="GS12" i="7"/>
  <c r="JK31" i="7"/>
  <c r="IE14" i="7"/>
  <c r="IL14" i="7" s="1"/>
  <c r="FN31" i="7"/>
  <c r="HT25" i="7"/>
  <c r="IL25" i="7" s="1"/>
  <c r="HL25" i="7"/>
  <c r="GE15" i="7"/>
  <c r="JQ15" i="7"/>
  <c r="GB15" i="7"/>
  <c r="FY15" i="7"/>
  <c r="JW15" i="7"/>
  <c r="IL19" i="7"/>
  <c r="HL20" i="7"/>
  <c r="JT13" i="7"/>
  <c r="FU13" i="7"/>
  <c r="FR13" i="7"/>
  <c r="FO13" i="7"/>
  <c r="JM13" i="7"/>
  <c r="JJ13" i="7"/>
  <c r="JG13" i="7"/>
  <c r="IL16" i="7"/>
  <c r="JA31" i="7"/>
  <c r="IX31" i="7"/>
  <c r="GI14" i="7"/>
  <c r="DW14" i="7"/>
  <c r="GO14" i="7"/>
  <c r="DQ14" i="7"/>
  <c r="GL14" i="7"/>
  <c r="GH31" i="7"/>
  <c r="GR31" i="7"/>
  <c r="FU28" i="7"/>
  <c r="FR28" i="7"/>
  <c r="FO28" i="7"/>
  <c r="JT28" i="7"/>
  <c r="IN31" i="7"/>
  <c r="HN13" i="7"/>
  <c r="HL13" i="7"/>
  <c r="GY20" i="7"/>
  <c r="GS20" i="7"/>
  <c r="GV20" i="7"/>
  <c r="ID13" i="7"/>
  <c r="FD31" i="7"/>
  <c r="GL15" i="7"/>
  <c r="GO15" i="7"/>
  <c r="GI15" i="7"/>
  <c r="DW15" i="7"/>
  <c r="DQ15" i="7"/>
  <c r="JQ13" i="7"/>
  <c r="JW13" i="7"/>
  <c r="GE13" i="7"/>
  <c r="GB13" i="7"/>
  <c r="FY13" i="7"/>
  <c r="DQ13" i="7"/>
  <c r="GO13" i="7"/>
  <c r="GL13" i="7"/>
  <c r="GI13" i="7"/>
  <c r="DW13" i="7"/>
  <c r="JQ24" i="7"/>
  <c r="GE24" i="7"/>
  <c r="GB24" i="7"/>
  <c r="FY24" i="7"/>
  <c r="HN22" i="7"/>
  <c r="IL22" i="7" s="1"/>
  <c r="HL22" i="7"/>
  <c r="CL31" i="7"/>
  <c r="HV31" i="7" s="1"/>
  <c r="JH31" i="7"/>
  <c r="JP11" i="7"/>
  <c r="GE14" i="7"/>
  <c r="JW14" i="7"/>
  <c r="FY14" i="7"/>
  <c r="GB14" i="7"/>
  <c r="JQ14" i="7"/>
  <c r="FO15" i="7"/>
  <c r="FU15" i="7"/>
  <c r="FR15" i="7"/>
  <c r="GY21" i="7"/>
  <c r="GV21" i="7"/>
  <c r="GS21" i="7"/>
  <c r="IT31" i="7"/>
  <c r="JD31" i="7"/>
  <c r="IQ31" i="7"/>
  <c r="DC15" i="7"/>
  <c r="CB31" i="7"/>
  <c r="HU31" i="7" s="1"/>
  <c r="HL14" i="7"/>
  <c r="GE18" i="7"/>
  <c r="GB18" i="7"/>
  <c r="JW18" i="7"/>
  <c r="FY18" i="7"/>
  <c r="JQ18" i="7"/>
  <c r="HM8" i="7"/>
  <c r="HL12" i="7"/>
  <c r="AN31" i="7"/>
  <c r="HQ31" i="7" s="1"/>
  <c r="HQ12" i="7"/>
  <c r="IL12" i="7" s="1"/>
  <c r="JT14" i="7"/>
  <c r="FU14" i="7"/>
  <c r="FR14" i="7"/>
  <c r="JG14" i="7"/>
  <c r="FO14" i="7"/>
  <c r="DW18" i="7"/>
  <c r="DQ18" i="7"/>
  <c r="GI18" i="7"/>
  <c r="JP18" i="7"/>
  <c r="GV19" i="7"/>
  <c r="GO24" i="7"/>
  <c r="GL24" i="7"/>
  <c r="GI24" i="7"/>
  <c r="DW24" i="7"/>
  <c r="DQ24" i="7"/>
  <c r="FO22" i="7"/>
  <c r="JT22" i="7"/>
  <c r="FU22" i="7"/>
  <c r="FR22" i="7"/>
  <c r="GB23" i="7"/>
  <c r="GE23" i="7"/>
  <c r="JW23" i="7"/>
  <c r="GL23" i="7"/>
  <c r="GI23" i="7"/>
  <c r="DW23" i="7"/>
  <c r="DQ23" i="7"/>
  <c r="HL28" i="7"/>
  <c r="JW22" i="7"/>
  <c r="JQ22" i="7"/>
  <c r="JU31" i="7"/>
  <c r="BR31" i="7"/>
  <c r="HT31" i="7" s="1"/>
  <c r="GV15" i="7"/>
  <c r="GS15" i="7"/>
  <c r="GY24" i="7"/>
  <c r="GV24" i="7"/>
  <c r="GS24" i="7"/>
  <c r="HN26" i="7"/>
  <c r="IL26" i="7" s="1"/>
  <c r="HL26" i="7"/>
  <c r="HN27" i="7"/>
  <c r="IL27" i="7" s="1"/>
  <c r="HL27" i="7"/>
  <c r="T31" i="7"/>
  <c r="HO31" i="7" s="1"/>
  <c r="JX31" i="7"/>
  <c r="JT26" i="7"/>
  <c r="FU26" i="7"/>
  <c r="FR26" i="7"/>
  <c r="FO26" i="7"/>
  <c r="JT27" i="7"/>
  <c r="FU27" i="7"/>
  <c r="FR27" i="7"/>
  <c r="FO27" i="7"/>
  <c r="HL11" i="7"/>
  <c r="DC16" i="7"/>
  <c r="HL16" i="7"/>
  <c r="GO23" i="7"/>
  <c r="GO28" i="7"/>
  <c r="GI28" i="7"/>
  <c r="GL28" i="7"/>
  <c r="HL17" i="7"/>
  <c r="GB22" i="7"/>
  <c r="J31" i="7"/>
  <c r="HN31" i="7" s="1"/>
  <c r="IH12" i="7"/>
  <c r="FR17" i="7"/>
  <c r="FO17" i="7"/>
  <c r="GE22" i="7"/>
  <c r="JP22" i="7"/>
  <c r="GS23" i="7"/>
  <c r="GE27" i="7"/>
  <c r="GB27" i="7"/>
  <c r="JW27" i="7"/>
  <c r="FY27" i="7"/>
  <c r="JQ27" i="7"/>
  <c r="GL11" i="7"/>
  <c r="GI11" i="7"/>
  <c r="DC11" i="7"/>
  <c r="HO11" i="7"/>
  <c r="GY16" i="7"/>
  <c r="GS16" i="7"/>
  <c r="GY25" i="7"/>
  <c r="GV25" i="7"/>
  <c r="GS25" i="7"/>
  <c r="HL29" i="7"/>
  <c r="GE19" i="7"/>
  <c r="GB19" i="7"/>
  <c r="JW19" i="7"/>
  <c r="FY19" i="7"/>
  <c r="JQ23" i="7"/>
  <c r="DQ25" i="7"/>
  <c r="DQ27" i="7"/>
  <c r="DW27" i="7"/>
  <c r="DQ28" i="7"/>
  <c r="DF31" i="7"/>
  <c r="HX31" i="7" s="1"/>
  <c r="GE28" i="7"/>
  <c r="GB28" i="7"/>
  <c r="GY11" i="7"/>
  <c r="GV11" i="7"/>
  <c r="GS11" i="7"/>
  <c r="GY15" i="7"/>
  <c r="HN18" i="7"/>
  <c r="IL18" i="7" s="1"/>
  <c r="HL18" i="7"/>
  <c r="DW28" i="7"/>
  <c r="FY28" i="7"/>
  <c r="HY11" i="7"/>
  <c r="DP31" i="7"/>
  <c r="HY31" i="7" s="1"/>
  <c r="JT18" i="7"/>
  <c r="FU18" i="7"/>
  <c r="FR18" i="7"/>
  <c r="FO18" i="7"/>
  <c r="GI27" i="7"/>
  <c r="EJ31" i="7"/>
  <c r="FX31" i="7"/>
  <c r="GO19" i="7"/>
  <c r="GL19" i="7"/>
  <c r="GI19" i="7"/>
  <c r="DW19" i="7"/>
  <c r="GL27" i="7"/>
  <c r="GV29" i="7"/>
  <c r="GY29" i="7"/>
  <c r="GS29" i="7"/>
  <c r="JZ15" i="7"/>
  <c r="HN17" i="7"/>
  <c r="IL17" i="7" s="1"/>
  <c r="GO20" i="7"/>
  <c r="GL20" i="7"/>
  <c r="GO27" i="7"/>
  <c r="HU11" i="7"/>
  <c r="JG16" i="7"/>
  <c r="JG29" i="7"/>
  <c r="JG25" i="7"/>
  <c r="IL24" i="6"/>
  <c r="IL25" i="6"/>
  <c r="GO16" i="6"/>
  <c r="GI16" i="6"/>
  <c r="DQ16" i="6"/>
  <c r="DC16" i="6"/>
  <c r="HP16" i="6"/>
  <c r="GY11" i="6"/>
  <c r="GV11" i="6"/>
  <c r="GS11" i="6"/>
  <c r="GE23" i="6"/>
  <c r="GB23" i="6"/>
  <c r="JW23" i="6"/>
  <c r="JQ23" i="6"/>
  <c r="FY23" i="6"/>
  <c r="JJ23" i="6"/>
  <c r="GS16" i="6"/>
  <c r="GY16" i="6"/>
  <c r="GV16" i="6"/>
  <c r="IL22" i="6"/>
  <c r="AX31" i="6"/>
  <c r="HR31" i="6" s="1"/>
  <c r="DQ11" i="6"/>
  <c r="FX31" i="6"/>
  <c r="GB15" i="6"/>
  <c r="GE15" i="6"/>
  <c r="JQ15" i="6"/>
  <c r="JT22" i="6"/>
  <c r="FU22" i="6"/>
  <c r="FR22" i="6"/>
  <c r="FO22" i="6"/>
  <c r="JM22" i="6"/>
  <c r="HN26" i="6"/>
  <c r="IL26" i="6" s="1"/>
  <c r="HL26" i="6"/>
  <c r="DW11" i="6"/>
  <c r="JN31" i="6"/>
  <c r="JJ15" i="6"/>
  <c r="DW16" i="6"/>
  <c r="GL23" i="6"/>
  <c r="GI23" i="6"/>
  <c r="DQ23" i="6"/>
  <c r="DW23" i="6"/>
  <c r="GE27" i="6"/>
  <c r="GB27" i="6"/>
  <c r="JW27" i="6"/>
  <c r="FY27" i="6"/>
  <c r="JQ27" i="6"/>
  <c r="GR31" i="6"/>
  <c r="JR31" i="6"/>
  <c r="GE20" i="6"/>
  <c r="JQ20" i="6"/>
  <c r="HP20" i="6"/>
  <c r="IL20" i="6" s="1"/>
  <c r="EJ31" i="6"/>
  <c r="HS11" i="6"/>
  <c r="BH31" i="6"/>
  <c r="HS31" i="6" s="1"/>
  <c r="GH31" i="6"/>
  <c r="FR15" i="6"/>
  <c r="JW22" i="6"/>
  <c r="FY22" i="6"/>
  <c r="JQ22" i="6"/>
  <c r="GO23" i="6"/>
  <c r="GY28" i="6"/>
  <c r="GV12" i="6"/>
  <c r="GS12" i="6"/>
  <c r="GY12" i="6"/>
  <c r="JG15" i="6"/>
  <c r="FR19" i="6"/>
  <c r="JJ19" i="6"/>
  <c r="HL19" i="6"/>
  <c r="HL29" i="6"/>
  <c r="HN14" i="6"/>
  <c r="IL14" i="6" s="1"/>
  <c r="HL14" i="6"/>
  <c r="GL16" i="6"/>
  <c r="GO20" i="6"/>
  <c r="GI20" i="6"/>
  <c r="GL20" i="6"/>
  <c r="DQ20" i="6"/>
  <c r="HL21" i="6"/>
  <c r="HL24" i="6"/>
  <c r="BR31" i="6"/>
  <c r="HT31" i="6" s="1"/>
  <c r="JX31" i="6"/>
  <c r="GV15" i="6"/>
  <c r="GS15" i="6"/>
  <c r="FY15" i="6"/>
  <c r="JT15" i="6"/>
  <c r="JG22" i="6"/>
  <c r="IL29" i="6"/>
  <c r="ET31" i="6"/>
  <c r="JZ11" i="6"/>
  <c r="GB22" i="6"/>
  <c r="GO25" i="6"/>
  <c r="GL25" i="6"/>
  <c r="DW25" i="6"/>
  <c r="DQ25" i="6"/>
  <c r="CL31" i="6"/>
  <c r="HV31" i="6" s="1"/>
  <c r="HG31" i="6"/>
  <c r="J31" i="6"/>
  <c r="HN31" i="6" s="1"/>
  <c r="GY15" i="6"/>
  <c r="AD31" i="6"/>
  <c r="HP31" i="6" s="1"/>
  <c r="JT13" i="6"/>
  <c r="FU13" i="6"/>
  <c r="FR13" i="6"/>
  <c r="FO13" i="6"/>
  <c r="JJ13" i="6"/>
  <c r="JM13" i="6"/>
  <c r="JG13" i="6"/>
  <c r="DW20" i="6"/>
  <c r="FY20" i="6"/>
  <c r="GB24" i="6"/>
  <c r="GE24" i="6"/>
  <c r="JW24" i="6"/>
  <c r="FY24" i="6"/>
  <c r="GV25" i="6"/>
  <c r="GY25" i="6"/>
  <c r="GS25" i="6"/>
  <c r="HL18" i="6"/>
  <c r="FO19" i="6"/>
  <c r="JM19" i="6"/>
  <c r="GB20" i="6"/>
  <c r="JP24" i="6"/>
  <c r="HL28" i="6"/>
  <c r="JT28" i="6"/>
  <c r="FU28" i="6"/>
  <c r="JM28" i="6"/>
  <c r="JG28" i="6"/>
  <c r="AN31" i="6"/>
  <c r="HQ31" i="6" s="1"/>
  <c r="FN31" i="6"/>
  <c r="HO15" i="6"/>
  <c r="IL15" i="6" s="1"/>
  <c r="HL15" i="6"/>
  <c r="JU31" i="6"/>
  <c r="IN31" i="6"/>
  <c r="JW15" i="6"/>
  <c r="GY21" i="6"/>
  <c r="GV21" i="6"/>
  <c r="GE22" i="6"/>
  <c r="T31" i="6"/>
  <c r="HO31" i="6" s="1"/>
  <c r="HL11" i="6"/>
  <c r="HO11" i="6"/>
  <c r="GI11" i="6"/>
  <c r="GO11" i="6"/>
  <c r="GL11" i="6"/>
  <c r="FO23" i="6"/>
  <c r="JT23" i="6"/>
  <c r="FU23" i="6"/>
  <c r="FR23" i="6"/>
  <c r="JG23" i="6"/>
  <c r="JH31" i="6"/>
  <c r="JP11" i="6"/>
  <c r="FO15" i="6"/>
  <c r="JM15" i="6"/>
  <c r="IL27" i="6"/>
  <c r="GO28" i="6"/>
  <c r="DQ28" i="6"/>
  <c r="GL28" i="6"/>
  <c r="GI28" i="6"/>
  <c r="DW28" i="6"/>
  <c r="JG19" i="6"/>
  <c r="JJ22" i="6"/>
  <c r="GO29" i="6"/>
  <c r="GL29" i="6"/>
  <c r="DW29" i="6"/>
  <c r="CB31" i="6"/>
  <c r="HU31" i="6" s="1"/>
  <c r="HN13" i="6"/>
  <c r="IL13" i="6" s="1"/>
  <c r="HL13" i="6"/>
  <c r="IT31" i="6"/>
  <c r="JT18" i="6"/>
  <c r="FU18" i="6"/>
  <c r="FO18" i="6"/>
  <c r="FR18" i="6"/>
  <c r="JG18" i="6"/>
  <c r="FU19" i="6"/>
  <c r="IL28" i="6"/>
  <c r="GB11" i="6"/>
  <c r="JQ11" i="6"/>
  <c r="FD31" i="6"/>
  <c r="HL12" i="6"/>
  <c r="HL17" i="6"/>
  <c r="JZ20" i="6"/>
  <c r="JP28" i="6"/>
  <c r="DF31" i="6"/>
  <c r="HX31" i="6" s="1"/>
  <c r="HW11" i="6"/>
  <c r="CV31" i="6"/>
  <c r="HW31" i="6" s="1"/>
  <c r="FR17" i="6"/>
  <c r="FO17" i="6"/>
  <c r="JJ17" i="6"/>
  <c r="JG17" i="6"/>
  <c r="JM17" i="6"/>
  <c r="GE18" i="6"/>
  <c r="GB18" i="6"/>
  <c r="JW18" i="6"/>
  <c r="FY18" i="6"/>
  <c r="JQ18" i="6"/>
  <c r="JZ21" i="6"/>
  <c r="GI25" i="6"/>
  <c r="JJ28" i="6"/>
  <c r="HZ8" i="6"/>
  <c r="IL16" i="6"/>
  <c r="HL23" i="6"/>
  <c r="HN23" i="6"/>
  <c r="IL23" i="6" s="1"/>
  <c r="GE28" i="6"/>
  <c r="GB28" i="6"/>
  <c r="JW28" i="6"/>
  <c r="FY28" i="6"/>
  <c r="JG14" i="6"/>
  <c r="DC15" i="6"/>
  <c r="HB31" i="6"/>
  <c r="JJ14" i="6"/>
  <c r="DC14" i="6"/>
  <c r="DQ15" i="6"/>
  <c r="DW24" i="6"/>
  <c r="JM27" i="6"/>
  <c r="DW19" i="6"/>
  <c r="FY19" i="6"/>
  <c r="JW19" i="6"/>
  <c r="JJ26" i="6"/>
  <c r="FO27" i="6"/>
  <c r="HL27" i="6"/>
  <c r="DP31" i="6"/>
  <c r="HY31" i="6" s="1"/>
  <c r="GI15" i="6"/>
  <c r="GL24" i="6"/>
  <c r="JM26" i="6"/>
  <c r="FU27" i="6"/>
  <c r="GS29" i="6"/>
  <c r="GB19" i="6"/>
  <c r="JG21" i="6"/>
  <c r="JG12" i="6"/>
  <c r="DC13" i="6"/>
  <c r="DQ14" i="6"/>
  <c r="DW14" i="6"/>
  <c r="FY14" i="6"/>
  <c r="JW14" i="6"/>
  <c r="GL15" i="6"/>
  <c r="HN18" i="6"/>
  <c r="IL18" i="6" s="1"/>
  <c r="GS20" i="6"/>
  <c r="JJ21" i="6"/>
  <c r="HL22" i="6"/>
  <c r="GO24" i="6"/>
  <c r="JG25" i="6"/>
  <c r="DQ27" i="6"/>
  <c r="GV29" i="6"/>
  <c r="DQ18" i="6"/>
  <c r="GI19" i="6"/>
  <c r="GV20" i="6"/>
  <c r="DZ31" i="6"/>
  <c r="IA31" i="6" s="1"/>
  <c r="FO14" i="6"/>
  <c r="FR14" i="6"/>
  <c r="FU14" i="6"/>
  <c r="JJ12" i="6"/>
  <c r="GB14" i="6"/>
  <c r="GL19" i="6"/>
  <c r="GS24" i="6"/>
  <c r="JJ25" i="6"/>
  <c r="FO26" i="6"/>
  <c r="JG29" i="6"/>
  <c r="DQ22" i="6"/>
  <c r="GV24" i="6"/>
  <c r="FR26" i="6"/>
  <c r="FU26" i="6"/>
  <c r="JP17" i="8"/>
  <c r="GR31" i="8"/>
  <c r="JP18" i="8"/>
  <c r="JZ25" i="8"/>
  <c r="JZ15" i="8"/>
  <c r="JP14" i="8"/>
  <c r="JP16" i="8"/>
  <c r="JP19" i="8"/>
  <c r="JP28" i="8"/>
  <c r="JZ16" i="8"/>
  <c r="JZ18" i="8"/>
  <c r="JZ13" i="8"/>
  <c r="JZ26" i="8"/>
  <c r="JZ22" i="8"/>
  <c r="JP21" i="8"/>
  <c r="JP29" i="8"/>
  <c r="JP20" i="8"/>
  <c r="JP25" i="8"/>
  <c r="JP23" i="8"/>
  <c r="HL29" i="8"/>
  <c r="HL20" i="8"/>
  <c r="BH31" i="8"/>
  <c r="HS31" i="8" s="1"/>
  <c r="IL17" i="8"/>
  <c r="IT31" i="8"/>
  <c r="HL25" i="8"/>
  <c r="IL20" i="8"/>
  <c r="HL23" i="8"/>
  <c r="GL15" i="8"/>
  <c r="GO15" i="8"/>
  <c r="GI15" i="8"/>
  <c r="DW15" i="8"/>
  <c r="DC15" i="8"/>
  <c r="IL23" i="8"/>
  <c r="IL19" i="8"/>
  <c r="DQ15" i="8"/>
  <c r="JM19" i="8"/>
  <c r="JJ19" i="8"/>
  <c r="FR19" i="8"/>
  <c r="FU19" i="8"/>
  <c r="JT23" i="8"/>
  <c r="FU23" i="8"/>
  <c r="FR23" i="8"/>
  <c r="JM23" i="8"/>
  <c r="FO23" i="8"/>
  <c r="JJ23" i="8"/>
  <c r="JG23" i="8"/>
  <c r="GV15" i="8"/>
  <c r="GS15" i="8"/>
  <c r="GY15" i="8"/>
  <c r="FY19" i="8"/>
  <c r="JW19" i="8"/>
  <c r="GE19" i="8"/>
  <c r="GB19" i="8"/>
  <c r="JQ19" i="8"/>
  <c r="FD31" i="8"/>
  <c r="ID11" i="8"/>
  <c r="FY14" i="8"/>
  <c r="GE14" i="8"/>
  <c r="GB14" i="8"/>
  <c r="JW14" i="8"/>
  <c r="JQ14" i="8"/>
  <c r="T31" i="8"/>
  <c r="HO31" i="8" s="1"/>
  <c r="HL11" i="8"/>
  <c r="GO19" i="8"/>
  <c r="DW19" i="8"/>
  <c r="GL19" i="8"/>
  <c r="GI19" i="8"/>
  <c r="DQ19" i="8"/>
  <c r="FO19" i="8"/>
  <c r="GB11" i="8"/>
  <c r="FY11" i="8"/>
  <c r="JW11" i="8"/>
  <c r="JQ11" i="8"/>
  <c r="GE11" i="8"/>
  <c r="HW11" i="8"/>
  <c r="CV31" i="8"/>
  <c r="HW31" i="8" s="1"/>
  <c r="GI14" i="8"/>
  <c r="DW14" i="8"/>
  <c r="DQ14" i="8"/>
  <c r="GO14" i="8"/>
  <c r="GL14" i="8"/>
  <c r="DC14" i="8"/>
  <c r="IL16" i="8"/>
  <c r="AD31" i="8"/>
  <c r="HP31" i="8" s="1"/>
  <c r="FN31" i="8"/>
  <c r="IE11" i="8"/>
  <c r="GO11" i="8"/>
  <c r="GL11" i="8"/>
  <c r="DW11" i="8"/>
  <c r="DQ11" i="8"/>
  <c r="GI11" i="8"/>
  <c r="DC11" i="8"/>
  <c r="HL16" i="8"/>
  <c r="GO24" i="8"/>
  <c r="GL24" i="8"/>
  <c r="GI24" i="8"/>
  <c r="DQ24" i="8"/>
  <c r="DW24" i="8"/>
  <c r="HX11" i="8"/>
  <c r="DF31" i="8"/>
  <c r="HX31" i="8" s="1"/>
  <c r="GO16" i="8"/>
  <c r="GL16" i="8"/>
  <c r="GI16" i="8"/>
  <c r="DW16" i="8"/>
  <c r="DC16" i="8"/>
  <c r="HD31" i="8"/>
  <c r="IL26" i="8"/>
  <c r="HM8" i="8"/>
  <c r="FU9" i="8"/>
  <c r="CL31" i="8"/>
  <c r="HV31" i="8" s="1"/>
  <c r="HV13" i="8"/>
  <c r="HQ24" i="8"/>
  <c r="IL24" i="8" s="1"/>
  <c r="HL24" i="8"/>
  <c r="JT26" i="8"/>
  <c r="FU26" i="8"/>
  <c r="FR26" i="8"/>
  <c r="FO26" i="8"/>
  <c r="JM26" i="8"/>
  <c r="JJ26" i="8"/>
  <c r="JG26" i="8"/>
  <c r="DQ27" i="8"/>
  <c r="DW27" i="8"/>
  <c r="GL27" i="8"/>
  <c r="GO27" i="8"/>
  <c r="GI27" i="8"/>
  <c r="HG31" i="8"/>
  <c r="GY24" i="8"/>
  <c r="GV24" i="8"/>
  <c r="GS24" i="8"/>
  <c r="JQ13" i="8"/>
  <c r="JW13" i="8"/>
  <c r="GE13" i="8"/>
  <c r="GB13" i="8"/>
  <c r="FY13" i="8"/>
  <c r="GY16" i="8"/>
  <c r="GV16" i="8"/>
  <c r="GS16" i="8"/>
  <c r="BO9" i="8"/>
  <c r="FA9" i="8"/>
  <c r="AU9" i="8"/>
  <c r="AK9" i="8"/>
  <c r="FK9" i="8"/>
  <c r="BE9" i="8"/>
  <c r="EQ9" i="8"/>
  <c r="DC9" i="8"/>
  <c r="GY9" i="8"/>
  <c r="CS9" i="8"/>
  <c r="GO9" i="8"/>
  <c r="CI9" i="8"/>
  <c r="EG9" i="8"/>
  <c r="DW9" i="8"/>
  <c r="DM9" i="8"/>
  <c r="HI9" i="8"/>
  <c r="BY9" i="8"/>
  <c r="GE9" i="8"/>
  <c r="J31" i="8"/>
  <c r="HN31" i="8" s="1"/>
  <c r="HL12" i="8"/>
  <c r="HN12" i="8"/>
  <c r="JP15" i="8"/>
  <c r="HL21" i="8"/>
  <c r="HR21" i="8"/>
  <c r="IL21" i="8" s="1"/>
  <c r="JT18" i="8"/>
  <c r="FU18" i="8"/>
  <c r="FR18" i="8"/>
  <c r="FO18" i="8"/>
  <c r="JM18" i="8"/>
  <c r="JJ18" i="8"/>
  <c r="JG18" i="8"/>
  <c r="JH31" i="8"/>
  <c r="IX31" i="8"/>
  <c r="GY19" i="8"/>
  <c r="GV19" i="8"/>
  <c r="GS19" i="8"/>
  <c r="GE23" i="8"/>
  <c r="GB23" i="8"/>
  <c r="JW23" i="8"/>
  <c r="FY23" i="8"/>
  <c r="JQ23" i="8"/>
  <c r="JK31" i="8"/>
  <c r="JA31" i="8"/>
  <c r="AX31" i="8"/>
  <c r="HR31" i="8" s="1"/>
  <c r="GH31" i="8"/>
  <c r="JD31" i="8"/>
  <c r="IL25" i="8"/>
  <c r="JN31" i="8"/>
  <c r="GS14" i="8"/>
  <c r="HN22" i="8"/>
  <c r="IL22" i="8" s="1"/>
  <c r="HL22" i="8"/>
  <c r="JP11" i="8"/>
  <c r="GV14" i="8"/>
  <c r="IG11" i="8"/>
  <c r="HN18" i="8"/>
  <c r="IL18" i="8" s="1"/>
  <c r="HL18" i="8"/>
  <c r="GE20" i="8"/>
  <c r="GB20" i="8"/>
  <c r="FY20" i="8"/>
  <c r="GI25" i="8"/>
  <c r="DW25" i="8"/>
  <c r="GO25" i="8"/>
  <c r="GL25" i="8"/>
  <c r="ET31" i="8"/>
  <c r="JR31" i="8"/>
  <c r="HL17" i="8"/>
  <c r="BR31" i="8"/>
  <c r="HT31" i="8" s="1"/>
  <c r="JU31" i="8"/>
  <c r="IB12" i="8"/>
  <c r="EJ31" i="8"/>
  <c r="FR17" i="8"/>
  <c r="FO17" i="8"/>
  <c r="JM17" i="8"/>
  <c r="JJ17" i="8"/>
  <c r="JG17" i="8"/>
  <c r="FU17" i="8"/>
  <c r="GL20" i="8"/>
  <c r="GO20" i="8"/>
  <c r="GI20" i="8"/>
  <c r="DW20" i="8"/>
  <c r="DQ20" i="8"/>
  <c r="GE18" i="8"/>
  <c r="GB18" i="8"/>
  <c r="JW18" i="8"/>
  <c r="FY18" i="8"/>
  <c r="JQ18" i="8"/>
  <c r="IN31" i="8"/>
  <c r="JX31" i="8"/>
  <c r="HL19" i="8"/>
  <c r="GE24" i="8"/>
  <c r="JW24" i="8"/>
  <c r="GB24" i="8"/>
  <c r="FY24" i="8"/>
  <c r="JQ24" i="8"/>
  <c r="DQ25" i="8"/>
  <c r="AN31" i="8"/>
  <c r="HQ31" i="8" s="1"/>
  <c r="HJ31" i="8"/>
  <c r="JZ11" i="8"/>
  <c r="GS12" i="8"/>
  <c r="HL15" i="8"/>
  <c r="IQ31" i="8"/>
  <c r="CB31" i="8"/>
  <c r="HU31" i="8" s="1"/>
  <c r="GV12" i="8"/>
  <c r="GE15" i="8"/>
  <c r="JW15" i="8"/>
  <c r="IL15" i="8"/>
  <c r="HN27" i="8"/>
  <c r="IL27" i="8" s="1"/>
  <c r="HL27" i="8"/>
  <c r="IL29" i="8"/>
  <c r="JP24" i="8"/>
  <c r="GY25" i="8"/>
  <c r="GV25" i="8"/>
  <c r="GS25" i="8"/>
  <c r="GO29" i="8"/>
  <c r="GL29" i="8"/>
  <c r="HL28" i="8"/>
  <c r="HN28" i="8"/>
  <c r="IL28" i="8" s="1"/>
  <c r="FR28" i="8"/>
  <c r="FO28" i="8"/>
  <c r="JM28" i="8"/>
  <c r="JG28" i="8"/>
  <c r="DW18" i="8"/>
  <c r="DQ18" i="8"/>
  <c r="II13" i="8"/>
  <c r="HB31" i="8"/>
  <c r="DW29" i="8"/>
  <c r="HY11" i="8"/>
  <c r="DP31" i="8"/>
  <c r="HY31" i="8" s="1"/>
  <c r="GY20" i="8"/>
  <c r="GS20" i="8"/>
  <c r="GV20" i="8"/>
  <c r="JT22" i="8"/>
  <c r="FU22" i="8"/>
  <c r="FR22" i="8"/>
  <c r="FO22" i="8"/>
  <c r="JM22" i="8"/>
  <c r="JG22" i="8"/>
  <c r="HQ11" i="8"/>
  <c r="DQ29" i="8"/>
  <c r="GY11" i="8"/>
  <c r="GV11" i="8"/>
  <c r="GS11" i="8"/>
  <c r="JJ28" i="8"/>
  <c r="GI18" i="8"/>
  <c r="JW22" i="8"/>
  <c r="FY22" i="8"/>
  <c r="JQ22" i="8"/>
  <c r="GE28" i="8"/>
  <c r="GB28" i="8"/>
  <c r="JW28" i="8"/>
  <c r="FY28" i="8"/>
  <c r="JQ28" i="8"/>
  <c r="FX31" i="8"/>
  <c r="GL18" i="8"/>
  <c r="HN13" i="8"/>
  <c r="HL13" i="8"/>
  <c r="IL14" i="8"/>
  <c r="GO18" i="8"/>
  <c r="IA11" i="8"/>
  <c r="DZ31" i="8"/>
  <c r="IA31" i="8" s="1"/>
  <c r="JT13" i="8"/>
  <c r="FU13" i="8"/>
  <c r="FR13" i="8"/>
  <c r="FO13" i="8"/>
  <c r="JM13" i="8"/>
  <c r="FR14" i="8"/>
  <c r="JT14" i="8"/>
  <c r="FU14" i="8"/>
  <c r="HL14" i="8"/>
  <c r="GY21" i="8"/>
  <c r="GV21" i="8"/>
  <c r="GO28" i="8"/>
  <c r="GI28" i="8"/>
  <c r="GL28" i="8"/>
  <c r="DW28" i="8"/>
  <c r="JZ28" i="8"/>
  <c r="GI29" i="8"/>
  <c r="JZ29" i="8"/>
  <c r="JJ27" i="8"/>
  <c r="FO27" i="8"/>
  <c r="JQ27" i="8"/>
  <c r="JG21" i="8"/>
  <c r="DQ23" i="8"/>
  <c r="FR27" i="8"/>
  <c r="JG12" i="8"/>
  <c r="DC13" i="8"/>
  <c r="DW23" i="8"/>
  <c r="FU27" i="8"/>
  <c r="GS29" i="8"/>
  <c r="JJ21" i="8"/>
  <c r="JJ12" i="8"/>
  <c r="JG16" i="8"/>
  <c r="FY27" i="8"/>
  <c r="JW27" i="8"/>
  <c r="GY29" i="8"/>
  <c r="HL26" i="8"/>
  <c r="GB27" i="8"/>
  <c r="DQ22" i="8"/>
  <c r="GI23" i="8"/>
  <c r="IL11" i="6" l="1"/>
  <c r="JP31" i="6"/>
  <c r="JP31" i="7"/>
  <c r="HL31" i="13"/>
  <c r="IL31" i="13"/>
  <c r="JP31" i="13"/>
  <c r="IL14" i="13"/>
  <c r="IL13" i="13"/>
  <c r="IL11" i="13"/>
  <c r="IL31" i="11"/>
  <c r="IL11" i="11"/>
  <c r="JZ31" i="11"/>
  <c r="HL31" i="11"/>
  <c r="IL13" i="7"/>
  <c r="IL31" i="7"/>
  <c r="IL11" i="7"/>
  <c r="JZ31" i="7"/>
  <c r="HL31" i="7"/>
  <c r="IL31" i="6"/>
  <c r="HL31" i="6"/>
  <c r="JZ31" i="6"/>
  <c r="IL11" i="8"/>
  <c r="IL31" i="8"/>
  <c r="HL31" i="8"/>
  <c r="JZ31" i="8"/>
  <c r="JP31" i="8"/>
  <c r="IL13" i="8"/>
  <c r="IL12" i="8"/>
  <c r="JF31" i="2" l="1"/>
  <c r="JA31" i="2"/>
  <c r="IV31" i="2"/>
  <c r="ID31" i="2"/>
  <c r="IC31" i="2"/>
  <c r="IB31" i="2"/>
  <c r="GZ31" i="2"/>
  <c r="GW31" i="2"/>
  <c r="GT31" i="2"/>
  <c r="GP31" i="2"/>
  <c r="GM31" i="2"/>
  <c r="GJ31" i="2"/>
  <c r="GF31" i="2"/>
  <c r="GC31" i="2"/>
  <c r="FZ31" i="2"/>
  <c r="FV31" i="2"/>
  <c r="FS31" i="2"/>
  <c r="FP31" i="2"/>
  <c r="FL31" i="2"/>
  <c r="FI31" i="2"/>
  <c r="FF31" i="2"/>
  <c r="FB31" i="2"/>
  <c r="EY31" i="2"/>
  <c r="EV31" i="2"/>
  <c r="ER31" i="2"/>
  <c r="EO31" i="2"/>
  <c r="EL31" i="2"/>
  <c r="EH31" i="2"/>
  <c r="EE31" i="2"/>
  <c r="EB31" i="2"/>
  <c r="DX31" i="2"/>
  <c r="DU31" i="2"/>
  <c r="DR31" i="2"/>
  <c r="DN31" i="2"/>
  <c r="DK31" i="2"/>
  <c r="DH31" i="2"/>
  <c r="DD31" i="2"/>
  <c r="DA31" i="2"/>
  <c r="CX31" i="2"/>
  <c r="CT31" i="2"/>
  <c r="CQ31" i="2"/>
  <c r="CN31" i="2"/>
  <c r="CJ31" i="2"/>
  <c r="CG31" i="2"/>
  <c r="CD31" i="2"/>
  <c r="BZ31" i="2"/>
  <c r="BW31" i="2"/>
  <c r="BT31" i="2"/>
  <c r="BP31" i="2"/>
  <c r="BM31" i="2"/>
  <c r="BJ31" i="2"/>
  <c r="BF31" i="2"/>
  <c r="BC31" i="2"/>
  <c r="AZ31" i="2"/>
  <c r="AV31" i="2"/>
  <c r="AS31" i="2"/>
  <c r="AP31" i="2"/>
  <c r="AL31" i="2"/>
  <c r="AI31" i="2"/>
  <c r="AF31" i="2"/>
  <c r="AB31" i="2"/>
  <c r="Y31" i="2"/>
  <c r="V31" i="2"/>
  <c r="R31" i="2"/>
  <c r="O31" i="2"/>
  <c r="L31" i="2"/>
  <c r="H31" i="2"/>
  <c r="E31" i="2"/>
  <c r="B31" i="2"/>
  <c r="JX29" i="2"/>
  <c r="JW29" i="2"/>
  <c r="JU29" i="2"/>
  <c r="JT29" i="2"/>
  <c r="JR29" i="2"/>
  <c r="JQ29" i="2"/>
  <c r="JN29" i="2"/>
  <c r="JM29" i="2"/>
  <c r="JK29" i="2"/>
  <c r="JH29" i="2"/>
  <c r="JD29" i="2"/>
  <c r="JC29" i="2"/>
  <c r="JA29" i="2"/>
  <c r="IZ29" i="2"/>
  <c r="IW29" i="2"/>
  <c r="IT29" i="2"/>
  <c r="IS29" i="2"/>
  <c r="IQ29" i="2"/>
  <c r="IP29" i="2"/>
  <c r="IN29" i="2"/>
  <c r="IM29" i="2"/>
  <c r="II29" i="2"/>
  <c r="IH29" i="2"/>
  <c r="IF29" i="2"/>
  <c r="IE29" i="2"/>
  <c r="IB29" i="2"/>
  <c r="HZ29" i="2"/>
  <c r="HV29" i="2"/>
  <c r="HU29" i="2"/>
  <c r="HT29" i="2"/>
  <c r="HS29" i="2"/>
  <c r="HN29" i="2"/>
  <c r="HM29" i="2"/>
  <c r="HJ29" i="2"/>
  <c r="HI29" i="2"/>
  <c r="HG29" i="2"/>
  <c r="HF29" i="2"/>
  <c r="HD29" i="2"/>
  <c r="HC29" i="2"/>
  <c r="HB29" i="2"/>
  <c r="GR29" i="2"/>
  <c r="GH29" i="2"/>
  <c r="IG29" i="2" s="1"/>
  <c r="FY29" i="2"/>
  <c r="FX29" i="2"/>
  <c r="FU29" i="2"/>
  <c r="FR29" i="2"/>
  <c r="FO29" i="2"/>
  <c r="FN29" i="2"/>
  <c r="FK29" i="2"/>
  <c r="FH29" i="2"/>
  <c r="FE29" i="2"/>
  <c r="FD29" i="2"/>
  <c r="ID29" i="2" s="1"/>
  <c r="FA29" i="2"/>
  <c r="EX29" i="2"/>
  <c r="EU29" i="2"/>
  <c r="ET29" i="2"/>
  <c r="IC29" i="2" s="1"/>
  <c r="EQ29" i="2"/>
  <c r="EN29" i="2"/>
  <c r="EK29" i="2"/>
  <c r="EJ29" i="2"/>
  <c r="EG29" i="2"/>
  <c r="ED29" i="2"/>
  <c r="EA29" i="2"/>
  <c r="DZ29" i="2"/>
  <c r="IA29" i="2" s="1"/>
  <c r="DP29" i="2"/>
  <c r="HY29" i="2" s="1"/>
  <c r="DM29" i="2"/>
  <c r="DG29" i="2"/>
  <c r="DF29" i="2"/>
  <c r="HX29" i="2" s="1"/>
  <c r="DC29" i="2"/>
  <c r="CW29" i="2"/>
  <c r="CV29" i="2"/>
  <c r="HW29" i="2" s="1"/>
  <c r="CS29" i="2"/>
  <c r="CM29" i="2"/>
  <c r="CL29" i="2"/>
  <c r="CI29" i="2"/>
  <c r="CC29" i="2"/>
  <c r="CB29" i="2"/>
  <c r="BY29" i="2"/>
  <c r="BS29" i="2"/>
  <c r="BR29" i="2"/>
  <c r="BO29" i="2"/>
  <c r="BI29" i="2"/>
  <c r="BH29" i="2"/>
  <c r="BE29" i="2"/>
  <c r="AY29" i="2"/>
  <c r="AX29" i="2"/>
  <c r="HR29" i="2" s="1"/>
  <c r="AU29" i="2"/>
  <c r="AO29" i="2"/>
  <c r="GY29" i="2" s="1"/>
  <c r="AN29" i="2"/>
  <c r="HQ29" i="2" s="1"/>
  <c r="AK29" i="2"/>
  <c r="AE29" i="2"/>
  <c r="GL29" i="2" s="1"/>
  <c r="AD29" i="2"/>
  <c r="HP29" i="2" s="1"/>
  <c r="AA29" i="2"/>
  <c r="U29" i="2"/>
  <c r="GE29" i="2" s="1"/>
  <c r="T29" i="2"/>
  <c r="HO29" i="2" s="1"/>
  <c r="Q29" i="2"/>
  <c r="K29" i="2"/>
  <c r="JJ29" i="2" s="1"/>
  <c r="J29" i="2"/>
  <c r="G29" i="2"/>
  <c r="JX28" i="2"/>
  <c r="JU28" i="2"/>
  <c r="JR28" i="2"/>
  <c r="JZ28" i="2" s="1"/>
  <c r="JN28" i="2"/>
  <c r="JK28" i="2"/>
  <c r="JH28" i="2"/>
  <c r="JP28" i="2" s="1"/>
  <c r="JD28" i="2"/>
  <c r="JC28" i="2"/>
  <c r="JA28" i="2"/>
  <c r="IZ28" i="2"/>
  <c r="IW28" i="2"/>
  <c r="IT28" i="2"/>
  <c r="IS28" i="2"/>
  <c r="IQ28" i="2"/>
  <c r="IP28" i="2"/>
  <c r="IN28" i="2"/>
  <c r="IM28" i="2"/>
  <c r="IG28" i="2"/>
  <c r="IF28" i="2"/>
  <c r="IC28" i="2"/>
  <c r="IB28" i="2"/>
  <c r="IA28" i="2"/>
  <c r="HZ28" i="2"/>
  <c r="HW28" i="2"/>
  <c r="HQ28" i="2"/>
  <c r="HP28" i="2"/>
  <c r="HN28" i="2"/>
  <c r="IL28" i="2" s="1"/>
  <c r="HM28" i="2"/>
  <c r="HJ28" i="2"/>
  <c r="HI28" i="2"/>
  <c r="HG28" i="2"/>
  <c r="HF28" i="2"/>
  <c r="HD28" i="2"/>
  <c r="HC28" i="2"/>
  <c r="HB28" i="2"/>
  <c r="II28" i="2" s="1"/>
  <c r="GY28" i="2"/>
  <c r="GV28" i="2"/>
  <c r="GS28" i="2"/>
  <c r="GR28" i="2"/>
  <c r="IH28" i="2" s="1"/>
  <c r="GH28" i="2"/>
  <c r="FX28" i="2"/>
  <c r="FN28" i="2"/>
  <c r="IE28" i="2" s="1"/>
  <c r="FK28" i="2"/>
  <c r="FH28" i="2"/>
  <c r="FE28" i="2"/>
  <c r="FD28" i="2"/>
  <c r="ID28" i="2" s="1"/>
  <c r="FA28" i="2"/>
  <c r="EX28" i="2"/>
  <c r="EU28" i="2"/>
  <c r="ET28" i="2"/>
  <c r="EQ28" i="2"/>
  <c r="EN28" i="2"/>
  <c r="EK28" i="2"/>
  <c r="EJ28" i="2"/>
  <c r="EG28" i="2"/>
  <c r="ED28" i="2"/>
  <c r="EA28" i="2"/>
  <c r="DZ28" i="2"/>
  <c r="DP28" i="2"/>
  <c r="HY28" i="2" s="1"/>
  <c r="DM28" i="2"/>
  <c r="DG28" i="2"/>
  <c r="DF28" i="2"/>
  <c r="HX28" i="2" s="1"/>
  <c r="DC28" i="2"/>
  <c r="CW28" i="2"/>
  <c r="CV28" i="2"/>
  <c r="CS28" i="2"/>
  <c r="CM28" i="2"/>
  <c r="CL28" i="2"/>
  <c r="HV28" i="2" s="1"/>
  <c r="CI28" i="2"/>
  <c r="CC28" i="2"/>
  <c r="CB28" i="2"/>
  <c r="HU28" i="2" s="1"/>
  <c r="BY28" i="2"/>
  <c r="BS28" i="2"/>
  <c r="BR28" i="2"/>
  <c r="HT28" i="2" s="1"/>
  <c r="BO28" i="2"/>
  <c r="BI28" i="2"/>
  <c r="BH28" i="2"/>
  <c r="HS28" i="2" s="1"/>
  <c r="BE28" i="2"/>
  <c r="AY28" i="2"/>
  <c r="AX28" i="2"/>
  <c r="HR28" i="2" s="1"/>
  <c r="AU28" i="2"/>
  <c r="AO28" i="2"/>
  <c r="AN28" i="2"/>
  <c r="AK28" i="2"/>
  <c r="AE28" i="2"/>
  <c r="GO28" i="2" s="1"/>
  <c r="AD28" i="2"/>
  <c r="AA28" i="2"/>
  <c r="U28" i="2"/>
  <c r="FY28" i="2" s="1"/>
  <c r="T28" i="2"/>
  <c r="HO28" i="2" s="1"/>
  <c r="Q28" i="2"/>
  <c r="K28" i="2"/>
  <c r="JG28" i="2" s="1"/>
  <c r="J28" i="2"/>
  <c r="HL28" i="2" s="1"/>
  <c r="G28" i="2"/>
  <c r="JX27" i="2"/>
  <c r="JU27" i="2"/>
  <c r="JR27" i="2"/>
  <c r="JZ27" i="2" s="1"/>
  <c r="JQ27" i="2"/>
  <c r="JN27" i="2"/>
  <c r="JM27" i="2"/>
  <c r="JK27" i="2"/>
  <c r="JJ27" i="2"/>
  <c r="JH27" i="2"/>
  <c r="JP27" i="2" s="1"/>
  <c r="JG27" i="2"/>
  <c r="JD27" i="2"/>
  <c r="JC27" i="2"/>
  <c r="JA27" i="2"/>
  <c r="IZ27" i="2"/>
  <c r="IW27" i="2"/>
  <c r="IT27" i="2"/>
  <c r="IS27" i="2"/>
  <c r="IQ27" i="2"/>
  <c r="IP27" i="2"/>
  <c r="IN27" i="2"/>
  <c r="IM27" i="2"/>
  <c r="IE27" i="2"/>
  <c r="IA27" i="2"/>
  <c r="HZ27" i="2"/>
  <c r="HY27" i="2"/>
  <c r="HX27" i="2"/>
  <c r="HW27" i="2"/>
  <c r="HV27" i="2"/>
  <c r="HU27" i="2"/>
  <c r="HR27" i="2"/>
  <c r="HM27" i="2"/>
  <c r="HJ27" i="2"/>
  <c r="HI27" i="2"/>
  <c r="HG27" i="2"/>
  <c r="HF27" i="2"/>
  <c r="HD27" i="2"/>
  <c r="HC27" i="2"/>
  <c r="HB27" i="2"/>
  <c r="II27" i="2" s="1"/>
  <c r="GY27" i="2"/>
  <c r="GV27" i="2"/>
  <c r="GS27" i="2"/>
  <c r="GR27" i="2"/>
  <c r="IH27" i="2" s="1"/>
  <c r="GO27" i="2"/>
  <c r="GL27" i="2"/>
  <c r="GH27" i="2"/>
  <c r="IG27" i="2" s="1"/>
  <c r="GE27" i="2"/>
  <c r="FX27" i="2"/>
  <c r="IF27" i="2" s="1"/>
  <c r="FO27" i="2"/>
  <c r="FN27" i="2"/>
  <c r="FK27" i="2"/>
  <c r="FH27" i="2"/>
  <c r="FE27" i="2"/>
  <c r="FD27" i="2"/>
  <c r="ID27" i="2" s="1"/>
  <c r="FA27" i="2"/>
  <c r="EX27" i="2"/>
  <c r="EU27" i="2"/>
  <c r="ET27" i="2"/>
  <c r="IC27" i="2" s="1"/>
  <c r="EQ27" i="2"/>
  <c r="EN27" i="2"/>
  <c r="EK27" i="2"/>
  <c r="EJ27" i="2"/>
  <c r="IB27" i="2" s="1"/>
  <c r="EG27" i="2"/>
  <c r="ED27" i="2"/>
  <c r="EA27" i="2"/>
  <c r="DZ27" i="2"/>
  <c r="DP27" i="2"/>
  <c r="DM27" i="2"/>
  <c r="DG27" i="2"/>
  <c r="DF27" i="2"/>
  <c r="DC27" i="2"/>
  <c r="CW27" i="2"/>
  <c r="CV27" i="2"/>
  <c r="CS27" i="2"/>
  <c r="CM27" i="2"/>
  <c r="CL27" i="2"/>
  <c r="CI27" i="2"/>
  <c r="CC27" i="2"/>
  <c r="CB27" i="2"/>
  <c r="BY27" i="2"/>
  <c r="BS27" i="2"/>
  <c r="BR27" i="2"/>
  <c r="HT27" i="2" s="1"/>
  <c r="BO27" i="2"/>
  <c r="BI27" i="2"/>
  <c r="BH27" i="2"/>
  <c r="HS27" i="2" s="1"/>
  <c r="BE27" i="2"/>
  <c r="AY27" i="2"/>
  <c r="AX27" i="2"/>
  <c r="AU27" i="2"/>
  <c r="AO27" i="2"/>
  <c r="AN27" i="2"/>
  <c r="HQ27" i="2" s="1"/>
  <c r="AK27" i="2"/>
  <c r="AE27" i="2"/>
  <c r="DW27" i="2" s="1"/>
  <c r="AD27" i="2"/>
  <c r="HP27" i="2" s="1"/>
  <c r="AA27" i="2"/>
  <c r="U27" i="2"/>
  <c r="GB27" i="2" s="1"/>
  <c r="T27" i="2"/>
  <c r="HO27" i="2" s="1"/>
  <c r="Q27" i="2"/>
  <c r="K27" i="2"/>
  <c r="JT27" i="2" s="1"/>
  <c r="J27" i="2"/>
  <c r="G27" i="2"/>
  <c r="JX26" i="2"/>
  <c r="JW26" i="2"/>
  <c r="JU26" i="2"/>
  <c r="JR26" i="2"/>
  <c r="JN26" i="2"/>
  <c r="JK26" i="2"/>
  <c r="JH26" i="2"/>
  <c r="JP26" i="2" s="1"/>
  <c r="JD26" i="2"/>
  <c r="JC26" i="2"/>
  <c r="JA26" i="2"/>
  <c r="IZ26" i="2"/>
  <c r="IW26" i="2"/>
  <c r="IT26" i="2"/>
  <c r="IS26" i="2"/>
  <c r="IQ26" i="2"/>
  <c r="IP26" i="2"/>
  <c r="IN26" i="2"/>
  <c r="IM26" i="2"/>
  <c r="IC26" i="2"/>
  <c r="IB26" i="2"/>
  <c r="HZ26" i="2"/>
  <c r="HX26" i="2"/>
  <c r="HW26" i="2"/>
  <c r="HV26" i="2"/>
  <c r="HT26" i="2"/>
  <c r="HR26" i="2"/>
  <c r="HQ26" i="2"/>
  <c r="HP26" i="2"/>
  <c r="HN26" i="2"/>
  <c r="HM26" i="2"/>
  <c r="HJ26" i="2"/>
  <c r="HI26" i="2"/>
  <c r="HG26" i="2"/>
  <c r="HF26" i="2"/>
  <c r="HD26" i="2"/>
  <c r="HC26" i="2"/>
  <c r="HB26" i="2"/>
  <c r="II26" i="2" s="1"/>
  <c r="GY26" i="2"/>
  <c r="GR26" i="2"/>
  <c r="IH26" i="2" s="1"/>
  <c r="GO26" i="2"/>
  <c r="GL26" i="2"/>
  <c r="GI26" i="2"/>
  <c r="GH26" i="2"/>
  <c r="IG26" i="2" s="1"/>
  <c r="GE26" i="2"/>
  <c r="GB26" i="2"/>
  <c r="FY26" i="2"/>
  <c r="FX26" i="2"/>
  <c r="IF26" i="2" s="1"/>
  <c r="FN26" i="2"/>
  <c r="IE26" i="2" s="1"/>
  <c r="FK26" i="2"/>
  <c r="FH26" i="2"/>
  <c r="FE26" i="2"/>
  <c r="FD26" i="2"/>
  <c r="ID26" i="2" s="1"/>
  <c r="FA26" i="2"/>
  <c r="EX26" i="2"/>
  <c r="EU26" i="2"/>
  <c r="ET26" i="2"/>
  <c r="EQ26" i="2"/>
  <c r="EN26" i="2"/>
  <c r="EK26" i="2"/>
  <c r="EJ26" i="2"/>
  <c r="EG26" i="2"/>
  <c r="ED26" i="2"/>
  <c r="EA26" i="2"/>
  <c r="DZ26" i="2"/>
  <c r="IA26" i="2" s="1"/>
  <c r="DW26" i="2"/>
  <c r="DQ26" i="2"/>
  <c r="DP26" i="2"/>
  <c r="HY26" i="2" s="1"/>
  <c r="DM26" i="2"/>
  <c r="DG26" i="2"/>
  <c r="DF26" i="2"/>
  <c r="DC26" i="2"/>
  <c r="CW26" i="2"/>
  <c r="CV26" i="2"/>
  <c r="CS26" i="2"/>
  <c r="CM26" i="2"/>
  <c r="CL26" i="2"/>
  <c r="CI26" i="2"/>
  <c r="CC26" i="2"/>
  <c r="CB26" i="2"/>
  <c r="HU26" i="2" s="1"/>
  <c r="BY26" i="2"/>
  <c r="BS26" i="2"/>
  <c r="BR26" i="2"/>
  <c r="BO26" i="2"/>
  <c r="BI26" i="2"/>
  <c r="BH26" i="2"/>
  <c r="HS26" i="2" s="1"/>
  <c r="BE26" i="2"/>
  <c r="AY26" i="2"/>
  <c r="AX26" i="2"/>
  <c r="AU26" i="2"/>
  <c r="AO26" i="2"/>
  <c r="GV26" i="2" s="1"/>
  <c r="AN26" i="2"/>
  <c r="AK26" i="2"/>
  <c r="AE26" i="2"/>
  <c r="AD26" i="2"/>
  <c r="AA26" i="2"/>
  <c r="U26" i="2"/>
  <c r="JQ26" i="2" s="1"/>
  <c r="T26" i="2"/>
  <c r="HO26" i="2" s="1"/>
  <c r="Q26" i="2"/>
  <c r="K26" i="2"/>
  <c r="FO26" i="2" s="1"/>
  <c r="J26" i="2"/>
  <c r="G26" i="2"/>
  <c r="JX25" i="2"/>
  <c r="JW25" i="2"/>
  <c r="JU25" i="2"/>
  <c r="JT25" i="2"/>
  <c r="JR25" i="2"/>
  <c r="JZ25" i="2" s="1"/>
  <c r="JQ25" i="2"/>
  <c r="JP25" i="2"/>
  <c r="JN25" i="2"/>
  <c r="JM25" i="2"/>
  <c r="JK25" i="2"/>
  <c r="JH25" i="2"/>
  <c r="JD25" i="2"/>
  <c r="JC25" i="2"/>
  <c r="JA25" i="2"/>
  <c r="IZ25" i="2"/>
  <c r="IW25" i="2"/>
  <c r="IT25" i="2"/>
  <c r="IS25" i="2"/>
  <c r="IQ25" i="2"/>
  <c r="IP25" i="2"/>
  <c r="IN25" i="2"/>
  <c r="IM25" i="2"/>
  <c r="II25" i="2"/>
  <c r="IH25" i="2"/>
  <c r="IG25" i="2"/>
  <c r="ID25" i="2"/>
  <c r="HZ25" i="2"/>
  <c r="HV25" i="2"/>
  <c r="HU25" i="2"/>
  <c r="HR25" i="2"/>
  <c r="HO25" i="2"/>
  <c r="HN25" i="2"/>
  <c r="HM25" i="2"/>
  <c r="HJ25" i="2"/>
  <c r="HI25" i="2"/>
  <c r="HG25" i="2"/>
  <c r="HF25" i="2"/>
  <c r="HD25" i="2"/>
  <c r="HC25" i="2"/>
  <c r="HB25" i="2"/>
  <c r="GR25" i="2"/>
  <c r="GO25" i="2"/>
  <c r="GL25" i="2"/>
  <c r="GH25" i="2"/>
  <c r="GE25" i="2"/>
  <c r="GB25" i="2"/>
  <c r="FY25" i="2"/>
  <c r="FX25" i="2"/>
  <c r="IF25" i="2" s="1"/>
  <c r="FU25" i="2"/>
  <c r="FR25" i="2"/>
  <c r="FO25" i="2"/>
  <c r="FN25" i="2"/>
  <c r="IE25" i="2" s="1"/>
  <c r="FK25" i="2"/>
  <c r="FH25" i="2"/>
  <c r="FE25" i="2"/>
  <c r="FD25" i="2"/>
  <c r="FA25" i="2"/>
  <c r="EX25" i="2"/>
  <c r="EU25" i="2"/>
  <c r="ET25" i="2"/>
  <c r="IC25" i="2" s="1"/>
  <c r="EQ25" i="2"/>
  <c r="EN25" i="2"/>
  <c r="EK25" i="2"/>
  <c r="EJ25" i="2"/>
  <c r="IB25" i="2" s="1"/>
  <c r="EG25" i="2"/>
  <c r="ED25" i="2"/>
  <c r="EA25" i="2"/>
  <c r="DZ25" i="2"/>
  <c r="IA25" i="2" s="1"/>
  <c r="DQ25" i="2"/>
  <c r="DP25" i="2"/>
  <c r="HY25" i="2" s="1"/>
  <c r="DM25" i="2"/>
  <c r="DG25" i="2"/>
  <c r="DF25" i="2"/>
  <c r="HX25" i="2" s="1"/>
  <c r="DC25" i="2"/>
  <c r="CW25" i="2"/>
  <c r="CV25" i="2"/>
  <c r="HW25" i="2" s="1"/>
  <c r="CS25" i="2"/>
  <c r="CM25" i="2"/>
  <c r="CL25" i="2"/>
  <c r="CI25" i="2"/>
  <c r="CC25" i="2"/>
  <c r="CB25" i="2"/>
  <c r="BY25" i="2"/>
  <c r="BS25" i="2"/>
  <c r="BR25" i="2"/>
  <c r="HT25" i="2" s="1"/>
  <c r="BO25" i="2"/>
  <c r="BI25" i="2"/>
  <c r="BH25" i="2"/>
  <c r="HS25" i="2" s="1"/>
  <c r="BE25" i="2"/>
  <c r="AY25" i="2"/>
  <c r="AX25" i="2"/>
  <c r="AU25" i="2"/>
  <c r="AO25" i="2"/>
  <c r="GS25" i="2" s="1"/>
  <c r="AN25" i="2"/>
  <c r="AK25" i="2"/>
  <c r="AE25" i="2"/>
  <c r="GI25" i="2" s="1"/>
  <c r="AD25" i="2"/>
  <c r="HP25" i="2" s="1"/>
  <c r="AA25" i="2"/>
  <c r="U25" i="2"/>
  <c r="T25" i="2"/>
  <c r="Q25" i="2"/>
  <c r="K25" i="2"/>
  <c r="JJ25" i="2" s="1"/>
  <c r="J25" i="2"/>
  <c r="G25" i="2"/>
  <c r="JX24" i="2"/>
  <c r="JU24" i="2"/>
  <c r="JR24" i="2"/>
  <c r="JZ24" i="2" s="1"/>
  <c r="JN24" i="2"/>
  <c r="JM24" i="2"/>
  <c r="JK24" i="2"/>
  <c r="JJ24" i="2"/>
  <c r="JH24" i="2"/>
  <c r="JP24" i="2" s="1"/>
  <c r="JD24" i="2"/>
  <c r="JC24" i="2"/>
  <c r="JA24" i="2"/>
  <c r="IZ24" i="2"/>
  <c r="IW24" i="2"/>
  <c r="IT24" i="2"/>
  <c r="IS24" i="2"/>
  <c r="IQ24" i="2"/>
  <c r="IP24" i="2"/>
  <c r="IN24" i="2"/>
  <c r="IM24" i="2"/>
  <c r="II24" i="2"/>
  <c r="IH24" i="2"/>
  <c r="IF24" i="2"/>
  <c r="IE24" i="2"/>
  <c r="IC24" i="2"/>
  <c r="IB24" i="2"/>
  <c r="HZ24" i="2"/>
  <c r="HY24" i="2"/>
  <c r="HT24" i="2"/>
  <c r="HR24" i="2"/>
  <c r="HP24" i="2"/>
  <c r="HM24" i="2"/>
  <c r="HJ24" i="2"/>
  <c r="HI24" i="2"/>
  <c r="HG24" i="2"/>
  <c r="HF24" i="2"/>
  <c r="HD24" i="2"/>
  <c r="HC24" i="2"/>
  <c r="HB24" i="2"/>
  <c r="GV24" i="2"/>
  <c r="GR24" i="2"/>
  <c r="GH24" i="2"/>
  <c r="IG24" i="2" s="1"/>
  <c r="FX24" i="2"/>
  <c r="FR24" i="2"/>
  <c r="FO24" i="2"/>
  <c r="FN24" i="2"/>
  <c r="FK24" i="2"/>
  <c r="FH24" i="2"/>
  <c r="FE24" i="2"/>
  <c r="FD24" i="2"/>
  <c r="ID24" i="2" s="1"/>
  <c r="FA24" i="2"/>
  <c r="EX24" i="2"/>
  <c r="EU24" i="2"/>
  <c r="ET24" i="2"/>
  <c r="EQ24" i="2"/>
  <c r="EN24" i="2"/>
  <c r="EK24" i="2"/>
  <c r="EJ24" i="2"/>
  <c r="EG24" i="2"/>
  <c r="ED24" i="2"/>
  <c r="EA24" i="2"/>
  <c r="DZ24" i="2"/>
  <c r="IA24" i="2" s="1"/>
  <c r="DW24" i="2"/>
  <c r="DP24" i="2"/>
  <c r="DM24" i="2"/>
  <c r="DG24" i="2"/>
  <c r="DF24" i="2"/>
  <c r="HX24" i="2" s="1"/>
  <c r="DC24" i="2"/>
  <c r="CW24" i="2"/>
  <c r="CV24" i="2"/>
  <c r="HW24" i="2" s="1"/>
  <c r="CS24" i="2"/>
  <c r="CM24" i="2"/>
  <c r="CL24" i="2"/>
  <c r="HV24" i="2" s="1"/>
  <c r="CI24" i="2"/>
  <c r="CC24" i="2"/>
  <c r="CB24" i="2"/>
  <c r="HU24" i="2" s="1"/>
  <c r="BY24" i="2"/>
  <c r="BS24" i="2"/>
  <c r="BR24" i="2"/>
  <c r="BO24" i="2"/>
  <c r="BI24" i="2"/>
  <c r="BH24" i="2"/>
  <c r="HS24" i="2" s="1"/>
  <c r="BE24" i="2"/>
  <c r="AY24" i="2"/>
  <c r="AX24" i="2"/>
  <c r="AU24" i="2"/>
  <c r="AO24" i="2"/>
  <c r="GS24" i="2" s="1"/>
  <c r="AN24" i="2"/>
  <c r="HQ24" i="2" s="1"/>
  <c r="AK24" i="2"/>
  <c r="AE24" i="2"/>
  <c r="GO24" i="2" s="1"/>
  <c r="AD24" i="2"/>
  <c r="AA24" i="2"/>
  <c r="U24" i="2"/>
  <c r="GE24" i="2" s="1"/>
  <c r="T24" i="2"/>
  <c r="HO24" i="2" s="1"/>
  <c r="Q24" i="2"/>
  <c r="K24" i="2"/>
  <c r="JT24" i="2" s="1"/>
  <c r="J24" i="2"/>
  <c r="G24" i="2"/>
  <c r="JX23" i="2"/>
  <c r="JU23" i="2"/>
  <c r="JR23" i="2"/>
  <c r="JZ23" i="2" s="1"/>
  <c r="JN23" i="2"/>
  <c r="JK23" i="2"/>
  <c r="JJ23" i="2"/>
  <c r="JH23" i="2"/>
  <c r="JP23" i="2" s="1"/>
  <c r="JD23" i="2"/>
  <c r="JC23" i="2"/>
  <c r="JA23" i="2"/>
  <c r="IZ23" i="2"/>
  <c r="IW23" i="2"/>
  <c r="IT23" i="2"/>
  <c r="IS23" i="2"/>
  <c r="IQ23" i="2"/>
  <c r="IP23" i="2"/>
  <c r="IN23" i="2"/>
  <c r="IM23" i="2"/>
  <c r="IG23" i="2"/>
  <c r="IA23" i="2"/>
  <c r="HZ23" i="2"/>
  <c r="HY23" i="2"/>
  <c r="HX23" i="2"/>
  <c r="HW23" i="2"/>
  <c r="HT23" i="2"/>
  <c r="HS23" i="2"/>
  <c r="HM23" i="2"/>
  <c r="HJ23" i="2"/>
  <c r="HI23" i="2"/>
  <c r="HG23" i="2"/>
  <c r="HF23" i="2"/>
  <c r="HD23" i="2"/>
  <c r="HC23" i="2"/>
  <c r="HB23" i="2"/>
  <c r="II23" i="2" s="1"/>
  <c r="GY23" i="2"/>
  <c r="GV23" i="2"/>
  <c r="GS23" i="2"/>
  <c r="GR23" i="2"/>
  <c r="IH23" i="2" s="1"/>
  <c r="GO23" i="2"/>
  <c r="GL23" i="2"/>
  <c r="GI23" i="2"/>
  <c r="GH23" i="2"/>
  <c r="FX23" i="2"/>
  <c r="IF23" i="2" s="1"/>
  <c r="FN23" i="2"/>
  <c r="IE23" i="2" s="1"/>
  <c r="FK23" i="2"/>
  <c r="FH23" i="2"/>
  <c r="FE23" i="2"/>
  <c r="FD23" i="2"/>
  <c r="ID23" i="2" s="1"/>
  <c r="FA23" i="2"/>
  <c r="EX23" i="2"/>
  <c r="EU23" i="2"/>
  <c r="ET23" i="2"/>
  <c r="IC23" i="2" s="1"/>
  <c r="EQ23" i="2"/>
  <c r="EN23" i="2"/>
  <c r="EK23" i="2"/>
  <c r="EJ23" i="2"/>
  <c r="IB23" i="2" s="1"/>
  <c r="EG23" i="2"/>
  <c r="ED23" i="2"/>
  <c r="EA23" i="2"/>
  <c r="DZ23" i="2"/>
  <c r="DP23" i="2"/>
  <c r="DM23" i="2"/>
  <c r="DG23" i="2"/>
  <c r="DF23" i="2"/>
  <c r="DC23" i="2"/>
  <c r="CW23" i="2"/>
  <c r="CV23" i="2"/>
  <c r="CS23" i="2"/>
  <c r="CM23" i="2"/>
  <c r="CL23" i="2"/>
  <c r="HV23" i="2" s="1"/>
  <c r="CI23" i="2"/>
  <c r="CC23" i="2"/>
  <c r="CB23" i="2"/>
  <c r="HU23" i="2" s="1"/>
  <c r="BY23" i="2"/>
  <c r="BS23" i="2"/>
  <c r="BR23" i="2"/>
  <c r="BO23" i="2"/>
  <c r="BI23" i="2"/>
  <c r="BH23" i="2"/>
  <c r="BE23" i="2"/>
  <c r="AY23" i="2"/>
  <c r="AX23" i="2"/>
  <c r="HR23" i="2" s="1"/>
  <c r="AU23" i="2"/>
  <c r="AO23" i="2"/>
  <c r="AN23" i="2"/>
  <c r="HQ23" i="2" s="1"/>
  <c r="AK23" i="2"/>
  <c r="AE23" i="2"/>
  <c r="DW23" i="2" s="1"/>
  <c r="AD23" i="2"/>
  <c r="HP23" i="2" s="1"/>
  <c r="AA23" i="2"/>
  <c r="U23" i="2"/>
  <c r="GE23" i="2" s="1"/>
  <c r="T23" i="2"/>
  <c r="HO23" i="2" s="1"/>
  <c r="Q23" i="2"/>
  <c r="K23" i="2"/>
  <c r="JT23" i="2" s="1"/>
  <c r="J23" i="2"/>
  <c r="G23" i="2"/>
  <c r="JZ22" i="2"/>
  <c r="JX22" i="2"/>
  <c r="JU22" i="2"/>
  <c r="JR22" i="2"/>
  <c r="JN22" i="2"/>
  <c r="JM22" i="2"/>
  <c r="JK22" i="2"/>
  <c r="JJ22" i="2"/>
  <c r="JH22" i="2"/>
  <c r="JP22" i="2" s="1"/>
  <c r="JD22" i="2"/>
  <c r="JC22" i="2"/>
  <c r="JA22" i="2"/>
  <c r="IZ22" i="2"/>
  <c r="IW22" i="2"/>
  <c r="IT22" i="2"/>
  <c r="IS22" i="2"/>
  <c r="IQ22" i="2"/>
  <c r="IP22" i="2"/>
  <c r="IN22" i="2"/>
  <c r="IM22" i="2"/>
  <c r="IE22" i="2"/>
  <c r="IC22" i="2"/>
  <c r="IB22" i="2"/>
  <c r="HZ22" i="2"/>
  <c r="HY22" i="2"/>
  <c r="HV22" i="2"/>
  <c r="HT22" i="2"/>
  <c r="HR22" i="2"/>
  <c r="HQ22" i="2"/>
  <c r="HP22" i="2"/>
  <c r="HM22" i="2"/>
  <c r="HJ22" i="2"/>
  <c r="HI22" i="2"/>
  <c r="HG22" i="2"/>
  <c r="HF22" i="2"/>
  <c r="HD22" i="2"/>
  <c r="HC22" i="2"/>
  <c r="HB22" i="2"/>
  <c r="II22" i="2" s="1"/>
  <c r="GY22" i="2"/>
  <c r="GV22" i="2"/>
  <c r="GS22" i="2"/>
  <c r="GR22" i="2"/>
  <c r="IH22" i="2" s="1"/>
  <c r="GO22" i="2"/>
  <c r="GL22" i="2"/>
  <c r="GI22" i="2"/>
  <c r="GH22" i="2"/>
  <c r="IG22" i="2" s="1"/>
  <c r="GE22" i="2"/>
  <c r="FX22" i="2"/>
  <c r="IF22" i="2" s="1"/>
  <c r="FN22" i="2"/>
  <c r="FK22" i="2"/>
  <c r="FH22" i="2"/>
  <c r="FE22" i="2"/>
  <c r="FD22" i="2"/>
  <c r="ID22" i="2" s="1"/>
  <c r="FA22" i="2"/>
  <c r="EX22" i="2"/>
  <c r="EU22" i="2"/>
  <c r="ET22" i="2"/>
  <c r="EQ22" i="2"/>
  <c r="EN22" i="2"/>
  <c r="EK22" i="2"/>
  <c r="EJ22" i="2"/>
  <c r="EG22" i="2"/>
  <c r="ED22" i="2"/>
  <c r="EA22" i="2"/>
  <c r="DZ22" i="2"/>
  <c r="IA22" i="2" s="1"/>
  <c r="DW22" i="2"/>
  <c r="DQ22" i="2"/>
  <c r="DP22" i="2"/>
  <c r="DM22" i="2"/>
  <c r="DG22" i="2"/>
  <c r="DF22" i="2"/>
  <c r="HX22" i="2" s="1"/>
  <c r="DC22" i="2"/>
  <c r="CW22" i="2"/>
  <c r="CV22" i="2"/>
  <c r="HW22" i="2" s="1"/>
  <c r="CS22" i="2"/>
  <c r="CM22" i="2"/>
  <c r="CL22" i="2"/>
  <c r="CI22" i="2"/>
  <c r="CC22" i="2"/>
  <c r="CB22" i="2"/>
  <c r="HU22" i="2" s="1"/>
  <c r="BY22" i="2"/>
  <c r="BS22" i="2"/>
  <c r="BR22" i="2"/>
  <c r="BO22" i="2"/>
  <c r="BI22" i="2"/>
  <c r="BH22" i="2"/>
  <c r="HS22" i="2" s="1"/>
  <c r="BE22" i="2"/>
  <c r="AY22" i="2"/>
  <c r="AX22" i="2"/>
  <c r="AU22" i="2"/>
  <c r="AO22" i="2"/>
  <c r="AN22" i="2"/>
  <c r="AK22" i="2"/>
  <c r="AE22" i="2"/>
  <c r="AD22" i="2"/>
  <c r="AA22" i="2"/>
  <c r="U22" i="2"/>
  <c r="JQ22" i="2" s="1"/>
  <c r="T22" i="2"/>
  <c r="HO22" i="2" s="1"/>
  <c r="Q22" i="2"/>
  <c r="K22" i="2"/>
  <c r="JT22" i="2" s="1"/>
  <c r="J22" i="2"/>
  <c r="HN22" i="2" s="1"/>
  <c r="G22" i="2"/>
  <c r="JX21" i="2"/>
  <c r="JW21" i="2"/>
  <c r="JU21" i="2"/>
  <c r="JT21" i="2"/>
  <c r="JR21" i="2"/>
  <c r="JZ21" i="2" s="1"/>
  <c r="JQ21" i="2"/>
  <c r="JN21" i="2"/>
  <c r="JP21" i="2" s="1"/>
  <c r="JK21" i="2"/>
  <c r="JH21" i="2"/>
  <c r="JD21" i="2"/>
  <c r="JC21" i="2"/>
  <c r="JA21" i="2"/>
  <c r="IZ21" i="2"/>
  <c r="IW21" i="2"/>
  <c r="IT21" i="2"/>
  <c r="IS21" i="2"/>
  <c r="IQ21" i="2"/>
  <c r="IP21" i="2"/>
  <c r="IN21" i="2"/>
  <c r="IM21" i="2"/>
  <c r="II21" i="2"/>
  <c r="HZ21" i="2"/>
  <c r="HQ21" i="2"/>
  <c r="HO21" i="2"/>
  <c r="HN21" i="2"/>
  <c r="HM21" i="2"/>
  <c r="HJ21" i="2"/>
  <c r="HI21" i="2"/>
  <c r="HG21" i="2"/>
  <c r="HF21" i="2"/>
  <c r="HD21" i="2"/>
  <c r="HC21" i="2"/>
  <c r="HB21" i="2"/>
  <c r="GR21" i="2"/>
  <c r="IH21" i="2" s="1"/>
  <c r="GH21" i="2"/>
  <c r="IG21" i="2" s="1"/>
  <c r="GE21" i="2"/>
  <c r="GB21" i="2"/>
  <c r="FY21" i="2"/>
  <c r="FX21" i="2"/>
  <c r="IF21" i="2" s="1"/>
  <c r="FU21" i="2"/>
  <c r="FR21" i="2"/>
  <c r="FN21" i="2"/>
  <c r="IE21" i="2" s="1"/>
  <c r="FK21" i="2"/>
  <c r="FH21" i="2"/>
  <c r="FE21" i="2"/>
  <c r="FD21" i="2"/>
  <c r="ID21" i="2" s="1"/>
  <c r="FA21" i="2"/>
  <c r="EX21" i="2"/>
  <c r="EU21" i="2"/>
  <c r="ET21" i="2"/>
  <c r="IC21" i="2" s="1"/>
  <c r="EQ21" i="2"/>
  <c r="EN21" i="2"/>
  <c r="EK21" i="2"/>
  <c r="EJ21" i="2"/>
  <c r="IB21" i="2" s="1"/>
  <c r="EG21" i="2"/>
  <c r="ED21" i="2"/>
  <c r="EA21" i="2"/>
  <c r="DZ21" i="2"/>
  <c r="IA21" i="2" s="1"/>
  <c r="DQ21" i="2"/>
  <c r="DP21" i="2"/>
  <c r="HY21" i="2" s="1"/>
  <c r="DM21" i="2"/>
  <c r="DG21" i="2"/>
  <c r="DF21" i="2"/>
  <c r="HX21" i="2" s="1"/>
  <c r="DC21" i="2"/>
  <c r="CW21" i="2"/>
  <c r="CV21" i="2"/>
  <c r="HW21" i="2" s="1"/>
  <c r="CS21" i="2"/>
  <c r="CM21" i="2"/>
  <c r="CL21" i="2"/>
  <c r="HV21" i="2" s="1"/>
  <c r="CI21" i="2"/>
  <c r="CC21" i="2"/>
  <c r="CB21" i="2"/>
  <c r="HU21" i="2" s="1"/>
  <c r="BY21" i="2"/>
  <c r="BS21" i="2"/>
  <c r="BR21" i="2"/>
  <c r="HT21" i="2" s="1"/>
  <c r="BO21" i="2"/>
  <c r="BI21" i="2"/>
  <c r="BH21" i="2"/>
  <c r="HS21" i="2" s="1"/>
  <c r="BE21" i="2"/>
  <c r="AY21" i="2"/>
  <c r="AX21" i="2"/>
  <c r="HR21" i="2" s="1"/>
  <c r="AU21" i="2"/>
  <c r="AO21" i="2"/>
  <c r="GV21" i="2" s="1"/>
  <c r="AN21" i="2"/>
  <c r="AK21" i="2"/>
  <c r="AE21" i="2"/>
  <c r="GO21" i="2" s="1"/>
  <c r="AD21" i="2"/>
  <c r="HP21" i="2" s="1"/>
  <c r="AA21" i="2"/>
  <c r="U21" i="2"/>
  <c r="T21" i="2"/>
  <c r="Q21" i="2"/>
  <c r="K21" i="2"/>
  <c r="JM21" i="2" s="1"/>
  <c r="J21" i="2"/>
  <c r="G21" i="2"/>
  <c r="JZ20" i="2"/>
  <c r="JX20" i="2"/>
  <c r="JW20" i="2"/>
  <c r="JU20" i="2"/>
  <c r="JT20" i="2"/>
  <c r="JR20" i="2"/>
  <c r="JQ20" i="2"/>
  <c r="JN20" i="2"/>
  <c r="JM20" i="2"/>
  <c r="JK20" i="2"/>
  <c r="JP20" i="2" s="1"/>
  <c r="JJ20" i="2"/>
  <c r="JH20" i="2"/>
  <c r="JG20" i="2"/>
  <c r="JD20" i="2"/>
  <c r="JC20" i="2"/>
  <c r="JA20" i="2"/>
  <c r="IZ20" i="2"/>
  <c r="IW20" i="2"/>
  <c r="IT20" i="2"/>
  <c r="IS20" i="2"/>
  <c r="IQ20" i="2"/>
  <c r="IP20" i="2"/>
  <c r="IN20" i="2"/>
  <c r="IM20" i="2"/>
  <c r="IH20" i="2"/>
  <c r="IG20" i="2"/>
  <c r="IF20" i="2"/>
  <c r="IE20" i="2"/>
  <c r="ID20" i="2"/>
  <c r="IC20" i="2"/>
  <c r="IB20" i="2"/>
  <c r="IA20" i="2"/>
  <c r="HZ20" i="2"/>
  <c r="HR20" i="2"/>
  <c r="HM20" i="2"/>
  <c r="HJ20" i="2"/>
  <c r="HI20" i="2"/>
  <c r="HG20" i="2"/>
  <c r="HF20" i="2"/>
  <c r="HD20" i="2"/>
  <c r="HC20" i="2"/>
  <c r="HB20" i="2"/>
  <c r="II20" i="2" s="1"/>
  <c r="GR20" i="2"/>
  <c r="GH20" i="2"/>
  <c r="GE20" i="2"/>
  <c r="FY20" i="2"/>
  <c r="FX20" i="2"/>
  <c r="FU20" i="2"/>
  <c r="FR20" i="2"/>
  <c r="FO20" i="2"/>
  <c r="FN20" i="2"/>
  <c r="FK20" i="2"/>
  <c r="FH20" i="2"/>
  <c r="FE20" i="2"/>
  <c r="FD20" i="2"/>
  <c r="FA20" i="2"/>
  <c r="EX20" i="2"/>
  <c r="EU20" i="2"/>
  <c r="ET20" i="2"/>
  <c r="EQ20" i="2"/>
  <c r="EN20" i="2"/>
  <c r="EK20" i="2"/>
  <c r="EJ20" i="2"/>
  <c r="EG20" i="2"/>
  <c r="ED20" i="2"/>
  <c r="EA20" i="2"/>
  <c r="DZ20" i="2"/>
  <c r="DP20" i="2"/>
  <c r="HY20" i="2" s="1"/>
  <c r="DM20" i="2"/>
  <c r="DG20" i="2"/>
  <c r="DF20" i="2"/>
  <c r="HX20" i="2" s="1"/>
  <c r="DC20" i="2"/>
  <c r="CW20" i="2"/>
  <c r="CV20" i="2"/>
  <c r="HW20" i="2" s="1"/>
  <c r="CS20" i="2"/>
  <c r="CM20" i="2"/>
  <c r="CL20" i="2"/>
  <c r="HV20" i="2" s="1"/>
  <c r="CI20" i="2"/>
  <c r="CC20" i="2"/>
  <c r="CB20" i="2"/>
  <c r="HU20" i="2" s="1"/>
  <c r="BY20" i="2"/>
  <c r="BS20" i="2"/>
  <c r="BR20" i="2"/>
  <c r="HT20" i="2" s="1"/>
  <c r="BO20" i="2"/>
  <c r="BI20" i="2"/>
  <c r="BH20" i="2"/>
  <c r="HS20" i="2" s="1"/>
  <c r="BE20" i="2"/>
  <c r="AY20" i="2"/>
  <c r="AX20" i="2"/>
  <c r="AU20" i="2"/>
  <c r="AO20" i="2"/>
  <c r="GY20" i="2" s="1"/>
  <c r="AN20" i="2"/>
  <c r="HQ20" i="2" s="1"/>
  <c r="AK20" i="2"/>
  <c r="AE20" i="2"/>
  <c r="GL20" i="2" s="1"/>
  <c r="AD20" i="2"/>
  <c r="HP20" i="2" s="1"/>
  <c r="AA20" i="2"/>
  <c r="U20" i="2"/>
  <c r="GB20" i="2" s="1"/>
  <c r="T20" i="2"/>
  <c r="HO20" i="2" s="1"/>
  <c r="Q20" i="2"/>
  <c r="K20" i="2"/>
  <c r="J20" i="2"/>
  <c r="HN20" i="2" s="1"/>
  <c r="G20" i="2"/>
  <c r="JX19" i="2"/>
  <c r="JU19" i="2"/>
  <c r="JR19" i="2"/>
  <c r="JZ19" i="2" s="1"/>
  <c r="JN19" i="2"/>
  <c r="JK19" i="2"/>
  <c r="JH19" i="2"/>
  <c r="JP19" i="2" s="1"/>
  <c r="JD19" i="2"/>
  <c r="JC19" i="2"/>
  <c r="JA19" i="2"/>
  <c r="IZ19" i="2"/>
  <c r="IW19" i="2"/>
  <c r="IT19" i="2"/>
  <c r="IS19" i="2"/>
  <c r="IQ19" i="2"/>
  <c r="IP19" i="2"/>
  <c r="IN19" i="2"/>
  <c r="IM19" i="2"/>
  <c r="IG19" i="2"/>
  <c r="IF19" i="2"/>
  <c r="IE19" i="2"/>
  <c r="IB19" i="2"/>
  <c r="IA19" i="2"/>
  <c r="HZ19" i="2"/>
  <c r="HY19" i="2"/>
  <c r="HW19" i="2"/>
  <c r="HS19" i="2"/>
  <c r="HM19" i="2"/>
  <c r="HJ19" i="2"/>
  <c r="HI19" i="2"/>
  <c r="HG19" i="2"/>
  <c r="HF19" i="2"/>
  <c r="HD19" i="2"/>
  <c r="HC19" i="2"/>
  <c r="HB19" i="2"/>
  <c r="II19" i="2" s="1"/>
  <c r="GY19" i="2"/>
  <c r="GV19" i="2"/>
  <c r="GR19" i="2"/>
  <c r="IH19" i="2" s="1"/>
  <c r="GO19" i="2"/>
  <c r="GH19" i="2"/>
  <c r="FX19" i="2"/>
  <c r="FN19" i="2"/>
  <c r="FK19" i="2"/>
  <c r="FH19" i="2"/>
  <c r="FE19" i="2"/>
  <c r="FD19" i="2"/>
  <c r="ID19" i="2" s="1"/>
  <c r="FA19" i="2"/>
  <c r="EX19" i="2"/>
  <c r="EU19" i="2"/>
  <c r="ET19" i="2"/>
  <c r="IC19" i="2" s="1"/>
  <c r="EQ19" i="2"/>
  <c r="EN19" i="2"/>
  <c r="EK19" i="2"/>
  <c r="EJ19" i="2"/>
  <c r="EG19" i="2"/>
  <c r="ED19" i="2"/>
  <c r="EA19" i="2"/>
  <c r="DZ19" i="2"/>
  <c r="DP19" i="2"/>
  <c r="DM19" i="2"/>
  <c r="DG19" i="2"/>
  <c r="DF19" i="2"/>
  <c r="HX19" i="2" s="1"/>
  <c r="DC19" i="2"/>
  <c r="CW19" i="2"/>
  <c r="CV19" i="2"/>
  <c r="CS19" i="2"/>
  <c r="CM19" i="2"/>
  <c r="CL19" i="2"/>
  <c r="HV19" i="2" s="1"/>
  <c r="CI19" i="2"/>
  <c r="CC19" i="2"/>
  <c r="CB19" i="2"/>
  <c r="HU19" i="2" s="1"/>
  <c r="BY19" i="2"/>
  <c r="BS19" i="2"/>
  <c r="BR19" i="2"/>
  <c r="HT19" i="2" s="1"/>
  <c r="BO19" i="2"/>
  <c r="BI19" i="2"/>
  <c r="BH19" i="2"/>
  <c r="BE19" i="2"/>
  <c r="AY19" i="2"/>
  <c r="AX19" i="2"/>
  <c r="HR19" i="2" s="1"/>
  <c r="AU19" i="2"/>
  <c r="AO19" i="2"/>
  <c r="GS19" i="2" s="1"/>
  <c r="AN19" i="2"/>
  <c r="HQ19" i="2" s="1"/>
  <c r="AK19" i="2"/>
  <c r="AE19" i="2"/>
  <c r="GL19" i="2" s="1"/>
  <c r="AD19" i="2"/>
  <c r="HP19" i="2" s="1"/>
  <c r="AA19" i="2"/>
  <c r="U19" i="2"/>
  <c r="FY19" i="2" s="1"/>
  <c r="T19" i="2"/>
  <c r="HO19" i="2" s="1"/>
  <c r="Q19" i="2"/>
  <c r="K19" i="2"/>
  <c r="FR19" i="2" s="1"/>
  <c r="J19" i="2"/>
  <c r="HN19" i="2" s="1"/>
  <c r="G19" i="2"/>
  <c r="JX18" i="2"/>
  <c r="JU18" i="2"/>
  <c r="JR18" i="2"/>
  <c r="JN18" i="2"/>
  <c r="JK18" i="2"/>
  <c r="JP18" i="2" s="1"/>
  <c r="JH18" i="2"/>
  <c r="JD18" i="2"/>
  <c r="JC18" i="2"/>
  <c r="JA18" i="2"/>
  <c r="IZ18" i="2"/>
  <c r="IW18" i="2"/>
  <c r="IT18" i="2"/>
  <c r="IS18" i="2"/>
  <c r="IQ18" i="2"/>
  <c r="IP18" i="2"/>
  <c r="IN18" i="2"/>
  <c r="IM18" i="2"/>
  <c r="IF18" i="2"/>
  <c r="IE18" i="2"/>
  <c r="ID18" i="2"/>
  <c r="HZ18" i="2"/>
  <c r="HY18" i="2"/>
  <c r="HX18" i="2"/>
  <c r="HV18" i="2"/>
  <c r="HU18" i="2"/>
  <c r="HT18" i="2"/>
  <c r="HR18" i="2"/>
  <c r="HQ18" i="2"/>
  <c r="HM18" i="2"/>
  <c r="HJ18" i="2"/>
  <c r="HI18" i="2"/>
  <c r="HG18" i="2"/>
  <c r="HF18" i="2"/>
  <c r="HD18" i="2"/>
  <c r="HC18" i="2"/>
  <c r="HB18" i="2"/>
  <c r="II18" i="2" s="1"/>
  <c r="GY18" i="2"/>
  <c r="GV18" i="2"/>
  <c r="GS18" i="2"/>
  <c r="GR18" i="2"/>
  <c r="IH18" i="2" s="1"/>
  <c r="GO18" i="2"/>
  <c r="GL18" i="2"/>
  <c r="GI18" i="2"/>
  <c r="GH18" i="2"/>
  <c r="IG18" i="2" s="1"/>
  <c r="GE18" i="2"/>
  <c r="GB18" i="2"/>
  <c r="FX18" i="2"/>
  <c r="FN18" i="2"/>
  <c r="FK18" i="2"/>
  <c r="FH18" i="2"/>
  <c r="FE18" i="2"/>
  <c r="FD18" i="2"/>
  <c r="FA18" i="2"/>
  <c r="EX18" i="2"/>
  <c r="EU18" i="2"/>
  <c r="ET18" i="2"/>
  <c r="IC18" i="2" s="1"/>
  <c r="EQ18" i="2"/>
  <c r="EN18" i="2"/>
  <c r="EK18" i="2"/>
  <c r="EJ18" i="2"/>
  <c r="IB18" i="2" s="1"/>
  <c r="EG18" i="2"/>
  <c r="ED18" i="2"/>
  <c r="EA18" i="2"/>
  <c r="DZ18" i="2"/>
  <c r="IA18" i="2" s="1"/>
  <c r="DP18" i="2"/>
  <c r="DM18" i="2"/>
  <c r="DG18" i="2"/>
  <c r="DF18" i="2"/>
  <c r="DC18" i="2"/>
  <c r="CW18" i="2"/>
  <c r="CV18" i="2"/>
  <c r="HW18" i="2" s="1"/>
  <c r="CS18" i="2"/>
  <c r="CM18" i="2"/>
  <c r="CL18" i="2"/>
  <c r="CI18" i="2"/>
  <c r="CC18" i="2"/>
  <c r="CB18" i="2"/>
  <c r="BY18" i="2"/>
  <c r="BS18" i="2"/>
  <c r="BR18" i="2"/>
  <c r="BO18" i="2"/>
  <c r="BI18" i="2"/>
  <c r="BH18" i="2"/>
  <c r="HS18" i="2" s="1"/>
  <c r="BE18" i="2"/>
  <c r="AY18" i="2"/>
  <c r="AX18" i="2"/>
  <c r="AU18" i="2"/>
  <c r="AO18" i="2"/>
  <c r="AN18" i="2"/>
  <c r="AK18" i="2"/>
  <c r="AE18" i="2"/>
  <c r="DW18" i="2" s="1"/>
  <c r="AD18" i="2"/>
  <c r="HP18" i="2" s="1"/>
  <c r="AA18" i="2"/>
  <c r="U18" i="2"/>
  <c r="JW18" i="2" s="1"/>
  <c r="T18" i="2"/>
  <c r="HO18" i="2" s="1"/>
  <c r="Q18" i="2"/>
  <c r="K18" i="2"/>
  <c r="JT18" i="2" s="1"/>
  <c r="J18" i="2"/>
  <c r="HN18" i="2" s="1"/>
  <c r="G18" i="2"/>
  <c r="JX17" i="2"/>
  <c r="JW17" i="2"/>
  <c r="JU17" i="2"/>
  <c r="JZ17" i="2" s="1"/>
  <c r="JR17" i="2"/>
  <c r="JQ17" i="2"/>
  <c r="JN17" i="2"/>
  <c r="JK17" i="2"/>
  <c r="JH17" i="2"/>
  <c r="JP17" i="2" s="1"/>
  <c r="JD17" i="2"/>
  <c r="JC17" i="2"/>
  <c r="JA17" i="2"/>
  <c r="IZ17" i="2"/>
  <c r="IW17" i="2"/>
  <c r="IT17" i="2"/>
  <c r="IS17" i="2"/>
  <c r="IQ17" i="2"/>
  <c r="IP17" i="2"/>
  <c r="IN17" i="2"/>
  <c r="IM17" i="2"/>
  <c r="II17" i="2"/>
  <c r="IH17" i="2"/>
  <c r="HZ17" i="2"/>
  <c r="HY17" i="2"/>
  <c r="HW17" i="2"/>
  <c r="HV17" i="2"/>
  <c r="HU17" i="2"/>
  <c r="HQ17" i="2"/>
  <c r="HP17" i="2"/>
  <c r="HO17" i="2"/>
  <c r="HM17" i="2"/>
  <c r="HJ17" i="2"/>
  <c r="HI17" i="2"/>
  <c r="HG17" i="2"/>
  <c r="HF17" i="2"/>
  <c r="HD17" i="2"/>
  <c r="HC17" i="2"/>
  <c r="HB17" i="2"/>
  <c r="GY17" i="2"/>
  <c r="GV17" i="2"/>
  <c r="GR17" i="2"/>
  <c r="GO17" i="2"/>
  <c r="GL17" i="2"/>
  <c r="GI17" i="2"/>
  <c r="GH17" i="2"/>
  <c r="IG17" i="2" s="1"/>
  <c r="GE17" i="2"/>
  <c r="GB17" i="2"/>
  <c r="FY17" i="2"/>
  <c r="FX17" i="2"/>
  <c r="IF17" i="2" s="1"/>
  <c r="FO17" i="2"/>
  <c r="FN17" i="2"/>
  <c r="IE17" i="2" s="1"/>
  <c r="FK17" i="2"/>
  <c r="FH17" i="2"/>
  <c r="FE17" i="2"/>
  <c r="FD17" i="2"/>
  <c r="ID17" i="2" s="1"/>
  <c r="FA17" i="2"/>
  <c r="EX17" i="2"/>
  <c r="EU17" i="2"/>
  <c r="ET17" i="2"/>
  <c r="IC17" i="2" s="1"/>
  <c r="EQ17" i="2"/>
  <c r="EN17" i="2"/>
  <c r="EK17" i="2"/>
  <c r="EJ17" i="2"/>
  <c r="IB17" i="2" s="1"/>
  <c r="EG17" i="2"/>
  <c r="ED17" i="2"/>
  <c r="EA17" i="2"/>
  <c r="DZ17" i="2"/>
  <c r="IA17" i="2" s="1"/>
  <c r="DW17" i="2"/>
  <c r="DQ17" i="2"/>
  <c r="DP17" i="2"/>
  <c r="DM17" i="2"/>
  <c r="DG17" i="2"/>
  <c r="DF17" i="2"/>
  <c r="HX17" i="2" s="1"/>
  <c r="DC17" i="2"/>
  <c r="CW17" i="2"/>
  <c r="CV17" i="2"/>
  <c r="CS17" i="2"/>
  <c r="CM17" i="2"/>
  <c r="CL17" i="2"/>
  <c r="CI17" i="2"/>
  <c r="CC17" i="2"/>
  <c r="CB17" i="2"/>
  <c r="BY17" i="2"/>
  <c r="BS17" i="2"/>
  <c r="BR17" i="2"/>
  <c r="HT17" i="2" s="1"/>
  <c r="BO17" i="2"/>
  <c r="BI17" i="2"/>
  <c r="BH17" i="2"/>
  <c r="HS17" i="2" s="1"/>
  <c r="BE17" i="2"/>
  <c r="AY17" i="2"/>
  <c r="AX17" i="2"/>
  <c r="HR17" i="2" s="1"/>
  <c r="AU17" i="2"/>
  <c r="AO17" i="2"/>
  <c r="GS17" i="2" s="1"/>
  <c r="AN17" i="2"/>
  <c r="AK17" i="2"/>
  <c r="AE17" i="2"/>
  <c r="AD17" i="2"/>
  <c r="AA17" i="2"/>
  <c r="U17" i="2"/>
  <c r="T17" i="2"/>
  <c r="Q17" i="2"/>
  <c r="K17" i="2"/>
  <c r="JG17" i="2" s="1"/>
  <c r="J17" i="2"/>
  <c r="HN17" i="2" s="1"/>
  <c r="G17" i="2"/>
  <c r="JX16" i="2"/>
  <c r="JU16" i="2"/>
  <c r="JT16" i="2"/>
  <c r="JR16" i="2"/>
  <c r="JZ16" i="2" s="1"/>
  <c r="JQ16" i="2"/>
  <c r="JN16" i="2"/>
  <c r="JP16" i="2" s="1"/>
  <c r="JM16" i="2"/>
  <c r="JK16" i="2"/>
  <c r="JJ16" i="2"/>
  <c r="JH16" i="2"/>
  <c r="JD16" i="2"/>
  <c r="JC16" i="2"/>
  <c r="JA16" i="2"/>
  <c r="IZ16" i="2"/>
  <c r="IW16" i="2"/>
  <c r="IT16" i="2"/>
  <c r="IS16" i="2"/>
  <c r="IQ16" i="2"/>
  <c r="IP16" i="2"/>
  <c r="IN16" i="2"/>
  <c r="IM16" i="2"/>
  <c r="II16" i="2"/>
  <c r="IH16" i="2"/>
  <c r="IG16" i="2"/>
  <c r="IF16" i="2"/>
  <c r="IC16" i="2"/>
  <c r="HZ16" i="2"/>
  <c r="HV16" i="2"/>
  <c r="HU16" i="2"/>
  <c r="HT16" i="2"/>
  <c r="HR16" i="2"/>
  <c r="HP16" i="2"/>
  <c r="HO16" i="2"/>
  <c r="HN16" i="2"/>
  <c r="HM16" i="2"/>
  <c r="HJ16" i="2"/>
  <c r="HI16" i="2"/>
  <c r="HG16" i="2"/>
  <c r="HF16" i="2"/>
  <c r="HD16" i="2"/>
  <c r="HC16" i="2"/>
  <c r="HB16" i="2"/>
  <c r="GR16" i="2"/>
  <c r="GH16" i="2"/>
  <c r="FX16" i="2"/>
  <c r="FU16" i="2"/>
  <c r="FR16" i="2"/>
  <c r="FO16" i="2"/>
  <c r="FN16" i="2"/>
  <c r="IE16" i="2" s="1"/>
  <c r="FK16" i="2"/>
  <c r="FH16" i="2"/>
  <c r="FE16" i="2"/>
  <c r="FD16" i="2"/>
  <c r="ID16" i="2" s="1"/>
  <c r="FA16" i="2"/>
  <c r="EX16" i="2"/>
  <c r="EU16" i="2"/>
  <c r="ET16" i="2"/>
  <c r="EQ16" i="2"/>
  <c r="EN16" i="2"/>
  <c r="EK16" i="2"/>
  <c r="EJ16" i="2"/>
  <c r="IB16" i="2" s="1"/>
  <c r="EG16" i="2"/>
  <c r="ED16" i="2"/>
  <c r="EA16" i="2"/>
  <c r="DZ16" i="2"/>
  <c r="IA16" i="2" s="1"/>
  <c r="DP16" i="2"/>
  <c r="HY16" i="2" s="1"/>
  <c r="DM16" i="2"/>
  <c r="DG16" i="2"/>
  <c r="DF16" i="2"/>
  <c r="CW16" i="2"/>
  <c r="CV16" i="2"/>
  <c r="HW16" i="2" s="1"/>
  <c r="CS16" i="2"/>
  <c r="CM16" i="2"/>
  <c r="CL16" i="2"/>
  <c r="CI16" i="2"/>
  <c r="CC16" i="2"/>
  <c r="CB16" i="2"/>
  <c r="BY16" i="2"/>
  <c r="BS16" i="2"/>
  <c r="BR16" i="2"/>
  <c r="BO16" i="2"/>
  <c r="BI16" i="2"/>
  <c r="BH16" i="2"/>
  <c r="HS16" i="2" s="1"/>
  <c r="BE16" i="2"/>
  <c r="AY16" i="2"/>
  <c r="AX16" i="2"/>
  <c r="AU16" i="2"/>
  <c r="AO16" i="2"/>
  <c r="GY16" i="2" s="1"/>
  <c r="AN16" i="2"/>
  <c r="HQ16" i="2" s="1"/>
  <c r="AK16" i="2"/>
  <c r="AE16" i="2"/>
  <c r="GO16" i="2" s="1"/>
  <c r="AD16" i="2"/>
  <c r="AA16" i="2"/>
  <c r="U16" i="2"/>
  <c r="JW16" i="2" s="1"/>
  <c r="T16" i="2"/>
  <c r="Q16" i="2"/>
  <c r="K16" i="2"/>
  <c r="JG16" i="2" s="1"/>
  <c r="J16" i="2"/>
  <c r="G16" i="2"/>
  <c r="JX15" i="2"/>
  <c r="JU15" i="2"/>
  <c r="JZ15" i="2" s="1"/>
  <c r="JR15" i="2"/>
  <c r="JN15" i="2"/>
  <c r="JM15" i="2"/>
  <c r="JK15" i="2"/>
  <c r="JJ15" i="2"/>
  <c r="JH15" i="2"/>
  <c r="JP15" i="2" s="1"/>
  <c r="JG15" i="2"/>
  <c r="JD15" i="2"/>
  <c r="JC15" i="2"/>
  <c r="JA15" i="2"/>
  <c r="IZ15" i="2"/>
  <c r="IW15" i="2"/>
  <c r="IT15" i="2"/>
  <c r="IS15" i="2"/>
  <c r="IQ15" i="2"/>
  <c r="IP15" i="2"/>
  <c r="IN15" i="2"/>
  <c r="IM15" i="2"/>
  <c r="IH15" i="2"/>
  <c r="IG15" i="2"/>
  <c r="IC15" i="2"/>
  <c r="IB15" i="2"/>
  <c r="IA15" i="2"/>
  <c r="HZ15" i="2"/>
  <c r="HY15" i="2"/>
  <c r="HX15" i="2"/>
  <c r="HM15" i="2"/>
  <c r="HJ15" i="2"/>
  <c r="HI15" i="2"/>
  <c r="HG15" i="2"/>
  <c r="HF15" i="2"/>
  <c r="HD15" i="2"/>
  <c r="HC15" i="2"/>
  <c r="HB15" i="2"/>
  <c r="II15" i="2" s="1"/>
  <c r="GV15" i="2"/>
  <c r="GS15" i="2"/>
  <c r="GR15" i="2"/>
  <c r="GH15" i="2"/>
  <c r="FX15" i="2"/>
  <c r="IF15" i="2" s="1"/>
  <c r="FR15" i="2"/>
  <c r="FO15" i="2"/>
  <c r="FN15" i="2"/>
  <c r="IE15" i="2" s="1"/>
  <c r="FK15" i="2"/>
  <c r="FH15" i="2"/>
  <c r="FE15" i="2"/>
  <c r="FD15" i="2"/>
  <c r="ID15" i="2" s="1"/>
  <c r="FA15" i="2"/>
  <c r="EX15" i="2"/>
  <c r="EU15" i="2"/>
  <c r="ET15" i="2"/>
  <c r="EQ15" i="2"/>
  <c r="EN15" i="2"/>
  <c r="EK15" i="2"/>
  <c r="EJ15" i="2"/>
  <c r="EG15" i="2"/>
  <c r="ED15" i="2"/>
  <c r="EA15" i="2"/>
  <c r="DZ15" i="2"/>
  <c r="DW15" i="2"/>
  <c r="DQ15" i="2"/>
  <c r="DP15" i="2"/>
  <c r="DM15" i="2"/>
  <c r="DG15" i="2"/>
  <c r="DF15" i="2"/>
  <c r="CW15" i="2"/>
  <c r="CV15" i="2"/>
  <c r="HW15" i="2" s="1"/>
  <c r="CS15" i="2"/>
  <c r="CM15" i="2"/>
  <c r="CL15" i="2"/>
  <c r="CI15" i="2"/>
  <c r="CC15" i="2"/>
  <c r="CB15" i="2"/>
  <c r="HU15" i="2" s="1"/>
  <c r="BY15" i="2"/>
  <c r="BS15" i="2"/>
  <c r="BR15" i="2"/>
  <c r="HT15" i="2" s="1"/>
  <c r="BO15" i="2"/>
  <c r="BI15" i="2"/>
  <c r="BH15" i="2"/>
  <c r="HS15" i="2" s="1"/>
  <c r="BE15" i="2"/>
  <c r="AY15" i="2"/>
  <c r="AX15" i="2"/>
  <c r="HR15" i="2" s="1"/>
  <c r="AU15" i="2"/>
  <c r="AO15" i="2"/>
  <c r="GY15" i="2" s="1"/>
  <c r="AN15" i="2"/>
  <c r="HQ15" i="2" s="1"/>
  <c r="AK15" i="2"/>
  <c r="AE15" i="2"/>
  <c r="GO15" i="2" s="1"/>
  <c r="AD15" i="2"/>
  <c r="HP15" i="2" s="1"/>
  <c r="AA15" i="2"/>
  <c r="U15" i="2"/>
  <c r="FY15" i="2" s="1"/>
  <c r="T15" i="2"/>
  <c r="HO15" i="2" s="1"/>
  <c r="Q15" i="2"/>
  <c r="K15" i="2"/>
  <c r="JT15" i="2" s="1"/>
  <c r="J15" i="2"/>
  <c r="HN15" i="2" s="1"/>
  <c r="G15" i="2"/>
  <c r="JX14" i="2"/>
  <c r="JU14" i="2"/>
  <c r="JR14" i="2"/>
  <c r="JZ14" i="2" s="1"/>
  <c r="JN14" i="2"/>
  <c r="JK14" i="2"/>
  <c r="JJ14" i="2"/>
  <c r="JH14" i="2"/>
  <c r="JP14" i="2" s="1"/>
  <c r="JD14" i="2"/>
  <c r="JC14" i="2"/>
  <c r="JA14" i="2"/>
  <c r="IZ14" i="2"/>
  <c r="IW14" i="2"/>
  <c r="IT14" i="2"/>
  <c r="IS14" i="2"/>
  <c r="IQ14" i="2"/>
  <c r="IP14" i="2"/>
  <c r="IN14" i="2"/>
  <c r="IM14" i="2"/>
  <c r="II14" i="2"/>
  <c r="IB14" i="2"/>
  <c r="IA14" i="2"/>
  <c r="HZ14" i="2"/>
  <c r="HY14" i="2"/>
  <c r="HM14" i="2"/>
  <c r="HJ14" i="2"/>
  <c r="HI14" i="2"/>
  <c r="HG14" i="2"/>
  <c r="HF14" i="2"/>
  <c r="HD14" i="2"/>
  <c r="HC14" i="2"/>
  <c r="HB14" i="2"/>
  <c r="GY14" i="2"/>
  <c r="GV14" i="2"/>
  <c r="GS14" i="2"/>
  <c r="GR14" i="2"/>
  <c r="IH14" i="2" s="1"/>
  <c r="GO14" i="2"/>
  <c r="GH14" i="2"/>
  <c r="IG14" i="2" s="1"/>
  <c r="FX14" i="2"/>
  <c r="IF14" i="2" s="1"/>
  <c r="FN14" i="2"/>
  <c r="FK14" i="2"/>
  <c r="FH14" i="2"/>
  <c r="FE14" i="2"/>
  <c r="FD14" i="2"/>
  <c r="ID14" i="2" s="1"/>
  <c r="FA14" i="2"/>
  <c r="EX14" i="2"/>
  <c r="EU14" i="2"/>
  <c r="ET14" i="2"/>
  <c r="IC14" i="2" s="1"/>
  <c r="EQ14" i="2"/>
  <c r="EN14" i="2"/>
  <c r="EK14" i="2"/>
  <c r="EJ14" i="2"/>
  <c r="EG14" i="2"/>
  <c r="ED14" i="2"/>
  <c r="EA14" i="2"/>
  <c r="DZ14" i="2"/>
  <c r="DP14" i="2"/>
  <c r="DM14" i="2"/>
  <c r="DG14" i="2"/>
  <c r="DF14" i="2"/>
  <c r="HX14" i="2" s="1"/>
  <c r="CW14" i="2"/>
  <c r="CV14" i="2"/>
  <c r="HW14" i="2" s="1"/>
  <c r="CS14" i="2"/>
  <c r="CM14" i="2"/>
  <c r="CL14" i="2"/>
  <c r="HV14" i="2" s="1"/>
  <c r="CI14" i="2"/>
  <c r="CC14" i="2"/>
  <c r="CB14" i="2"/>
  <c r="HU14" i="2" s="1"/>
  <c r="BY14" i="2"/>
  <c r="BS14" i="2"/>
  <c r="BR14" i="2"/>
  <c r="HT14" i="2" s="1"/>
  <c r="BO14" i="2"/>
  <c r="BI14" i="2"/>
  <c r="BH14" i="2"/>
  <c r="HS14" i="2" s="1"/>
  <c r="BE14" i="2"/>
  <c r="AY14" i="2"/>
  <c r="AX14" i="2"/>
  <c r="HR14" i="2" s="1"/>
  <c r="AU14" i="2"/>
  <c r="AO14" i="2"/>
  <c r="AN14" i="2"/>
  <c r="HQ14" i="2" s="1"/>
  <c r="AK14" i="2"/>
  <c r="AE14" i="2"/>
  <c r="DC14" i="2" s="1"/>
  <c r="AD14" i="2"/>
  <c r="HP14" i="2" s="1"/>
  <c r="AA14" i="2"/>
  <c r="U14" i="2"/>
  <c r="GE14" i="2" s="1"/>
  <c r="T14" i="2"/>
  <c r="HO14" i="2" s="1"/>
  <c r="Q14" i="2"/>
  <c r="K14" i="2"/>
  <c r="FR14" i="2" s="1"/>
  <c r="J14" i="2"/>
  <c r="G14" i="2"/>
  <c r="JX13" i="2"/>
  <c r="JU13" i="2"/>
  <c r="JT13" i="2"/>
  <c r="JR13" i="2"/>
  <c r="JN13" i="2"/>
  <c r="JK13" i="2"/>
  <c r="JJ13" i="2"/>
  <c r="JH13" i="2"/>
  <c r="JP13" i="2" s="1"/>
  <c r="JG13" i="2"/>
  <c r="JD13" i="2"/>
  <c r="JC13" i="2"/>
  <c r="JA13" i="2"/>
  <c r="IZ13" i="2"/>
  <c r="IW13" i="2"/>
  <c r="IT13" i="2"/>
  <c r="IS13" i="2"/>
  <c r="IQ13" i="2"/>
  <c r="IP13" i="2"/>
  <c r="IN13" i="2"/>
  <c r="IM13" i="2"/>
  <c r="IC13" i="2"/>
  <c r="IB13" i="2"/>
  <c r="HZ13" i="2"/>
  <c r="HT13" i="2"/>
  <c r="HR13" i="2"/>
  <c r="HM13" i="2"/>
  <c r="HJ13" i="2"/>
  <c r="HI13" i="2"/>
  <c r="HG13" i="2"/>
  <c r="HF13" i="2"/>
  <c r="HD13" i="2"/>
  <c r="HC13" i="2"/>
  <c r="HB13" i="2"/>
  <c r="II13" i="2" s="1"/>
  <c r="GY13" i="2"/>
  <c r="GV13" i="2"/>
  <c r="GS13" i="2"/>
  <c r="GR13" i="2"/>
  <c r="IH13" i="2" s="1"/>
  <c r="GO13" i="2"/>
  <c r="GL13" i="2"/>
  <c r="GI13" i="2"/>
  <c r="GH13" i="2"/>
  <c r="IG13" i="2" s="1"/>
  <c r="GE13" i="2"/>
  <c r="GB13" i="2"/>
  <c r="FX13" i="2"/>
  <c r="IF13" i="2" s="1"/>
  <c r="FU13" i="2"/>
  <c r="FN13" i="2"/>
  <c r="IE13" i="2" s="1"/>
  <c r="FK13" i="2"/>
  <c r="FH13" i="2"/>
  <c r="FE13" i="2"/>
  <c r="FD13" i="2"/>
  <c r="ID13" i="2" s="1"/>
  <c r="FA13" i="2"/>
  <c r="EX13" i="2"/>
  <c r="EU13" i="2"/>
  <c r="ET13" i="2"/>
  <c r="EQ13" i="2"/>
  <c r="EN13" i="2"/>
  <c r="EK13" i="2"/>
  <c r="EJ13" i="2"/>
  <c r="EG13" i="2"/>
  <c r="ED13" i="2"/>
  <c r="EA13" i="2"/>
  <c r="DZ13" i="2"/>
  <c r="IA13" i="2" s="1"/>
  <c r="DW13" i="2"/>
  <c r="DQ13" i="2"/>
  <c r="DP13" i="2"/>
  <c r="HY13" i="2" s="1"/>
  <c r="DM13" i="2"/>
  <c r="DG13" i="2"/>
  <c r="DF13" i="2"/>
  <c r="HX13" i="2" s="1"/>
  <c r="CW13" i="2"/>
  <c r="CV13" i="2"/>
  <c r="HW13" i="2" s="1"/>
  <c r="CS13" i="2"/>
  <c r="CM13" i="2"/>
  <c r="CL13" i="2"/>
  <c r="HV13" i="2" s="1"/>
  <c r="CI13" i="2"/>
  <c r="CC13" i="2"/>
  <c r="CB13" i="2"/>
  <c r="HU13" i="2" s="1"/>
  <c r="BY13" i="2"/>
  <c r="BS13" i="2"/>
  <c r="BR13" i="2"/>
  <c r="BO13" i="2"/>
  <c r="BI13" i="2"/>
  <c r="BH13" i="2"/>
  <c r="HS13" i="2" s="1"/>
  <c r="BE13" i="2"/>
  <c r="AY13" i="2"/>
  <c r="AX13" i="2"/>
  <c r="AU13" i="2"/>
  <c r="AO13" i="2"/>
  <c r="AN13" i="2"/>
  <c r="HQ13" i="2" s="1"/>
  <c r="AK13" i="2"/>
  <c r="AE13" i="2"/>
  <c r="DC13" i="2" s="1"/>
  <c r="AD13" i="2"/>
  <c r="HP13" i="2" s="1"/>
  <c r="AA13" i="2"/>
  <c r="U13" i="2"/>
  <c r="JQ13" i="2" s="1"/>
  <c r="T13" i="2"/>
  <c r="HO13" i="2" s="1"/>
  <c r="Q13" i="2"/>
  <c r="K13" i="2"/>
  <c r="FR13" i="2" s="1"/>
  <c r="J13" i="2"/>
  <c r="HN13" i="2" s="1"/>
  <c r="G13" i="2"/>
  <c r="JX12" i="2"/>
  <c r="JW12" i="2"/>
  <c r="JU12" i="2"/>
  <c r="JT12" i="2"/>
  <c r="JR12" i="2"/>
  <c r="JZ12" i="2" s="1"/>
  <c r="JQ12" i="2"/>
  <c r="JN12" i="2"/>
  <c r="JP12" i="2" s="1"/>
  <c r="JM12" i="2"/>
  <c r="JK12" i="2"/>
  <c r="JH12" i="2"/>
  <c r="JD12" i="2"/>
  <c r="JC12" i="2"/>
  <c r="JA12" i="2"/>
  <c r="IZ12" i="2"/>
  <c r="IW12" i="2"/>
  <c r="IT12" i="2"/>
  <c r="IS12" i="2"/>
  <c r="IQ12" i="2"/>
  <c r="IQ31" i="2" s="1"/>
  <c r="IP12" i="2"/>
  <c r="IN12" i="2"/>
  <c r="IM12" i="2"/>
  <c r="II12" i="2"/>
  <c r="IH12" i="2"/>
  <c r="IE12" i="2"/>
  <c r="ID12" i="2"/>
  <c r="HZ12" i="2"/>
  <c r="HV12" i="2"/>
  <c r="HM12" i="2"/>
  <c r="HJ12" i="2"/>
  <c r="HI12" i="2"/>
  <c r="HG12" i="2"/>
  <c r="HF12" i="2"/>
  <c r="HD12" i="2"/>
  <c r="HC12" i="2"/>
  <c r="HB12" i="2"/>
  <c r="GR12" i="2"/>
  <c r="GO12" i="2"/>
  <c r="GH12" i="2"/>
  <c r="IG12" i="2" s="1"/>
  <c r="GE12" i="2"/>
  <c r="GB12" i="2"/>
  <c r="FY12" i="2"/>
  <c r="FX12" i="2"/>
  <c r="IF12" i="2" s="1"/>
  <c r="FU12" i="2"/>
  <c r="FR12" i="2"/>
  <c r="FO12" i="2"/>
  <c r="FN12" i="2"/>
  <c r="FK12" i="2"/>
  <c r="FH12" i="2"/>
  <c r="FE12" i="2"/>
  <c r="FD12" i="2"/>
  <c r="FA12" i="2"/>
  <c r="EX12" i="2"/>
  <c r="EU12" i="2"/>
  <c r="ET12" i="2"/>
  <c r="IC12" i="2" s="1"/>
  <c r="EQ12" i="2"/>
  <c r="EN12" i="2"/>
  <c r="EK12" i="2"/>
  <c r="EJ12" i="2"/>
  <c r="IB12" i="2" s="1"/>
  <c r="EG12" i="2"/>
  <c r="ED12" i="2"/>
  <c r="EA12" i="2"/>
  <c r="DZ12" i="2"/>
  <c r="IA12" i="2" s="1"/>
  <c r="DQ12" i="2"/>
  <c r="DP12" i="2"/>
  <c r="HY12" i="2" s="1"/>
  <c r="DM12" i="2"/>
  <c r="DG12" i="2"/>
  <c r="DF12" i="2"/>
  <c r="HX12" i="2" s="1"/>
  <c r="CW12" i="2"/>
  <c r="CV12" i="2"/>
  <c r="HW12" i="2" s="1"/>
  <c r="CS12" i="2"/>
  <c r="CM12" i="2"/>
  <c r="CL12" i="2"/>
  <c r="CI12" i="2"/>
  <c r="CC12" i="2"/>
  <c r="CB12" i="2"/>
  <c r="HU12" i="2" s="1"/>
  <c r="BY12" i="2"/>
  <c r="BS12" i="2"/>
  <c r="BR12" i="2"/>
  <c r="HT12" i="2" s="1"/>
  <c r="BO12" i="2"/>
  <c r="BI12" i="2"/>
  <c r="BH12" i="2"/>
  <c r="HS12" i="2" s="1"/>
  <c r="BE12" i="2"/>
  <c r="AY12" i="2"/>
  <c r="AX12" i="2"/>
  <c r="AU12" i="2"/>
  <c r="AO12" i="2"/>
  <c r="GV12" i="2" s="1"/>
  <c r="AN12" i="2"/>
  <c r="HQ12" i="2" s="1"/>
  <c r="AK12" i="2"/>
  <c r="AE12" i="2"/>
  <c r="GL12" i="2" s="1"/>
  <c r="AD12" i="2"/>
  <c r="HP12" i="2" s="1"/>
  <c r="AA12" i="2"/>
  <c r="U12" i="2"/>
  <c r="T12" i="2"/>
  <c r="HO12" i="2" s="1"/>
  <c r="Q12" i="2"/>
  <c r="K12" i="2"/>
  <c r="JJ12" i="2" s="1"/>
  <c r="J12" i="2"/>
  <c r="HN12" i="2" s="1"/>
  <c r="G12" i="2"/>
  <c r="JX11" i="2"/>
  <c r="JU11" i="2"/>
  <c r="JR11" i="2"/>
  <c r="JN11" i="2"/>
  <c r="JM11" i="2"/>
  <c r="JK11" i="2"/>
  <c r="JJ11" i="2"/>
  <c r="JH11" i="2"/>
  <c r="JD11" i="2"/>
  <c r="JC11" i="2"/>
  <c r="JA11" i="2"/>
  <c r="IZ11" i="2"/>
  <c r="IW11" i="2"/>
  <c r="IT11" i="2"/>
  <c r="IS11" i="2"/>
  <c r="IQ11" i="2"/>
  <c r="IP11" i="2"/>
  <c r="IN11" i="2"/>
  <c r="IM11" i="2"/>
  <c r="II11" i="2"/>
  <c r="IH11" i="2"/>
  <c r="IG11" i="2"/>
  <c r="IF11" i="2"/>
  <c r="IC11" i="2"/>
  <c r="IB11" i="2"/>
  <c r="HZ11" i="2"/>
  <c r="HQ11" i="2"/>
  <c r="HO11" i="2"/>
  <c r="HM11" i="2"/>
  <c r="HI11" i="2"/>
  <c r="HG11" i="2"/>
  <c r="HG31" i="2" s="1"/>
  <c r="HF11" i="2"/>
  <c r="HD11" i="2"/>
  <c r="HC11" i="2"/>
  <c r="HB11" i="2"/>
  <c r="GY11" i="2"/>
  <c r="GR11" i="2"/>
  <c r="GH11" i="2"/>
  <c r="FX11" i="2"/>
  <c r="FN11" i="2"/>
  <c r="IE11" i="2" s="1"/>
  <c r="FK11" i="2"/>
  <c r="FH11" i="2"/>
  <c r="FE11" i="2"/>
  <c r="FD11" i="2"/>
  <c r="ID11" i="2" s="1"/>
  <c r="FA11" i="2"/>
  <c r="EX11" i="2"/>
  <c r="EU11" i="2"/>
  <c r="ET11" i="2"/>
  <c r="EQ11" i="2"/>
  <c r="EN11" i="2"/>
  <c r="EK11" i="2"/>
  <c r="EJ11" i="2"/>
  <c r="EJ31" i="2" s="1"/>
  <c r="EG11" i="2"/>
  <c r="ED11" i="2"/>
  <c r="EA11" i="2"/>
  <c r="DZ11" i="2"/>
  <c r="DZ31" i="2" s="1"/>
  <c r="IA31" i="2" s="1"/>
  <c r="DP11" i="2"/>
  <c r="HY11" i="2" s="1"/>
  <c r="DM11" i="2"/>
  <c r="DG11" i="2"/>
  <c r="DF11" i="2"/>
  <c r="HX11" i="2" s="1"/>
  <c r="CW11" i="2"/>
  <c r="CV11" i="2"/>
  <c r="HW11" i="2" s="1"/>
  <c r="CS11" i="2"/>
  <c r="CM11" i="2"/>
  <c r="CL11" i="2"/>
  <c r="HV11" i="2" s="1"/>
  <c r="CI11" i="2"/>
  <c r="CC11" i="2"/>
  <c r="CB11" i="2"/>
  <c r="HU11" i="2" s="1"/>
  <c r="BY11" i="2"/>
  <c r="BS11" i="2"/>
  <c r="BR11" i="2"/>
  <c r="BO11" i="2"/>
  <c r="BI11" i="2"/>
  <c r="BH11" i="2"/>
  <c r="HS11" i="2" s="1"/>
  <c r="BE11" i="2"/>
  <c r="AY11" i="2"/>
  <c r="AX11" i="2"/>
  <c r="HR11" i="2" s="1"/>
  <c r="AU11" i="2"/>
  <c r="AO11" i="2"/>
  <c r="GV11" i="2" s="1"/>
  <c r="AN11" i="2"/>
  <c r="AK11" i="2"/>
  <c r="AE11" i="2"/>
  <c r="GI11" i="2" s="1"/>
  <c r="AD11" i="2"/>
  <c r="HP11" i="2" s="1"/>
  <c r="AA11" i="2"/>
  <c r="U11" i="2"/>
  <c r="GB11" i="2" s="1"/>
  <c r="T11" i="2"/>
  <c r="Q11" i="2"/>
  <c r="K11" i="2"/>
  <c r="JT11" i="2" s="1"/>
  <c r="J11" i="2"/>
  <c r="HN11" i="2" s="1"/>
  <c r="G11" i="2"/>
  <c r="HL26" i="2" l="1"/>
  <c r="HB31" i="2"/>
  <c r="JD31" i="2"/>
  <c r="HJ31" i="2"/>
  <c r="IT31" i="2"/>
  <c r="JZ18" i="2"/>
  <c r="JU31" i="2"/>
  <c r="JZ29" i="2"/>
  <c r="JZ13" i="2"/>
  <c r="JX31" i="2"/>
  <c r="FN31" i="2"/>
  <c r="CL31" i="2"/>
  <c r="HV31" i="2" s="1"/>
  <c r="BR31" i="2"/>
  <c r="HT31" i="2" s="1"/>
  <c r="HT11" i="2"/>
  <c r="AX31" i="2"/>
  <c r="HR31" i="2" s="1"/>
  <c r="HR12" i="2"/>
  <c r="HL16" i="2"/>
  <c r="HL14" i="2"/>
  <c r="IX31" i="2"/>
  <c r="T31" i="2"/>
  <c r="HO31" i="2" s="1"/>
  <c r="J31" i="2"/>
  <c r="HN31" i="2" s="1"/>
  <c r="HL21" i="2"/>
  <c r="HD31" i="2"/>
  <c r="IN31" i="2"/>
  <c r="JZ26" i="2"/>
  <c r="HL25" i="2"/>
  <c r="HL23" i="2"/>
  <c r="JR31" i="2"/>
  <c r="JK31" i="2"/>
  <c r="JP29" i="2"/>
  <c r="HL24" i="2"/>
  <c r="IL18" i="2"/>
  <c r="JH31" i="2"/>
  <c r="FX31" i="2"/>
  <c r="HL27" i="2"/>
  <c r="JN31" i="2"/>
  <c r="HL13" i="2"/>
  <c r="HM8" i="2"/>
  <c r="HZ8" i="2"/>
  <c r="IL12" i="2"/>
  <c r="IL19" i="2"/>
  <c r="IL17" i="2"/>
  <c r="IL29" i="2"/>
  <c r="IL26" i="2"/>
  <c r="IL22" i="2"/>
  <c r="IL13" i="2"/>
  <c r="IL21" i="2"/>
  <c r="IL20" i="2"/>
  <c r="HL17" i="2"/>
  <c r="FR26" i="2"/>
  <c r="CB31" i="2"/>
  <c r="HU31" i="2" s="1"/>
  <c r="GH31" i="2"/>
  <c r="IA11" i="2"/>
  <c r="JG11" i="2"/>
  <c r="DC12" i="2"/>
  <c r="GI14" i="2"/>
  <c r="FR17" i="2"/>
  <c r="FY22" i="2"/>
  <c r="JW22" i="2"/>
  <c r="GY24" i="2"/>
  <c r="FU26" i="2"/>
  <c r="JT26" i="2"/>
  <c r="FY13" i="2"/>
  <c r="JW13" i="2"/>
  <c r="GL14" i="2"/>
  <c r="FU17" i="2"/>
  <c r="JT17" i="2"/>
  <c r="FO21" i="2"/>
  <c r="GB22" i="2"/>
  <c r="JG24" i="2"/>
  <c r="GI27" i="2"/>
  <c r="AD31" i="2"/>
  <c r="HP31" i="2" s="1"/>
  <c r="HL12" i="2"/>
  <c r="DC11" i="2"/>
  <c r="DW21" i="2"/>
  <c r="JJ28" i="2"/>
  <c r="HL29" i="2"/>
  <c r="AN31" i="2"/>
  <c r="HQ31" i="2" s="1"/>
  <c r="ET31" i="2"/>
  <c r="JP11" i="2"/>
  <c r="JP31" i="2" s="1"/>
  <c r="DW12" i="2"/>
  <c r="JJ19" i="2"/>
  <c r="HL20" i="2"/>
  <c r="JG23" i="2"/>
  <c r="FO11" i="2"/>
  <c r="HL11" i="2"/>
  <c r="JQ11" i="2"/>
  <c r="JG14" i="2"/>
  <c r="DC15" i="2"/>
  <c r="DQ16" i="2"/>
  <c r="DW25" i="2"/>
  <c r="JM28" i="2"/>
  <c r="CV31" i="2"/>
  <c r="HW31" i="2" s="1"/>
  <c r="FR11" i="2"/>
  <c r="JQ24" i="2"/>
  <c r="HQ25" i="2"/>
  <c r="IL25" i="2" s="1"/>
  <c r="DQ29" i="2"/>
  <c r="FU11" i="2"/>
  <c r="JQ15" i="2"/>
  <c r="GB16" i="2"/>
  <c r="JG18" i="2"/>
  <c r="DQ20" i="2"/>
  <c r="GI21" i="2"/>
  <c r="GI12" i="2"/>
  <c r="GE16" i="2"/>
  <c r="DW20" i="2"/>
  <c r="GL21" i="2"/>
  <c r="JM23" i="2"/>
  <c r="FU24" i="2"/>
  <c r="HN24" i="2"/>
  <c r="IL24" i="2" s="1"/>
  <c r="GS26" i="2"/>
  <c r="FO28" i="2"/>
  <c r="JQ28" i="2"/>
  <c r="GB29" i="2"/>
  <c r="DW16" i="2"/>
  <c r="FY16" i="2"/>
  <c r="JM19" i="2"/>
  <c r="HL15" i="2"/>
  <c r="DW29" i="2"/>
  <c r="FD31" i="2"/>
  <c r="DQ11" i="2"/>
  <c r="DW11" i="2"/>
  <c r="FY11" i="2"/>
  <c r="JW11" i="2"/>
  <c r="IE14" i="2"/>
  <c r="JM14" i="2"/>
  <c r="FU15" i="2"/>
  <c r="JJ18" i="2"/>
  <c r="FO19" i="2"/>
  <c r="HL19" i="2"/>
  <c r="JQ19" i="2"/>
  <c r="JG22" i="2"/>
  <c r="DQ24" i="2"/>
  <c r="FR28" i="2"/>
  <c r="DF31" i="2"/>
  <c r="HX31" i="2" s="1"/>
  <c r="FU28" i="2"/>
  <c r="JW15" i="2"/>
  <c r="FO23" i="2"/>
  <c r="BH31" i="2"/>
  <c r="HS31" i="2" s="1"/>
  <c r="JQ14" i="2"/>
  <c r="DQ19" i="2"/>
  <c r="JJ26" i="2"/>
  <c r="GL11" i="2"/>
  <c r="GY12" i="2"/>
  <c r="JM13" i="2"/>
  <c r="FU14" i="2"/>
  <c r="HN14" i="2"/>
  <c r="IL14" i="2" s="1"/>
  <c r="JT14" i="2"/>
  <c r="GS16" i="2"/>
  <c r="HX16" i="2"/>
  <c r="IL16" i="2" s="1"/>
  <c r="JJ17" i="2"/>
  <c r="FO18" i="2"/>
  <c r="HL18" i="2"/>
  <c r="JQ18" i="2"/>
  <c r="GB19" i="2"/>
  <c r="GO20" i="2"/>
  <c r="JG21" i="2"/>
  <c r="DQ23" i="2"/>
  <c r="GI24" i="2"/>
  <c r="GV25" i="2"/>
  <c r="FR27" i="2"/>
  <c r="GE28" i="2"/>
  <c r="JG19" i="2"/>
  <c r="JW24" i="2"/>
  <c r="JT28" i="2"/>
  <c r="JM18" i="2"/>
  <c r="FU19" i="2"/>
  <c r="JT19" i="2"/>
  <c r="GB24" i="2"/>
  <c r="DQ28" i="2"/>
  <c r="FO14" i="2"/>
  <c r="DW28" i="2"/>
  <c r="JW28" i="2"/>
  <c r="GE15" i="2"/>
  <c r="DW19" i="2"/>
  <c r="JW19" i="2"/>
  <c r="HN23" i="2"/>
  <c r="IL23" i="2" s="1"/>
  <c r="GB28" i="2"/>
  <c r="GO29" i="2"/>
  <c r="GO11" i="2"/>
  <c r="JG12" i="2"/>
  <c r="DQ14" i="2"/>
  <c r="GI15" i="2"/>
  <c r="GV16" i="2"/>
  <c r="FR18" i="2"/>
  <c r="GE19" i="2"/>
  <c r="FY23" i="2"/>
  <c r="JW23" i="2"/>
  <c r="GL24" i="2"/>
  <c r="GY25" i="2"/>
  <c r="JM26" i="2"/>
  <c r="FU27" i="2"/>
  <c r="HN27" i="2"/>
  <c r="IL27" i="2" s="1"/>
  <c r="GS29" i="2"/>
  <c r="GI16" i="2"/>
  <c r="FY24" i="2"/>
  <c r="GE11" i="2"/>
  <c r="JZ11" i="2"/>
  <c r="GL16" i="2"/>
  <c r="GS21" i="2"/>
  <c r="GI29" i="2"/>
  <c r="GS12" i="2"/>
  <c r="GB15" i="2"/>
  <c r="GI20" i="2"/>
  <c r="FU23" i="2"/>
  <c r="DP31" i="2"/>
  <c r="HY31" i="2" s="1"/>
  <c r="DW14" i="2"/>
  <c r="FY14" i="2"/>
  <c r="JW14" i="2"/>
  <c r="GL15" i="2"/>
  <c r="JM17" i="2"/>
  <c r="FU18" i="2"/>
  <c r="GS20" i="2"/>
  <c r="JJ21" i="2"/>
  <c r="FO22" i="2"/>
  <c r="HL22" i="2"/>
  <c r="GB23" i="2"/>
  <c r="JG25" i="2"/>
  <c r="DQ27" i="2"/>
  <c r="GI28" i="2"/>
  <c r="GV29" i="2"/>
  <c r="DC16" i="2"/>
  <c r="GR31" i="2"/>
  <c r="JQ23" i="2"/>
  <c r="JG26" i="2"/>
  <c r="FR23" i="2"/>
  <c r="GY21" i="2"/>
  <c r="GS11" i="2"/>
  <c r="FO13" i="2"/>
  <c r="GB14" i="2"/>
  <c r="HV15" i="2"/>
  <c r="IL15" i="2" s="1"/>
  <c r="DQ18" i="2"/>
  <c r="GI19" i="2"/>
  <c r="GV20" i="2"/>
  <c r="FR22" i="2"/>
  <c r="FY27" i="2"/>
  <c r="JW27" i="2"/>
  <c r="GL28" i="2"/>
  <c r="FY18" i="2"/>
  <c r="FU22" i="2"/>
  <c r="JG29" i="2"/>
  <c r="IL11" i="2" l="1"/>
  <c r="IL31" i="2"/>
  <c r="JZ31" i="2"/>
  <c r="HL31" i="2"/>
</calcChain>
</file>

<file path=xl/sharedStrings.xml><?xml version="1.0" encoding="utf-8"?>
<sst xmlns="http://schemas.openxmlformats.org/spreadsheetml/2006/main" count="3085" uniqueCount="86">
  <si>
    <t>M &amp; G</t>
  </si>
  <si>
    <t>1058 N. DUPAGE AVENUE</t>
  </si>
  <si>
    <t>LOMBARD, ILLINOIS. 60148</t>
  </si>
  <si>
    <t>630 245 3643</t>
  </si>
  <si>
    <t>LOMBARD</t>
  </si>
  <si>
    <t>NAPERVILLE</t>
  </si>
  <si>
    <t>CAROL STREAM</t>
  </si>
  <si>
    <t>LISLE</t>
  </si>
  <si>
    <t>GLENDALE HEIGHTS</t>
  </si>
  <si>
    <t>WEST CHICAGO</t>
  </si>
  <si>
    <t>BATAVIA</t>
  </si>
  <si>
    <t>ALGONQUIN</t>
  </si>
  <si>
    <t>NAPERVILLE TWO</t>
  </si>
  <si>
    <t>ROLLING MEADOWS</t>
  </si>
  <si>
    <t>SCHAUMBURG</t>
  </si>
  <si>
    <t>TAQUERIA AURORA</t>
  </si>
  <si>
    <t>TAPATIOS GLEN ELLYN</t>
  </si>
  <si>
    <t>TAPATIOS STREAMWOOD</t>
  </si>
  <si>
    <t>TAPATIOS LOMBARD</t>
  </si>
  <si>
    <t>TOTAL</t>
  </si>
  <si>
    <t>TAPATIOS - MONDAY</t>
  </si>
  <si>
    <t>TAPATIOS - THURSDAY</t>
  </si>
  <si>
    <t>WEDNESDAY</t>
  </si>
  <si>
    <t>SATURDAY</t>
  </si>
  <si>
    <t>MONDAY</t>
  </si>
  <si>
    <t>THURSDAY</t>
  </si>
  <si>
    <t>GLEN ELLYN</t>
  </si>
  <si>
    <t>STREAMWOOD</t>
  </si>
  <si>
    <t>ITEM</t>
  </si>
  <si>
    <t>QTY</t>
  </si>
  <si>
    <t>LO</t>
  </si>
  <si>
    <t>NA</t>
  </si>
  <si>
    <t>CS</t>
  </si>
  <si>
    <t>LI</t>
  </si>
  <si>
    <t>GH</t>
  </si>
  <si>
    <t>WEST</t>
  </si>
  <si>
    <t>BT</t>
  </si>
  <si>
    <t>AL</t>
  </si>
  <si>
    <t>N2</t>
  </si>
  <si>
    <t>RM</t>
  </si>
  <si>
    <t>SC</t>
  </si>
  <si>
    <t>STEAK TACO</t>
  </si>
  <si>
    <t>CHICKEN</t>
  </si>
  <si>
    <t>ALPASTOR</t>
  </si>
  <si>
    <t>CARNE ASADA</t>
  </si>
  <si>
    <t>FAJITAS</t>
  </si>
  <si>
    <t>MILANESA</t>
  </si>
  <si>
    <t>TAMAL ROJO</t>
  </si>
  <si>
    <t>CHILE RELLENO</t>
  </si>
  <si>
    <t>TACO DORADO</t>
  </si>
  <si>
    <t>ADOBO PICADILLO</t>
  </si>
  <si>
    <t>CARNITAS</t>
  </si>
  <si>
    <t>CATERING</t>
  </si>
  <si>
    <t>FOIL 12X1000</t>
  </si>
  <si>
    <t>THREE COMP CONT</t>
  </si>
  <si>
    <t>ONE COMP CONT</t>
  </si>
  <si>
    <t>SUIZO CONT</t>
  </si>
  <si>
    <t>THERMAL PAPER</t>
  </si>
  <si>
    <t>COCO LOPEZ</t>
  </si>
  <si>
    <t>TAPATIOS TACO M</t>
  </si>
  <si>
    <t xml:space="preserve"> </t>
  </si>
  <si>
    <t>TAQ-1</t>
  </si>
  <si>
    <t>TAQ-2</t>
  </si>
  <si>
    <t>LBT-1</t>
  </si>
  <si>
    <t>CRYSTAL LAKE</t>
  </si>
  <si>
    <t>LAKE ZURICH</t>
  </si>
  <si>
    <t>FRANKFORT</t>
  </si>
  <si>
    <t>PLAINFIELD</t>
  </si>
  <si>
    <t>TAPATIOS NAPERVILLE</t>
  </si>
  <si>
    <t>TAQUERIA BURLINGTON</t>
  </si>
  <si>
    <t>CRY-L</t>
  </si>
  <si>
    <t>L-ZUR</t>
  </si>
  <si>
    <t>FRA</t>
  </si>
  <si>
    <t>PLA</t>
  </si>
  <si>
    <t>LBT-5</t>
  </si>
  <si>
    <t>LBT-6</t>
  </si>
  <si>
    <t>LBT-8</t>
  </si>
  <si>
    <t>PABLO</t>
  </si>
  <si>
    <t>MH</t>
  </si>
  <si>
    <t xml:space="preserve">PABLO </t>
  </si>
  <si>
    <t>ORDEN</t>
  </si>
  <si>
    <t xml:space="preserve">   </t>
  </si>
  <si>
    <t>CARNES ASADAS</t>
  </si>
  <si>
    <t>POLLO</t>
  </si>
  <si>
    <t>XL NITRILE</t>
  </si>
  <si>
    <t>CUP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</si>
</sst>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 val="double"/>
      <sz val="36"/>
      <name val="Saginaw"/>
    </font>
    <font>
      <b/>
      <u/>
      <sz val="14"/>
      <name val="Calibri"/>
      <family val="2"/>
      <scheme val="minor"/>
    </font>
    <font>
      <b/>
      <u/>
      <sz val="22"/>
      <name val="Calibri"/>
      <family val="2"/>
      <scheme val="minor"/>
    </font>
    <font>
      <b/>
      <sz val="8"/>
      <name val="Calibri"/>
      <family val="2"/>
      <scheme val="minor"/>
    </font>
    <font>
      <b/>
      <sz val="22"/>
      <name val="Calibri"/>
      <family val="2"/>
      <scheme val="minor"/>
    </font>
    <font>
      <sz val="26"/>
      <name val="Calibri"/>
      <family val="2"/>
      <scheme val="minor"/>
    </font>
    <font>
      <b/>
      <sz val="26"/>
      <name val="Calibri"/>
      <family val="2"/>
      <scheme val="minor"/>
    </font>
    <font>
      <b/>
      <u val="double"/>
      <sz val="26"/>
      <name val="Calibri"/>
      <family val="2"/>
      <scheme val="minor"/>
    </font>
    <font>
      <b/>
      <u/>
      <sz val="26"/>
      <name val="Calibri"/>
      <family val="2"/>
      <scheme val="minor"/>
    </font>
    <font>
      <b/>
      <sz val="48"/>
      <name val="Calibri"/>
      <family val="2"/>
      <scheme val="minor"/>
    </font>
    <font>
      <b/>
      <sz val="36"/>
      <name val="Calibri"/>
      <family val="2"/>
      <scheme val="minor"/>
    </font>
    <font>
      <sz val="10"/>
      <name val="Calibri"/>
      <family val="2"/>
      <scheme val="minor"/>
    </font>
    <font>
      <sz val="22"/>
      <name val="Calibri"/>
      <family val="2"/>
      <scheme val="minor"/>
    </font>
    <font>
      <b/>
      <sz val="36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5" fillId="0" borderId="0" xfId="1" applyFont="1"/>
    <xf numFmtId="0" fontId="6" fillId="0" borderId="0" xfId="1" applyFont="1"/>
    <xf numFmtId="0" fontId="4" fillId="0" borderId="0" xfId="1" applyFont="1"/>
    <xf numFmtId="0" fontId="7" fillId="0" borderId="0" xfId="1" applyFont="1"/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15" fontId="8" fillId="0" borderId="0" xfId="1" applyNumberFormat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8" fillId="0" borderId="0" xfId="1" applyNumberFormat="1" applyFont="1" applyAlignment="1">
      <alignment horizontal="left" vertical="center"/>
    </xf>
    <xf numFmtId="0" fontId="8" fillId="0" borderId="1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8" fillId="0" borderId="0" xfId="1" applyFont="1"/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8" fillId="0" borderId="9" xfId="1" applyFont="1" applyBorder="1"/>
    <xf numFmtId="0" fontId="7" fillId="0" borderId="1" xfId="1" applyFont="1" applyBorder="1" applyAlignment="1">
      <alignment vertical="center"/>
    </xf>
    <xf numFmtId="0" fontId="7" fillId="0" borderId="1" xfId="1" applyFont="1" applyBorder="1"/>
    <xf numFmtId="0" fontId="12" fillId="0" borderId="10" xfId="1" applyFont="1" applyBorder="1" applyAlignment="1">
      <alignment vertical="center"/>
    </xf>
    <xf numFmtId="0" fontId="12" fillId="0" borderId="11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0" xfId="1" applyFont="1"/>
    <xf numFmtId="0" fontId="13" fillId="0" borderId="0" xfId="1" applyFont="1"/>
    <xf numFmtId="0" fontId="14" fillId="0" borderId="0" xfId="1" applyFont="1"/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7" fillId="2" borderId="1" xfId="1" applyFont="1" applyFill="1" applyBorder="1"/>
    <xf numFmtId="0" fontId="12" fillId="2" borderId="1" xfId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6" fontId="7" fillId="0" borderId="7" xfId="1" applyNumberFormat="1" applyFont="1" applyBorder="1" applyAlignment="1">
      <alignment horizontal="center" vertical="center"/>
    </xf>
    <xf numFmtId="44" fontId="7" fillId="0" borderId="0" xfId="1" applyNumberFormat="1" applyFont="1"/>
    <xf numFmtId="0" fontId="7" fillId="0" borderId="7" xfId="1" applyFont="1" applyBorder="1" applyAlignment="1">
      <alignment vertical="center"/>
    </xf>
    <xf numFmtId="0" fontId="8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0" xfId="1" applyFont="1" applyAlignment="1">
      <alignment vertical="center"/>
    </xf>
    <xf numFmtId="0" fontId="12" fillId="3" borderId="1" xfId="1" applyFont="1" applyFill="1" applyBorder="1" applyAlignment="1">
      <alignment horizontal="center" vertical="center"/>
    </xf>
    <xf numFmtId="0" fontId="7" fillId="3" borderId="1" xfId="1" applyFont="1" applyFill="1" applyBorder="1"/>
    <xf numFmtId="0" fontId="8" fillId="3" borderId="8" xfId="1" applyFont="1" applyFill="1" applyBorder="1" applyAlignment="1">
      <alignment horizontal="center" vertical="center"/>
    </xf>
    <xf numFmtId="0" fontId="8" fillId="3" borderId="9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2" fillId="2" borderId="1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5" fontId="8" fillId="0" borderId="4" xfId="1" applyNumberFormat="1" applyFont="1" applyBorder="1" applyAlignment="1">
      <alignment horizontal="center" vertical="center"/>
    </xf>
    <xf numFmtId="15" fontId="8" fillId="0" borderId="3" xfId="1" applyNumberFormat="1" applyFont="1" applyBorder="1" applyAlignment="1">
      <alignment horizontal="center" vertical="center"/>
    </xf>
    <xf numFmtId="15" fontId="8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">
    <cellStyle name="Normal" xfId="0" builtinId="0"/>
    <cellStyle name="Normal 2" xfId="1" xr:uid="{E302EBDE-097B-440C-9354-7DAD1E8A75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DE39AAD-0013-4F8C-B414-8AA7C09B061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DFBD283F-D9E7-4250-B49A-92FB5FB160E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919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DE1CADC1-E8D9-4A70-9D3C-B9710366ED1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04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F8ECF1F4-8D32-45B5-A611-85087CE2E31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489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395BE1B6-B95D-4128-A127-742892EC8E1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27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511C663-30EB-4E0A-8847-73B1FF077C8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1060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4AB40A7-632A-44C4-938A-0D2EC4488C5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345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57B4675-360B-49E4-B71A-C76C12FDF9E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630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3D67ED6-8155-4959-BE1B-F95D29608E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5915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6C2D5A7-DE37-4C67-A441-36DD271FB20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420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69E1BEB6-B992-46DB-B7D0-102E0972629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2486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D9D6D3BE-31F1-4A3C-8382-CE68F8235A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D1A5372-8662-44D6-B39C-0D71A50E5B4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9E254CA-9047-4DB6-99B2-9B998BE5B7D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D26E092-3203-49E1-AAA4-073D9072F22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1F4BE35-11A2-4099-A405-B030FEEA940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FCF4DF9-BDBB-45E5-B29C-93A269CD1D9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919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C768D9E-EE3F-420B-8B0A-3AB71413772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04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7FCA778-FEFC-482A-BB40-4C7D2B71F37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489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FAAE82D2-6CE1-490B-B586-0117D49217E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27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5604F2D2-01D8-423D-9CE1-D4E14A075D8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1060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DE670FC-8DBF-463F-9AB5-178054C8E3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345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FA7C06D-52EF-43D1-9333-B1818FDD1D0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630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22365D2-AB24-4FE0-B8CB-D7E27370A5D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5915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B223F1AC-B2A0-4ECA-8356-F5D5C4858F8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420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177FB80-BE03-44DA-89EB-502D1A2B016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2486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608F5DE-66C3-43EA-B935-4E9F7A07D45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015A498-E43B-4495-A56B-9408ABD0C42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A32A9195-6A92-4A39-8976-CB03F9750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31D8CDF-26E2-4E48-A470-91AAFB1ECB3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1383231-E021-4539-9D8A-A435465F72E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0454DED5-0DE4-4336-A2BE-E8130350AC8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919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D9A1B72E-D109-4CB2-92E5-110E72D9564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04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8CAAE5B-9429-40DD-81C5-06D3E3E2C6D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489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456D801-1CB3-4048-BA46-79BCEF9D8F3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27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AF97AFDA-426A-47EC-B836-04218810A04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1060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66A34C99-2644-4C9C-A8E5-E877292C9C1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345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DE0EAED-9C9E-4320-A5E7-7DD8C815544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630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6AE00BD2-53EE-4D11-9753-6557B1887CC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5915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029D85BA-47BD-403C-9FBF-323F71542B9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420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28A777C-8E58-4889-A09A-67CF1BDAFBB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2486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F1DEBAFF-0A35-45D1-80C4-D409FFAD130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09BB4BD-4EA1-4500-9448-DDA9AA5849E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F0B7C53-2304-4D5E-9B12-10D49DD61E8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F34C3D55-D0DE-48A1-A49F-E3F1B8AD6D9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B9FC4A1B-59D8-4645-B16A-75343300B0F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A8AAA79-03C9-4391-AC91-BAD7BB566FC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919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6A7CBAE1-9FED-4C19-B7CF-653E05670AC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04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A8E35035-BB3B-4B02-9234-E658A505031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489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B8FA0A8-1236-4CD4-9054-972763CCAE8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27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B0FF176-D0E5-4055-9F88-5ED1F9CE5A4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1060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2A49E30-C288-4D4B-A657-E2678F9CFAC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345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392C0B41-B707-46FD-88B8-208479011C1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630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106198CB-D9D8-4CB3-8CD0-65FA41DEC3E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5915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F1609B0-A7CA-43E6-B4AB-4A2DEF302F7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420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157C0E2-7E71-4E77-A239-2D08043886B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2486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8B87A63-3123-4DA4-A5BC-21CFC94C041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AD1469A-D8DB-43E7-8054-4C97572FD55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93261A6F-D89A-4587-88FD-7A0DF15D8D32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D3D008A-A55B-4F5E-9030-2BAD2A376E4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FFA3427-83D1-4113-B68E-36562B71C79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38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A818F1E-C17B-4B49-B9AB-FF89E1A076F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222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A95A295-F8A0-48D8-BAFF-A7B611002E2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706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3ADBD5D-7482-4601-8E54-B24BD7C163D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119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D71830D-E711-4300-AF51-01C3EA7832D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36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0530263A-F797-409C-81D4-094A08E622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6158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A5115D4E-5D59-4A63-94C7-F9FA3F451DF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8642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0C4713F3-921F-46AB-AC49-E4324B04AF7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126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22CD186-B71A-4824-9CE5-FDCE23A96BA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361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655A2DE-A20E-4557-BE34-845F58C8695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609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6BC6385-89E7-4088-B80B-7B39C62A3EA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578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5D71E221-BE41-48D3-AC1E-C0BDC9C0AAC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1062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A0BCB7A-CCC0-4D3C-A249-5C7D2B16713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3546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FFDA770E-D934-4838-9BD1-228C896FA5F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603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408F2CA3-42CB-4284-9C15-7E3B088673B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851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2457450" cy="1781175"/>
    <xdr:pic>
      <xdr:nvPicPr>
        <xdr:cNvPr id="2" name="Picture 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5F4AE28-9631-4AB5-A7C6-AEE83A2D484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634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0</xdr:row>
      <xdr:rowOff>0</xdr:rowOff>
    </xdr:from>
    <xdr:ext cx="2457450" cy="1781175"/>
    <xdr:pic>
      <xdr:nvPicPr>
        <xdr:cNvPr id="3" name="Picture 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B9652A46-B856-41CB-B2E2-C23AD5201705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919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27</xdr:col>
      <xdr:colOff>0</xdr:colOff>
      <xdr:row>0</xdr:row>
      <xdr:rowOff>0</xdr:rowOff>
    </xdr:from>
    <xdr:ext cx="2457450" cy="1781175"/>
    <xdr:pic>
      <xdr:nvPicPr>
        <xdr:cNvPr id="4" name="Picture 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72B83BE4-A733-4DF3-858F-C93A8A6F0A1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204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37</xdr:col>
      <xdr:colOff>0</xdr:colOff>
      <xdr:row>0</xdr:row>
      <xdr:rowOff>0</xdr:rowOff>
    </xdr:from>
    <xdr:ext cx="2457450" cy="1781175"/>
    <xdr:pic>
      <xdr:nvPicPr>
        <xdr:cNvPr id="5" name="Picture 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F94D6DA-1D63-45C6-A85D-D571903DFF7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489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47</xdr:col>
      <xdr:colOff>0</xdr:colOff>
      <xdr:row>0</xdr:row>
      <xdr:rowOff>0</xdr:rowOff>
    </xdr:from>
    <xdr:ext cx="2457450" cy="1781175"/>
    <xdr:pic>
      <xdr:nvPicPr>
        <xdr:cNvPr id="6" name="Picture 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F915A0A-43BF-47FF-835E-FCCE04D8FE4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2774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57</xdr:col>
      <xdr:colOff>0</xdr:colOff>
      <xdr:row>0</xdr:row>
      <xdr:rowOff>0</xdr:rowOff>
    </xdr:from>
    <xdr:ext cx="2457450" cy="1781175"/>
    <xdr:pic>
      <xdr:nvPicPr>
        <xdr:cNvPr id="7" name="Picture 6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41DD351-A316-40ED-B6B1-C678FEC5E6A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1060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67</xdr:col>
      <xdr:colOff>0</xdr:colOff>
      <xdr:row>0</xdr:row>
      <xdr:rowOff>0</xdr:rowOff>
    </xdr:from>
    <xdr:ext cx="2457450" cy="1781175"/>
    <xdr:pic>
      <xdr:nvPicPr>
        <xdr:cNvPr id="8" name="Picture 7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5549656C-34E8-4081-A5EE-A3C69002618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345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77</xdr:col>
      <xdr:colOff>0</xdr:colOff>
      <xdr:row>0</xdr:row>
      <xdr:rowOff>0</xdr:rowOff>
    </xdr:from>
    <xdr:ext cx="2457450" cy="1781175"/>
    <xdr:pic>
      <xdr:nvPicPr>
        <xdr:cNvPr id="9" name="Picture 8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CB580E80-5E5C-48C9-B8ED-CD85D4E81E4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576304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87</xdr:col>
      <xdr:colOff>0</xdr:colOff>
      <xdr:row>0</xdr:row>
      <xdr:rowOff>0</xdr:rowOff>
    </xdr:from>
    <xdr:ext cx="2457450" cy="1781175"/>
    <xdr:pic>
      <xdr:nvPicPr>
        <xdr:cNvPr id="10" name="Picture 9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8AC57D4-9DD2-4C4A-BC60-AC01735CDDA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059156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97</xdr:col>
      <xdr:colOff>0</xdr:colOff>
      <xdr:row>0</xdr:row>
      <xdr:rowOff>0</xdr:rowOff>
    </xdr:from>
    <xdr:ext cx="2457450" cy="1781175"/>
    <xdr:pic>
      <xdr:nvPicPr>
        <xdr:cNvPr id="11" name="Picture 10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9335D3FA-6C5C-4508-A94B-C9CFF1350FF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542008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107</xdr:col>
      <xdr:colOff>0</xdr:colOff>
      <xdr:row>0</xdr:row>
      <xdr:rowOff>0</xdr:rowOff>
    </xdr:from>
    <xdr:ext cx="2457450" cy="1781175"/>
    <xdr:pic>
      <xdr:nvPicPr>
        <xdr:cNvPr id="12" name="Picture 11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E3016D13-AE6A-4C35-8B61-844C8639810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24860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117</xdr:col>
      <xdr:colOff>0</xdr:colOff>
      <xdr:row>0</xdr:row>
      <xdr:rowOff>0</xdr:rowOff>
    </xdr:from>
    <xdr:ext cx="2457450" cy="1781175"/>
    <xdr:pic>
      <xdr:nvPicPr>
        <xdr:cNvPr id="13" name="Picture 12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C31F9B1-3B86-4B83-9DF6-4F5F94E3C96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127</xdr:col>
      <xdr:colOff>0</xdr:colOff>
      <xdr:row>0</xdr:row>
      <xdr:rowOff>0</xdr:rowOff>
    </xdr:from>
    <xdr:ext cx="2457450" cy="1781175"/>
    <xdr:pic>
      <xdr:nvPicPr>
        <xdr:cNvPr id="14" name="Picture 13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D0CA0DD1-9E58-4D7F-B769-0630155C2C4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137</xdr:col>
      <xdr:colOff>0</xdr:colOff>
      <xdr:row>0</xdr:row>
      <xdr:rowOff>0</xdr:rowOff>
    </xdr:from>
    <xdr:ext cx="2457450" cy="1781175"/>
    <xdr:pic>
      <xdr:nvPicPr>
        <xdr:cNvPr id="15" name="Picture 14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2855578C-68A9-4046-AD44-59362E62157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147</xdr:col>
      <xdr:colOff>0</xdr:colOff>
      <xdr:row>0</xdr:row>
      <xdr:rowOff>0</xdr:rowOff>
    </xdr:from>
    <xdr:ext cx="2457450" cy="1781175"/>
    <xdr:pic>
      <xdr:nvPicPr>
        <xdr:cNvPr id="16" name="Picture 15" descr="C:\Users\Martin\Desktop\LBT &amp; Burrito\# FOUR Burrito\Burrito Logo -«.001.png">
          <a:extLst>
            <a:ext uri="{FF2B5EF4-FFF2-40B4-BE49-F238E27FC236}">
              <a16:creationId xmlns:a16="http://schemas.microsoft.com/office/drawing/2014/main" id="{8CBC3619-A6BA-477A-BF7B-DEDA4C15A5E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3113720" y="0"/>
          <a:ext cx="2457450" cy="1781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9575-FDE2-48D2-B740-5F1EAA302EDD}">
  <dimension ref="A1:I30"/>
  <sheetViews>
    <sheetView topLeftCell="A2" zoomScale="70" zoomScaleNormal="70" workbookViewId="0">
      <selection activeCell="E21" sqref="E21"/>
    </sheetView>
  </sheetViews>
  <sheetFormatPr defaultRowHeight="14.4" x14ac:dyDescent="0.3"/>
  <cols>
    <col min="9" max="9" width="16.5546875" customWidth="1"/>
  </cols>
  <sheetData>
    <row r="1" spans="1:9" ht="55.2" customHeight="1" thickBot="1" x14ac:dyDescent="0.35">
      <c r="A1" s="74" t="s">
        <v>0</v>
      </c>
      <c r="B1" s="74"/>
      <c r="C1" s="74"/>
      <c r="D1" s="74"/>
      <c r="E1" s="74"/>
      <c r="F1" s="74"/>
      <c r="G1" s="74"/>
      <c r="H1" s="74"/>
      <c r="I1" s="74"/>
    </row>
    <row r="2" spans="1:9" ht="38.4" customHeight="1" thickTop="1" x14ac:dyDescent="0.55000000000000004">
      <c r="A2" s="60"/>
      <c r="B2" s="60"/>
      <c r="C2" s="60"/>
      <c r="D2" s="63"/>
      <c r="G2" s="58"/>
      <c r="H2" s="58"/>
      <c r="I2" s="58"/>
    </row>
    <row r="3" spans="1:9" ht="15" customHeight="1" x14ac:dyDescent="0.3">
      <c r="A3" s="75" t="s">
        <v>83</v>
      </c>
      <c r="B3" s="75"/>
      <c r="C3" s="75"/>
      <c r="D3" s="75"/>
      <c r="E3" s="75"/>
      <c r="G3" s="76">
        <v>50</v>
      </c>
      <c r="H3" s="76"/>
      <c r="I3" s="76"/>
    </row>
    <row r="4" spans="1:9" ht="15" customHeight="1" x14ac:dyDescent="0.3">
      <c r="A4" s="75"/>
      <c r="B4" s="75"/>
      <c r="C4" s="75"/>
      <c r="D4" s="75"/>
      <c r="E4" s="75"/>
      <c r="G4" s="76"/>
      <c r="H4" s="76"/>
      <c r="I4" s="76"/>
    </row>
    <row r="5" spans="1:9" ht="15" customHeight="1" x14ac:dyDescent="0.3">
      <c r="A5" s="75"/>
      <c r="B5" s="75"/>
      <c r="C5" s="75"/>
      <c r="D5" s="75"/>
      <c r="E5" s="75"/>
      <c r="G5" s="77"/>
      <c r="H5" s="77"/>
      <c r="I5" s="77"/>
    </row>
    <row r="6" spans="1:9" ht="45" x14ac:dyDescent="0.55000000000000004">
      <c r="A6" s="60"/>
      <c r="B6" s="60"/>
      <c r="C6" s="60"/>
      <c r="D6" s="63"/>
      <c r="G6" s="58"/>
      <c r="H6" s="58"/>
      <c r="I6" s="58"/>
    </row>
    <row r="7" spans="1:9" ht="45" x14ac:dyDescent="0.55000000000000004">
      <c r="A7" s="60"/>
      <c r="B7" s="60"/>
      <c r="C7" s="60"/>
      <c r="D7" s="63"/>
      <c r="G7" s="58"/>
      <c r="H7" s="58"/>
      <c r="I7" s="58"/>
    </row>
    <row r="8" spans="1:9" x14ac:dyDescent="0.3">
      <c r="A8" s="75" t="s">
        <v>82</v>
      </c>
      <c r="B8" s="75"/>
      <c r="C8" s="75"/>
      <c r="D8" s="75"/>
      <c r="E8" s="75"/>
      <c r="G8" s="76">
        <v>13</v>
      </c>
      <c r="H8" s="76"/>
      <c r="I8" s="76"/>
    </row>
    <row r="9" spans="1:9" x14ac:dyDescent="0.3">
      <c r="A9" s="75"/>
      <c r="B9" s="75"/>
      <c r="C9" s="75"/>
      <c r="D9" s="75"/>
      <c r="E9" s="75"/>
      <c r="G9" s="76"/>
      <c r="H9" s="76"/>
      <c r="I9" s="76"/>
    </row>
    <row r="10" spans="1:9" x14ac:dyDescent="0.3">
      <c r="A10" s="75"/>
      <c r="B10" s="75"/>
      <c r="C10" s="75"/>
      <c r="D10" s="75"/>
      <c r="E10" s="75"/>
      <c r="G10" s="77"/>
      <c r="H10" s="77"/>
      <c r="I10" s="77"/>
    </row>
    <row r="11" spans="1:9" ht="45" x14ac:dyDescent="0.55000000000000004">
      <c r="A11" s="60"/>
      <c r="B11" s="60"/>
      <c r="C11" s="60"/>
      <c r="D11" s="63"/>
      <c r="G11" s="58"/>
      <c r="H11" s="58"/>
      <c r="I11" s="58"/>
    </row>
    <row r="12" spans="1:9" ht="45" x14ac:dyDescent="0.55000000000000004">
      <c r="A12" s="60"/>
      <c r="B12" s="60"/>
      <c r="C12" s="60"/>
      <c r="D12" s="63"/>
      <c r="G12" s="58"/>
      <c r="H12" s="58"/>
      <c r="I12" s="58"/>
    </row>
    <row r="13" spans="1:9" ht="15" customHeight="1" x14ac:dyDescent="0.3">
      <c r="A13" s="82" t="s">
        <v>45</v>
      </c>
      <c r="B13" s="82"/>
      <c r="C13" s="82"/>
      <c r="D13" s="82"/>
      <c r="E13" s="82"/>
      <c r="G13" s="76">
        <v>6.5</v>
      </c>
      <c r="H13" s="76"/>
      <c r="I13" s="76"/>
    </row>
    <row r="14" spans="1:9" ht="15" customHeight="1" x14ac:dyDescent="0.3">
      <c r="A14" s="82"/>
      <c r="B14" s="82"/>
      <c r="C14" s="82"/>
      <c r="D14" s="82"/>
      <c r="E14" s="82"/>
      <c r="G14" s="76"/>
      <c r="H14" s="76"/>
      <c r="I14" s="76"/>
    </row>
    <row r="15" spans="1:9" ht="15" customHeight="1" x14ac:dyDescent="0.3">
      <c r="A15" s="82"/>
      <c r="B15" s="82"/>
      <c r="C15" s="82"/>
      <c r="D15" s="82"/>
      <c r="E15" s="82"/>
      <c r="G15" s="77"/>
      <c r="H15" s="77"/>
      <c r="I15" s="77"/>
    </row>
    <row r="16" spans="1:9" ht="45" x14ac:dyDescent="0.55000000000000004">
      <c r="A16" s="60"/>
      <c r="B16" s="60"/>
      <c r="C16" s="60"/>
      <c r="D16" s="63"/>
      <c r="G16" s="58"/>
      <c r="H16" s="58"/>
      <c r="I16" s="58"/>
    </row>
    <row r="17" spans="1:9" ht="45" x14ac:dyDescent="0.55000000000000004">
      <c r="A17" s="60"/>
      <c r="B17" s="60"/>
      <c r="C17" s="60"/>
      <c r="D17" s="63"/>
      <c r="G17" s="58"/>
      <c r="H17" s="58"/>
      <c r="I17" s="58"/>
    </row>
    <row r="18" spans="1:9" ht="14.4" customHeight="1" x14ac:dyDescent="0.3">
      <c r="A18" s="82" t="s">
        <v>80</v>
      </c>
      <c r="B18" s="82"/>
      <c r="C18" s="82"/>
      <c r="D18" s="60"/>
      <c r="E18" s="82">
        <v>1</v>
      </c>
      <c r="G18" s="78" t="s">
        <v>4</v>
      </c>
      <c r="H18" s="78"/>
      <c r="I18" s="78"/>
    </row>
    <row r="19" spans="1:9" ht="14.4" customHeight="1" x14ac:dyDescent="0.3">
      <c r="A19" s="82"/>
      <c r="B19" s="82"/>
      <c r="C19" s="82"/>
      <c r="D19" s="60"/>
      <c r="E19" s="82"/>
      <c r="G19" s="78"/>
      <c r="H19" s="78"/>
      <c r="I19" s="78"/>
    </row>
    <row r="20" spans="1:9" ht="14.4" customHeight="1" x14ac:dyDescent="0.3">
      <c r="A20" s="82"/>
      <c r="B20" s="82"/>
      <c r="C20" s="82"/>
      <c r="D20" s="60"/>
      <c r="E20" s="82"/>
      <c r="G20" s="79"/>
      <c r="H20" s="79"/>
      <c r="I20" s="79"/>
    </row>
    <row r="21" spans="1:9" ht="35.4" x14ac:dyDescent="0.3">
      <c r="A21" s="59"/>
      <c r="B21" s="59"/>
      <c r="C21" s="59"/>
      <c r="D21" s="59"/>
      <c r="E21" s="59"/>
      <c r="G21" s="61"/>
      <c r="H21" s="61"/>
      <c r="I21" s="61"/>
    </row>
    <row r="22" spans="1:9" ht="35.4" x14ac:dyDescent="0.55000000000000004">
      <c r="A22" s="60"/>
      <c r="B22" s="60"/>
      <c r="C22" s="60"/>
      <c r="D22" s="63"/>
      <c r="G22" s="62" t="s">
        <v>81</v>
      </c>
      <c r="H22" s="62"/>
      <c r="I22" s="62"/>
    </row>
    <row r="23" spans="1:9" ht="15" customHeight="1" x14ac:dyDescent="0.3">
      <c r="A23" s="82" t="s">
        <v>80</v>
      </c>
      <c r="B23" s="82"/>
      <c r="C23" s="82"/>
      <c r="D23" s="60"/>
      <c r="E23" s="82">
        <v>1</v>
      </c>
      <c r="G23" s="80" t="s">
        <v>11</v>
      </c>
      <c r="H23" s="80"/>
      <c r="I23" s="80"/>
    </row>
    <row r="24" spans="1:9" ht="15" customHeight="1" x14ac:dyDescent="0.3">
      <c r="A24" s="82"/>
      <c r="B24" s="82"/>
      <c r="C24" s="82"/>
      <c r="D24" s="60"/>
      <c r="E24" s="82"/>
      <c r="G24" s="80"/>
      <c r="H24" s="80"/>
      <c r="I24" s="80"/>
    </row>
    <row r="25" spans="1:9" ht="15" customHeight="1" x14ac:dyDescent="0.3">
      <c r="A25" s="82"/>
      <c r="B25" s="82"/>
      <c r="C25" s="82"/>
      <c r="D25" s="60"/>
      <c r="E25" s="82"/>
      <c r="G25" s="81"/>
      <c r="H25" s="81"/>
      <c r="I25" s="81"/>
    </row>
    <row r="26" spans="1:9" ht="15" customHeight="1" x14ac:dyDescent="0.3">
      <c r="A26" s="58"/>
      <c r="B26" s="58"/>
      <c r="C26" s="58"/>
      <c r="D26" s="58"/>
      <c r="E26" s="58"/>
      <c r="F26" s="58"/>
      <c r="G26" s="58"/>
      <c r="H26" s="58"/>
      <c r="I26" s="58"/>
    </row>
    <row r="27" spans="1:9" ht="15" customHeight="1" x14ac:dyDescent="0.3">
      <c r="A27" s="58"/>
      <c r="B27" s="58"/>
      <c r="C27" s="58"/>
      <c r="D27" s="58"/>
      <c r="E27" s="58"/>
      <c r="F27" s="58"/>
      <c r="G27" s="58"/>
      <c r="H27" s="58"/>
      <c r="I27" s="58"/>
    </row>
    <row r="28" spans="1:9" ht="15" customHeight="1" x14ac:dyDescent="0.3">
      <c r="A28" s="58"/>
      <c r="B28" s="58"/>
      <c r="C28" s="58"/>
      <c r="D28" s="58"/>
      <c r="E28" s="58"/>
      <c r="F28" s="58"/>
      <c r="G28" s="58"/>
      <c r="H28" s="58"/>
      <c r="I28" s="58"/>
    </row>
    <row r="29" spans="1:9" ht="15" customHeight="1" x14ac:dyDescent="0.3">
      <c r="A29" s="58"/>
      <c r="B29" s="58"/>
      <c r="C29" s="58"/>
      <c r="D29" s="58"/>
      <c r="E29" s="58"/>
      <c r="F29" s="58"/>
      <c r="G29" s="58"/>
      <c r="H29" s="58"/>
      <c r="I29" s="58"/>
    </row>
    <row r="30" spans="1:9" ht="15" customHeight="1" x14ac:dyDescent="0.3">
      <c r="A30" s="58"/>
      <c r="B30" s="58"/>
      <c r="C30" s="58"/>
      <c r="D30" s="58"/>
      <c r="E30" s="58"/>
      <c r="F30" s="58"/>
      <c r="G30" s="58"/>
      <c r="H30" s="58"/>
      <c r="I30" s="58"/>
    </row>
  </sheetData>
  <mergeCells count="13">
    <mergeCell ref="A1:I1"/>
    <mergeCell ref="A3:E5"/>
    <mergeCell ref="G3:I5"/>
    <mergeCell ref="G18:I20"/>
    <mergeCell ref="G23:I25"/>
    <mergeCell ref="A8:E10"/>
    <mergeCell ref="G8:I10"/>
    <mergeCell ref="A13:E15"/>
    <mergeCell ref="G13:I15"/>
    <mergeCell ref="A23:C25"/>
    <mergeCell ref="E23:E25"/>
    <mergeCell ref="A18:C20"/>
    <mergeCell ref="E18:E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A4BF-E444-435C-9B7C-C36A31AA77EC}">
  <dimension ref="A1:JZ38"/>
  <sheetViews>
    <sheetView view="pageBreakPreview" topLeftCell="G1" zoomScale="28" zoomScaleNormal="50" zoomScaleSheetLayoutView="28" workbookViewId="0">
      <selection activeCell="A10" sqref="A10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79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46242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46242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0">
        <v>46239</v>
      </c>
      <c r="B9" s="70"/>
      <c r="D9" s="70"/>
      <c r="E9" s="70"/>
      <c r="G9" s="70">
        <f>A9+3</f>
        <v>46242</v>
      </c>
      <c r="H9" s="70"/>
      <c r="K9" s="70">
        <f>A9</f>
        <v>46239</v>
      </c>
      <c r="L9" s="70"/>
      <c r="N9" s="70"/>
      <c r="O9" s="70"/>
      <c r="Q9" s="70">
        <f>G9</f>
        <v>46242</v>
      </c>
      <c r="R9" s="70"/>
      <c r="U9" s="70">
        <f>A9</f>
        <v>46239</v>
      </c>
      <c r="V9" s="70"/>
      <c r="X9" s="70"/>
      <c r="Y9" s="70"/>
      <c r="AA9" s="70">
        <f>G9</f>
        <v>46242</v>
      </c>
      <c r="AB9" s="70"/>
      <c r="AE9" s="70">
        <f>A9</f>
        <v>46239</v>
      </c>
      <c r="AF9" s="70"/>
      <c r="AH9" s="70"/>
      <c r="AI9" s="70"/>
      <c r="AK9" s="70">
        <f>G9</f>
        <v>46242</v>
      </c>
      <c r="AL9" s="70"/>
      <c r="AO9" s="70">
        <f>A9</f>
        <v>46239</v>
      </c>
      <c r="AP9" s="70"/>
      <c r="AR9" s="70"/>
      <c r="AS9" s="70"/>
      <c r="AU9" s="70">
        <f>G9</f>
        <v>46242</v>
      </c>
      <c r="AV9" s="70"/>
      <c r="AY9" s="70">
        <f>A9</f>
        <v>46239</v>
      </c>
      <c r="AZ9" s="70"/>
      <c r="BB9" s="70"/>
      <c r="BC9" s="70"/>
      <c r="BE9" s="70">
        <f>G9</f>
        <v>46242</v>
      </c>
      <c r="BF9" s="70"/>
      <c r="BI9" s="70">
        <f>A9</f>
        <v>46239</v>
      </c>
      <c r="BJ9" s="70"/>
      <c r="BL9" s="70"/>
      <c r="BM9" s="70"/>
      <c r="BO9" s="70">
        <f>G9</f>
        <v>46242</v>
      </c>
      <c r="BP9" s="70"/>
      <c r="BS9" s="70">
        <f>A9</f>
        <v>46239</v>
      </c>
      <c r="BT9" s="70"/>
      <c r="BV9" s="70"/>
      <c r="BW9" s="70"/>
      <c r="BY9" s="70">
        <f>G9</f>
        <v>46242</v>
      </c>
      <c r="BZ9" s="70"/>
      <c r="CC9" s="70">
        <f>A9</f>
        <v>46239</v>
      </c>
      <c r="CD9" s="70"/>
      <c r="CF9" s="70"/>
      <c r="CG9" s="70"/>
      <c r="CI9" s="70">
        <f>G9</f>
        <v>46242</v>
      </c>
      <c r="CJ9" s="70"/>
      <c r="CM9" s="70">
        <f>A9</f>
        <v>46239</v>
      </c>
      <c r="CN9" s="70"/>
      <c r="CP9" s="70"/>
      <c r="CQ9" s="70"/>
      <c r="CS9" s="70">
        <f>G9</f>
        <v>46242</v>
      </c>
      <c r="CT9" s="70"/>
      <c r="CW9" s="70">
        <f>A9</f>
        <v>46239</v>
      </c>
      <c r="CX9" s="70"/>
      <c r="CZ9" s="70"/>
      <c r="DA9" s="70"/>
      <c r="DC9" s="70">
        <f>G9</f>
        <v>46242</v>
      </c>
      <c r="DD9" s="70"/>
      <c r="DG9" s="70">
        <f>A9</f>
        <v>46239</v>
      </c>
      <c r="DH9" s="70"/>
      <c r="DJ9" s="70"/>
      <c r="DK9" s="70"/>
      <c r="DM9" s="70">
        <f>G9</f>
        <v>46242</v>
      </c>
      <c r="DN9" s="70"/>
      <c r="DQ9" s="70">
        <f>A9</f>
        <v>46239</v>
      </c>
      <c r="DR9" s="70"/>
      <c r="DT9" s="70"/>
      <c r="DU9" s="70"/>
      <c r="DW9" s="70">
        <f>G9</f>
        <v>46242</v>
      </c>
      <c r="DX9" s="70"/>
      <c r="EA9" s="70">
        <f>U9</f>
        <v>46239</v>
      </c>
      <c r="EB9" s="70"/>
      <c r="ED9" s="70"/>
      <c r="EE9" s="70"/>
      <c r="EG9" s="70">
        <f>G9</f>
        <v>46242</v>
      </c>
      <c r="EH9" s="70"/>
      <c r="EK9" s="70">
        <f>A9</f>
        <v>46239</v>
      </c>
      <c r="EL9" s="70"/>
      <c r="EN9" s="70"/>
      <c r="EO9" s="70"/>
      <c r="EQ9" s="70">
        <f>G9</f>
        <v>46242</v>
      </c>
      <c r="ER9" s="70"/>
      <c r="EU9" s="70">
        <f>A9</f>
        <v>46239</v>
      </c>
      <c r="EV9" s="70"/>
      <c r="EX9" s="70"/>
      <c r="EY9" s="70"/>
      <c r="FA9" s="70">
        <f>G9</f>
        <v>46242</v>
      </c>
      <c r="FB9" s="70"/>
      <c r="FE9" s="70">
        <f>A9</f>
        <v>46239</v>
      </c>
      <c r="FF9" s="70"/>
      <c r="FH9" s="70"/>
      <c r="FI9" s="70"/>
      <c r="FK9" s="70">
        <f>G9</f>
        <v>46242</v>
      </c>
      <c r="FL9" s="70"/>
      <c r="FO9" s="70">
        <f>A9-2</f>
        <v>46237</v>
      </c>
      <c r="FP9" s="70"/>
      <c r="FR9" s="70">
        <f>A9+1</f>
        <v>46240</v>
      </c>
      <c r="FS9" s="70"/>
      <c r="FU9" s="70">
        <f>G9</f>
        <v>46242</v>
      </c>
      <c r="FV9" s="70"/>
      <c r="FY9" s="70">
        <f>A9-2</f>
        <v>46237</v>
      </c>
      <c r="FZ9" s="70"/>
      <c r="GB9" s="70">
        <f>A9+1</f>
        <v>46240</v>
      </c>
      <c r="GC9" s="70"/>
      <c r="GE9" s="70">
        <f>G9</f>
        <v>46242</v>
      </c>
      <c r="GF9" s="70"/>
      <c r="GI9" s="70">
        <f>A9-2</f>
        <v>46237</v>
      </c>
      <c r="GJ9" s="70"/>
      <c r="GL9" s="70">
        <f>A9+1</f>
        <v>46240</v>
      </c>
      <c r="GM9" s="70"/>
      <c r="GO9" s="70">
        <f>G9</f>
        <v>46242</v>
      </c>
      <c r="GP9" s="70"/>
      <c r="GS9" s="70">
        <f>A9-2</f>
        <v>46237</v>
      </c>
      <c r="GT9" s="70"/>
      <c r="GV9" s="70">
        <f>A9+1</f>
        <v>46240</v>
      </c>
      <c r="GW9" s="70"/>
      <c r="GY9" s="70">
        <f>G9</f>
        <v>46242</v>
      </c>
      <c r="GZ9" s="70"/>
      <c r="HC9" s="70">
        <f>A9</f>
        <v>46239</v>
      </c>
      <c r="HD9" s="70"/>
      <c r="HF9" s="70"/>
      <c r="HG9" s="70"/>
      <c r="HI9" s="70">
        <f>G9</f>
        <v>46242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0">
        <f>A9</f>
        <v>46239</v>
      </c>
      <c r="IN9" s="70"/>
      <c r="IP9" s="70"/>
      <c r="IQ9" s="70"/>
      <c r="IS9" s="70">
        <f>IM9+3</f>
        <v>46242</v>
      </c>
      <c r="IT9" s="70"/>
      <c r="IW9" s="70">
        <f>A9</f>
        <v>46239</v>
      </c>
      <c r="IX9" s="70"/>
      <c r="IZ9" s="70"/>
      <c r="JA9" s="70"/>
      <c r="JC9" s="70">
        <f>IW9+3</f>
        <v>46242</v>
      </c>
      <c r="JD9" s="70"/>
      <c r="JG9" s="70">
        <f>A9-2</f>
        <v>46237</v>
      </c>
      <c r="JH9" s="70"/>
      <c r="JJ9" s="70"/>
      <c r="JK9" s="70"/>
      <c r="JM9" s="70"/>
      <c r="JN9" s="70"/>
      <c r="JQ9" s="70">
        <f>A9+1</f>
        <v>46240</v>
      </c>
      <c r="JR9" s="70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55" t="s">
        <v>30</v>
      </c>
      <c r="HO10" s="23" t="s">
        <v>31</v>
      </c>
      <c r="HP10" s="55" t="s">
        <v>32</v>
      </c>
      <c r="HQ10" s="23" t="s">
        <v>33</v>
      </c>
      <c r="HR10" s="55" t="s">
        <v>34</v>
      </c>
      <c r="HS10" s="23" t="s">
        <v>35</v>
      </c>
      <c r="HT10" s="55" t="s">
        <v>36</v>
      </c>
      <c r="HU10" s="23" t="s">
        <v>37</v>
      </c>
      <c r="HV10" s="55" t="s">
        <v>38</v>
      </c>
      <c r="HW10" s="23" t="s">
        <v>39</v>
      </c>
      <c r="HX10" s="55" t="s">
        <v>40</v>
      </c>
      <c r="HY10" s="23" t="s">
        <v>70</v>
      </c>
      <c r="HZ10" s="22" t="s">
        <v>28</v>
      </c>
      <c r="IA10" s="55" t="s">
        <v>71</v>
      </c>
      <c r="IB10" s="23" t="s">
        <v>72</v>
      </c>
      <c r="IC10" s="55" t="s">
        <v>73</v>
      </c>
      <c r="ID10" s="23" t="s">
        <v>61</v>
      </c>
      <c r="IE10" s="55" t="s">
        <v>62</v>
      </c>
      <c r="IF10" s="23" t="s">
        <v>63</v>
      </c>
      <c r="IG10" s="55" t="s">
        <v>74</v>
      </c>
      <c r="IH10" s="23" t="s">
        <v>75</v>
      </c>
      <c r="II10" s="55" t="s">
        <v>76</v>
      </c>
      <c r="IJ10" s="23"/>
      <c r="IK10" s="55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/>
      <c r="D11" s="42"/>
      <c r="E11" s="43"/>
      <c r="G11" s="42" t="str">
        <f t="shared" ref="G11:G29" si="0">A11</f>
        <v>STEAK TACO</v>
      </c>
      <c r="H11" s="43"/>
      <c r="J11" s="44">
        <f t="shared" ref="J11:J29" si="1">B11+E11+H11</f>
        <v>0</v>
      </c>
      <c r="K11" s="42" t="str">
        <f t="shared" ref="K11:K29" si="2">A11</f>
        <v>STEAK TACO</v>
      </c>
      <c r="L11" s="43"/>
      <c r="N11" s="42"/>
      <c r="O11" s="43"/>
      <c r="Q11" s="42" t="str">
        <f t="shared" ref="Q11:Q29" si="3">A11</f>
        <v>STEAK TACO</v>
      </c>
      <c r="R11" s="43"/>
      <c r="T11" s="44">
        <f t="shared" ref="T11:T29" si="4">L11+O11+R11</f>
        <v>0</v>
      </c>
      <c r="U11" s="42" t="str">
        <f t="shared" ref="U11:U29" si="5">A11</f>
        <v>STEAK TACO</v>
      </c>
      <c r="V11" s="43"/>
      <c r="X11" s="42"/>
      <c r="Y11" s="43"/>
      <c r="AA11" s="42" t="str">
        <f t="shared" ref="AA11:AA29" si="6">A11</f>
        <v>STEAK TACO</v>
      </c>
      <c r="AB11" s="43"/>
      <c r="AD11" s="44">
        <f t="shared" ref="AD11:AD29" si="7">V11+Y11+AB11</f>
        <v>0</v>
      </c>
      <c r="AE11" s="42" t="str">
        <f t="shared" ref="AE11:AE29" si="8">A11</f>
        <v>STEAK TACO</v>
      </c>
      <c r="AF11" s="43"/>
      <c r="AH11" s="42"/>
      <c r="AI11" s="43"/>
      <c r="AK11" s="42" t="str">
        <f t="shared" ref="AK11:AK29" si="9">A11</f>
        <v>STEAK TACO</v>
      </c>
      <c r="AL11" s="43"/>
      <c r="AN11" s="44">
        <f t="shared" ref="AN11:AN29" si="10">AF11+AI11+AL11</f>
        <v>0</v>
      </c>
      <c r="AO11" s="42" t="str">
        <f t="shared" ref="AO11:AO29" si="11">A11</f>
        <v>STEAK TACO</v>
      </c>
      <c r="AP11" s="43"/>
      <c r="AR11" s="42"/>
      <c r="AS11" s="43"/>
      <c r="AU11" s="42" t="str">
        <f t="shared" ref="AU11:AU29" si="12">A11</f>
        <v>STEAK TACO</v>
      </c>
      <c r="AV11" s="43"/>
      <c r="AX11" s="44">
        <f t="shared" ref="AX11:AX29" si="13">AP11+AS11+AV11</f>
        <v>0</v>
      </c>
      <c r="AY11" s="42" t="str">
        <f t="shared" ref="AY11:AY29" si="14">A11</f>
        <v>STEAK TACO</v>
      </c>
      <c r="AZ11" s="43"/>
      <c r="BB11" s="42"/>
      <c r="BC11" s="43"/>
      <c r="BE11" s="42" t="str">
        <f t="shared" ref="BE11:BE29" si="15">A11</f>
        <v>STEAK TACO</v>
      </c>
      <c r="BF11" s="43"/>
      <c r="BH11" s="44">
        <f t="shared" ref="BH11:BH29" si="16">AZ11+BC11+BF11</f>
        <v>0</v>
      </c>
      <c r="BI11" s="42" t="str">
        <f t="shared" ref="BI11:BI29" si="17">A11</f>
        <v>STEAK TACO</v>
      </c>
      <c r="BJ11" s="43"/>
      <c r="BL11" s="42"/>
      <c r="BM11" s="43"/>
      <c r="BO11" s="42" t="str">
        <f t="shared" ref="BO11:BO29" si="18">A11</f>
        <v>STEAK TACO</v>
      </c>
      <c r="BP11" s="43"/>
      <c r="BR11" s="44">
        <f t="shared" ref="BR11:BR29" si="19">BJ11+BM11+BP11</f>
        <v>0</v>
      </c>
      <c r="BS11" s="42" t="str">
        <f t="shared" ref="BS11:BS29" si="20">A11</f>
        <v>STEAK TACO</v>
      </c>
      <c r="BT11" s="43"/>
      <c r="BV11" s="42"/>
      <c r="BW11" s="43"/>
      <c r="BY11" s="42" t="str">
        <f t="shared" ref="BY11:BY29" si="21">A11</f>
        <v>STEAK TACO</v>
      </c>
      <c r="BZ11" s="43"/>
      <c r="CB11" s="44">
        <f t="shared" ref="CB11:CB29" si="22">BT11+BW11+BZ11</f>
        <v>0</v>
      </c>
      <c r="CC11" s="42" t="str">
        <f t="shared" ref="CC11:CC29" si="23">A11</f>
        <v>STEAK TACO</v>
      </c>
      <c r="CD11" s="43"/>
      <c r="CF11" s="42"/>
      <c r="CG11" s="43"/>
      <c r="CI11" s="42" t="str">
        <f t="shared" ref="CI11:CI29" si="24">A11</f>
        <v>STEAK TACO</v>
      </c>
      <c r="CJ11" s="43"/>
      <c r="CL11" s="44">
        <f t="shared" ref="CL11:CL29" si="25">CD11+CG11+CJ11</f>
        <v>0</v>
      </c>
      <c r="CM11" s="42" t="str">
        <f t="shared" ref="CM11:CM29" si="26">A11</f>
        <v>STEAK TACO</v>
      </c>
      <c r="CN11" s="43"/>
      <c r="CP11" s="42"/>
      <c r="CQ11" s="43"/>
      <c r="CS11" s="42" t="str">
        <f t="shared" ref="CS11:CS29" si="27">A11</f>
        <v>STEAK TACO</v>
      </c>
      <c r="CT11" s="43"/>
      <c r="CV11" s="44">
        <f t="shared" ref="CV11:CV29" si="28">CN11+CQ11+CT11</f>
        <v>0</v>
      </c>
      <c r="CW11" s="42" t="str">
        <f t="shared" ref="CW11:CW29" si="29">A11</f>
        <v>STEAK TACO</v>
      </c>
      <c r="CX11" s="43"/>
      <c r="CZ11" s="42"/>
      <c r="DA11" s="43"/>
      <c r="DC11" s="42" t="str">
        <f t="shared" ref="DC11:DC16" si="30">AE11</f>
        <v>STEAK TACO</v>
      </c>
      <c r="DD11" s="43"/>
      <c r="DF11" s="44">
        <f t="shared" ref="DF11:DF29" si="31">CX11+DA11+DD11</f>
        <v>0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/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/>
      <c r="FD11" s="44">
        <f t="shared" ref="FD11:FD29" si="49">EV11+EY11+FB11</f>
        <v>0</v>
      </c>
      <c r="FE11" s="42" t="str">
        <f t="shared" ref="FE11:FE29" si="50">A11</f>
        <v>STEAK TACO</v>
      </c>
      <c r="FF11" s="43"/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/>
      <c r="FN11" s="44">
        <f t="shared" ref="FN11:FN29" si="53">FF11+FI11+FL11</f>
        <v>0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 t="shared" ref="GR11:GR29" si="65">GJ11+GM11+GP11</f>
        <v>0</v>
      </c>
      <c r="GS11" s="42" t="str">
        <f t="shared" ref="GS11:GS29" si="66">AO11</f>
        <v>STEAK TACO</v>
      </c>
      <c r="GT11" s="43"/>
      <c r="GV11" s="42" t="str">
        <f t="shared" ref="GV11:GV29" si="67">AO11</f>
        <v>STEAK TACO</v>
      </c>
      <c r="GW11" s="43"/>
      <c r="GY11" s="42" t="str">
        <f t="shared" ref="GY11:GY29" si="68">AO11</f>
        <v>STEAK TACO</v>
      </c>
      <c r="GZ11" s="43"/>
      <c r="HB11" s="44">
        <f t="shared" ref="HB11:HB29" si="69">GT11+GW11+GZ11</f>
        <v>0</v>
      </c>
      <c r="HC11" s="42" t="str">
        <f t="shared" ref="HC11:HC29" si="70">A11</f>
        <v>STEAK TACO</v>
      </c>
      <c r="HD11" s="43">
        <f t="shared" ref="HD11:HD29" si="71">B11+L11+V11+AF11+AP11+AZ11+BJ11+BT11+CD11+CN11+CX11+DH11+DR11+EB11+EL11+EV11+FF11</f>
        <v>0</v>
      </c>
      <c r="HF11" s="42" t="str">
        <f t="shared" ref="HF11:HF29" si="72">A11</f>
        <v>STEAK TACO</v>
      </c>
      <c r="HG11" s="43">
        <f t="shared" ref="HG11:HG29" si="73">E11+O11+Y11+AI11+AS11+BC11+BM11+BW11+CG11+CQ11+DA11+DK11+DU11+EE11+EO11+EY11+FI11</f>
        <v>0</v>
      </c>
      <c r="HI11" s="42" t="str">
        <f t="shared" ref="HI11:HI29" si="74">A11</f>
        <v>STEAK TACO</v>
      </c>
      <c r="HJ11" s="43">
        <f t="shared" ref="HJ11:HJ29" si="75">H11+R11+AB11+AL11+AV11+BF11+BP11+BZ11+CJ11+CT11+DD11+DN11+DX11+EH11+ER11+FB11+FL11</f>
        <v>0</v>
      </c>
      <c r="HL11" s="43">
        <f t="shared" ref="HL11:HL29" si="76">J11+T11+AD11+AN11+AX11+BH11+BR11+CB11+CL11+CV11+DF11+DP11+DZ11+EJ11+ET11+FD11+FN11+FX11+GH11+GR11+HB11</f>
        <v>0</v>
      </c>
      <c r="HM11" s="42" t="str">
        <f t="shared" ref="HM11:HM29" si="77">A11</f>
        <v>STEAK TACO</v>
      </c>
      <c r="HN11" s="57">
        <f t="shared" ref="HN11:HN29" si="78">J11</f>
        <v>0</v>
      </c>
      <c r="HO11" s="44">
        <f t="shared" ref="HO11:HO29" si="79">T11</f>
        <v>0</v>
      </c>
      <c r="HP11" s="57">
        <f t="shared" ref="HP11:HP29" si="80">AD11</f>
        <v>0</v>
      </c>
      <c r="HQ11" s="44">
        <f t="shared" ref="HQ11:HQ29" si="81">AN11</f>
        <v>0</v>
      </c>
      <c r="HR11" s="57">
        <f t="shared" ref="HR11:HR29" si="82">AX11</f>
        <v>0</v>
      </c>
      <c r="HS11" s="44">
        <f t="shared" ref="HS11:HS29" si="83">BH11</f>
        <v>0</v>
      </c>
      <c r="HT11" s="57">
        <f t="shared" ref="HT11:HT29" si="84">BR11</f>
        <v>0</v>
      </c>
      <c r="HU11" s="44">
        <f t="shared" ref="HU11:HU29" si="85">CB11</f>
        <v>0</v>
      </c>
      <c r="HV11" s="57">
        <f t="shared" ref="HV11:HV29" si="86">CL11</f>
        <v>0</v>
      </c>
      <c r="HW11" s="44">
        <f t="shared" ref="HW11:HW29" si="87">CV11</f>
        <v>0</v>
      </c>
      <c r="HX11" s="57">
        <f t="shared" ref="HX11:HX29" si="88">DF11</f>
        <v>0</v>
      </c>
      <c r="HY11" s="44">
        <f t="shared" ref="HY11:HY29" si="89">DP11</f>
        <v>0</v>
      </c>
      <c r="HZ11" s="42" t="str">
        <f t="shared" ref="HZ11:HZ29" si="90">A11</f>
        <v>STEAK TACO</v>
      </c>
      <c r="IA11" s="57">
        <f t="shared" ref="IA11:IA29" si="91">DZ11</f>
        <v>0</v>
      </c>
      <c r="IB11" s="44">
        <f t="shared" ref="IB11:IB29" si="92">EJ11</f>
        <v>0</v>
      </c>
      <c r="IC11" s="57">
        <f t="shared" ref="IC11:IC29" si="93">ET11</f>
        <v>0</v>
      </c>
      <c r="ID11" s="44">
        <f t="shared" ref="ID11:ID29" si="94">FD11</f>
        <v>0</v>
      </c>
      <c r="IE11" s="57">
        <f t="shared" ref="IE11:IE29" si="95">FN11</f>
        <v>0</v>
      </c>
      <c r="IF11" s="44">
        <f t="shared" ref="IF11:IF29" si="96">FX11</f>
        <v>0</v>
      </c>
      <c r="IG11" s="57">
        <f t="shared" ref="IG11:IG29" si="97">GH11</f>
        <v>0</v>
      </c>
      <c r="IH11" s="44">
        <f t="shared" ref="IH11:IH29" si="98">GR11</f>
        <v>0</v>
      </c>
      <c r="II11" s="57">
        <f t="shared" ref="II11:II29" si="99">HB11</f>
        <v>0</v>
      </c>
      <c r="IJ11" s="44"/>
      <c r="IK11" s="57"/>
      <c r="IL11" s="44">
        <f t="shared" ref="IL11:IL29" si="100">SUM(HN11:HY11)+SUM(IA11:IK11)</f>
        <v>0</v>
      </c>
      <c r="IM11" s="42" t="str">
        <f t="shared" ref="IM11:IM29" si="101">A11</f>
        <v>STEAK TACO</v>
      </c>
      <c r="IN11" s="43">
        <f t="shared" ref="IN11:IN29" si="102">B11+L11+V11+AF11+AZ11+BJ11+CD11+EL11+EV11+FF11</f>
        <v>0</v>
      </c>
      <c r="IP11" s="42" t="str">
        <f t="shared" ref="IP11:IP29" si="103">A11</f>
        <v>STEAK TACO</v>
      </c>
      <c r="IQ11" s="43">
        <f t="shared" ref="IQ11:IQ29" si="104">E11+O11+Y11+AI11+BC11+BM11+CG11+EO11+EY11+FI11</f>
        <v>0</v>
      </c>
      <c r="IS11" s="42" t="str">
        <f t="shared" ref="IS11:IS29" si="105">A11</f>
        <v>STEAK TACO</v>
      </c>
      <c r="IT11" s="43">
        <f t="shared" ref="IT11:IT29" si="106">H11+R11+AB11+AL11+BF11+BP11+CJ11+ER11+FB11+FL11</f>
        <v>0</v>
      </c>
      <c r="IV11" s="44"/>
      <c r="IW11" s="42" t="str">
        <f t="shared" ref="IW11:IW29" si="107">A11</f>
        <v>STEAK TACO</v>
      </c>
      <c r="IX11" s="43">
        <f t="shared" ref="IX11:IX29" si="108">AP11+BT11</f>
        <v>0</v>
      </c>
      <c r="IZ11" s="42" t="str">
        <f t="shared" ref="IZ11:IZ29" si="109">A11</f>
        <v>STEAK TACO</v>
      </c>
      <c r="JA11" s="43">
        <f t="shared" ref="JA11:JA29" si="110">AS11+BW11+CQ11+DA11+DK11+DU11</f>
        <v>0</v>
      </c>
      <c r="JC11" s="42" t="str">
        <f t="shared" ref="JC11:JC29" si="111">A11</f>
        <v>STEAK TACO</v>
      </c>
      <c r="JD11" s="43">
        <f t="shared" ref="JD11:JD29" si="112">AV11+BZ11</f>
        <v>0</v>
      </c>
      <c r="JF11" s="44"/>
      <c r="JG11" s="42" t="str">
        <f t="shared" ref="JG11:JG29" si="113">K11</f>
        <v>STEAK TACO</v>
      </c>
      <c r="JH11" s="43">
        <f t="shared" ref="JH11:JH29" si="114">FP11</f>
        <v>0</v>
      </c>
      <c r="JJ11" s="42" t="str">
        <f t="shared" ref="JJ11:JJ29" si="115">K11</f>
        <v>STEAK TACO</v>
      </c>
      <c r="JK11" s="43">
        <f t="shared" ref="JK11:JK29" si="116">FZ11</f>
        <v>0</v>
      </c>
      <c r="JM11" s="42" t="str">
        <f t="shared" ref="JM11:JM29" si="117">K11</f>
        <v>STEAK TACO</v>
      </c>
      <c r="JN11" s="43">
        <f t="shared" ref="JN11:JN29" si="118">GJ11</f>
        <v>0</v>
      </c>
      <c r="JP11" s="44">
        <f t="shared" ref="JP11:JP29" si="119">JH11+JK11+JN11</f>
        <v>0</v>
      </c>
      <c r="JQ11" s="42" t="str">
        <f t="shared" ref="JQ11:JQ29" si="120">U11</f>
        <v>STEAK TACO</v>
      </c>
      <c r="JR11" s="43">
        <f t="shared" ref="JR11:JR29" si="121">FS11</f>
        <v>0</v>
      </c>
      <c r="JT11" s="42" t="str">
        <f t="shared" ref="JT11:JT29" si="122">K11</f>
        <v>STEAK TACO</v>
      </c>
      <c r="JU11" s="43">
        <f t="shared" ref="JU11:JU29" si="123">GC11</f>
        <v>0</v>
      </c>
      <c r="JW11" s="42" t="str">
        <f t="shared" ref="JW11:JW29" si="124">U11</f>
        <v>STEAK TACO</v>
      </c>
      <c r="JX11" s="43">
        <f t="shared" ref="JX11:JX29" si="125">GM11</f>
        <v>0</v>
      </c>
      <c r="JZ11" s="44">
        <f t="shared" ref="JZ11:JZ29" si="126">JR11+JU11+JX11</f>
        <v>0</v>
      </c>
    </row>
    <row r="12" spans="1:286" s="7" customFormat="1" ht="54" customHeight="1" x14ac:dyDescent="0.65">
      <c r="A12" s="46" t="s">
        <v>42</v>
      </c>
      <c r="B12" s="43"/>
      <c r="D12" s="46"/>
      <c r="E12" s="43"/>
      <c r="G12" s="42" t="str">
        <f t="shared" si="0"/>
        <v>CHICKEN</v>
      </c>
      <c r="H12" s="43"/>
      <c r="J12" s="43">
        <f t="shared" si="1"/>
        <v>0</v>
      </c>
      <c r="K12" s="42" t="str">
        <f t="shared" si="2"/>
        <v>CHICKEN</v>
      </c>
      <c r="L12" s="43"/>
      <c r="N12" s="46"/>
      <c r="O12" s="43"/>
      <c r="Q12" s="42" t="str">
        <f t="shared" si="3"/>
        <v>CHICKEN</v>
      </c>
      <c r="R12" s="43"/>
      <c r="T12" s="43">
        <f t="shared" si="4"/>
        <v>0</v>
      </c>
      <c r="U12" s="42" t="str">
        <f t="shared" si="5"/>
        <v>CHICKEN</v>
      </c>
      <c r="V12" s="43"/>
      <c r="X12" s="46"/>
      <c r="Y12" s="43"/>
      <c r="AA12" s="42" t="str">
        <f t="shared" si="6"/>
        <v>CHICKEN</v>
      </c>
      <c r="AB12" s="43"/>
      <c r="AD12" s="43">
        <f t="shared" si="7"/>
        <v>0</v>
      </c>
      <c r="AE12" s="42" t="str">
        <f t="shared" si="8"/>
        <v>CHICKEN</v>
      </c>
      <c r="AF12" s="43"/>
      <c r="AH12" s="46"/>
      <c r="AI12" s="43"/>
      <c r="AK12" s="42" t="str">
        <f t="shared" si="9"/>
        <v>CHICKEN</v>
      </c>
      <c r="AL12" s="43"/>
      <c r="AN12" s="43">
        <f t="shared" si="10"/>
        <v>0</v>
      </c>
      <c r="AO12" s="42" t="str">
        <f t="shared" si="11"/>
        <v>CHICKEN</v>
      </c>
      <c r="AP12" s="43"/>
      <c r="AR12" s="46"/>
      <c r="AS12" s="43"/>
      <c r="AU12" s="42" t="str">
        <f t="shared" si="12"/>
        <v>CHICKEN</v>
      </c>
      <c r="AV12" s="43"/>
      <c r="AX12" s="43">
        <f t="shared" si="13"/>
        <v>0</v>
      </c>
      <c r="AY12" s="42" t="str">
        <f t="shared" si="14"/>
        <v>CHICKEN</v>
      </c>
      <c r="AZ12" s="43"/>
      <c r="BB12" s="46"/>
      <c r="BC12" s="43"/>
      <c r="BE12" s="42" t="str">
        <f t="shared" si="15"/>
        <v>CHICKEN</v>
      </c>
      <c r="BF12" s="43"/>
      <c r="BH12" s="43">
        <f t="shared" si="16"/>
        <v>0</v>
      </c>
      <c r="BI12" s="42" t="str">
        <f t="shared" si="17"/>
        <v>CHICKEN</v>
      </c>
      <c r="BJ12" s="43"/>
      <c r="BL12" s="46"/>
      <c r="BM12" s="43"/>
      <c r="BO12" s="42" t="str">
        <f t="shared" si="18"/>
        <v>CHICKEN</v>
      </c>
      <c r="BP12" s="43"/>
      <c r="BR12" s="43">
        <f t="shared" si="19"/>
        <v>0</v>
      </c>
      <c r="BS12" s="42" t="str">
        <f t="shared" si="20"/>
        <v>CHICKEN</v>
      </c>
      <c r="BT12" s="43"/>
      <c r="BV12" s="46"/>
      <c r="BW12" s="43"/>
      <c r="BY12" s="42" t="str">
        <f t="shared" si="21"/>
        <v>CHICKEN</v>
      </c>
      <c r="BZ12" s="43"/>
      <c r="CB12" s="43">
        <f t="shared" si="22"/>
        <v>0</v>
      </c>
      <c r="CC12" s="42" t="str">
        <f t="shared" si="23"/>
        <v>CHICKEN</v>
      </c>
      <c r="CD12" s="43"/>
      <c r="CF12" s="46"/>
      <c r="CG12" s="43"/>
      <c r="CI12" s="42" t="str">
        <f t="shared" si="24"/>
        <v>CHICKEN</v>
      </c>
      <c r="CJ12" s="43"/>
      <c r="CL12" s="43">
        <f t="shared" si="25"/>
        <v>0</v>
      </c>
      <c r="CM12" s="42" t="str">
        <f t="shared" si="26"/>
        <v>CHICKEN</v>
      </c>
      <c r="CN12" s="43"/>
      <c r="CP12" s="42"/>
      <c r="CQ12" s="43"/>
      <c r="CS12" s="42" t="str">
        <f t="shared" si="27"/>
        <v>CHICKEN</v>
      </c>
      <c r="CT12" s="43"/>
      <c r="CV12" s="43">
        <f t="shared" si="28"/>
        <v>0</v>
      </c>
      <c r="CW12" s="42" t="str">
        <f t="shared" si="29"/>
        <v>CHICKEN</v>
      </c>
      <c r="CX12" s="43"/>
      <c r="CZ12" s="46"/>
      <c r="DA12" s="43"/>
      <c r="DC12" s="42" t="str">
        <f t="shared" si="30"/>
        <v>CHICKEN</v>
      </c>
      <c r="DD12" s="43"/>
      <c r="DF12" s="43">
        <f t="shared" si="31"/>
        <v>0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/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0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/>
      <c r="FN12" s="43">
        <f t="shared" si="53"/>
        <v>0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si="65"/>
        <v>0</v>
      </c>
      <c r="GS12" s="42" t="str">
        <f t="shared" si="66"/>
        <v>CHICKEN</v>
      </c>
      <c r="GT12" s="43"/>
      <c r="GV12" s="42" t="str">
        <f t="shared" si="67"/>
        <v>CHICKEN</v>
      </c>
      <c r="GW12" s="43"/>
      <c r="GY12" s="42" t="str">
        <f t="shared" si="68"/>
        <v>CHICKEN</v>
      </c>
      <c r="GZ12" s="43"/>
      <c r="HB12" s="43">
        <f t="shared" si="69"/>
        <v>0</v>
      </c>
      <c r="HC12" s="42" t="str">
        <f t="shared" si="70"/>
        <v>CHICKEN</v>
      </c>
      <c r="HD12" s="43">
        <f t="shared" si="71"/>
        <v>0</v>
      </c>
      <c r="HF12" s="42" t="str">
        <f t="shared" si="72"/>
        <v>CHICKEN</v>
      </c>
      <c r="HG12" s="43">
        <f t="shared" si="73"/>
        <v>0</v>
      </c>
      <c r="HI12" s="42" t="str">
        <f t="shared" si="74"/>
        <v>CHICKEN</v>
      </c>
      <c r="HJ12" s="43">
        <f t="shared" si="75"/>
        <v>0</v>
      </c>
      <c r="HL12" s="43">
        <f t="shared" si="76"/>
        <v>0</v>
      </c>
      <c r="HM12" s="42" t="str">
        <f t="shared" si="77"/>
        <v>CHICKEN</v>
      </c>
      <c r="HN12" s="57">
        <f t="shared" si="78"/>
        <v>0</v>
      </c>
      <c r="HO12" s="44">
        <f t="shared" si="79"/>
        <v>0</v>
      </c>
      <c r="HP12" s="57">
        <f t="shared" si="80"/>
        <v>0</v>
      </c>
      <c r="HQ12" s="44">
        <f t="shared" si="81"/>
        <v>0</v>
      </c>
      <c r="HR12" s="57">
        <f t="shared" si="82"/>
        <v>0</v>
      </c>
      <c r="HS12" s="44">
        <f t="shared" si="83"/>
        <v>0</v>
      </c>
      <c r="HT12" s="57">
        <f t="shared" si="84"/>
        <v>0</v>
      </c>
      <c r="HU12" s="44">
        <f t="shared" si="85"/>
        <v>0</v>
      </c>
      <c r="HV12" s="57">
        <f t="shared" si="86"/>
        <v>0</v>
      </c>
      <c r="HW12" s="44">
        <f t="shared" si="87"/>
        <v>0</v>
      </c>
      <c r="HX12" s="57">
        <f t="shared" si="88"/>
        <v>0</v>
      </c>
      <c r="HY12" s="44">
        <f t="shared" si="89"/>
        <v>0</v>
      </c>
      <c r="HZ12" s="42" t="str">
        <f t="shared" si="90"/>
        <v>CHICKEN</v>
      </c>
      <c r="IA12" s="57">
        <f t="shared" si="91"/>
        <v>0</v>
      </c>
      <c r="IB12" s="44">
        <f t="shared" si="92"/>
        <v>0</v>
      </c>
      <c r="IC12" s="57">
        <f t="shared" si="93"/>
        <v>0</v>
      </c>
      <c r="ID12" s="44">
        <f t="shared" si="94"/>
        <v>0</v>
      </c>
      <c r="IE12" s="57">
        <f t="shared" si="95"/>
        <v>0</v>
      </c>
      <c r="IF12" s="44">
        <f t="shared" si="96"/>
        <v>0</v>
      </c>
      <c r="IG12" s="57">
        <f t="shared" si="97"/>
        <v>0</v>
      </c>
      <c r="IH12" s="44">
        <f t="shared" si="98"/>
        <v>0</v>
      </c>
      <c r="II12" s="57">
        <f t="shared" si="99"/>
        <v>0</v>
      </c>
      <c r="IJ12" s="44"/>
      <c r="IK12" s="57"/>
      <c r="IL12" s="44">
        <f t="shared" si="100"/>
        <v>0</v>
      </c>
      <c r="IM12" s="42" t="str">
        <f t="shared" si="101"/>
        <v>CHICKEN</v>
      </c>
      <c r="IN12" s="43">
        <f t="shared" si="102"/>
        <v>0</v>
      </c>
      <c r="IP12" s="42" t="str">
        <f t="shared" si="103"/>
        <v>CHICKEN</v>
      </c>
      <c r="IQ12" s="43">
        <f t="shared" si="104"/>
        <v>0</v>
      </c>
      <c r="IS12" s="42" t="str">
        <f t="shared" si="105"/>
        <v>CHICKEN</v>
      </c>
      <c r="IT12" s="43">
        <f t="shared" si="106"/>
        <v>0</v>
      </c>
      <c r="IV12" s="43"/>
      <c r="IW12" s="42" t="str">
        <f t="shared" si="107"/>
        <v>CHICKEN</v>
      </c>
      <c r="IX12" s="43">
        <f t="shared" si="108"/>
        <v>0</v>
      </c>
      <c r="IZ12" s="42" t="str">
        <f t="shared" si="109"/>
        <v>CHICKEN</v>
      </c>
      <c r="JA12" s="43">
        <f t="shared" si="110"/>
        <v>0</v>
      </c>
      <c r="JC12" s="42" t="str">
        <f t="shared" si="111"/>
        <v>CHICKEN</v>
      </c>
      <c r="JD12" s="43">
        <f t="shared" si="112"/>
        <v>0</v>
      </c>
      <c r="JF12" s="43"/>
      <c r="JG12" s="42" t="str">
        <f t="shared" si="113"/>
        <v>CHICKEN</v>
      </c>
      <c r="JH12" s="43">
        <f t="shared" si="114"/>
        <v>0</v>
      </c>
      <c r="JJ12" s="42" t="str">
        <f t="shared" si="115"/>
        <v>CHICKEN</v>
      </c>
      <c r="JK12" s="43">
        <f t="shared" si="116"/>
        <v>0</v>
      </c>
      <c r="JM12" s="42" t="str">
        <f t="shared" si="117"/>
        <v>CHICKEN</v>
      </c>
      <c r="JN12" s="43">
        <f t="shared" si="118"/>
        <v>0</v>
      </c>
      <c r="JP12" s="44">
        <f t="shared" si="119"/>
        <v>0</v>
      </c>
      <c r="JQ12" s="42" t="str">
        <f t="shared" si="120"/>
        <v>CHICKEN</v>
      </c>
      <c r="JR12" s="43">
        <f t="shared" si="121"/>
        <v>0</v>
      </c>
      <c r="JT12" s="42" t="str">
        <f t="shared" si="122"/>
        <v>CHICKEN</v>
      </c>
      <c r="JU12" s="43">
        <f t="shared" si="123"/>
        <v>0</v>
      </c>
      <c r="JW12" s="42" t="str">
        <f t="shared" si="124"/>
        <v>CHICKEN</v>
      </c>
      <c r="JX12" s="43">
        <f t="shared" si="125"/>
        <v>0</v>
      </c>
      <c r="JZ12" s="44">
        <f t="shared" si="126"/>
        <v>0</v>
      </c>
    </row>
    <row r="13" spans="1:286" s="7" customFormat="1" ht="54" customHeight="1" x14ac:dyDescent="0.65">
      <c r="A13" s="46" t="s">
        <v>43</v>
      </c>
      <c r="B13" s="43"/>
      <c r="D13" s="46"/>
      <c r="E13" s="43"/>
      <c r="G13" s="42" t="str">
        <f t="shared" si="0"/>
        <v>ALPASTOR</v>
      </c>
      <c r="H13" s="43"/>
      <c r="J13" s="43">
        <f t="shared" si="1"/>
        <v>0</v>
      </c>
      <c r="K13" s="42" t="str">
        <f t="shared" si="2"/>
        <v>ALPASTOR</v>
      </c>
      <c r="L13" s="43"/>
      <c r="N13" s="46"/>
      <c r="O13" s="43"/>
      <c r="Q13" s="42" t="str">
        <f t="shared" si="3"/>
        <v>ALPASTOR</v>
      </c>
      <c r="R13" s="43"/>
      <c r="T13" s="43">
        <f t="shared" si="4"/>
        <v>0</v>
      </c>
      <c r="U13" s="42" t="str">
        <f t="shared" si="5"/>
        <v>ALPASTOR</v>
      </c>
      <c r="V13" s="43"/>
      <c r="X13" s="46"/>
      <c r="Y13" s="43"/>
      <c r="AA13" s="42" t="str">
        <f t="shared" si="6"/>
        <v>ALPASTOR</v>
      </c>
      <c r="AB13" s="43"/>
      <c r="AD13" s="43">
        <f t="shared" si="7"/>
        <v>0</v>
      </c>
      <c r="AE13" s="42" t="str">
        <f t="shared" si="8"/>
        <v>ALPASTOR</v>
      </c>
      <c r="AF13" s="43"/>
      <c r="AH13" s="46"/>
      <c r="AI13" s="43"/>
      <c r="AK13" s="42" t="str">
        <f t="shared" si="9"/>
        <v>ALPASTOR</v>
      </c>
      <c r="AL13" s="43"/>
      <c r="AN13" s="43">
        <f t="shared" si="10"/>
        <v>0</v>
      </c>
      <c r="AO13" s="42" t="str">
        <f t="shared" si="11"/>
        <v>ALPASTOR</v>
      </c>
      <c r="AP13" s="43"/>
      <c r="AR13" s="46"/>
      <c r="AS13" s="43"/>
      <c r="AU13" s="42" t="str">
        <f t="shared" si="12"/>
        <v>ALPASTOR</v>
      </c>
      <c r="AV13" s="43"/>
      <c r="AX13" s="43">
        <f t="shared" si="13"/>
        <v>0</v>
      </c>
      <c r="AY13" s="42" t="str">
        <f t="shared" si="14"/>
        <v>ALPASTOR</v>
      </c>
      <c r="AZ13" s="43"/>
      <c r="BB13" s="46"/>
      <c r="BC13" s="43"/>
      <c r="BE13" s="42" t="str">
        <f t="shared" si="15"/>
        <v>ALPASTOR</v>
      </c>
      <c r="BF13" s="43"/>
      <c r="BH13" s="43">
        <f t="shared" si="16"/>
        <v>0</v>
      </c>
      <c r="BI13" s="42" t="str">
        <f t="shared" si="17"/>
        <v>ALPASTOR</v>
      </c>
      <c r="BJ13" s="43"/>
      <c r="BL13" s="46"/>
      <c r="BM13" s="43"/>
      <c r="BO13" s="42" t="str">
        <f t="shared" si="18"/>
        <v>ALPASTOR</v>
      </c>
      <c r="BP13" s="43"/>
      <c r="BR13" s="43">
        <f t="shared" si="19"/>
        <v>0</v>
      </c>
      <c r="BS13" s="42" t="str">
        <f t="shared" si="20"/>
        <v>ALPASTOR</v>
      </c>
      <c r="BT13" s="43"/>
      <c r="BV13" s="46"/>
      <c r="BW13" s="43"/>
      <c r="BY13" s="42" t="str">
        <f t="shared" si="21"/>
        <v>ALPASTOR</v>
      </c>
      <c r="BZ13" s="43"/>
      <c r="CB13" s="43">
        <f t="shared" si="22"/>
        <v>0</v>
      </c>
      <c r="CC13" s="42" t="str">
        <f t="shared" si="23"/>
        <v>ALPASTOR</v>
      </c>
      <c r="CD13" s="43"/>
      <c r="CF13" s="46"/>
      <c r="CG13" s="43"/>
      <c r="CI13" s="42" t="str">
        <f t="shared" si="24"/>
        <v>ALPASTOR</v>
      </c>
      <c r="CJ13" s="43"/>
      <c r="CL13" s="43">
        <f t="shared" si="25"/>
        <v>0</v>
      </c>
      <c r="CM13" s="42" t="str">
        <f t="shared" si="26"/>
        <v>ALPASTOR</v>
      </c>
      <c r="CN13" s="43"/>
      <c r="CP13" s="42"/>
      <c r="CQ13" s="43"/>
      <c r="CS13" s="42" t="str">
        <f t="shared" si="27"/>
        <v>ALPASTOR</v>
      </c>
      <c r="CT13" s="43"/>
      <c r="CV13" s="43">
        <f t="shared" si="28"/>
        <v>0</v>
      </c>
      <c r="CW13" s="42" t="str">
        <f t="shared" si="29"/>
        <v>ALPASTOR</v>
      </c>
      <c r="CX13" s="43"/>
      <c r="CZ13" s="46"/>
      <c r="DA13" s="43"/>
      <c r="DC13" s="42" t="str">
        <f t="shared" si="30"/>
        <v>ALPASTOR</v>
      </c>
      <c r="DD13" s="43"/>
      <c r="DF13" s="43">
        <f t="shared" si="31"/>
        <v>0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/>
      <c r="EX13" s="42" t="str">
        <f t="shared" si="47"/>
        <v>ALPASTOR</v>
      </c>
      <c r="EY13" s="43"/>
      <c r="FA13" s="42" t="str">
        <f t="shared" si="48"/>
        <v>ALPASTOR</v>
      </c>
      <c r="FB13" s="43"/>
      <c r="FD13" s="43">
        <f t="shared" si="49"/>
        <v>0</v>
      </c>
      <c r="FE13" s="42" t="str">
        <f t="shared" si="50"/>
        <v>ALPASTOR</v>
      </c>
      <c r="FF13" s="43"/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0</v>
      </c>
      <c r="FO13" s="42" t="str">
        <f t="shared" si="54"/>
        <v>ALPASTOR</v>
      </c>
      <c r="FP13" s="43"/>
      <c r="FR13" s="42" t="str">
        <f t="shared" si="55"/>
        <v>ALPASTOR</v>
      </c>
      <c r="FS13" s="43"/>
      <c r="FU13" s="42" t="str">
        <f t="shared" si="56"/>
        <v>ALPASTOR</v>
      </c>
      <c r="FV13" s="43"/>
      <c r="FX13" s="43">
        <f t="shared" si="57"/>
        <v>0</v>
      </c>
      <c r="FY13" s="42" t="str">
        <f t="shared" si="58"/>
        <v>ALPASTOR</v>
      </c>
      <c r="FZ13" s="43"/>
      <c r="GB13" s="42" t="str">
        <f t="shared" si="59"/>
        <v>ALPASTOR</v>
      </c>
      <c r="GC13" s="43"/>
      <c r="GE13" s="42" t="str">
        <f t="shared" si="60"/>
        <v>ALPASTOR</v>
      </c>
      <c r="GF13" s="43"/>
      <c r="GH13" s="43">
        <f t="shared" si="61"/>
        <v>0</v>
      </c>
      <c r="GI13" s="42" t="str">
        <f t="shared" si="62"/>
        <v>ALPASTOR</v>
      </c>
      <c r="GJ13" s="43"/>
      <c r="GL13" s="42" t="str">
        <f t="shared" si="63"/>
        <v>ALPASTOR</v>
      </c>
      <c r="GM13" s="43"/>
      <c r="GO13" s="42" t="str">
        <f t="shared" si="64"/>
        <v>ALPASTOR</v>
      </c>
      <c r="GP13" s="43"/>
      <c r="GR13" s="43">
        <f t="shared" si="65"/>
        <v>0</v>
      </c>
      <c r="GS13" s="42" t="str">
        <f t="shared" si="66"/>
        <v>ALPASTOR</v>
      </c>
      <c r="GT13" s="43"/>
      <c r="GV13" s="42" t="str">
        <f t="shared" si="67"/>
        <v>ALPASTOR</v>
      </c>
      <c r="GW13" s="43"/>
      <c r="GY13" s="42" t="str">
        <f t="shared" si="68"/>
        <v>ALPASTOR</v>
      </c>
      <c r="GZ13" s="43"/>
      <c r="HB13" s="43">
        <f t="shared" si="69"/>
        <v>0</v>
      </c>
      <c r="HC13" s="42" t="str">
        <f t="shared" si="70"/>
        <v>ALPASTOR</v>
      </c>
      <c r="HD13" s="43">
        <f t="shared" si="71"/>
        <v>0</v>
      </c>
      <c r="HF13" s="42" t="str">
        <f t="shared" si="72"/>
        <v>ALPASTOR</v>
      </c>
      <c r="HG13" s="43">
        <f t="shared" si="73"/>
        <v>0</v>
      </c>
      <c r="HI13" s="42" t="str">
        <f t="shared" si="74"/>
        <v>ALPASTOR</v>
      </c>
      <c r="HJ13" s="43">
        <f t="shared" si="75"/>
        <v>0</v>
      </c>
      <c r="HL13" s="43">
        <f t="shared" si="76"/>
        <v>0</v>
      </c>
      <c r="HM13" s="42" t="str">
        <f t="shared" si="77"/>
        <v>ALPASTOR</v>
      </c>
      <c r="HN13" s="57">
        <f t="shared" si="78"/>
        <v>0</v>
      </c>
      <c r="HO13" s="44">
        <f t="shared" si="79"/>
        <v>0</v>
      </c>
      <c r="HP13" s="57">
        <f t="shared" si="80"/>
        <v>0</v>
      </c>
      <c r="HQ13" s="44">
        <f t="shared" si="81"/>
        <v>0</v>
      </c>
      <c r="HR13" s="57">
        <f t="shared" si="82"/>
        <v>0</v>
      </c>
      <c r="HS13" s="44">
        <f t="shared" si="83"/>
        <v>0</v>
      </c>
      <c r="HT13" s="57">
        <f t="shared" si="84"/>
        <v>0</v>
      </c>
      <c r="HU13" s="44">
        <f t="shared" si="85"/>
        <v>0</v>
      </c>
      <c r="HV13" s="57">
        <f t="shared" si="86"/>
        <v>0</v>
      </c>
      <c r="HW13" s="44">
        <f t="shared" si="87"/>
        <v>0</v>
      </c>
      <c r="HX13" s="57">
        <f t="shared" si="88"/>
        <v>0</v>
      </c>
      <c r="HY13" s="44">
        <f t="shared" si="89"/>
        <v>0</v>
      </c>
      <c r="HZ13" s="42" t="str">
        <f t="shared" si="90"/>
        <v>ALPASTOR</v>
      </c>
      <c r="IA13" s="57">
        <f t="shared" si="91"/>
        <v>0</v>
      </c>
      <c r="IB13" s="44">
        <f t="shared" si="92"/>
        <v>0</v>
      </c>
      <c r="IC13" s="57">
        <f t="shared" si="93"/>
        <v>0</v>
      </c>
      <c r="ID13" s="44">
        <f t="shared" si="94"/>
        <v>0</v>
      </c>
      <c r="IE13" s="57">
        <f t="shared" si="95"/>
        <v>0</v>
      </c>
      <c r="IF13" s="44">
        <f t="shared" si="96"/>
        <v>0</v>
      </c>
      <c r="IG13" s="57">
        <f t="shared" si="97"/>
        <v>0</v>
      </c>
      <c r="IH13" s="44">
        <f t="shared" si="98"/>
        <v>0</v>
      </c>
      <c r="II13" s="57">
        <f t="shared" si="99"/>
        <v>0</v>
      </c>
      <c r="IJ13" s="44"/>
      <c r="IK13" s="57"/>
      <c r="IL13" s="44">
        <f t="shared" si="100"/>
        <v>0</v>
      </c>
      <c r="IM13" s="42" t="str">
        <f t="shared" si="101"/>
        <v>ALPASTOR</v>
      </c>
      <c r="IN13" s="43">
        <f t="shared" si="102"/>
        <v>0</v>
      </c>
      <c r="IP13" s="42" t="str">
        <f t="shared" si="103"/>
        <v>ALPASTOR</v>
      </c>
      <c r="IQ13" s="43">
        <f t="shared" si="104"/>
        <v>0</v>
      </c>
      <c r="IS13" s="42" t="str">
        <f t="shared" si="105"/>
        <v>ALPASTOR</v>
      </c>
      <c r="IT13" s="43">
        <f t="shared" si="106"/>
        <v>0</v>
      </c>
      <c r="IV13" s="43"/>
      <c r="IW13" s="42" t="str">
        <f t="shared" si="107"/>
        <v>ALPASTOR</v>
      </c>
      <c r="IX13" s="43">
        <f t="shared" si="108"/>
        <v>0</v>
      </c>
      <c r="IZ13" s="42" t="str">
        <f t="shared" si="109"/>
        <v>ALPASTOR</v>
      </c>
      <c r="JA13" s="43">
        <f t="shared" si="110"/>
        <v>0</v>
      </c>
      <c r="JC13" s="42" t="str">
        <f t="shared" si="111"/>
        <v>ALPASTOR</v>
      </c>
      <c r="JD13" s="43">
        <f t="shared" si="112"/>
        <v>0</v>
      </c>
      <c r="JF13" s="43"/>
      <c r="JG13" s="42" t="str">
        <f t="shared" si="113"/>
        <v>ALPASTOR</v>
      </c>
      <c r="JH13" s="43">
        <f t="shared" si="114"/>
        <v>0</v>
      </c>
      <c r="JJ13" s="42" t="str">
        <f t="shared" si="115"/>
        <v>ALPASTOR</v>
      </c>
      <c r="JK13" s="43">
        <f t="shared" si="116"/>
        <v>0</v>
      </c>
      <c r="JM13" s="42" t="str">
        <f t="shared" si="117"/>
        <v>ALPASTOR</v>
      </c>
      <c r="JN13" s="43">
        <f t="shared" si="118"/>
        <v>0</v>
      </c>
      <c r="JP13" s="44">
        <f t="shared" si="119"/>
        <v>0</v>
      </c>
      <c r="JQ13" s="42" t="str">
        <f t="shared" si="120"/>
        <v>ALPASTOR</v>
      </c>
      <c r="JR13" s="43">
        <f t="shared" si="121"/>
        <v>0</v>
      </c>
      <c r="JT13" s="42" t="str">
        <f t="shared" si="122"/>
        <v>ALPASTOR</v>
      </c>
      <c r="JU13" s="43">
        <f t="shared" si="123"/>
        <v>0</v>
      </c>
      <c r="JW13" s="42" t="str">
        <f t="shared" si="124"/>
        <v>ALPASTOR</v>
      </c>
      <c r="JX13" s="43">
        <f t="shared" si="125"/>
        <v>0</v>
      </c>
      <c r="JZ13" s="44">
        <f t="shared" si="126"/>
        <v>0</v>
      </c>
    </row>
    <row r="14" spans="1:286" s="7" customFormat="1" ht="54" customHeight="1" x14ac:dyDescent="0.65">
      <c r="A14" s="46" t="s">
        <v>44</v>
      </c>
      <c r="B14" s="43"/>
      <c r="D14" s="46"/>
      <c r="E14" s="43"/>
      <c r="G14" s="42" t="str">
        <f t="shared" si="0"/>
        <v>CARNE ASADA</v>
      </c>
      <c r="H14" s="43"/>
      <c r="J14" s="43">
        <f t="shared" si="1"/>
        <v>0</v>
      </c>
      <c r="K14" s="42" t="str">
        <f t="shared" si="2"/>
        <v>CARNE ASADA</v>
      </c>
      <c r="L14" s="43"/>
      <c r="N14" s="47"/>
      <c r="O14" s="43"/>
      <c r="Q14" s="42" t="str">
        <f t="shared" si="3"/>
        <v>CARNE ASADA</v>
      </c>
      <c r="R14" s="43"/>
      <c r="T14" s="43">
        <f t="shared" si="4"/>
        <v>0</v>
      </c>
      <c r="U14" s="42" t="str">
        <f t="shared" si="5"/>
        <v>CARNE ASADA</v>
      </c>
      <c r="V14" s="43"/>
      <c r="X14" s="46"/>
      <c r="Y14" s="43"/>
      <c r="AA14" s="42" t="str">
        <f t="shared" si="6"/>
        <v>CARNE ASADA</v>
      </c>
      <c r="AB14" s="43"/>
      <c r="AD14" s="43">
        <f t="shared" si="7"/>
        <v>0</v>
      </c>
      <c r="AE14" s="42" t="str">
        <f t="shared" si="8"/>
        <v>CARNE ASADA</v>
      </c>
      <c r="AF14" s="43"/>
      <c r="AH14" s="47"/>
      <c r="AI14" s="43"/>
      <c r="AK14" s="42" t="str">
        <f t="shared" si="9"/>
        <v>CARNE ASADA</v>
      </c>
      <c r="AL14" s="43"/>
      <c r="AN14" s="43">
        <f t="shared" si="10"/>
        <v>0</v>
      </c>
      <c r="AO14" s="42" t="str">
        <f t="shared" si="11"/>
        <v>CARNE ASADA</v>
      </c>
      <c r="AP14" s="43"/>
      <c r="AR14" s="46"/>
      <c r="AS14" s="43"/>
      <c r="AU14" s="42" t="str">
        <f t="shared" si="12"/>
        <v>CARNE ASADA</v>
      </c>
      <c r="AV14" s="43"/>
      <c r="AX14" s="43">
        <f t="shared" si="13"/>
        <v>0</v>
      </c>
      <c r="AY14" s="42" t="str">
        <f t="shared" si="14"/>
        <v>CARNE ASADA</v>
      </c>
      <c r="AZ14" s="43"/>
      <c r="BB14" s="47"/>
      <c r="BC14" s="43"/>
      <c r="BE14" s="42" t="str">
        <f t="shared" si="15"/>
        <v>CARNE ASADA</v>
      </c>
      <c r="BF14" s="43"/>
      <c r="BH14" s="43">
        <f t="shared" si="16"/>
        <v>0</v>
      </c>
      <c r="BI14" s="42" t="str">
        <f t="shared" si="17"/>
        <v>CARNE ASADA</v>
      </c>
      <c r="BJ14" s="43"/>
      <c r="BL14" s="46"/>
      <c r="BM14" s="43"/>
      <c r="BO14" s="42" t="str">
        <f t="shared" si="18"/>
        <v>CARNE ASADA</v>
      </c>
      <c r="BP14" s="43"/>
      <c r="BR14" s="43">
        <f t="shared" si="19"/>
        <v>0</v>
      </c>
      <c r="BS14" s="42" t="str">
        <f t="shared" si="20"/>
        <v>CARNE ASADA</v>
      </c>
      <c r="BT14" s="43"/>
      <c r="BV14" s="47"/>
      <c r="BW14" s="43"/>
      <c r="BY14" s="42" t="str">
        <f t="shared" si="21"/>
        <v>CARNE ASADA</v>
      </c>
      <c r="BZ14" s="43"/>
      <c r="CB14" s="43">
        <f t="shared" si="22"/>
        <v>0</v>
      </c>
      <c r="CC14" s="42" t="str">
        <f t="shared" si="23"/>
        <v>CARNE ASADA</v>
      </c>
      <c r="CD14" s="43"/>
      <c r="CF14" s="46"/>
      <c r="CG14" s="43"/>
      <c r="CI14" s="42" t="str">
        <f t="shared" si="24"/>
        <v>CARNE ASADA</v>
      </c>
      <c r="CJ14" s="43"/>
      <c r="CL14" s="43">
        <f t="shared" si="25"/>
        <v>0</v>
      </c>
      <c r="CM14" s="42" t="str">
        <f t="shared" si="26"/>
        <v>CARNE ASADA</v>
      </c>
      <c r="CN14" s="43"/>
      <c r="CP14" s="42"/>
      <c r="CQ14" s="43"/>
      <c r="CS14" s="42" t="str">
        <f t="shared" si="27"/>
        <v>CARNE ASADA</v>
      </c>
      <c r="CT14" s="43"/>
      <c r="CV14" s="43">
        <f t="shared" si="28"/>
        <v>0</v>
      </c>
      <c r="CW14" s="42" t="str">
        <f t="shared" si="29"/>
        <v>CARNE ASADA</v>
      </c>
      <c r="CX14" s="43"/>
      <c r="CZ14" s="47"/>
      <c r="DA14" s="43"/>
      <c r="DC14" s="42" t="str">
        <f t="shared" si="30"/>
        <v>CARNE ASADA</v>
      </c>
      <c r="DD14" s="43"/>
      <c r="DF14" s="43">
        <f t="shared" si="31"/>
        <v>0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/>
      <c r="FD14" s="43">
        <f t="shared" si="49"/>
        <v>0</v>
      </c>
      <c r="FE14" s="42" t="str">
        <f t="shared" si="50"/>
        <v>CARNE ASADA</v>
      </c>
      <c r="FF14" s="43"/>
      <c r="FH14" s="42" t="str">
        <f t="shared" si="51"/>
        <v>CARNE ASADA</v>
      </c>
      <c r="FI14" s="43"/>
      <c r="FK14" s="42" t="str">
        <f t="shared" si="52"/>
        <v>CARNE ASADA</v>
      </c>
      <c r="FL14" s="43"/>
      <c r="FN14" s="43">
        <f t="shared" si="53"/>
        <v>0</v>
      </c>
      <c r="FO14" s="42" t="str">
        <f t="shared" si="54"/>
        <v>CARNE ASADA</v>
      </c>
      <c r="FP14" s="43"/>
      <c r="FR14" s="42" t="str">
        <f t="shared" si="55"/>
        <v>CARNE ASADA</v>
      </c>
      <c r="FS14" s="43"/>
      <c r="FU14" s="42" t="str">
        <f t="shared" si="56"/>
        <v>CARNE ASADA</v>
      </c>
      <c r="FV14" s="43"/>
      <c r="FX14" s="43">
        <f t="shared" si="57"/>
        <v>0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/>
      <c r="GL14" s="42" t="str">
        <f t="shared" si="63"/>
        <v>CARNE ASADA</v>
      </c>
      <c r="GM14" s="43"/>
      <c r="GO14" s="42" t="str">
        <f t="shared" si="64"/>
        <v>CARNE ASADA</v>
      </c>
      <c r="GP14" s="43"/>
      <c r="GR14" s="43">
        <f t="shared" si="65"/>
        <v>0</v>
      </c>
      <c r="GS14" s="42" t="str">
        <f t="shared" si="66"/>
        <v>CARNE ASADA</v>
      </c>
      <c r="GT14" s="43"/>
      <c r="GV14" s="42" t="str">
        <f t="shared" si="67"/>
        <v>CARNE ASADA</v>
      </c>
      <c r="GW14" s="43"/>
      <c r="GY14" s="42" t="str">
        <f t="shared" si="68"/>
        <v>CARNE ASADA</v>
      </c>
      <c r="GZ14" s="43"/>
      <c r="HB14" s="43">
        <f t="shared" si="69"/>
        <v>0</v>
      </c>
      <c r="HC14" s="42" t="str">
        <f t="shared" si="70"/>
        <v>CARNE ASADA</v>
      </c>
      <c r="HD14" s="43">
        <f t="shared" si="71"/>
        <v>0</v>
      </c>
      <c r="HF14" s="42" t="str">
        <f t="shared" si="72"/>
        <v>CARNE ASADA</v>
      </c>
      <c r="HG14" s="43">
        <f t="shared" si="73"/>
        <v>0</v>
      </c>
      <c r="HI14" s="42" t="str">
        <f t="shared" si="74"/>
        <v>CARNE ASADA</v>
      </c>
      <c r="HJ14" s="43">
        <f t="shared" si="75"/>
        <v>0</v>
      </c>
      <c r="HL14" s="43">
        <f t="shared" si="76"/>
        <v>0</v>
      </c>
      <c r="HM14" s="42" t="str">
        <f t="shared" si="77"/>
        <v>CARNE ASADA</v>
      </c>
      <c r="HN14" s="57">
        <f t="shared" si="78"/>
        <v>0</v>
      </c>
      <c r="HO14" s="44">
        <f t="shared" si="79"/>
        <v>0</v>
      </c>
      <c r="HP14" s="57">
        <f t="shared" si="80"/>
        <v>0</v>
      </c>
      <c r="HQ14" s="44">
        <f t="shared" si="81"/>
        <v>0</v>
      </c>
      <c r="HR14" s="57">
        <f t="shared" si="82"/>
        <v>0</v>
      </c>
      <c r="HS14" s="44">
        <f t="shared" si="83"/>
        <v>0</v>
      </c>
      <c r="HT14" s="57">
        <f t="shared" si="84"/>
        <v>0</v>
      </c>
      <c r="HU14" s="44">
        <f t="shared" si="85"/>
        <v>0</v>
      </c>
      <c r="HV14" s="57">
        <f t="shared" si="86"/>
        <v>0</v>
      </c>
      <c r="HW14" s="44">
        <f t="shared" si="87"/>
        <v>0</v>
      </c>
      <c r="HX14" s="57">
        <f t="shared" si="88"/>
        <v>0</v>
      </c>
      <c r="HY14" s="44">
        <f t="shared" si="89"/>
        <v>0</v>
      </c>
      <c r="HZ14" s="42" t="str">
        <f t="shared" si="90"/>
        <v>CARNE ASADA</v>
      </c>
      <c r="IA14" s="57">
        <f t="shared" si="91"/>
        <v>0</v>
      </c>
      <c r="IB14" s="44">
        <f t="shared" si="92"/>
        <v>0</v>
      </c>
      <c r="IC14" s="57">
        <f t="shared" si="93"/>
        <v>0</v>
      </c>
      <c r="ID14" s="44">
        <f t="shared" si="94"/>
        <v>0</v>
      </c>
      <c r="IE14" s="57">
        <f t="shared" si="95"/>
        <v>0</v>
      </c>
      <c r="IF14" s="44">
        <f t="shared" si="96"/>
        <v>0</v>
      </c>
      <c r="IG14" s="57">
        <f t="shared" si="97"/>
        <v>0</v>
      </c>
      <c r="IH14" s="44">
        <f t="shared" si="98"/>
        <v>0</v>
      </c>
      <c r="II14" s="57">
        <f t="shared" si="99"/>
        <v>0</v>
      </c>
      <c r="IJ14" s="44"/>
      <c r="IK14" s="57"/>
      <c r="IL14" s="44">
        <f t="shared" si="100"/>
        <v>0</v>
      </c>
      <c r="IM14" s="42" t="str">
        <f t="shared" si="101"/>
        <v>CARNE ASADA</v>
      </c>
      <c r="IN14" s="43">
        <f t="shared" si="102"/>
        <v>0</v>
      </c>
      <c r="IP14" s="42" t="str">
        <f t="shared" si="103"/>
        <v>CARNE ASADA</v>
      </c>
      <c r="IQ14" s="43">
        <f t="shared" si="104"/>
        <v>0</v>
      </c>
      <c r="IS14" s="42" t="str">
        <f t="shared" si="105"/>
        <v>CARNE ASADA</v>
      </c>
      <c r="IT14" s="43">
        <f t="shared" si="106"/>
        <v>0</v>
      </c>
      <c r="IV14" s="43"/>
      <c r="IW14" s="42" t="str">
        <f t="shared" si="107"/>
        <v>CARNE ASADA</v>
      </c>
      <c r="IX14" s="43">
        <f t="shared" si="108"/>
        <v>0</v>
      </c>
      <c r="IZ14" s="42" t="str">
        <f t="shared" si="109"/>
        <v>CARNE ASADA</v>
      </c>
      <c r="JA14" s="43">
        <f t="shared" si="110"/>
        <v>0</v>
      </c>
      <c r="JC14" s="42" t="str">
        <f t="shared" si="111"/>
        <v>CARNE ASADA</v>
      </c>
      <c r="JD14" s="43">
        <f t="shared" si="112"/>
        <v>0</v>
      </c>
      <c r="JF14" s="43"/>
      <c r="JG14" s="42" t="str">
        <f t="shared" si="113"/>
        <v>CARNE ASADA</v>
      </c>
      <c r="JH14" s="43">
        <f t="shared" si="114"/>
        <v>0</v>
      </c>
      <c r="JJ14" s="42" t="str">
        <f t="shared" si="115"/>
        <v>CARNE ASADA</v>
      </c>
      <c r="JK14" s="43">
        <f t="shared" si="116"/>
        <v>0</v>
      </c>
      <c r="JM14" s="42" t="str">
        <f t="shared" si="117"/>
        <v>CARNE ASADA</v>
      </c>
      <c r="JN14" s="43">
        <f t="shared" si="118"/>
        <v>0</v>
      </c>
      <c r="JP14" s="44">
        <f t="shared" si="119"/>
        <v>0</v>
      </c>
      <c r="JQ14" s="42" t="str">
        <f t="shared" si="120"/>
        <v>CARNE ASADA</v>
      </c>
      <c r="JR14" s="43">
        <f t="shared" si="121"/>
        <v>0</v>
      </c>
      <c r="JT14" s="42" t="str">
        <f t="shared" si="122"/>
        <v>CARNE ASADA</v>
      </c>
      <c r="JU14" s="43">
        <f t="shared" si="123"/>
        <v>0</v>
      </c>
      <c r="JW14" s="42" t="str">
        <f t="shared" si="124"/>
        <v>CARNE ASADA</v>
      </c>
      <c r="JX14" s="43">
        <f t="shared" si="125"/>
        <v>0</v>
      </c>
      <c r="JZ14" s="44">
        <f t="shared" si="126"/>
        <v>0</v>
      </c>
    </row>
    <row r="15" spans="1:286" s="7" customFormat="1" ht="54" customHeight="1" x14ac:dyDescent="0.65">
      <c r="A15" s="46" t="s">
        <v>45</v>
      </c>
      <c r="B15" s="43"/>
      <c r="D15" s="46"/>
      <c r="E15" s="43"/>
      <c r="G15" s="42" t="str">
        <f t="shared" si="0"/>
        <v>FAJITAS</v>
      </c>
      <c r="H15" s="43"/>
      <c r="J15" s="43">
        <f t="shared" si="1"/>
        <v>0</v>
      </c>
      <c r="K15" s="42" t="str">
        <f t="shared" si="2"/>
        <v>FAJITAS</v>
      </c>
      <c r="L15" s="43"/>
      <c r="N15" s="46"/>
      <c r="O15" s="43"/>
      <c r="Q15" s="42" t="str">
        <f t="shared" si="3"/>
        <v>FAJITAS</v>
      </c>
      <c r="R15" s="43"/>
      <c r="T15" s="43">
        <f t="shared" si="4"/>
        <v>0</v>
      </c>
      <c r="U15" s="42" t="str">
        <f t="shared" si="5"/>
        <v>FAJITAS</v>
      </c>
      <c r="V15" s="43"/>
      <c r="X15" s="46"/>
      <c r="Y15" s="43"/>
      <c r="AA15" s="42" t="str">
        <f t="shared" si="6"/>
        <v>FAJITAS</v>
      </c>
      <c r="AB15" s="43"/>
      <c r="AD15" s="43">
        <f t="shared" si="7"/>
        <v>0</v>
      </c>
      <c r="AE15" s="42" t="str">
        <f t="shared" si="8"/>
        <v>FAJITAS</v>
      </c>
      <c r="AF15" s="43"/>
      <c r="AH15" s="46"/>
      <c r="AI15" s="43"/>
      <c r="AK15" s="42" t="str">
        <f t="shared" si="9"/>
        <v>FAJITAS</v>
      </c>
      <c r="AL15" s="43"/>
      <c r="AN15" s="43">
        <f t="shared" si="10"/>
        <v>0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/>
      <c r="AX15" s="43">
        <f t="shared" si="13"/>
        <v>0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/>
      <c r="BL15" s="46"/>
      <c r="BM15" s="43"/>
      <c r="BO15" s="42" t="str">
        <f t="shared" si="18"/>
        <v>FAJITAS</v>
      </c>
      <c r="BP15" s="43"/>
      <c r="BR15" s="43">
        <f t="shared" si="19"/>
        <v>0</v>
      </c>
      <c r="BS15" s="42" t="str">
        <f t="shared" si="20"/>
        <v>FAJITAS</v>
      </c>
      <c r="BT15" s="43"/>
      <c r="BV15" s="47"/>
      <c r="BW15" s="43"/>
      <c r="BY15" s="42" t="str">
        <f t="shared" si="21"/>
        <v>FAJITAS</v>
      </c>
      <c r="BZ15" s="43"/>
      <c r="CB15" s="43">
        <f t="shared" si="22"/>
        <v>0</v>
      </c>
      <c r="CC15" s="42" t="str">
        <f t="shared" si="23"/>
        <v>FAJITAS</v>
      </c>
      <c r="CD15" s="43"/>
      <c r="CF15" s="46"/>
      <c r="CG15" s="43"/>
      <c r="CI15" s="42" t="str">
        <f t="shared" si="24"/>
        <v>FAJITAS</v>
      </c>
      <c r="CJ15" s="43"/>
      <c r="CL15" s="43">
        <f t="shared" si="25"/>
        <v>0</v>
      </c>
      <c r="CM15" s="42" t="str">
        <f t="shared" si="26"/>
        <v>FAJITAS</v>
      </c>
      <c r="CN15" s="43"/>
      <c r="CP15" s="42"/>
      <c r="CQ15" s="43"/>
      <c r="CS15" s="42" t="str">
        <f t="shared" si="27"/>
        <v>FAJITAS</v>
      </c>
      <c r="CT15" s="43"/>
      <c r="CV15" s="43">
        <f t="shared" si="28"/>
        <v>0</v>
      </c>
      <c r="CW15" s="42" t="str">
        <f t="shared" si="29"/>
        <v>FAJITAS</v>
      </c>
      <c r="CX15" s="43"/>
      <c r="CZ15" s="47"/>
      <c r="DA15" s="43"/>
      <c r="DC15" s="42" t="str">
        <f t="shared" si="30"/>
        <v>FAJITAS</v>
      </c>
      <c r="DD15" s="43"/>
      <c r="DF15" s="43">
        <f t="shared" si="31"/>
        <v>0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65"/>
        <v>0</v>
      </c>
      <c r="GS15" s="42" t="str">
        <f t="shared" si="66"/>
        <v>FAJITAS</v>
      </c>
      <c r="GT15" s="43"/>
      <c r="GV15" s="42" t="str">
        <f t="shared" si="67"/>
        <v>FAJITAS</v>
      </c>
      <c r="GW15" s="43"/>
      <c r="GY15" s="42" t="str">
        <f t="shared" si="68"/>
        <v>FAJITAS</v>
      </c>
      <c r="GZ15" s="43"/>
      <c r="HB15" s="43">
        <f t="shared" si="69"/>
        <v>0</v>
      </c>
      <c r="HC15" s="42" t="str">
        <f t="shared" si="70"/>
        <v>FAJITAS</v>
      </c>
      <c r="HD15" s="43">
        <f t="shared" si="71"/>
        <v>0</v>
      </c>
      <c r="HF15" s="42" t="str">
        <f t="shared" si="72"/>
        <v>FAJITAS</v>
      </c>
      <c r="HG15" s="43">
        <f t="shared" si="73"/>
        <v>0</v>
      </c>
      <c r="HI15" s="42" t="str">
        <f t="shared" si="74"/>
        <v>FAJITAS</v>
      </c>
      <c r="HJ15" s="43">
        <f t="shared" si="75"/>
        <v>0</v>
      </c>
      <c r="HL15" s="43">
        <f t="shared" si="76"/>
        <v>0</v>
      </c>
      <c r="HM15" s="42" t="str">
        <f t="shared" si="77"/>
        <v>FAJITAS</v>
      </c>
      <c r="HN15" s="57">
        <f t="shared" si="78"/>
        <v>0</v>
      </c>
      <c r="HO15" s="44">
        <f t="shared" si="79"/>
        <v>0</v>
      </c>
      <c r="HP15" s="57">
        <f t="shared" si="80"/>
        <v>0</v>
      </c>
      <c r="HQ15" s="44">
        <f t="shared" si="81"/>
        <v>0</v>
      </c>
      <c r="HR15" s="57">
        <f t="shared" si="82"/>
        <v>0</v>
      </c>
      <c r="HS15" s="44">
        <f t="shared" si="83"/>
        <v>0</v>
      </c>
      <c r="HT15" s="57">
        <f t="shared" si="84"/>
        <v>0</v>
      </c>
      <c r="HU15" s="44">
        <f t="shared" si="85"/>
        <v>0</v>
      </c>
      <c r="HV15" s="57">
        <f t="shared" si="86"/>
        <v>0</v>
      </c>
      <c r="HW15" s="44">
        <f t="shared" si="87"/>
        <v>0</v>
      </c>
      <c r="HX15" s="57">
        <f t="shared" si="88"/>
        <v>0</v>
      </c>
      <c r="HY15" s="44">
        <f t="shared" si="89"/>
        <v>0</v>
      </c>
      <c r="HZ15" s="42" t="str">
        <f t="shared" si="90"/>
        <v>FAJITAS</v>
      </c>
      <c r="IA15" s="57">
        <f t="shared" si="91"/>
        <v>0</v>
      </c>
      <c r="IB15" s="44">
        <f t="shared" si="92"/>
        <v>0</v>
      </c>
      <c r="IC15" s="57">
        <f t="shared" si="93"/>
        <v>0</v>
      </c>
      <c r="ID15" s="44">
        <f t="shared" si="94"/>
        <v>0</v>
      </c>
      <c r="IE15" s="57">
        <f t="shared" si="95"/>
        <v>0</v>
      </c>
      <c r="IF15" s="44">
        <f t="shared" si="96"/>
        <v>0</v>
      </c>
      <c r="IG15" s="57">
        <f t="shared" si="97"/>
        <v>0</v>
      </c>
      <c r="IH15" s="44">
        <f t="shared" si="98"/>
        <v>0</v>
      </c>
      <c r="II15" s="57">
        <f t="shared" si="99"/>
        <v>0</v>
      </c>
      <c r="IJ15" s="44"/>
      <c r="IK15" s="57"/>
      <c r="IL15" s="44">
        <f t="shared" si="100"/>
        <v>0</v>
      </c>
      <c r="IM15" s="42" t="str">
        <f t="shared" si="101"/>
        <v>FAJITAS</v>
      </c>
      <c r="IN15" s="43">
        <f t="shared" si="102"/>
        <v>0</v>
      </c>
      <c r="IP15" s="42" t="str">
        <f t="shared" si="103"/>
        <v>FAJITAS</v>
      </c>
      <c r="IQ15" s="43">
        <f t="shared" si="104"/>
        <v>0</v>
      </c>
      <c r="IS15" s="42" t="str">
        <f t="shared" si="105"/>
        <v>FAJITAS</v>
      </c>
      <c r="IT15" s="43">
        <f t="shared" si="106"/>
        <v>0</v>
      </c>
      <c r="IV15" s="43"/>
      <c r="IW15" s="42" t="str">
        <f t="shared" si="107"/>
        <v>FAJITAS</v>
      </c>
      <c r="IX15" s="43">
        <f t="shared" si="108"/>
        <v>0</v>
      </c>
      <c r="IZ15" s="42" t="str">
        <f t="shared" si="109"/>
        <v>FAJITAS</v>
      </c>
      <c r="JA15" s="43">
        <f t="shared" si="110"/>
        <v>0</v>
      </c>
      <c r="JC15" s="42" t="str">
        <f t="shared" si="111"/>
        <v>FAJITAS</v>
      </c>
      <c r="JD15" s="43">
        <f t="shared" si="112"/>
        <v>0</v>
      </c>
      <c r="JF15" s="43"/>
      <c r="JG15" s="42" t="str">
        <f t="shared" si="113"/>
        <v>FAJITAS</v>
      </c>
      <c r="JH15" s="43">
        <f t="shared" si="114"/>
        <v>0</v>
      </c>
      <c r="JJ15" s="42" t="str">
        <f t="shared" si="115"/>
        <v>FAJITAS</v>
      </c>
      <c r="JK15" s="43">
        <f t="shared" si="116"/>
        <v>0</v>
      </c>
      <c r="JM15" s="42" t="str">
        <f t="shared" si="117"/>
        <v>FAJITAS</v>
      </c>
      <c r="JN15" s="43">
        <f t="shared" si="118"/>
        <v>0</v>
      </c>
      <c r="JP15" s="44">
        <f t="shared" si="119"/>
        <v>0</v>
      </c>
      <c r="JQ15" s="42" t="str">
        <f t="shared" si="120"/>
        <v>FAJITAS</v>
      </c>
      <c r="JR15" s="43">
        <f t="shared" si="121"/>
        <v>0</v>
      </c>
      <c r="JT15" s="42" t="str">
        <f t="shared" si="122"/>
        <v>FAJITAS</v>
      </c>
      <c r="JU15" s="43">
        <f t="shared" si="123"/>
        <v>0</v>
      </c>
      <c r="JW15" s="42" t="str">
        <f t="shared" si="124"/>
        <v>FAJITAS</v>
      </c>
      <c r="JX15" s="43">
        <f t="shared" si="125"/>
        <v>0</v>
      </c>
      <c r="JZ15" s="44">
        <f t="shared" si="126"/>
        <v>0</v>
      </c>
    </row>
    <row r="16" spans="1:286" s="7" customFormat="1" ht="54" customHeight="1" x14ac:dyDescent="0.65">
      <c r="A16" s="46" t="s">
        <v>46</v>
      </c>
      <c r="B16" s="43"/>
      <c r="D16" s="46"/>
      <c r="E16" s="43"/>
      <c r="G16" s="42" t="str">
        <f t="shared" si="0"/>
        <v>MILANESA</v>
      </c>
      <c r="H16" s="43"/>
      <c r="J16" s="43">
        <f t="shared" si="1"/>
        <v>0</v>
      </c>
      <c r="K16" s="42" t="str">
        <f t="shared" si="2"/>
        <v>MILANESA</v>
      </c>
      <c r="L16" s="43"/>
      <c r="N16" s="46"/>
      <c r="O16" s="43"/>
      <c r="Q16" s="42" t="str">
        <f t="shared" si="3"/>
        <v>MILANESA</v>
      </c>
      <c r="R16" s="43"/>
      <c r="T16" s="43">
        <f t="shared" si="4"/>
        <v>0</v>
      </c>
      <c r="U16" s="42" t="str">
        <f t="shared" si="5"/>
        <v>MILANESA</v>
      </c>
      <c r="V16" s="43"/>
      <c r="X16" s="46"/>
      <c r="Y16" s="43"/>
      <c r="AA16" s="42" t="str">
        <f t="shared" si="6"/>
        <v>MILANESA</v>
      </c>
      <c r="AB16" s="43"/>
      <c r="AD16" s="43">
        <f t="shared" si="7"/>
        <v>0</v>
      </c>
      <c r="AE16" s="42" t="str">
        <f t="shared" si="8"/>
        <v>MILANESA</v>
      </c>
      <c r="AF16" s="43"/>
      <c r="AH16" s="46"/>
      <c r="AI16" s="43"/>
      <c r="AK16" s="42" t="str">
        <f t="shared" si="9"/>
        <v>MILANESA</v>
      </c>
      <c r="AL16" s="43"/>
      <c r="AN16" s="43">
        <f t="shared" si="10"/>
        <v>0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/>
      <c r="AX16" s="43">
        <f t="shared" si="13"/>
        <v>0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/>
      <c r="BH16" s="43">
        <f t="shared" si="16"/>
        <v>0</v>
      </c>
      <c r="BI16" s="42" t="str">
        <f t="shared" si="17"/>
        <v>MILANESA</v>
      </c>
      <c r="BJ16" s="43"/>
      <c r="BL16" s="46"/>
      <c r="BM16" s="43"/>
      <c r="BO16" s="42" t="str">
        <f t="shared" si="18"/>
        <v>MILANESA</v>
      </c>
      <c r="BP16" s="43"/>
      <c r="BR16" s="43">
        <f t="shared" si="19"/>
        <v>0</v>
      </c>
      <c r="BS16" s="42" t="str">
        <f t="shared" si="20"/>
        <v>MILANESA</v>
      </c>
      <c r="BT16" s="43"/>
      <c r="BV16" s="46"/>
      <c r="BW16" s="43"/>
      <c r="BY16" s="42" t="str">
        <f t="shared" si="21"/>
        <v>MILANESA</v>
      </c>
      <c r="BZ16" s="43"/>
      <c r="CB16" s="43">
        <f t="shared" si="22"/>
        <v>0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/>
      <c r="CL16" s="43">
        <f t="shared" si="25"/>
        <v>0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/>
      <c r="CZ16" s="46"/>
      <c r="DA16" s="43"/>
      <c r="DC16" s="42" t="str">
        <f t="shared" si="30"/>
        <v>MILANESA</v>
      </c>
      <c r="DD16" s="43"/>
      <c r="DF16" s="43">
        <f t="shared" si="31"/>
        <v>0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/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0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/>
      <c r="FR16" s="42" t="str">
        <f t="shared" si="55"/>
        <v>MILANESA</v>
      </c>
      <c r="FS16" s="43"/>
      <c r="FU16" s="42" t="str">
        <f t="shared" si="56"/>
        <v>MILANESA</v>
      </c>
      <c r="FV16" s="43"/>
      <c r="FX16" s="43">
        <f t="shared" si="57"/>
        <v>0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/>
      <c r="GO16" s="42" t="str">
        <f t="shared" si="64"/>
        <v>MILANESA</v>
      </c>
      <c r="GP16" s="43"/>
      <c r="GR16" s="43">
        <f t="shared" si="65"/>
        <v>0</v>
      </c>
      <c r="GS16" s="42" t="str">
        <f t="shared" si="66"/>
        <v>MILANESA</v>
      </c>
      <c r="GT16" s="43"/>
      <c r="GV16" s="42" t="str">
        <f t="shared" si="67"/>
        <v>MILANESA</v>
      </c>
      <c r="GW16" s="43"/>
      <c r="GY16" s="42" t="str">
        <f t="shared" si="68"/>
        <v>MILANESA</v>
      </c>
      <c r="GZ16" s="43"/>
      <c r="HB16" s="43">
        <f t="shared" si="69"/>
        <v>0</v>
      </c>
      <c r="HC16" s="42" t="str">
        <f t="shared" si="70"/>
        <v>MILANESA</v>
      </c>
      <c r="HD16" s="43">
        <f t="shared" si="71"/>
        <v>0</v>
      </c>
      <c r="HF16" s="42" t="str">
        <f t="shared" si="72"/>
        <v>MILANESA</v>
      </c>
      <c r="HG16" s="43">
        <f t="shared" si="73"/>
        <v>0</v>
      </c>
      <c r="HI16" s="42" t="str">
        <f t="shared" si="74"/>
        <v>MILANESA</v>
      </c>
      <c r="HJ16" s="43">
        <f t="shared" si="75"/>
        <v>0</v>
      </c>
      <c r="HL16" s="43">
        <f t="shared" si="76"/>
        <v>0</v>
      </c>
      <c r="HM16" s="42" t="str">
        <f t="shared" si="77"/>
        <v>MILANESA</v>
      </c>
      <c r="HN16" s="57">
        <f t="shared" si="78"/>
        <v>0</v>
      </c>
      <c r="HO16" s="44">
        <f t="shared" si="79"/>
        <v>0</v>
      </c>
      <c r="HP16" s="57">
        <f t="shared" si="80"/>
        <v>0</v>
      </c>
      <c r="HQ16" s="44">
        <f t="shared" si="81"/>
        <v>0</v>
      </c>
      <c r="HR16" s="57">
        <f t="shared" si="82"/>
        <v>0</v>
      </c>
      <c r="HS16" s="44">
        <f t="shared" si="83"/>
        <v>0</v>
      </c>
      <c r="HT16" s="57">
        <f t="shared" si="84"/>
        <v>0</v>
      </c>
      <c r="HU16" s="44">
        <f t="shared" si="85"/>
        <v>0</v>
      </c>
      <c r="HV16" s="57">
        <f t="shared" si="86"/>
        <v>0</v>
      </c>
      <c r="HW16" s="44">
        <f t="shared" si="87"/>
        <v>0</v>
      </c>
      <c r="HX16" s="57">
        <f t="shared" si="88"/>
        <v>0</v>
      </c>
      <c r="HY16" s="44">
        <f t="shared" si="89"/>
        <v>0</v>
      </c>
      <c r="HZ16" s="42" t="str">
        <f t="shared" si="90"/>
        <v>MILANESA</v>
      </c>
      <c r="IA16" s="57">
        <f t="shared" si="91"/>
        <v>0</v>
      </c>
      <c r="IB16" s="44">
        <f t="shared" si="92"/>
        <v>0</v>
      </c>
      <c r="IC16" s="57">
        <f t="shared" si="93"/>
        <v>0</v>
      </c>
      <c r="ID16" s="44">
        <f t="shared" si="94"/>
        <v>0</v>
      </c>
      <c r="IE16" s="57">
        <f t="shared" si="95"/>
        <v>0</v>
      </c>
      <c r="IF16" s="44">
        <f t="shared" si="96"/>
        <v>0</v>
      </c>
      <c r="IG16" s="57">
        <f t="shared" si="97"/>
        <v>0</v>
      </c>
      <c r="IH16" s="44">
        <f t="shared" si="98"/>
        <v>0</v>
      </c>
      <c r="II16" s="57">
        <f t="shared" si="99"/>
        <v>0</v>
      </c>
      <c r="IJ16" s="44"/>
      <c r="IK16" s="57"/>
      <c r="IL16" s="44">
        <f t="shared" si="100"/>
        <v>0</v>
      </c>
      <c r="IM16" s="42" t="str">
        <f t="shared" si="101"/>
        <v>MILANESA</v>
      </c>
      <c r="IN16" s="43">
        <f t="shared" si="102"/>
        <v>0</v>
      </c>
      <c r="IP16" s="42" t="str">
        <f t="shared" si="103"/>
        <v>MILANESA</v>
      </c>
      <c r="IQ16" s="43">
        <f t="shared" si="104"/>
        <v>0</v>
      </c>
      <c r="IS16" s="42" t="str">
        <f t="shared" si="105"/>
        <v>MILANESA</v>
      </c>
      <c r="IT16" s="43">
        <f t="shared" si="106"/>
        <v>0</v>
      </c>
      <c r="IV16" s="43"/>
      <c r="IW16" s="42" t="str">
        <f t="shared" si="107"/>
        <v>MILANESA</v>
      </c>
      <c r="IX16" s="43">
        <f t="shared" si="108"/>
        <v>0</v>
      </c>
      <c r="IZ16" s="42" t="str">
        <f t="shared" si="109"/>
        <v>MILANESA</v>
      </c>
      <c r="JA16" s="43">
        <f t="shared" si="110"/>
        <v>0</v>
      </c>
      <c r="JC16" s="42" t="str">
        <f t="shared" si="111"/>
        <v>MILANESA</v>
      </c>
      <c r="JD16" s="43">
        <f t="shared" si="112"/>
        <v>0</v>
      </c>
      <c r="JF16" s="43"/>
      <c r="JG16" s="42" t="str">
        <f t="shared" si="113"/>
        <v>MILANESA</v>
      </c>
      <c r="JH16" s="43">
        <f t="shared" si="114"/>
        <v>0</v>
      </c>
      <c r="JJ16" s="42" t="str">
        <f t="shared" si="115"/>
        <v>MILANESA</v>
      </c>
      <c r="JK16" s="43">
        <f t="shared" si="116"/>
        <v>0</v>
      </c>
      <c r="JM16" s="42" t="str">
        <f t="shared" si="117"/>
        <v>MILANESA</v>
      </c>
      <c r="JN16" s="43">
        <f t="shared" si="118"/>
        <v>0</v>
      </c>
      <c r="JP16" s="44">
        <f t="shared" si="119"/>
        <v>0</v>
      </c>
      <c r="JQ16" s="42" t="str">
        <f t="shared" si="120"/>
        <v>MILANESA</v>
      </c>
      <c r="JR16" s="43">
        <f t="shared" si="121"/>
        <v>0</v>
      </c>
      <c r="JT16" s="42" t="str">
        <f t="shared" si="122"/>
        <v>MILANESA</v>
      </c>
      <c r="JU16" s="43">
        <f t="shared" si="123"/>
        <v>0</v>
      </c>
      <c r="JW16" s="42" t="str">
        <f t="shared" si="124"/>
        <v>MILANESA</v>
      </c>
      <c r="JX16" s="43">
        <f t="shared" si="125"/>
        <v>0</v>
      </c>
      <c r="JZ16" s="44">
        <f t="shared" si="126"/>
        <v>0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/>
      <c r="T17" s="43">
        <f t="shared" si="4"/>
        <v>0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/>
      <c r="AR17" s="46"/>
      <c r="AS17" s="43"/>
      <c r="AU17" s="42" t="str">
        <f t="shared" si="12"/>
        <v>TAMAL ROJO</v>
      </c>
      <c r="AV17" s="43"/>
      <c r="AX17" s="43">
        <f t="shared" si="13"/>
        <v>0</v>
      </c>
      <c r="AY17" s="42" t="str">
        <f t="shared" si="14"/>
        <v>TAMAL ROJO</v>
      </c>
      <c r="AZ17" s="43"/>
      <c r="BB17" s="46"/>
      <c r="BC17" s="43"/>
      <c r="BE17" s="42" t="str">
        <f t="shared" si="15"/>
        <v>TAMAL ROJO</v>
      </c>
      <c r="BF17" s="43"/>
      <c r="BH17" s="43">
        <f t="shared" si="16"/>
        <v>0</v>
      </c>
      <c r="BI17" s="42" t="str">
        <f t="shared" si="17"/>
        <v>TAMAL ROJO</v>
      </c>
      <c r="BJ17" s="43"/>
      <c r="BL17" s="46"/>
      <c r="BM17" s="43"/>
      <c r="BO17" s="42" t="str">
        <f t="shared" si="18"/>
        <v>TAMAL ROJO</v>
      </c>
      <c r="BP17" s="43"/>
      <c r="BR17" s="43">
        <f t="shared" si="19"/>
        <v>0</v>
      </c>
      <c r="BS17" s="42" t="str">
        <f t="shared" si="20"/>
        <v>TAMAL ROJO</v>
      </c>
      <c r="BT17" s="43"/>
      <c r="BV17" s="46"/>
      <c r="BW17" s="43"/>
      <c r="BY17" s="42" t="str">
        <f t="shared" si="21"/>
        <v>TAMAL ROJO</v>
      </c>
      <c r="BZ17" s="43"/>
      <c r="CB17" s="43">
        <f t="shared" si="22"/>
        <v>0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/>
      <c r="CP17" s="42"/>
      <c r="CQ17" s="43"/>
      <c r="CS17" s="42" t="str">
        <f t="shared" si="27"/>
        <v>TAMAL ROJO</v>
      </c>
      <c r="CT17" s="43"/>
      <c r="CV17" s="43">
        <f t="shared" si="28"/>
        <v>0</v>
      </c>
      <c r="CW17" s="42" t="str">
        <f t="shared" si="29"/>
        <v>TAMAL ROJO</v>
      </c>
      <c r="CX17" s="43"/>
      <c r="CZ17" s="42"/>
      <c r="DA17" s="43"/>
      <c r="DC17" s="42" t="str">
        <f t="shared" ref="DC17:DC29" si="127">A17</f>
        <v>TAMAL ROJO</v>
      </c>
      <c r="DD17" s="43"/>
      <c r="DF17" s="43">
        <f t="shared" si="31"/>
        <v>0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65"/>
        <v>0</v>
      </c>
      <c r="GS17" s="42" t="str">
        <f t="shared" si="66"/>
        <v>TAMAL ROJO</v>
      </c>
      <c r="GT17" s="43"/>
      <c r="GV17" s="42" t="str">
        <f t="shared" si="67"/>
        <v>TAMAL ROJO</v>
      </c>
      <c r="GW17" s="43"/>
      <c r="GY17" s="42" t="str">
        <f t="shared" si="68"/>
        <v>TAMAL ROJO</v>
      </c>
      <c r="GZ17" s="43"/>
      <c r="HB17" s="43">
        <f t="shared" si="69"/>
        <v>0</v>
      </c>
      <c r="HC17" s="42" t="str">
        <f t="shared" si="70"/>
        <v>TAMAL ROJO</v>
      </c>
      <c r="HD17" s="43">
        <f t="shared" si="71"/>
        <v>0</v>
      </c>
      <c r="HF17" s="42" t="str">
        <f t="shared" si="72"/>
        <v>TAMAL ROJO</v>
      </c>
      <c r="HG17" s="43">
        <f t="shared" si="73"/>
        <v>0</v>
      </c>
      <c r="HI17" s="42" t="str">
        <f t="shared" si="74"/>
        <v>TAMAL ROJO</v>
      </c>
      <c r="HJ17" s="43">
        <f t="shared" si="75"/>
        <v>0</v>
      </c>
      <c r="HL17" s="43">
        <f t="shared" si="76"/>
        <v>0</v>
      </c>
      <c r="HM17" s="42" t="str">
        <f t="shared" si="77"/>
        <v>TAMAL ROJO</v>
      </c>
      <c r="HN17" s="57">
        <f t="shared" si="78"/>
        <v>0</v>
      </c>
      <c r="HO17" s="44">
        <f t="shared" si="79"/>
        <v>0</v>
      </c>
      <c r="HP17" s="57">
        <f t="shared" si="80"/>
        <v>0</v>
      </c>
      <c r="HQ17" s="44">
        <f t="shared" si="81"/>
        <v>0</v>
      </c>
      <c r="HR17" s="57">
        <f t="shared" si="82"/>
        <v>0</v>
      </c>
      <c r="HS17" s="44">
        <f t="shared" si="83"/>
        <v>0</v>
      </c>
      <c r="HT17" s="57">
        <f t="shared" si="84"/>
        <v>0</v>
      </c>
      <c r="HU17" s="44">
        <f t="shared" si="85"/>
        <v>0</v>
      </c>
      <c r="HV17" s="57">
        <f t="shared" si="86"/>
        <v>0</v>
      </c>
      <c r="HW17" s="44">
        <f t="shared" si="87"/>
        <v>0</v>
      </c>
      <c r="HX17" s="57">
        <f t="shared" si="88"/>
        <v>0</v>
      </c>
      <c r="HY17" s="44">
        <f t="shared" si="89"/>
        <v>0</v>
      </c>
      <c r="HZ17" s="42" t="str">
        <f t="shared" si="90"/>
        <v>TAMAL ROJO</v>
      </c>
      <c r="IA17" s="57">
        <f t="shared" si="91"/>
        <v>0</v>
      </c>
      <c r="IB17" s="44">
        <f t="shared" si="92"/>
        <v>0</v>
      </c>
      <c r="IC17" s="57">
        <f t="shared" si="93"/>
        <v>0</v>
      </c>
      <c r="ID17" s="44">
        <f t="shared" si="94"/>
        <v>0</v>
      </c>
      <c r="IE17" s="57">
        <f t="shared" si="95"/>
        <v>0</v>
      </c>
      <c r="IF17" s="44">
        <f t="shared" si="96"/>
        <v>0</v>
      </c>
      <c r="IG17" s="57">
        <f t="shared" si="97"/>
        <v>0</v>
      </c>
      <c r="IH17" s="44">
        <f t="shared" si="98"/>
        <v>0</v>
      </c>
      <c r="II17" s="57">
        <f t="shared" si="99"/>
        <v>0</v>
      </c>
      <c r="IJ17" s="44"/>
      <c r="IK17" s="57"/>
      <c r="IL17" s="44">
        <f t="shared" si="100"/>
        <v>0</v>
      </c>
      <c r="IM17" s="42" t="str">
        <f t="shared" si="101"/>
        <v>TAMAL ROJO</v>
      </c>
      <c r="IN17" s="43">
        <f t="shared" si="102"/>
        <v>0</v>
      </c>
      <c r="IP17" s="42" t="str">
        <f t="shared" si="103"/>
        <v>TAMAL ROJO</v>
      </c>
      <c r="IQ17" s="43">
        <f t="shared" si="104"/>
        <v>0</v>
      </c>
      <c r="IS17" s="42" t="str">
        <f t="shared" si="105"/>
        <v>TAMAL ROJO</v>
      </c>
      <c r="IT17" s="43">
        <f t="shared" si="106"/>
        <v>0</v>
      </c>
      <c r="IV17" s="43"/>
      <c r="IW17" s="42" t="str">
        <f t="shared" si="107"/>
        <v>TAMAL ROJO</v>
      </c>
      <c r="IX17" s="43">
        <f t="shared" si="108"/>
        <v>0</v>
      </c>
      <c r="IZ17" s="42" t="str">
        <f t="shared" si="109"/>
        <v>TAMAL ROJO</v>
      </c>
      <c r="JA17" s="43">
        <f t="shared" si="110"/>
        <v>0</v>
      </c>
      <c r="JC17" s="42" t="str">
        <f t="shared" si="111"/>
        <v>TAMAL ROJO</v>
      </c>
      <c r="JD17" s="43">
        <f t="shared" si="112"/>
        <v>0</v>
      </c>
      <c r="JF17" s="43"/>
      <c r="JG17" s="42" t="str">
        <f t="shared" si="113"/>
        <v>TAMAL ROJO</v>
      </c>
      <c r="JH17" s="43">
        <f t="shared" si="114"/>
        <v>0</v>
      </c>
      <c r="JJ17" s="42" t="str">
        <f t="shared" si="115"/>
        <v>TAMAL ROJO</v>
      </c>
      <c r="JK17" s="43">
        <f t="shared" si="116"/>
        <v>0</v>
      </c>
      <c r="JM17" s="42" t="str">
        <f t="shared" si="117"/>
        <v>TAMAL ROJO</v>
      </c>
      <c r="JN17" s="43">
        <f t="shared" si="118"/>
        <v>0</v>
      </c>
      <c r="JP17" s="44">
        <f t="shared" si="119"/>
        <v>0</v>
      </c>
      <c r="JQ17" s="42" t="str">
        <f t="shared" si="120"/>
        <v>TAMAL ROJO</v>
      </c>
      <c r="JR17" s="43">
        <f t="shared" si="121"/>
        <v>0</v>
      </c>
      <c r="JT17" s="42" t="str">
        <f t="shared" si="122"/>
        <v>TAMAL ROJO</v>
      </c>
      <c r="JU17" s="43">
        <f t="shared" si="123"/>
        <v>0</v>
      </c>
      <c r="JW17" s="42" t="str">
        <f t="shared" si="124"/>
        <v>TAMAL ROJO</v>
      </c>
      <c r="JX17" s="43">
        <f t="shared" si="125"/>
        <v>0</v>
      </c>
      <c r="JZ17" s="44">
        <f t="shared" si="126"/>
        <v>0</v>
      </c>
    </row>
    <row r="18" spans="1:286" s="7" customFormat="1" ht="54" customHeight="1" x14ac:dyDescent="0.65">
      <c r="A18" s="46" t="s">
        <v>48</v>
      </c>
      <c r="B18" s="43"/>
      <c r="D18" s="46"/>
      <c r="E18" s="43"/>
      <c r="G18" s="42" t="str">
        <f t="shared" si="0"/>
        <v>CHILE RELLENO</v>
      </c>
      <c r="H18" s="43"/>
      <c r="J18" s="43">
        <f t="shared" si="1"/>
        <v>0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/>
      <c r="T18" s="43">
        <f t="shared" si="4"/>
        <v>0</v>
      </c>
      <c r="U18" s="42" t="str">
        <f t="shared" si="5"/>
        <v>CHILE RELLENO</v>
      </c>
      <c r="V18" s="43"/>
      <c r="X18" s="46"/>
      <c r="Y18" s="43"/>
      <c r="AA18" s="42" t="str">
        <f t="shared" si="6"/>
        <v>CHILE RELLENO</v>
      </c>
      <c r="AB18" s="43"/>
      <c r="AD18" s="43">
        <f t="shared" si="7"/>
        <v>0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/>
      <c r="AR18" s="46"/>
      <c r="AS18" s="43"/>
      <c r="AU18" s="42" t="str">
        <f t="shared" si="12"/>
        <v>CHILE RELLENO</v>
      </c>
      <c r="AV18" s="43"/>
      <c r="AX18" s="43">
        <f t="shared" si="13"/>
        <v>0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/>
      <c r="BL18" s="46"/>
      <c r="BM18" s="43"/>
      <c r="BO18" s="42" t="str">
        <f t="shared" si="18"/>
        <v>CHILE RELLENO</v>
      </c>
      <c r="BP18" s="43"/>
      <c r="BR18" s="43">
        <f t="shared" si="19"/>
        <v>0</v>
      </c>
      <c r="BS18" s="42" t="str">
        <f t="shared" si="20"/>
        <v>CHILE RELLENO</v>
      </c>
      <c r="BT18" s="43"/>
      <c r="BV18" s="46"/>
      <c r="BW18" s="43"/>
      <c r="BY18" s="42" t="str">
        <f t="shared" si="21"/>
        <v>CHILE RELLENO</v>
      </c>
      <c r="BZ18" s="43"/>
      <c r="CB18" s="43">
        <f t="shared" si="22"/>
        <v>0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7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/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0</v>
      </c>
      <c r="FE18" s="42" t="str">
        <f t="shared" si="50"/>
        <v>CHILE RELLENO</v>
      </c>
      <c r="FF18" s="43"/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0</v>
      </c>
      <c r="FO18" s="42" t="str">
        <f t="shared" si="54"/>
        <v>CHILE RELLENO</v>
      </c>
      <c r="FP18" s="43"/>
      <c r="FR18" s="42" t="str">
        <f t="shared" si="55"/>
        <v>CHILE RELLENO</v>
      </c>
      <c r="FS18" s="43"/>
      <c r="FU18" s="42" t="str">
        <f t="shared" si="56"/>
        <v>CHILE RELLENO</v>
      </c>
      <c r="FV18" s="43"/>
      <c r="FX18" s="43">
        <f t="shared" si="57"/>
        <v>0</v>
      </c>
      <c r="FY18" s="42" t="str">
        <f t="shared" si="58"/>
        <v>CHILE RELLENO</v>
      </c>
      <c r="FZ18" s="43"/>
      <c r="GB18" s="42" t="str">
        <f t="shared" si="59"/>
        <v>CHILE RELLENO</v>
      </c>
      <c r="GC18" s="43"/>
      <c r="GE18" s="42" t="str">
        <f t="shared" si="60"/>
        <v>CHILE RELLENO</v>
      </c>
      <c r="GF18" s="43"/>
      <c r="GH18" s="43">
        <f t="shared" si="61"/>
        <v>0</v>
      </c>
      <c r="GI18" s="42" t="str">
        <f t="shared" si="62"/>
        <v>CHILE RELLENO</v>
      </c>
      <c r="GJ18" s="43"/>
      <c r="GL18" s="42" t="str">
        <f t="shared" si="63"/>
        <v>CHILE RELLENO</v>
      </c>
      <c r="GM18" s="43"/>
      <c r="GO18" s="42" t="str">
        <f t="shared" si="64"/>
        <v>CHILE RELLENO</v>
      </c>
      <c r="GP18" s="43"/>
      <c r="GR18" s="43">
        <f t="shared" si="65"/>
        <v>0</v>
      </c>
      <c r="GS18" s="42" t="str">
        <f t="shared" si="66"/>
        <v>CHILE RELLENO</v>
      </c>
      <c r="GT18" s="43"/>
      <c r="GV18" s="42" t="str">
        <f t="shared" si="67"/>
        <v>CHILE RELLENO</v>
      </c>
      <c r="GW18" s="43"/>
      <c r="GY18" s="42" t="str">
        <f t="shared" si="68"/>
        <v>CHILE RELLENO</v>
      </c>
      <c r="GZ18" s="43"/>
      <c r="HB18" s="43">
        <f t="shared" si="69"/>
        <v>0</v>
      </c>
      <c r="HC18" s="42" t="str">
        <f t="shared" si="70"/>
        <v>CHILE RELLENO</v>
      </c>
      <c r="HD18" s="43">
        <f t="shared" si="71"/>
        <v>0</v>
      </c>
      <c r="HF18" s="42" t="str">
        <f t="shared" si="72"/>
        <v>CHILE RELLENO</v>
      </c>
      <c r="HG18" s="43">
        <f t="shared" si="73"/>
        <v>0</v>
      </c>
      <c r="HI18" s="42" t="str">
        <f t="shared" si="74"/>
        <v>CHILE RELLENO</v>
      </c>
      <c r="HJ18" s="43">
        <f t="shared" si="75"/>
        <v>0</v>
      </c>
      <c r="HL18" s="43">
        <f t="shared" si="76"/>
        <v>0</v>
      </c>
      <c r="HM18" s="42" t="str">
        <f t="shared" si="77"/>
        <v>CHILE RELLENO</v>
      </c>
      <c r="HN18" s="57">
        <f t="shared" si="78"/>
        <v>0</v>
      </c>
      <c r="HO18" s="44">
        <f t="shared" si="79"/>
        <v>0</v>
      </c>
      <c r="HP18" s="57">
        <f t="shared" si="80"/>
        <v>0</v>
      </c>
      <c r="HQ18" s="44">
        <f t="shared" si="81"/>
        <v>0</v>
      </c>
      <c r="HR18" s="57">
        <f t="shared" si="82"/>
        <v>0</v>
      </c>
      <c r="HS18" s="44">
        <f t="shared" si="83"/>
        <v>0</v>
      </c>
      <c r="HT18" s="57">
        <f t="shared" si="84"/>
        <v>0</v>
      </c>
      <c r="HU18" s="44">
        <f t="shared" si="85"/>
        <v>0</v>
      </c>
      <c r="HV18" s="57">
        <f t="shared" si="86"/>
        <v>0</v>
      </c>
      <c r="HW18" s="44">
        <f t="shared" si="87"/>
        <v>0</v>
      </c>
      <c r="HX18" s="57">
        <f t="shared" si="88"/>
        <v>0</v>
      </c>
      <c r="HY18" s="44">
        <f t="shared" si="89"/>
        <v>0</v>
      </c>
      <c r="HZ18" s="42" t="str">
        <f t="shared" si="90"/>
        <v>CHILE RELLENO</v>
      </c>
      <c r="IA18" s="57">
        <f t="shared" si="91"/>
        <v>0</v>
      </c>
      <c r="IB18" s="44">
        <f t="shared" si="92"/>
        <v>0</v>
      </c>
      <c r="IC18" s="57">
        <f t="shared" si="93"/>
        <v>0</v>
      </c>
      <c r="ID18" s="44">
        <f t="shared" si="94"/>
        <v>0</v>
      </c>
      <c r="IE18" s="57">
        <f t="shared" si="95"/>
        <v>0</v>
      </c>
      <c r="IF18" s="44">
        <f t="shared" si="96"/>
        <v>0</v>
      </c>
      <c r="IG18" s="57">
        <f t="shared" si="97"/>
        <v>0</v>
      </c>
      <c r="IH18" s="44">
        <f t="shared" si="98"/>
        <v>0</v>
      </c>
      <c r="II18" s="57">
        <f t="shared" si="99"/>
        <v>0</v>
      </c>
      <c r="IJ18" s="44"/>
      <c r="IK18" s="57"/>
      <c r="IL18" s="44">
        <f t="shared" si="100"/>
        <v>0</v>
      </c>
      <c r="IM18" s="42" t="str">
        <f t="shared" si="101"/>
        <v>CHILE RELLENO</v>
      </c>
      <c r="IN18" s="43">
        <f t="shared" si="102"/>
        <v>0</v>
      </c>
      <c r="IP18" s="42" t="str">
        <f t="shared" si="103"/>
        <v>CHILE RELLENO</v>
      </c>
      <c r="IQ18" s="43">
        <f t="shared" si="104"/>
        <v>0</v>
      </c>
      <c r="IS18" s="42" t="str">
        <f t="shared" si="105"/>
        <v>CHILE RELLENO</v>
      </c>
      <c r="IT18" s="43">
        <f t="shared" si="106"/>
        <v>0</v>
      </c>
      <c r="IV18" s="43"/>
      <c r="IW18" s="42" t="str">
        <f t="shared" si="107"/>
        <v>CHILE RELLENO</v>
      </c>
      <c r="IX18" s="43">
        <f t="shared" si="108"/>
        <v>0</v>
      </c>
      <c r="IZ18" s="42" t="str">
        <f t="shared" si="109"/>
        <v>CHILE RELLENO</v>
      </c>
      <c r="JA18" s="43">
        <f t="shared" si="110"/>
        <v>0</v>
      </c>
      <c r="JC18" s="42" t="str">
        <f t="shared" si="111"/>
        <v>CHILE RELLENO</v>
      </c>
      <c r="JD18" s="43">
        <f t="shared" si="112"/>
        <v>0</v>
      </c>
      <c r="JF18" s="43"/>
      <c r="JG18" s="42" t="str">
        <f t="shared" si="113"/>
        <v>CHILE RELLENO</v>
      </c>
      <c r="JH18" s="43">
        <f t="shared" si="114"/>
        <v>0</v>
      </c>
      <c r="JJ18" s="42" t="str">
        <f t="shared" si="115"/>
        <v>CHILE RELLENO</v>
      </c>
      <c r="JK18" s="43">
        <f t="shared" si="116"/>
        <v>0</v>
      </c>
      <c r="JM18" s="42" t="str">
        <f t="shared" si="117"/>
        <v>CHILE RELLENO</v>
      </c>
      <c r="JN18" s="43">
        <f t="shared" si="118"/>
        <v>0</v>
      </c>
      <c r="JP18" s="44">
        <f t="shared" si="119"/>
        <v>0</v>
      </c>
      <c r="JQ18" s="42" t="str">
        <f t="shared" si="120"/>
        <v>CHILE RELLENO</v>
      </c>
      <c r="JR18" s="43">
        <f t="shared" si="121"/>
        <v>0</v>
      </c>
      <c r="JT18" s="42" t="str">
        <f t="shared" si="122"/>
        <v>CHILE RELLENO</v>
      </c>
      <c r="JU18" s="43">
        <f t="shared" si="123"/>
        <v>0</v>
      </c>
      <c r="JW18" s="42" t="str">
        <f t="shared" si="124"/>
        <v>CHILE RELLENO</v>
      </c>
      <c r="JX18" s="43">
        <f t="shared" si="125"/>
        <v>0</v>
      </c>
      <c r="JZ18" s="44">
        <f t="shared" si="126"/>
        <v>0</v>
      </c>
    </row>
    <row r="19" spans="1:286" s="7" customFormat="1" ht="54" customHeight="1" x14ac:dyDescent="0.65">
      <c r="A19" s="46" t="s">
        <v>49</v>
      </c>
      <c r="B19" s="43"/>
      <c r="D19" s="46"/>
      <c r="E19" s="43"/>
      <c r="G19" s="42" t="str">
        <f t="shared" si="0"/>
        <v>TACO DORADO</v>
      </c>
      <c r="H19" s="43"/>
      <c r="J19" s="43">
        <f t="shared" si="1"/>
        <v>0</v>
      </c>
      <c r="K19" s="42" t="str">
        <f t="shared" si="2"/>
        <v>TACO DORADO</v>
      </c>
      <c r="L19" s="43"/>
      <c r="N19" s="46"/>
      <c r="O19" s="43"/>
      <c r="Q19" s="42" t="str">
        <f t="shared" si="3"/>
        <v>TACO DORADO</v>
      </c>
      <c r="R19" s="43"/>
      <c r="T19" s="43">
        <f t="shared" si="4"/>
        <v>0</v>
      </c>
      <c r="U19" s="42" t="str">
        <f t="shared" si="5"/>
        <v>TACO DORADO</v>
      </c>
      <c r="V19" s="43"/>
      <c r="X19" s="46"/>
      <c r="Y19" s="43"/>
      <c r="AA19" s="42" t="str">
        <f t="shared" si="6"/>
        <v>TACO DORADO</v>
      </c>
      <c r="AB19" s="43"/>
      <c r="AD19" s="43">
        <f t="shared" si="7"/>
        <v>0</v>
      </c>
      <c r="AE19" s="42" t="str">
        <f t="shared" si="8"/>
        <v>TACO DORADO</v>
      </c>
      <c r="AF19" s="43"/>
      <c r="AH19" s="46"/>
      <c r="AI19" s="43"/>
      <c r="AK19" s="42" t="str">
        <f t="shared" si="9"/>
        <v>TACO DORADO</v>
      </c>
      <c r="AL19" s="43"/>
      <c r="AN19" s="43">
        <f t="shared" si="10"/>
        <v>0</v>
      </c>
      <c r="AO19" s="42" t="str">
        <f t="shared" si="11"/>
        <v>TACO DORADO</v>
      </c>
      <c r="AP19" s="43"/>
      <c r="AR19" s="46"/>
      <c r="AS19" s="43"/>
      <c r="AU19" s="42" t="str">
        <f t="shared" si="12"/>
        <v>TACO DORADO</v>
      </c>
      <c r="AV19" s="43"/>
      <c r="AX19" s="43">
        <f t="shared" si="13"/>
        <v>0</v>
      </c>
      <c r="AY19" s="42" t="str">
        <f t="shared" si="14"/>
        <v>TACO DORADO</v>
      </c>
      <c r="AZ19" s="43"/>
      <c r="BB19" s="46"/>
      <c r="BC19" s="43"/>
      <c r="BE19" s="42" t="str">
        <f t="shared" si="15"/>
        <v>TACO DORADO</v>
      </c>
      <c r="BF19" s="43"/>
      <c r="BH19" s="43">
        <f t="shared" si="16"/>
        <v>0</v>
      </c>
      <c r="BI19" s="42" t="str">
        <f t="shared" si="17"/>
        <v>TACO DORADO</v>
      </c>
      <c r="BJ19" s="43"/>
      <c r="BL19" s="46"/>
      <c r="BM19" s="43"/>
      <c r="BO19" s="42" t="str">
        <f t="shared" si="18"/>
        <v>TACO DORADO</v>
      </c>
      <c r="BP19" s="43"/>
      <c r="BR19" s="43">
        <f t="shared" si="19"/>
        <v>0</v>
      </c>
      <c r="BS19" s="42" t="str">
        <f t="shared" si="20"/>
        <v>TACO DORADO</v>
      </c>
      <c r="BT19" s="43"/>
      <c r="BV19" s="46"/>
      <c r="BW19" s="43"/>
      <c r="BY19" s="42" t="str">
        <f t="shared" si="21"/>
        <v>TACO DORADO</v>
      </c>
      <c r="BZ19" s="43"/>
      <c r="CB19" s="43">
        <f t="shared" si="22"/>
        <v>0</v>
      </c>
      <c r="CC19" s="42" t="str">
        <f t="shared" si="23"/>
        <v>TACO DORADO</v>
      </c>
      <c r="CD19" s="43"/>
      <c r="CF19" s="46"/>
      <c r="CG19" s="43"/>
      <c r="CI19" s="42" t="str">
        <f t="shared" si="24"/>
        <v>TACO DORADO</v>
      </c>
      <c r="CJ19" s="43"/>
      <c r="CL19" s="43">
        <f t="shared" si="25"/>
        <v>0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/>
      <c r="CV19" s="43">
        <f t="shared" si="28"/>
        <v>0</v>
      </c>
      <c r="CW19" s="42" t="str">
        <f t="shared" si="29"/>
        <v>TACO DORADO</v>
      </c>
      <c r="CX19" s="43"/>
      <c r="CZ19" s="42"/>
      <c r="DA19" s="43"/>
      <c r="DC19" s="42" t="str">
        <f t="shared" si="127"/>
        <v>TACO DORADO</v>
      </c>
      <c r="DD19" s="43"/>
      <c r="DF19" s="43">
        <f t="shared" si="31"/>
        <v>0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65"/>
        <v>0</v>
      </c>
      <c r="GS19" s="42" t="str">
        <f t="shared" si="66"/>
        <v>TACO DORADO</v>
      </c>
      <c r="GT19" s="43"/>
      <c r="GV19" s="42" t="str">
        <f t="shared" si="67"/>
        <v>TACO DORADO</v>
      </c>
      <c r="GW19" s="43"/>
      <c r="GY19" s="42" t="str">
        <f t="shared" si="68"/>
        <v>TACO DORADO</v>
      </c>
      <c r="GZ19" s="43"/>
      <c r="HB19" s="43">
        <f t="shared" si="69"/>
        <v>0</v>
      </c>
      <c r="HC19" s="42" t="str">
        <f t="shared" si="70"/>
        <v>TACO DORADO</v>
      </c>
      <c r="HD19" s="43">
        <f t="shared" si="71"/>
        <v>0</v>
      </c>
      <c r="HF19" s="42" t="str">
        <f t="shared" si="72"/>
        <v>TACO DORADO</v>
      </c>
      <c r="HG19" s="43">
        <f t="shared" si="73"/>
        <v>0</v>
      </c>
      <c r="HI19" s="42" t="str">
        <f t="shared" si="74"/>
        <v>TACO DORADO</v>
      </c>
      <c r="HJ19" s="43">
        <f t="shared" si="75"/>
        <v>0</v>
      </c>
      <c r="HL19" s="43">
        <f t="shared" si="76"/>
        <v>0</v>
      </c>
      <c r="HM19" s="42" t="str">
        <f t="shared" si="77"/>
        <v>TACO DORADO</v>
      </c>
      <c r="HN19" s="57">
        <f t="shared" si="78"/>
        <v>0</v>
      </c>
      <c r="HO19" s="44">
        <f t="shared" si="79"/>
        <v>0</v>
      </c>
      <c r="HP19" s="57">
        <f t="shared" si="80"/>
        <v>0</v>
      </c>
      <c r="HQ19" s="44">
        <f t="shared" si="81"/>
        <v>0</v>
      </c>
      <c r="HR19" s="57">
        <f t="shared" si="82"/>
        <v>0</v>
      </c>
      <c r="HS19" s="44">
        <f t="shared" si="83"/>
        <v>0</v>
      </c>
      <c r="HT19" s="57">
        <f t="shared" si="84"/>
        <v>0</v>
      </c>
      <c r="HU19" s="44">
        <f t="shared" si="85"/>
        <v>0</v>
      </c>
      <c r="HV19" s="57">
        <f t="shared" si="86"/>
        <v>0</v>
      </c>
      <c r="HW19" s="44">
        <f t="shared" si="87"/>
        <v>0</v>
      </c>
      <c r="HX19" s="57">
        <f t="shared" si="88"/>
        <v>0</v>
      </c>
      <c r="HY19" s="44">
        <f t="shared" si="89"/>
        <v>0</v>
      </c>
      <c r="HZ19" s="42" t="str">
        <f t="shared" si="90"/>
        <v>TACO DORADO</v>
      </c>
      <c r="IA19" s="57">
        <f t="shared" si="91"/>
        <v>0</v>
      </c>
      <c r="IB19" s="44">
        <f t="shared" si="92"/>
        <v>0</v>
      </c>
      <c r="IC19" s="57">
        <f t="shared" si="93"/>
        <v>0</v>
      </c>
      <c r="ID19" s="44">
        <f t="shared" si="94"/>
        <v>0</v>
      </c>
      <c r="IE19" s="57">
        <f t="shared" si="95"/>
        <v>0</v>
      </c>
      <c r="IF19" s="44">
        <f t="shared" si="96"/>
        <v>0</v>
      </c>
      <c r="IG19" s="57">
        <f t="shared" si="97"/>
        <v>0</v>
      </c>
      <c r="IH19" s="44">
        <f t="shared" si="98"/>
        <v>0</v>
      </c>
      <c r="II19" s="57">
        <f t="shared" si="99"/>
        <v>0</v>
      </c>
      <c r="IJ19" s="44"/>
      <c r="IK19" s="57"/>
      <c r="IL19" s="44">
        <f t="shared" si="100"/>
        <v>0</v>
      </c>
      <c r="IM19" s="42" t="str">
        <f t="shared" si="101"/>
        <v>TACO DORADO</v>
      </c>
      <c r="IN19" s="43">
        <f t="shared" si="102"/>
        <v>0</v>
      </c>
      <c r="IP19" s="42" t="str">
        <f t="shared" si="103"/>
        <v>TACO DORADO</v>
      </c>
      <c r="IQ19" s="43">
        <f t="shared" si="104"/>
        <v>0</v>
      </c>
      <c r="IS19" s="42" t="str">
        <f t="shared" si="105"/>
        <v>TACO DORADO</v>
      </c>
      <c r="IT19" s="43">
        <f t="shared" si="106"/>
        <v>0</v>
      </c>
      <c r="IV19" s="43"/>
      <c r="IW19" s="42" t="str">
        <f t="shared" si="107"/>
        <v>TACO DORADO</v>
      </c>
      <c r="IX19" s="43">
        <f t="shared" si="108"/>
        <v>0</v>
      </c>
      <c r="IZ19" s="42" t="str">
        <f t="shared" si="109"/>
        <v>TACO DORADO</v>
      </c>
      <c r="JA19" s="43">
        <f t="shared" si="110"/>
        <v>0</v>
      </c>
      <c r="JC19" s="42" t="str">
        <f t="shared" si="111"/>
        <v>TACO DORADO</v>
      </c>
      <c r="JD19" s="43">
        <f t="shared" si="112"/>
        <v>0</v>
      </c>
      <c r="JF19" s="43"/>
      <c r="JG19" s="42" t="str">
        <f t="shared" si="113"/>
        <v>TACO DORADO</v>
      </c>
      <c r="JH19" s="43">
        <f t="shared" si="114"/>
        <v>0</v>
      </c>
      <c r="JJ19" s="42" t="str">
        <f t="shared" si="115"/>
        <v>TACO DORADO</v>
      </c>
      <c r="JK19" s="43">
        <f t="shared" si="116"/>
        <v>0</v>
      </c>
      <c r="JM19" s="42" t="str">
        <f t="shared" si="117"/>
        <v>TACO DORADO</v>
      </c>
      <c r="JN19" s="43">
        <f t="shared" si="118"/>
        <v>0</v>
      </c>
      <c r="JP19" s="44">
        <f t="shared" si="119"/>
        <v>0</v>
      </c>
      <c r="JQ19" s="42" t="str">
        <f t="shared" si="120"/>
        <v>TACO DORADO</v>
      </c>
      <c r="JR19" s="43">
        <f t="shared" si="121"/>
        <v>0</v>
      </c>
      <c r="JT19" s="42" t="str">
        <f t="shared" si="122"/>
        <v>TACO DORADO</v>
      </c>
      <c r="JU19" s="43">
        <f t="shared" si="123"/>
        <v>0</v>
      </c>
      <c r="JW19" s="42" t="str">
        <f t="shared" si="124"/>
        <v>TACO DORADO</v>
      </c>
      <c r="JX19" s="43">
        <f t="shared" si="125"/>
        <v>0</v>
      </c>
      <c r="JZ19" s="44">
        <f t="shared" si="126"/>
        <v>0</v>
      </c>
    </row>
    <row r="20" spans="1:286" s="7" customFormat="1" ht="54" customHeight="1" x14ac:dyDescent="0.65">
      <c r="A20" s="46" t="s">
        <v>50</v>
      </c>
      <c r="B20" s="43"/>
      <c r="D20" s="46"/>
      <c r="E20" s="43"/>
      <c r="G20" s="42" t="str">
        <f t="shared" si="0"/>
        <v>ADOBO PICADILLO</v>
      </c>
      <c r="H20" s="43"/>
      <c r="J20" s="43">
        <f t="shared" si="1"/>
        <v>0</v>
      </c>
      <c r="K20" s="42" t="str">
        <f t="shared" si="2"/>
        <v>ADOBO PICADILLO</v>
      </c>
      <c r="L20" s="43"/>
      <c r="N20" s="46"/>
      <c r="O20" s="43"/>
      <c r="Q20" s="42" t="str">
        <f t="shared" si="3"/>
        <v>ADOBO PICADILLO</v>
      </c>
      <c r="R20" s="43"/>
      <c r="T20" s="43">
        <f t="shared" si="4"/>
        <v>0</v>
      </c>
      <c r="U20" s="42" t="str">
        <f t="shared" si="5"/>
        <v>ADOBO PICADILLO</v>
      </c>
      <c r="V20" s="43"/>
      <c r="X20" s="46"/>
      <c r="Y20" s="43"/>
      <c r="AA20" s="42" t="str">
        <f t="shared" si="6"/>
        <v>ADOBO PICADILLO</v>
      </c>
      <c r="AB20" s="43"/>
      <c r="AD20" s="43">
        <f t="shared" si="7"/>
        <v>0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/>
      <c r="AR20" s="46"/>
      <c r="AS20" s="43"/>
      <c r="AU20" s="42" t="str">
        <f t="shared" si="12"/>
        <v>ADOBO PICADILLO</v>
      </c>
      <c r="AV20" s="43"/>
      <c r="AX20" s="43">
        <f t="shared" si="13"/>
        <v>0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/>
      <c r="BH20" s="43">
        <f t="shared" si="16"/>
        <v>0</v>
      </c>
      <c r="BI20" s="42" t="str">
        <f t="shared" si="17"/>
        <v>ADOBO PICADILLO</v>
      </c>
      <c r="BJ20" s="43"/>
      <c r="BL20" s="46"/>
      <c r="BM20" s="43"/>
      <c r="BO20" s="42" t="str">
        <f t="shared" si="18"/>
        <v>ADOBO PICADILLO</v>
      </c>
      <c r="BP20" s="43"/>
      <c r="BR20" s="43">
        <f t="shared" si="19"/>
        <v>0</v>
      </c>
      <c r="BS20" s="42" t="str">
        <f t="shared" si="20"/>
        <v>ADOBO PICADILLO</v>
      </c>
      <c r="BT20" s="43"/>
      <c r="BV20" s="46"/>
      <c r="BW20" s="43"/>
      <c r="BY20" s="42" t="str">
        <f t="shared" si="21"/>
        <v>ADOBO PICADILLO</v>
      </c>
      <c r="BZ20" s="43"/>
      <c r="CB20" s="43">
        <f t="shared" si="22"/>
        <v>0</v>
      </c>
      <c r="CC20" s="42" t="str">
        <f t="shared" si="23"/>
        <v>ADOBO PICADILLO</v>
      </c>
      <c r="CD20" s="43"/>
      <c r="CF20" s="46"/>
      <c r="CG20" s="43"/>
      <c r="CI20" s="42" t="str">
        <f t="shared" si="24"/>
        <v>ADOBO PICADILLO</v>
      </c>
      <c r="CJ20" s="43"/>
      <c r="CL20" s="43">
        <f t="shared" si="25"/>
        <v>0</v>
      </c>
      <c r="CM20" s="42" t="str">
        <f t="shared" si="26"/>
        <v>ADOBO PICADILLO</v>
      </c>
      <c r="CN20" s="43"/>
      <c r="CP20" s="42"/>
      <c r="CQ20" s="43"/>
      <c r="CS20" s="42" t="str">
        <f t="shared" si="27"/>
        <v>ADOBO PICADILLO</v>
      </c>
      <c r="CT20" s="43"/>
      <c r="CV20" s="43">
        <f t="shared" si="28"/>
        <v>0</v>
      </c>
      <c r="CW20" s="42" t="str">
        <f t="shared" si="29"/>
        <v>ADOBO PICADILLO</v>
      </c>
      <c r="CX20" s="43"/>
      <c r="CZ20" s="42"/>
      <c r="DA20" s="43"/>
      <c r="DC20" s="42" t="str">
        <f t="shared" si="127"/>
        <v>ADOBO PICADILLO</v>
      </c>
      <c r="DD20" s="43"/>
      <c r="DF20" s="43">
        <f t="shared" si="31"/>
        <v>0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 t="str">
        <f t="shared" si="58"/>
        <v>ADOBO PICADILLO</v>
      </c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65"/>
        <v>0</v>
      </c>
      <c r="GS20" s="42" t="str">
        <f t="shared" si="66"/>
        <v>ADOBO PICADILLO</v>
      </c>
      <c r="GT20" s="43"/>
      <c r="GV20" s="42" t="str">
        <f t="shared" si="67"/>
        <v>ADOBO PICADILLO</v>
      </c>
      <c r="GW20" s="43"/>
      <c r="GY20" s="42" t="str">
        <f t="shared" si="68"/>
        <v>ADOBO PICADILLO</v>
      </c>
      <c r="GZ20" s="43"/>
      <c r="HB20" s="43">
        <f t="shared" si="69"/>
        <v>0</v>
      </c>
      <c r="HC20" s="42" t="str">
        <f t="shared" si="70"/>
        <v>ADOBO PICADILLO</v>
      </c>
      <c r="HD20" s="43">
        <f t="shared" si="71"/>
        <v>0</v>
      </c>
      <c r="HF20" s="42" t="str">
        <f t="shared" si="72"/>
        <v>ADOBO PICADILLO</v>
      </c>
      <c r="HG20" s="43">
        <f t="shared" si="73"/>
        <v>0</v>
      </c>
      <c r="HI20" s="42" t="str">
        <f t="shared" si="74"/>
        <v>ADOBO PICADILLO</v>
      </c>
      <c r="HJ20" s="43">
        <f t="shared" si="75"/>
        <v>0</v>
      </c>
      <c r="HL20" s="43">
        <f t="shared" si="76"/>
        <v>0</v>
      </c>
      <c r="HM20" s="42" t="str">
        <f t="shared" si="77"/>
        <v>ADOBO PICADILLO</v>
      </c>
      <c r="HN20" s="57">
        <f t="shared" si="78"/>
        <v>0</v>
      </c>
      <c r="HO20" s="44">
        <f t="shared" si="79"/>
        <v>0</v>
      </c>
      <c r="HP20" s="57">
        <f t="shared" si="80"/>
        <v>0</v>
      </c>
      <c r="HQ20" s="44">
        <f t="shared" si="81"/>
        <v>0</v>
      </c>
      <c r="HR20" s="57">
        <f t="shared" si="82"/>
        <v>0</v>
      </c>
      <c r="HS20" s="44">
        <f t="shared" si="83"/>
        <v>0</v>
      </c>
      <c r="HT20" s="57">
        <f t="shared" si="84"/>
        <v>0</v>
      </c>
      <c r="HU20" s="44">
        <f t="shared" si="85"/>
        <v>0</v>
      </c>
      <c r="HV20" s="57">
        <f t="shared" si="86"/>
        <v>0</v>
      </c>
      <c r="HW20" s="44">
        <f t="shared" si="87"/>
        <v>0</v>
      </c>
      <c r="HX20" s="57">
        <f t="shared" si="88"/>
        <v>0</v>
      </c>
      <c r="HY20" s="44">
        <f t="shared" si="89"/>
        <v>0</v>
      </c>
      <c r="HZ20" s="42" t="str">
        <f t="shared" si="90"/>
        <v>ADOBO PICADILLO</v>
      </c>
      <c r="IA20" s="57">
        <f t="shared" si="91"/>
        <v>0</v>
      </c>
      <c r="IB20" s="44">
        <f t="shared" si="92"/>
        <v>0</v>
      </c>
      <c r="IC20" s="57">
        <f t="shared" si="93"/>
        <v>0</v>
      </c>
      <c r="ID20" s="44">
        <f t="shared" si="94"/>
        <v>0</v>
      </c>
      <c r="IE20" s="57">
        <f t="shared" si="95"/>
        <v>0</v>
      </c>
      <c r="IF20" s="44">
        <f t="shared" si="96"/>
        <v>0</v>
      </c>
      <c r="IG20" s="57">
        <f t="shared" si="97"/>
        <v>0</v>
      </c>
      <c r="IH20" s="44">
        <f t="shared" si="98"/>
        <v>0</v>
      </c>
      <c r="II20" s="57">
        <f t="shared" si="99"/>
        <v>0</v>
      </c>
      <c r="IJ20" s="44"/>
      <c r="IK20" s="57"/>
      <c r="IL20" s="44">
        <f t="shared" si="100"/>
        <v>0</v>
      </c>
      <c r="IM20" s="42" t="str">
        <f t="shared" si="101"/>
        <v>ADOBO PICADILLO</v>
      </c>
      <c r="IN20" s="43">
        <f t="shared" si="102"/>
        <v>0</v>
      </c>
      <c r="IP20" s="42" t="str">
        <f t="shared" si="103"/>
        <v>ADOBO PICADILLO</v>
      </c>
      <c r="IQ20" s="43">
        <f t="shared" si="104"/>
        <v>0</v>
      </c>
      <c r="IS20" s="42" t="str">
        <f t="shared" si="105"/>
        <v>ADOBO PICADILLO</v>
      </c>
      <c r="IT20" s="43">
        <f t="shared" si="106"/>
        <v>0</v>
      </c>
      <c r="IV20" s="43"/>
      <c r="IW20" s="42" t="str">
        <f t="shared" si="107"/>
        <v>ADOBO PICADILLO</v>
      </c>
      <c r="IX20" s="43">
        <f t="shared" si="108"/>
        <v>0</v>
      </c>
      <c r="IZ20" s="42" t="str">
        <f t="shared" si="109"/>
        <v>ADOBO PICADILLO</v>
      </c>
      <c r="JA20" s="43">
        <f t="shared" si="110"/>
        <v>0</v>
      </c>
      <c r="JC20" s="42" t="str">
        <f t="shared" si="111"/>
        <v>ADOBO PICADILLO</v>
      </c>
      <c r="JD20" s="43">
        <f t="shared" si="112"/>
        <v>0</v>
      </c>
      <c r="JF20" s="43"/>
      <c r="JG20" s="42" t="str">
        <f t="shared" si="113"/>
        <v>ADOBO PICADILLO</v>
      </c>
      <c r="JH20" s="43">
        <f t="shared" si="114"/>
        <v>0</v>
      </c>
      <c r="JJ20" s="42" t="str">
        <f t="shared" si="115"/>
        <v>ADOBO PICADILLO</v>
      </c>
      <c r="JK20" s="43">
        <f t="shared" si="116"/>
        <v>0</v>
      </c>
      <c r="JM20" s="42" t="str">
        <f t="shared" si="117"/>
        <v>ADOBO PICADILLO</v>
      </c>
      <c r="JN20" s="43">
        <f t="shared" si="118"/>
        <v>0</v>
      </c>
      <c r="JP20" s="44">
        <f t="shared" si="119"/>
        <v>0</v>
      </c>
      <c r="JQ20" s="42" t="str">
        <f t="shared" si="120"/>
        <v>ADOBO PICADILLO</v>
      </c>
      <c r="JR20" s="43">
        <f t="shared" si="121"/>
        <v>0</v>
      </c>
      <c r="JT20" s="42" t="str">
        <f t="shared" si="122"/>
        <v>ADOBO PICADILLO</v>
      </c>
      <c r="JU20" s="43">
        <f t="shared" si="123"/>
        <v>0</v>
      </c>
      <c r="JW20" s="42" t="str">
        <f t="shared" si="124"/>
        <v>ADOBO PICADILLO</v>
      </c>
      <c r="JX20" s="43">
        <f t="shared" si="125"/>
        <v>0</v>
      </c>
      <c r="JZ20" s="44">
        <f t="shared" si="126"/>
        <v>0</v>
      </c>
    </row>
    <row r="21" spans="1:286" s="7" customFormat="1" ht="54" customHeight="1" x14ac:dyDescent="0.65">
      <c r="A21" s="46" t="s">
        <v>51</v>
      </c>
      <c r="B21" s="43"/>
      <c r="D21" s="46"/>
      <c r="E21" s="43"/>
      <c r="G21" s="42" t="str">
        <f t="shared" si="0"/>
        <v>CARNITAS</v>
      </c>
      <c r="H21" s="43"/>
      <c r="J21" s="43">
        <f t="shared" si="1"/>
        <v>0</v>
      </c>
      <c r="K21" s="42" t="str">
        <f t="shared" si="2"/>
        <v>CARNITAS</v>
      </c>
      <c r="L21" s="43"/>
      <c r="N21" s="46"/>
      <c r="O21" s="43"/>
      <c r="Q21" s="42" t="str">
        <f t="shared" si="3"/>
        <v>CARNITAS</v>
      </c>
      <c r="R21" s="43"/>
      <c r="T21" s="43">
        <f t="shared" si="4"/>
        <v>0</v>
      </c>
      <c r="U21" s="42" t="str">
        <f t="shared" si="5"/>
        <v>CARNITAS</v>
      </c>
      <c r="V21" s="43"/>
      <c r="X21" s="46"/>
      <c r="Y21" s="43"/>
      <c r="AA21" s="42" t="str">
        <f t="shared" si="6"/>
        <v>CARNITAS</v>
      </c>
      <c r="AB21" s="43"/>
      <c r="AD21" s="43">
        <f t="shared" si="7"/>
        <v>0</v>
      </c>
      <c r="AE21" s="42" t="str">
        <f t="shared" si="8"/>
        <v>CARNITAS</v>
      </c>
      <c r="AF21" s="43"/>
      <c r="AH21" s="46"/>
      <c r="AI21" s="43"/>
      <c r="AK21" s="42" t="str">
        <f t="shared" si="9"/>
        <v>CARNITAS</v>
      </c>
      <c r="AL21" s="43"/>
      <c r="AN21" s="43">
        <f t="shared" si="10"/>
        <v>0</v>
      </c>
      <c r="AO21" s="42" t="str">
        <f t="shared" si="11"/>
        <v>CARNITAS</v>
      </c>
      <c r="AP21" s="43"/>
      <c r="AR21" s="46"/>
      <c r="AS21" s="43"/>
      <c r="AU21" s="42" t="str">
        <f t="shared" si="12"/>
        <v>CARNITAS</v>
      </c>
      <c r="AV21" s="43"/>
      <c r="AX21" s="43">
        <f t="shared" si="13"/>
        <v>0</v>
      </c>
      <c r="AY21" s="42" t="str">
        <f t="shared" si="14"/>
        <v>CARNITAS</v>
      </c>
      <c r="AZ21" s="43"/>
      <c r="BB21" s="46"/>
      <c r="BC21" s="43"/>
      <c r="BE21" s="42" t="str">
        <f t="shared" si="15"/>
        <v>CARNITAS</v>
      </c>
      <c r="BF21" s="43"/>
      <c r="BH21" s="43">
        <f t="shared" si="16"/>
        <v>0</v>
      </c>
      <c r="BI21" s="42" t="str">
        <f t="shared" si="17"/>
        <v>CARNITAS</v>
      </c>
      <c r="BJ21" s="43"/>
      <c r="BL21" s="46"/>
      <c r="BM21" s="43"/>
      <c r="BO21" s="42" t="str">
        <f t="shared" si="18"/>
        <v>CARNITAS</v>
      </c>
      <c r="BP21" s="43"/>
      <c r="BR21" s="43">
        <f t="shared" si="19"/>
        <v>0</v>
      </c>
      <c r="BS21" s="42" t="str">
        <f t="shared" si="20"/>
        <v>CARNITAS</v>
      </c>
      <c r="BT21" s="43"/>
      <c r="BV21" s="46"/>
      <c r="BW21" s="43"/>
      <c r="BY21" s="42" t="str">
        <f t="shared" si="21"/>
        <v>CARNITAS</v>
      </c>
      <c r="BZ21" s="43"/>
      <c r="CB21" s="43">
        <f t="shared" si="22"/>
        <v>0</v>
      </c>
      <c r="CC21" s="42" t="str">
        <f t="shared" si="23"/>
        <v>CARNITAS</v>
      </c>
      <c r="CD21" s="43"/>
      <c r="CF21" s="46"/>
      <c r="CG21" s="43"/>
      <c r="CI21" s="42" t="str">
        <f t="shared" si="24"/>
        <v>CARNITAS</v>
      </c>
      <c r="CJ21" s="43"/>
      <c r="CL21" s="43">
        <f t="shared" si="25"/>
        <v>0</v>
      </c>
      <c r="CM21" s="42" t="str">
        <f t="shared" si="26"/>
        <v>CARNITAS</v>
      </c>
      <c r="CN21" s="43"/>
      <c r="CP21" s="42"/>
      <c r="CQ21" s="43"/>
      <c r="CS21" s="42" t="str">
        <f t="shared" si="27"/>
        <v>CARNITAS</v>
      </c>
      <c r="CT21" s="43"/>
      <c r="CV21" s="43">
        <f t="shared" si="28"/>
        <v>0</v>
      </c>
      <c r="CW21" s="42" t="str">
        <f t="shared" si="29"/>
        <v>CARNITAS</v>
      </c>
      <c r="CX21" s="43"/>
      <c r="CZ21" s="42"/>
      <c r="DA21" s="43"/>
      <c r="DC21" s="42" t="str">
        <f t="shared" si="127"/>
        <v>CARNITAS</v>
      </c>
      <c r="DD21" s="43"/>
      <c r="DF21" s="43">
        <f t="shared" si="31"/>
        <v>0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tr">
        <f t="shared" si="58"/>
        <v>CARNITAS</v>
      </c>
      <c r="FZ21" s="43"/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0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65"/>
        <v>0</v>
      </c>
      <c r="GS21" s="42" t="str">
        <f t="shared" si="66"/>
        <v>CARNITAS</v>
      </c>
      <c r="GT21" s="43"/>
      <c r="GV21" s="42" t="str">
        <f t="shared" si="67"/>
        <v>CARNITAS</v>
      </c>
      <c r="GW21" s="43"/>
      <c r="GY21" s="42" t="str">
        <f t="shared" si="68"/>
        <v>CARNITAS</v>
      </c>
      <c r="GZ21" s="43"/>
      <c r="HB21" s="43">
        <f t="shared" si="69"/>
        <v>0</v>
      </c>
      <c r="HC21" s="42" t="str">
        <f t="shared" si="70"/>
        <v>CARNITAS</v>
      </c>
      <c r="HD21" s="43">
        <f t="shared" si="71"/>
        <v>0</v>
      </c>
      <c r="HF21" s="42" t="str">
        <f t="shared" si="72"/>
        <v>CARNITAS</v>
      </c>
      <c r="HG21" s="43">
        <f t="shared" si="73"/>
        <v>0</v>
      </c>
      <c r="HI21" s="42" t="str">
        <f t="shared" si="74"/>
        <v>CARNITAS</v>
      </c>
      <c r="HJ21" s="43">
        <f t="shared" si="75"/>
        <v>0</v>
      </c>
      <c r="HL21" s="43">
        <f t="shared" si="76"/>
        <v>0</v>
      </c>
      <c r="HM21" s="42" t="str">
        <f t="shared" si="77"/>
        <v>CARNITAS</v>
      </c>
      <c r="HN21" s="57">
        <f t="shared" si="78"/>
        <v>0</v>
      </c>
      <c r="HO21" s="44">
        <f t="shared" si="79"/>
        <v>0</v>
      </c>
      <c r="HP21" s="57">
        <f t="shared" si="80"/>
        <v>0</v>
      </c>
      <c r="HQ21" s="44">
        <f t="shared" si="81"/>
        <v>0</v>
      </c>
      <c r="HR21" s="57">
        <f t="shared" si="82"/>
        <v>0</v>
      </c>
      <c r="HS21" s="44">
        <f t="shared" si="83"/>
        <v>0</v>
      </c>
      <c r="HT21" s="57">
        <f t="shared" si="84"/>
        <v>0</v>
      </c>
      <c r="HU21" s="44">
        <f t="shared" si="85"/>
        <v>0</v>
      </c>
      <c r="HV21" s="57">
        <f t="shared" si="86"/>
        <v>0</v>
      </c>
      <c r="HW21" s="44">
        <f t="shared" si="87"/>
        <v>0</v>
      </c>
      <c r="HX21" s="57">
        <f t="shared" si="88"/>
        <v>0</v>
      </c>
      <c r="HY21" s="44">
        <f t="shared" si="89"/>
        <v>0</v>
      </c>
      <c r="HZ21" s="42" t="str">
        <f t="shared" si="90"/>
        <v>CARNITAS</v>
      </c>
      <c r="IA21" s="57">
        <f t="shared" si="91"/>
        <v>0</v>
      </c>
      <c r="IB21" s="44">
        <f t="shared" si="92"/>
        <v>0</v>
      </c>
      <c r="IC21" s="57">
        <f t="shared" si="93"/>
        <v>0</v>
      </c>
      <c r="ID21" s="44">
        <f t="shared" si="94"/>
        <v>0</v>
      </c>
      <c r="IE21" s="57">
        <f t="shared" si="95"/>
        <v>0</v>
      </c>
      <c r="IF21" s="44">
        <f t="shared" si="96"/>
        <v>0</v>
      </c>
      <c r="IG21" s="57">
        <f t="shared" si="97"/>
        <v>0</v>
      </c>
      <c r="IH21" s="44">
        <f t="shared" si="98"/>
        <v>0</v>
      </c>
      <c r="II21" s="57">
        <f t="shared" si="99"/>
        <v>0</v>
      </c>
      <c r="IJ21" s="44"/>
      <c r="IK21" s="57"/>
      <c r="IL21" s="44">
        <f t="shared" si="100"/>
        <v>0</v>
      </c>
      <c r="IM21" s="42" t="str">
        <f t="shared" si="101"/>
        <v>CARNITAS</v>
      </c>
      <c r="IN21" s="43">
        <f t="shared" si="102"/>
        <v>0</v>
      </c>
      <c r="IP21" s="42" t="str">
        <f t="shared" si="103"/>
        <v>CARNITAS</v>
      </c>
      <c r="IQ21" s="43">
        <f t="shared" si="104"/>
        <v>0</v>
      </c>
      <c r="IS21" s="42" t="str">
        <f t="shared" si="105"/>
        <v>CARNITAS</v>
      </c>
      <c r="IT21" s="43">
        <f t="shared" si="106"/>
        <v>0</v>
      </c>
      <c r="IV21" s="43"/>
      <c r="IW21" s="42" t="str">
        <f t="shared" si="107"/>
        <v>CARNITAS</v>
      </c>
      <c r="IX21" s="43">
        <f t="shared" si="108"/>
        <v>0</v>
      </c>
      <c r="IZ21" s="42" t="str">
        <f t="shared" si="109"/>
        <v>CARNITAS</v>
      </c>
      <c r="JA21" s="43">
        <f t="shared" si="110"/>
        <v>0</v>
      </c>
      <c r="JC21" s="42" t="str">
        <f t="shared" si="111"/>
        <v>CARNITAS</v>
      </c>
      <c r="JD21" s="43">
        <f t="shared" si="112"/>
        <v>0</v>
      </c>
      <c r="JF21" s="43"/>
      <c r="JG21" s="42" t="str">
        <f t="shared" si="113"/>
        <v>CARNITAS</v>
      </c>
      <c r="JH21" s="43">
        <f t="shared" si="114"/>
        <v>0</v>
      </c>
      <c r="JJ21" s="42" t="str">
        <f t="shared" si="115"/>
        <v>CARNITAS</v>
      </c>
      <c r="JK21" s="43">
        <f t="shared" si="116"/>
        <v>0</v>
      </c>
      <c r="JM21" s="42" t="str">
        <f t="shared" si="117"/>
        <v>CARNITAS</v>
      </c>
      <c r="JN21" s="43">
        <f t="shared" si="118"/>
        <v>0</v>
      </c>
      <c r="JP21" s="44">
        <f t="shared" si="119"/>
        <v>0</v>
      </c>
      <c r="JQ21" s="42" t="str">
        <f t="shared" si="120"/>
        <v>CARNITAS</v>
      </c>
      <c r="JR21" s="43">
        <f t="shared" si="121"/>
        <v>0</v>
      </c>
      <c r="JT21" s="42" t="str">
        <f t="shared" si="122"/>
        <v>CARNITAS</v>
      </c>
      <c r="JU21" s="43">
        <f t="shared" si="123"/>
        <v>0</v>
      </c>
      <c r="JW21" s="42" t="str">
        <f t="shared" si="124"/>
        <v>CARNITAS</v>
      </c>
      <c r="JX21" s="43">
        <f t="shared" si="125"/>
        <v>0</v>
      </c>
      <c r="JZ21" s="44">
        <f t="shared" si="126"/>
        <v>0</v>
      </c>
    </row>
    <row r="22" spans="1:286" s="7" customFormat="1" ht="54" customHeight="1" x14ac:dyDescent="0.65">
      <c r="A22" s="46" t="s">
        <v>52</v>
      </c>
      <c r="B22" s="43"/>
      <c r="D22" s="46"/>
      <c r="E22" s="43"/>
      <c r="G22" s="42" t="str">
        <f t="shared" si="0"/>
        <v>CATERING</v>
      </c>
      <c r="H22" s="43"/>
      <c r="J22" s="43">
        <f t="shared" si="1"/>
        <v>0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/>
      <c r="BV22" s="46"/>
      <c r="BW22" s="43"/>
      <c r="BY22" s="42" t="str">
        <f t="shared" si="21"/>
        <v>CATERING</v>
      </c>
      <c r="BZ22" s="43"/>
      <c r="CB22" s="43">
        <f t="shared" si="22"/>
        <v>0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/>
      <c r="CZ22" s="42"/>
      <c r="DA22" s="43"/>
      <c r="DC22" s="42" t="str">
        <f t="shared" si="127"/>
        <v>CATERING</v>
      </c>
      <c r="DD22" s="43"/>
      <c r="DF22" s="43">
        <f t="shared" si="31"/>
        <v>0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tr">
        <f t="shared" si="58"/>
        <v>CATERING</v>
      </c>
      <c r="FZ22" s="43"/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0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65"/>
        <v>0</v>
      </c>
      <c r="GS22" s="42" t="str">
        <f t="shared" si="66"/>
        <v>CATERING</v>
      </c>
      <c r="GT22" s="43"/>
      <c r="GV22" s="42" t="str">
        <f t="shared" si="67"/>
        <v>CATERING</v>
      </c>
      <c r="GW22" s="43"/>
      <c r="GY22" s="42" t="str">
        <f t="shared" si="68"/>
        <v>CATERING</v>
      </c>
      <c r="GZ22" s="43"/>
      <c r="HB22" s="43">
        <f t="shared" si="69"/>
        <v>0</v>
      </c>
      <c r="HC22" s="42" t="str">
        <f t="shared" si="70"/>
        <v>CATERING</v>
      </c>
      <c r="HD22" s="43">
        <f t="shared" si="71"/>
        <v>0</v>
      </c>
      <c r="HF22" s="42" t="str">
        <f t="shared" si="72"/>
        <v>CATERING</v>
      </c>
      <c r="HG22" s="43">
        <f t="shared" si="73"/>
        <v>0</v>
      </c>
      <c r="HI22" s="42" t="str">
        <f t="shared" si="74"/>
        <v>CATERING</v>
      </c>
      <c r="HJ22" s="43">
        <f t="shared" si="75"/>
        <v>0</v>
      </c>
      <c r="HL22" s="43">
        <f t="shared" si="76"/>
        <v>0</v>
      </c>
      <c r="HM22" s="42" t="str">
        <f t="shared" si="77"/>
        <v>CATERING</v>
      </c>
      <c r="HN22" s="57">
        <f t="shared" si="78"/>
        <v>0</v>
      </c>
      <c r="HO22" s="44">
        <f t="shared" si="79"/>
        <v>0</v>
      </c>
      <c r="HP22" s="57">
        <f t="shared" si="80"/>
        <v>0</v>
      </c>
      <c r="HQ22" s="44">
        <f t="shared" si="81"/>
        <v>0</v>
      </c>
      <c r="HR22" s="57">
        <f t="shared" si="82"/>
        <v>0</v>
      </c>
      <c r="HS22" s="44">
        <f t="shared" si="83"/>
        <v>0</v>
      </c>
      <c r="HT22" s="57">
        <f t="shared" si="84"/>
        <v>0</v>
      </c>
      <c r="HU22" s="44">
        <f t="shared" si="85"/>
        <v>0</v>
      </c>
      <c r="HV22" s="57">
        <f t="shared" si="86"/>
        <v>0</v>
      </c>
      <c r="HW22" s="44">
        <f t="shared" si="87"/>
        <v>0</v>
      </c>
      <c r="HX22" s="57">
        <f t="shared" si="88"/>
        <v>0</v>
      </c>
      <c r="HY22" s="44">
        <f t="shared" si="89"/>
        <v>0</v>
      </c>
      <c r="HZ22" s="42" t="str">
        <f t="shared" si="90"/>
        <v>CATERING</v>
      </c>
      <c r="IA22" s="57">
        <f t="shared" si="91"/>
        <v>0</v>
      </c>
      <c r="IB22" s="44">
        <f t="shared" si="92"/>
        <v>0</v>
      </c>
      <c r="IC22" s="57">
        <f t="shared" si="93"/>
        <v>0</v>
      </c>
      <c r="ID22" s="44">
        <f t="shared" si="94"/>
        <v>0</v>
      </c>
      <c r="IE22" s="57">
        <f t="shared" si="95"/>
        <v>0</v>
      </c>
      <c r="IF22" s="44">
        <f t="shared" si="96"/>
        <v>0</v>
      </c>
      <c r="IG22" s="57">
        <f t="shared" si="97"/>
        <v>0</v>
      </c>
      <c r="IH22" s="44">
        <f t="shared" si="98"/>
        <v>0</v>
      </c>
      <c r="II22" s="57">
        <f t="shared" si="99"/>
        <v>0</v>
      </c>
      <c r="IJ22" s="44"/>
      <c r="IK22" s="57"/>
      <c r="IL22" s="44">
        <f t="shared" si="100"/>
        <v>0</v>
      </c>
      <c r="IM22" s="42" t="str">
        <f t="shared" si="101"/>
        <v>CATERING</v>
      </c>
      <c r="IN22" s="43">
        <f t="shared" si="102"/>
        <v>0</v>
      </c>
      <c r="IP22" s="42" t="str">
        <f t="shared" si="103"/>
        <v>CATERING</v>
      </c>
      <c r="IQ22" s="43">
        <f t="shared" si="104"/>
        <v>0</v>
      </c>
      <c r="IS22" s="42" t="str">
        <f t="shared" si="105"/>
        <v>CATERING</v>
      </c>
      <c r="IT22" s="43">
        <f t="shared" si="106"/>
        <v>0</v>
      </c>
      <c r="IV22" s="43"/>
      <c r="IW22" s="42" t="str">
        <f t="shared" si="107"/>
        <v>CATERING</v>
      </c>
      <c r="IX22" s="43">
        <f t="shared" si="108"/>
        <v>0</v>
      </c>
      <c r="IZ22" s="42" t="str">
        <f t="shared" si="109"/>
        <v>CATERING</v>
      </c>
      <c r="JA22" s="43">
        <f t="shared" si="110"/>
        <v>0</v>
      </c>
      <c r="JC22" s="42" t="str">
        <f t="shared" si="111"/>
        <v>CATERING</v>
      </c>
      <c r="JD22" s="43">
        <f t="shared" si="112"/>
        <v>0</v>
      </c>
      <c r="JF22" s="43"/>
      <c r="JG22" s="42" t="str">
        <f t="shared" si="113"/>
        <v>CATERING</v>
      </c>
      <c r="JH22" s="43">
        <f t="shared" si="114"/>
        <v>0</v>
      </c>
      <c r="JJ22" s="42" t="str">
        <f t="shared" si="115"/>
        <v>CATERING</v>
      </c>
      <c r="JK22" s="43">
        <f t="shared" si="116"/>
        <v>0</v>
      </c>
      <c r="JM22" s="42" t="str">
        <f t="shared" si="117"/>
        <v>CATERING</v>
      </c>
      <c r="JN22" s="43">
        <f t="shared" si="118"/>
        <v>0</v>
      </c>
      <c r="JP22" s="44">
        <f t="shared" si="119"/>
        <v>0</v>
      </c>
      <c r="JQ22" s="42" t="str">
        <f t="shared" si="120"/>
        <v>CATERING</v>
      </c>
      <c r="JR22" s="43">
        <f t="shared" si="121"/>
        <v>0</v>
      </c>
      <c r="JT22" s="42" t="str">
        <f t="shared" si="122"/>
        <v>CATERING</v>
      </c>
      <c r="JU22" s="43">
        <f t="shared" si="123"/>
        <v>0</v>
      </c>
      <c r="JW22" s="42" t="str">
        <f t="shared" si="124"/>
        <v>CATERING</v>
      </c>
      <c r="JX22" s="43">
        <f t="shared" si="125"/>
        <v>0</v>
      </c>
      <c r="JZ22" s="44">
        <f t="shared" si="126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7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/>
      <c r="FR23" s="42" t="str">
        <f t="shared" si="55"/>
        <v>FOIL 12X1000</v>
      </c>
      <c r="FS23" s="43"/>
      <c r="FU23" s="42" t="str">
        <f t="shared" si="56"/>
        <v>FOIL 12X1000</v>
      </c>
      <c r="FV23" s="43"/>
      <c r="FX23" s="43">
        <f t="shared" si="57"/>
        <v>0</v>
      </c>
      <c r="FY23" s="42" t="str">
        <f t="shared" si="58"/>
        <v>FOIL 12X1000</v>
      </c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65"/>
        <v>0</v>
      </c>
      <c r="GS23" s="42" t="str">
        <f t="shared" si="66"/>
        <v>FOIL 12X1000</v>
      </c>
      <c r="GT23" s="43"/>
      <c r="GV23" s="42" t="str">
        <f t="shared" si="67"/>
        <v>FOIL 12X1000</v>
      </c>
      <c r="GW23" s="43"/>
      <c r="GY23" s="42" t="str">
        <f t="shared" si="68"/>
        <v>FOIL 12X1000</v>
      </c>
      <c r="GZ23" s="43"/>
      <c r="HB23" s="43">
        <f t="shared" si="69"/>
        <v>0</v>
      </c>
      <c r="HC23" s="42" t="str">
        <f t="shared" si="70"/>
        <v>FOIL 12X1000</v>
      </c>
      <c r="HD23" s="43">
        <f t="shared" si="71"/>
        <v>0</v>
      </c>
      <c r="HF23" s="42" t="str">
        <f t="shared" si="72"/>
        <v>FOIL 12X1000</v>
      </c>
      <c r="HG23" s="43">
        <f t="shared" si="73"/>
        <v>0</v>
      </c>
      <c r="HI23" s="42" t="str">
        <f t="shared" si="74"/>
        <v>FOIL 12X1000</v>
      </c>
      <c r="HJ23" s="43">
        <f t="shared" si="75"/>
        <v>0</v>
      </c>
      <c r="HL23" s="43">
        <f t="shared" si="76"/>
        <v>0</v>
      </c>
      <c r="HM23" s="42" t="str">
        <f t="shared" si="77"/>
        <v>FOIL 12X1000</v>
      </c>
      <c r="HN23" s="57">
        <f t="shared" si="78"/>
        <v>0</v>
      </c>
      <c r="HO23" s="44">
        <f t="shared" si="79"/>
        <v>0</v>
      </c>
      <c r="HP23" s="57">
        <f t="shared" si="80"/>
        <v>0</v>
      </c>
      <c r="HQ23" s="44">
        <f t="shared" si="81"/>
        <v>0</v>
      </c>
      <c r="HR23" s="57">
        <f t="shared" si="82"/>
        <v>0</v>
      </c>
      <c r="HS23" s="44">
        <f t="shared" si="83"/>
        <v>0</v>
      </c>
      <c r="HT23" s="57">
        <f t="shared" si="84"/>
        <v>0</v>
      </c>
      <c r="HU23" s="44">
        <f t="shared" si="85"/>
        <v>0</v>
      </c>
      <c r="HV23" s="57">
        <f t="shared" si="86"/>
        <v>0</v>
      </c>
      <c r="HW23" s="44">
        <f t="shared" si="87"/>
        <v>0</v>
      </c>
      <c r="HX23" s="57">
        <f t="shared" si="88"/>
        <v>0</v>
      </c>
      <c r="HY23" s="44">
        <f t="shared" si="89"/>
        <v>0</v>
      </c>
      <c r="HZ23" s="42" t="str">
        <f t="shared" si="90"/>
        <v>FOIL 12X1000</v>
      </c>
      <c r="IA23" s="57">
        <f t="shared" si="91"/>
        <v>0</v>
      </c>
      <c r="IB23" s="44">
        <f t="shared" si="92"/>
        <v>0</v>
      </c>
      <c r="IC23" s="57">
        <f t="shared" si="93"/>
        <v>0</v>
      </c>
      <c r="ID23" s="44">
        <f t="shared" si="94"/>
        <v>0</v>
      </c>
      <c r="IE23" s="57">
        <f t="shared" si="95"/>
        <v>0</v>
      </c>
      <c r="IF23" s="44">
        <f t="shared" si="96"/>
        <v>0</v>
      </c>
      <c r="IG23" s="57">
        <f t="shared" si="97"/>
        <v>0</v>
      </c>
      <c r="IH23" s="44">
        <f t="shared" si="98"/>
        <v>0</v>
      </c>
      <c r="II23" s="57">
        <f t="shared" si="99"/>
        <v>0</v>
      </c>
      <c r="IJ23" s="44"/>
      <c r="IK23" s="57"/>
      <c r="IL23" s="44">
        <f t="shared" si="100"/>
        <v>0</v>
      </c>
      <c r="IM23" s="42" t="str">
        <f t="shared" si="101"/>
        <v>FOIL 12X1000</v>
      </c>
      <c r="IN23" s="43">
        <f t="shared" si="102"/>
        <v>0</v>
      </c>
      <c r="IP23" s="42" t="str">
        <f t="shared" si="103"/>
        <v>FOIL 12X1000</v>
      </c>
      <c r="IQ23" s="43">
        <f t="shared" si="104"/>
        <v>0</v>
      </c>
      <c r="IS23" s="42" t="str">
        <f t="shared" si="105"/>
        <v>FOIL 12X1000</v>
      </c>
      <c r="IT23" s="43">
        <f t="shared" si="106"/>
        <v>0</v>
      </c>
      <c r="IV23" s="43"/>
      <c r="IW23" s="42" t="str">
        <f t="shared" si="107"/>
        <v>FOIL 12X1000</v>
      </c>
      <c r="IX23" s="43">
        <f t="shared" si="108"/>
        <v>0</v>
      </c>
      <c r="IZ23" s="42" t="str">
        <f t="shared" si="109"/>
        <v>FOIL 12X1000</v>
      </c>
      <c r="JA23" s="43">
        <f t="shared" si="110"/>
        <v>0</v>
      </c>
      <c r="JC23" s="42" t="str">
        <f t="shared" si="111"/>
        <v>FOIL 12X1000</v>
      </c>
      <c r="JD23" s="43">
        <f t="shared" si="112"/>
        <v>0</v>
      </c>
      <c r="JF23" s="43"/>
      <c r="JG23" s="42" t="str">
        <f t="shared" si="113"/>
        <v>FOIL 12X1000</v>
      </c>
      <c r="JH23" s="43">
        <f t="shared" si="114"/>
        <v>0</v>
      </c>
      <c r="JJ23" s="42" t="str">
        <f t="shared" si="115"/>
        <v>FOIL 12X1000</v>
      </c>
      <c r="JK23" s="43">
        <f t="shared" si="116"/>
        <v>0</v>
      </c>
      <c r="JM23" s="42" t="str">
        <f t="shared" si="117"/>
        <v>FOIL 12X1000</v>
      </c>
      <c r="JN23" s="43">
        <f t="shared" si="118"/>
        <v>0</v>
      </c>
      <c r="JP23" s="44">
        <f t="shared" si="119"/>
        <v>0</v>
      </c>
      <c r="JQ23" s="42" t="str">
        <f t="shared" si="120"/>
        <v>FOIL 12X1000</v>
      </c>
      <c r="JR23" s="43">
        <f t="shared" si="121"/>
        <v>0</v>
      </c>
      <c r="JT23" s="42" t="str">
        <f t="shared" si="122"/>
        <v>FOIL 12X1000</v>
      </c>
      <c r="JU23" s="43">
        <f t="shared" si="123"/>
        <v>0</v>
      </c>
      <c r="JW23" s="42" t="str">
        <f t="shared" si="124"/>
        <v>FOIL 12X1000</v>
      </c>
      <c r="JX23" s="43">
        <f t="shared" si="125"/>
        <v>0</v>
      </c>
      <c r="JZ23" s="44">
        <f t="shared" si="126"/>
        <v>0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7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/>
      <c r="FR24" s="42" t="str">
        <f t="shared" si="55"/>
        <v>THREE COMP CONT</v>
      </c>
      <c r="FS24" s="43"/>
      <c r="FU24" s="42" t="str">
        <f t="shared" si="56"/>
        <v>THREE COMP CONT</v>
      </c>
      <c r="FV24" s="43"/>
      <c r="FX24" s="43">
        <f t="shared" si="57"/>
        <v>0</v>
      </c>
      <c r="FY24" s="42" t="str">
        <f t="shared" si="58"/>
        <v>THREE COMP CONT</v>
      </c>
      <c r="FZ24" s="43"/>
      <c r="GB24" s="42" t="str">
        <f t="shared" si="59"/>
        <v>THREE COMP CONT</v>
      </c>
      <c r="GC24" s="43"/>
      <c r="GE24" s="42" t="str">
        <f t="shared" si="60"/>
        <v>THREE COMP CONT</v>
      </c>
      <c r="GF24" s="43"/>
      <c r="GH24" s="43">
        <f t="shared" si="61"/>
        <v>0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65"/>
        <v>0</v>
      </c>
      <c r="GS24" s="42" t="str">
        <f t="shared" si="66"/>
        <v>THREE COMP CONT</v>
      </c>
      <c r="GT24" s="43"/>
      <c r="GV24" s="42" t="str">
        <f t="shared" si="67"/>
        <v>THREE COMP CONT</v>
      </c>
      <c r="GW24" s="43"/>
      <c r="GY24" s="42" t="str">
        <f t="shared" si="68"/>
        <v>THREE COMP CONT</v>
      </c>
      <c r="GZ24" s="43"/>
      <c r="HB24" s="43">
        <f t="shared" si="69"/>
        <v>0</v>
      </c>
      <c r="HC24" s="42" t="str">
        <f t="shared" si="70"/>
        <v>THREE COMP CONT</v>
      </c>
      <c r="HD24" s="43">
        <f t="shared" si="71"/>
        <v>0</v>
      </c>
      <c r="HF24" s="42" t="str">
        <f t="shared" si="72"/>
        <v>THREE COMP CONT</v>
      </c>
      <c r="HG24" s="43">
        <f t="shared" si="73"/>
        <v>0</v>
      </c>
      <c r="HI24" s="42" t="str">
        <f t="shared" si="74"/>
        <v>THREE COMP CONT</v>
      </c>
      <c r="HJ24" s="43">
        <f t="shared" si="75"/>
        <v>0</v>
      </c>
      <c r="HL24" s="43">
        <f t="shared" si="76"/>
        <v>0</v>
      </c>
      <c r="HM24" s="42" t="str">
        <f t="shared" si="77"/>
        <v>THREE COMP CONT</v>
      </c>
      <c r="HN24" s="57">
        <f t="shared" si="78"/>
        <v>0</v>
      </c>
      <c r="HO24" s="44">
        <f t="shared" si="79"/>
        <v>0</v>
      </c>
      <c r="HP24" s="57">
        <f t="shared" si="80"/>
        <v>0</v>
      </c>
      <c r="HQ24" s="44">
        <f t="shared" si="81"/>
        <v>0</v>
      </c>
      <c r="HR24" s="57">
        <f t="shared" si="82"/>
        <v>0</v>
      </c>
      <c r="HS24" s="44">
        <f t="shared" si="83"/>
        <v>0</v>
      </c>
      <c r="HT24" s="57">
        <f t="shared" si="84"/>
        <v>0</v>
      </c>
      <c r="HU24" s="44">
        <f t="shared" si="85"/>
        <v>0</v>
      </c>
      <c r="HV24" s="57">
        <f t="shared" si="86"/>
        <v>0</v>
      </c>
      <c r="HW24" s="44">
        <f t="shared" si="87"/>
        <v>0</v>
      </c>
      <c r="HX24" s="57">
        <f t="shared" si="88"/>
        <v>0</v>
      </c>
      <c r="HY24" s="44">
        <f t="shared" si="89"/>
        <v>0</v>
      </c>
      <c r="HZ24" s="42" t="str">
        <f t="shared" si="90"/>
        <v>THREE COMP CONT</v>
      </c>
      <c r="IA24" s="57">
        <f t="shared" si="91"/>
        <v>0</v>
      </c>
      <c r="IB24" s="44">
        <f t="shared" si="92"/>
        <v>0</v>
      </c>
      <c r="IC24" s="57">
        <f t="shared" si="93"/>
        <v>0</v>
      </c>
      <c r="ID24" s="44">
        <f t="shared" si="94"/>
        <v>0</v>
      </c>
      <c r="IE24" s="57">
        <f t="shared" si="95"/>
        <v>0</v>
      </c>
      <c r="IF24" s="44">
        <f t="shared" si="96"/>
        <v>0</v>
      </c>
      <c r="IG24" s="57">
        <f t="shared" si="97"/>
        <v>0</v>
      </c>
      <c r="IH24" s="44">
        <f t="shared" si="98"/>
        <v>0</v>
      </c>
      <c r="II24" s="57">
        <f t="shared" si="99"/>
        <v>0</v>
      </c>
      <c r="IJ24" s="44"/>
      <c r="IK24" s="57"/>
      <c r="IL24" s="44">
        <f t="shared" si="100"/>
        <v>0</v>
      </c>
      <c r="IM24" s="42" t="str">
        <f t="shared" si="101"/>
        <v>THREE COMP CONT</v>
      </c>
      <c r="IN24" s="43">
        <f t="shared" si="102"/>
        <v>0</v>
      </c>
      <c r="IP24" s="42" t="str">
        <f t="shared" si="103"/>
        <v>THREE COMP CONT</v>
      </c>
      <c r="IQ24" s="43">
        <f t="shared" si="104"/>
        <v>0</v>
      </c>
      <c r="IS24" s="42" t="str">
        <f t="shared" si="105"/>
        <v>THREE COMP CONT</v>
      </c>
      <c r="IT24" s="43">
        <f t="shared" si="106"/>
        <v>0</v>
      </c>
      <c r="IV24" s="43"/>
      <c r="IW24" s="42" t="str">
        <f t="shared" si="107"/>
        <v>THREE COMP CONT</v>
      </c>
      <c r="IX24" s="43">
        <f t="shared" si="108"/>
        <v>0</v>
      </c>
      <c r="IZ24" s="42" t="str">
        <f t="shared" si="109"/>
        <v>THREE COMP CONT</v>
      </c>
      <c r="JA24" s="43">
        <f t="shared" si="110"/>
        <v>0</v>
      </c>
      <c r="JC24" s="42" t="str">
        <f t="shared" si="111"/>
        <v>THREE COMP CONT</v>
      </c>
      <c r="JD24" s="43">
        <f t="shared" si="112"/>
        <v>0</v>
      </c>
      <c r="JF24" s="43"/>
      <c r="JG24" s="42" t="str">
        <f t="shared" si="113"/>
        <v>THREE COMP CONT</v>
      </c>
      <c r="JH24" s="43">
        <f t="shared" si="114"/>
        <v>0</v>
      </c>
      <c r="JJ24" s="42" t="str">
        <f t="shared" si="115"/>
        <v>THREE COMP CONT</v>
      </c>
      <c r="JK24" s="43">
        <f t="shared" si="116"/>
        <v>0</v>
      </c>
      <c r="JM24" s="42" t="str">
        <f t="shared" si="117"/>
        <v>THREE COMP CONT</v>
      </c>
      <c r="JN24" s="43">
        <f t="shared" si="118"/>
        <v>0</v>
      </c>
      <c r="JP24" s="44">
        <f t="shared" si="119"/>
        <v>0</v>
      </c>
      <c r="JQ24" s="42" t="str">
        <f t="shared" si="120"/>
        <v>THREE COMP CONT</v>
      </c>
      <c r="JR24" s="43">
        <f t="shared" si="121"/>
        <v>0</v>
      </c>
      <c r="JT24" s="42" t="str">
        <f t="shared" si="122"/>
        <v>THREE COMP CONT</v>
      </c>
      <c r="JU24" s="43">
        <f t="shared" si="123"/>
        <v>0</v>
      </c>
      <c r="JW24" s="42" t="str">
        <f t="shared" si="124"/>
        <v>THREE COMP CONT</v>
      </c>
      <c r="JX24" s="43">
        <f t="shared" si="125"/>
        <v>0</v>
      </c>
      <c r="JZ24" s="44">
        <f t="shared" si="126"/>
        <v>0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7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/>
      <c r="FR25" s="42" t="str">
        <f t="shared" si="55"/>
        <v>ONE COMP CONT</v>
      </c>
      <c r="FS25" s="43"/>
      <c r="FU25" s="42" t="str">
        <f t="shared" si="56"/>
        <v>ONE COMP CONT</v>
      </c>
      <c r="FV25" s="43"/>
      <c r="FX25" s="43">
        <f t="shared" si="57"/>
        <v>0</v>
      </c>
      <c r="FY25" s="42" t="str">
        <f t="shared" si="58"/>
        <v>ONE COMP CONT</v>
      </c>
      <c r="FZ25" s="43"/>
      <c r="GB25" s="42" t="str">
        <f t="shared" si="59"/>
        <v>ONE COMP CONT</v>
      </c>
      <c r="GC25" s="43"/>
      <c r="GE25" s="42" t="str">
        <f t="shared" si="60"/>
        <v>ONE COMP CONT</v>
      </c>
      <c r="GF25" s="43"/>
      <c r="GH25" s="43">
        <f t="shared" si="61"/>
        <v>0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65"/>
        <v>0</v>
      </c>
      <c r="GS25" s="42" t="str">
        <f t="shared" si="66"/>
        <v>ONE COMP CONT</v>
      </c>
      <c r="GT25" s="43"/>
      <c r="GV25" s="42" t="str">
        <f t="shared" si="67"/>
        <v>ONE COMP CONT</v>
      </c>
      <c r="GW25" s="43"/>
      <c r="GY25" s="42" t="str">
        <f t="shared" si="68"/>
        <v>ONE COMP CONT</v>
      </c>
      <c r="GZ25" s="43"/>
      <c r="HB25" s="43">
        <f t="shared" si="69"/>
        <v>0</v>
      </c>
      <c r="HC25" s="42" t="str">
        <f t="shared" si="70"/>
        <v>ONE COMP CONT</v>
      </c>
      <c r="HD25" s="43">
        <f t="shared" si="71"/>
        <v>0</v>
      </c>
      <c r="HF25" s="42" t="str">
        <f t="shared" si="72"/>
        <v>ONE COMP CONT</v>
      </c>
      <c r="HG25" s="43">
        <f t="shared" si="73"/>
        <v>0</v>
      </c>
      <c r="HI25" s="42" t="str">
        <f t="shared" si="74"/>
        <v>ONE COMP CONT</v>
      </c>
      <c r="HJ25" s="43">
        <f t="shared" si="75"/>
        <v>0</v>
      </c>
      <c r="HL25" s="43">
        <f t="shared" si="76"/>
        <v>0</v>
      </c>
      <c r="HM25" s="42" t="str">
        <f t="shared" si="77"/>
        <v>ONE COMP CONT</v>
      </c>
      <c r="HN25" s="57">
        <f t="shared" si="78"/>
        <v>0</v>
      </c>
      <c r="HO25" s="44">
        <f t="shared" si="79"/>
        <v>0</v>
      </c>
      <c r="HP25" s="57">
        <f t="shared" si="80"/>
        <v>0</v>
      </c>
      <c r="HQ25" s="44">
        <f t="shared" si="81"/>
        <v>0</v>
      </c>
      <c r="HR25" s="57">
        <f t="shared" si="82"/>
        <v>0</v>
      </c>
      <c r="HS25" s="44">
        <f t="shared" si="83"/>
        <v>0</v>
      </c>
      <c r="HT25" s="57">
        <f t="shared" si="84"/>
        <v>0</v>
      </c>
      <c r="HU25" s="44">
        <f t="shared" si="85"/>
        <v>0</v>
      </c>
      <c r="HV25" s="57">
        <f t="shared" si="86"/>
        <v>0</v>
      </c>
      <c r="HW25" s="44">
        <f t="shared" si="87"/>
        <v>0</v>
      </c>
      <c r="HX25" s="57">
        <f t="shared" si="88"/>
        <v>0</v>
      </c>
      <c r="HY25" s="44">
        <f t="shared" si="89"/>
        <v>0</v>
      </c>
      <c r="HZ25" s="42" t="str">
        <f t="shared" si="90"/>
        <v>ONE COMP CONT</v>
      </c>
      <c r="IA25" s="57">
        <f t="shared" si="91"/>
        <v>0</v>
      </c>
      <c r="IB25" s="44">
        <f t="shared" si="92"/>
        <v>0</v>
      </c>
      <c r="IC25" s="57">
        <f t="shared" si="93"/>
        <v>0</v>
      </c>
      <c r="ID25" s="44">
        <f t="shared" si="94"/>
        <v>0</v>
      </c>
      <c r="IE25" s="57">
        <f t="shared" si="95"/>
        <v>0</v>
      </c>
      <c r="IF25" s="44">
        <f t="shared" si="96"/>
        <v>0</v>
      </c>
      <c r="IG25" s="57">
        <f t="shared" si="97"/>
        <v>0</v>
      </c>
      <c r="IH25" s="44">
        <f t="shared" si="98"/>
        <v>0</v>
      </c>
      <c r="II25" s="57">
        <f t="shared" si="99"/>
        <v>0</v>
      </c>
      <c r="IJ25" s="44"/>
      <c r="IK25" s="57"/>
      <c r="IL25" s="44">
        <f t="shared" si="100"/>
        <v>0</v>
      </c>
      <c r="IM25" s="42" t="str">
        <f t="shared" si="101"/>
        <v>ONE COMP CONT</v>
      </c>
      <c r="IN25" s="43">
        <f t="shared" si="102"/>
        <v>0</v>
      </c>
      <c r="IP25" s="42" t="str">
        <f t="shared" si="103"/>
        <v>ONE COMP CONT</v>
      </c>
      <c r="IQ25" s="43">
        <f t="shared" si="104"/>
        <v>0</v>
      </c>
      <c r="IS25" s="42" t="str">
        <f t="shared" si="105"/>
        <v>ONE COMP CONT</v>
      </c>
      <c r="IT25" s="43">
        <f t="shared" si="106"/>
        <v>0</v>
      </c>
      <c r="IV25" s="43"/>
      <c r="IW25" s="42" t="str">
        <f t="shared" si="107"/>
        <v>ONE COMP CONT</v>
      </c>
      <c r="IX25" s="43">
        <f t="shared" si="108"/>
        <v>0</v>
      </c>
      <c r="IZ25" s="42" t="str">
        <f t="shared" si="109"/>
        <v>ONE COMP CONT</v>
      </c>
      <c r="JA25" s="43">
        <f t="shared" si="110"/>
        <v>0</v>
      </c>
      <c r="JC25" s="42" t="str">
        <f t="shared" si="111"/>
        <v>ONE COMP CONT</v>
      </c>
      <c r="JD25" s="43">
        <f t="shared" si="112"/>
        <v>0</v>
      </c>
      <c r="JF25" s="43"/>
      <c r="JG25" s="42" t="str">
        <f t="shared" si="113"/>
        <v>ONE COMP CONT</v>
      </c>
      <c r="JH25" s="43">
        <f t="shared" si="114"/>
        <v>0</v>
      </c>
      <c r="JJ25" s="42" t="str">
        <f t="shared" si="115"/>
        <v>ONE COMP CONT</v>
      </c>
      <c r="JK25" s="43">
        <f t="shared" si="116"/>
        <v>0</v>
      </c>
      <c r="JM25" s="42" t="str">
        <f t="shared" si="117"/>
        <v>ONE COMP CONT</v>
      </c>
      <c r="JN25" s="43">
        <f t="shared" si="118"/>
        <v>0</v>
      </c>
      <c r="JP25" s="44">
        <f t="shared" si="119"/>
        <v>0</v>
      </c>
      <c r="JQ25" s="42" t="str">
        <f t="shared" si="120"/>
        <v>ONE COMP CONT</v>
      </c>
      <c r="JR25" s="43">
        <f t="shared" si="121"/>
        <v>0</v>
      </c>
      <c r="JT25" s="42" t="str">
        <f t="shared" si="122"/>
        <v>ONE COMP CONT</v>
      </c>
      <c r="JU25" s="43">
        <f t="shared" si="123"/>
        <v>0</v>
      </c>
      <c r="JW25" s="42" t="str">
        <f t="shared" si="124"/>
        <v>ONE COMP CONT</v>
      </c>
      <c r="JX25" s="43">
        <f t="shared" si="125"/>
        <v>0</v>
      </c>
      <c r="JZ25" s="44">
        <f t="shared" si="126"/>
        <v>0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7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/>
      <c r="FR26" s="42" t="str">
        <f t="shared" si="55"/>
        <v>SUIZO CONT</v>
      </c>
      <c r="FS26" s="43"/>
      <c r="FU26" s="42" t="str">
        <f t="shared" si="56"/>
        <v>SUIZO CONT</v>
      </c>
      <c r="FV26" s="43"/>
      <c r="FX26" s="43">
        <f t="shared" si="57"/>
        <v>0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65"/>
        <v>0</v>
      </c>
      <c r="GS26" s="42" t="str">
        <f t="shared" si="66"/>
        <v>SUIZO CONT</v>
      </c>
      <c r="GT26" s="43"/>
      <c r="GV26" s="42" t="str">
        <f t="shared" si="67"/>
        <v>SUIZO CONT</v>
      </c>
      <c r="GW26" s="43"/>
      <c r="GY26" s="42" t="str">
        <f t="shared" si="68"/>
        <v>SUIZO CONT</v>
      </c>
      <c r="GZ26" s="43"/>
      <c r="HB26" s="43">
        <f t="shared" si="69"/>
        <v>0</v>
      </c>
      <c r="HC26" s="42" t="str">
        <f t="shared" si="70"/>
        <v>SUIZO CONT</v>
      </c>
      <c r="HD26" s="43">
        <f t="shared" si="71"/>
        <v>0</v>
      </c>
      <c r="HF26" s="42" t="str">
        <f t="shared" si="72"/>
        <v>SUIZO CONT</v>
      </c>
      <c r="HG26" s="43">
        <f t="shared" si="73"/>
        <v>0</v>
      </c>
      <c r="HI26" s="42" t="str">
        <f t="shared" si="74"/>
        <v>SUIZO CONT</v>
      </c>
      <c r="HJ26" s="43">
        <f t="shared" si="75"/>
        <v>0</v>
      </c>
      <c r="HL26" s="43">
        <f t="shared" si="76"/>
        <v>0</v>
      </c>
      <c r="HM26" s="42" t="str">
        <f t="shared" si="77"/>
        <v>SUIZO CONT</v>
      </c>
      <c r="HN26" s="57">
        <f t="shared" si="78"/>
        <v>0</v>
      </c>
      <c r="HO26" s="44">
        <f t="shared" si="79"/>
        <v>0</v>
      </c>
      <c r="HP26" s="57">
        <f t="shared" si="80"/>
        <v>0</v>
      </c>
      <c r="HQ26" s="44">
        <f t="shared" si="81"/>
        <v>0</v>
      </c>
      <c r="HR26" s="57">
        <f t="shared" si="82"/>
        <v>0</v>
      </c>
      <c r="HS26" s="44">
        <f t="shared" si="83"/>
        <v>0</v>
      </c>
      <c r="HT26" s="57">
        <f t="shared" si="84"/>
        <v>0</v>
      </c>
      <c r="HU26" s="44">
        <f t="shared" si="85"/>
        <v>0</v>
      </c>
      <c r="HV26" s="57">
        <f t="shared" si="86"/>
        <v>0</v>
      </c>
      <c r="HW26" s="44">
        <f t="shared" si="87"/>
        <v>0</v>
      </c>
      <c r="HX26" s="57">
        <f t="shared" si="88"/>
        <v>0</v>
      </c>
      <c r="HY26" s="44">
        <f t="shared" si="89"/>
        <v>0</v>
      </c>
      <c r="HZ26" s="42" t="str">
        <f t="shared" si="90"/>
        <v>SUIZO CONT</v>
      </c>
      <c r="IA26" s="57">
        <f t="shared" si="91"/>
        <v>0</v>
      </c>
      <c r="IB26" s="44">
        <f t="shared" si="92"/>
        <v>0</v>
      </c>
      <c r="IC26" s="57">
        <f t="shared" si="93"/>
        <v>0</v>
      </c>
      <c r="ID26" s="44">
        <f t="shared" si="94"/>
        <v>0</v>
      </c>
      <c r="IE26" s="57">
        <f t="shared" si="95"/>
        <v>0</v>
      </c>
      <c r="IF26" s="44">
        <f t="shared" si="96"/>
        <v>0</v>
      </c>
      <c r="IG26" s="57">
        <f t="shared" si="97"/>
        <v>0</v>
      </c>
      <c r="IH26" s="44">
        <f t="shared" si="98"/>
        <v>0</v>
      </c>
      <c r="II26" s="57">
        <f t="shared" si="99"/>
        <v>0</v>
      </c>
      <c r="IJ26" s="44"/>
      <c r="IK26" s="57"/>
      <c r="IL26" s="44">
        <f t="shared" si="100"/>
        <v>0</v>
      </c>
      <c r="IM26" s="42" t="str">
        <f t="shared" si="101"/>
        <v>SUIZO CONT</v>
      </c>
      <c r="IN26" s="43">
        <f t="shared" si="102"/>
        <v>0</v>
      </c>
      <c r="IP26" s="42" t="str">
        <f t="shared" si="103"/>
        <v>SUIZO CONT</v>
      </c>
      <c r="IQ26" s="43">
        <f t="shared" si="104"/>
        <v>0</v>
      </c>
      <c r="IS26" s="42" t="str">
        <f t="shared" si="105"/>
        <v>SUIZO CONT</v>
      </c>
      <c r="IT26" s="43">
        <f t="shared" si="106"/>
        <v>0</v>
      </c>
      <c r="IV26" s="43"/>
      <c r="IW26" s="42" t="str">
        <f t="shared" si="107"/>
        <v>SUIZO CONT</v>
      </c>
      <c r="IX26" s="43">
        <f t="shared" si="108"/>
        <v>0</v>
      </c>
      <c r="IZ26" s="42" t="str">
        <f t="shared" si="109"/>
        <v>SUIZO CONT</v>
      </c>
      <c r="JA26" s="43">
        <f t="shared" si="110"/>
        <v>0</v>
      </c>
      <c r="JC26" s="42" t="str">
        <f t="shared" si="111"/>
        <v>SUIZO CONT</v>
      </c>
      <c r="JD26" s="43">
        <f t="shared" si="112"/>
        <v>0</v>
      </c>
      <c r="JF26" s="43"/>
      <c r="JG26" s="42" t="str">
        <f t="shared" si="113"/>
        <v>SUIZO CONT</v>
      </c>
      <c r="JH26" s="43">
        <f t="shared" si="114"/>
        <v>0</v>
      </c>
      <c r="JJ26" s="42" t="str">
        <f t="shared" si="115"/>
        <v>SUIZO CONT</v>
      </c>
      <c r="JK26" s="43">
        <f t="shared" si="116"/>
        <v>0</v>
      </c>
      <c r="JM26" s="42" t="str">
        <f t="shared" si="117"/>
        <v>SUIZO CONT</v>
      </c>
      <c r="JN26" s="43">
        <f t="shared" si="118"/>
        <v>0</v>
      </c>
      <c r="JP26" s="44">
        <f t="shared" si="119"/>
        <v>0</v>
      </c>
      <c r="JQ26" s="42" t="str">
        <f t="shared" si="120"/>
        <v>SUIZO CONT</v>
      </c>
      <c r="JR26" s="43">
        <f t="shared" si="121"/>
        <v>0</v>
      </c>
      <c r="JT26" s="42" t="str">
        <f t="shared" si="122"/>
        <v>SUIZO CONT</v>
      </c>
      <c r="JU26" s="43">
        <f t="shared" si="123"/>
        <v>0</v>
      </c>
      <c r="JW26" s="42" t="str">
        <f t="shared" si="124"/>
        <v>SUIZO CONT</v>
      </c>
      <c r="JX26" s="43">
        <f t="shared" si="125"/>
        <v>0</v>
      </c>
      <c r="JZ26" s="44">
        <f t="shared" si="126"/>
        <v>0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7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/>
      <c r="GH27" s="43">
        <f t="shared" si="61"/>
        <v>0</v>
      </c>
      <c r="GI27" s="42" t="str">
        <f t="shared" si="62"/>
        <v>THERMAL PAPER</v>
      </c>
      <c r="GJ27" s="43"/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65"/>
        <v>0</v>
      </c>
      <c r="GS27" s="42" t="str">
        <f t="shared" si="66"/>
        <v>THERMAL PAPER</v>
      </c>
      <c r="GT27" s="43"/>
      <c r="GV27" s="42" t="str">
        <f t="shared" si="67"/>
        <v>THERMAL PAPER</v>
      </c>
      <c r="GW27" s="43"/>
      <c r="GY27" s="42" t="str">
        <f t="shared" si="68"/>
        <v>THERMAL PAPER</v>
      </c>
      <c r="GZ27" s="43"/>
      <c r="HB27" s="43">
        <f t="shared" si="69"/>
        <v>0</v>
      </c>
      <c r="HC27" s="42" t="str">
        <f t="shared" si="70"/>
        <v>THERMAL PAPER</v>
      </c>
      <c r="HD27" s="43">
        <f t="shared" si="71"/>
        <v>0</v>
      </c>
      <c r="HF27" s="42" t="str">
        <f t="shared" si="72"/>
        <v>THERMAL PAPER</v>
      </c>
      <c r="HG27" s="43">
        <f t="shared" si="73"/>
        <v>0</v>
      </c>
      <c r="HI27" s="42" t="str">
        <f t="shared" si="74"/>
        <v>THERMAL PAPER</v>
      </c>
      <c r="HJ27" s="43">
        <f t="shared" si="75"/>
        <v>0</v>
      </c>
      <c r="HL27" s="43">
        <f t="shared" si="76"/>
        <v>0</v>
      </c>
      <c r="HM27" s="42" t="str">
        <f t="shared" si="77"/>
        <v>THERMAL PAPER</v>
      </c>
      <c r="HN27" s="57">
        <f t="shared" si="78"/>
        <v>0</v>
      </c>
      <c r="HO27" s="44">
        <f t="shared" si="79"/>
        <v>0</v>
      </c>
      <c r="HP27" s="57">
        <f t="shared" si="80"/>
        <v>0</v>
      </c>
      <c r="HQ27" s="44">
        <f t="shared" si="81"/>
        <v>0</v>
      </c>
      <c r="HR27" s="57">
        <f t="shared" si="82"/>
        <v>0</v>
      </c>
      <c r="HS27" s="44">
        <f t="shared" si="83"/>
        <v>0</v>
      </c>
      <c r="HT27" s="57">
        <f t="shared" si="84"/>
        <v>0</v>
      </c>
      <c r="HU27" s="44">
        <f t="shared" si="85"/>
        <v>0</v>
      </c>
      <c r="HV27" s="57">
        <f t="shared" si="86"/>
        <v>0</v>
      </c>
      <c r="HW27" s="44">
        <f t="shared" si="87"/>
        <v>0</v>
      </c>
      <c r="HX27" s="57">
        <f t="shared" si="88"/>
        <v>0</v>
      </c>
      <c r="HY27" s="44">
        <f t="shared" si="89"/>
        <v>0</v>
      </c>
      <c r="HZ27" s="42" t="str">
        <f t="shared" si="90"/>
        <v>THERMAL PAPER</v>
      </c>
      <c r="IA27" s="57">
        <f t="shared" si="91"/>
        <v>0</v>
      </c>
      <c r="IB27" s="44">
        <f t="shared" si="92"/>
        <v>0</v>
      </c>
      <c r="IC27" s="57">
        <f t="shared" si="93"/>
        <v>0</v>
      </c>
      <c r="ID27" s="44">
        <f t="shared" si="94"/>
        <v>0</v>
      </c>
      <c r="IE27" s="57">
        <f t="shared" si="95"/>
        <v>0</v>
      </c>
      <c r="IF27" s="44">
        <f t="shared" si="96"/>
        <v>0</v>
      </c>
      <c r="IG27" s="57">
        <f t="shared" si="97"/>
        <v>0</v>
      </c>
      <c r="IH27" s="44">
        <f t="shared" si="98"/>
        <v>0</v>
      </c>
      <c r="II27" s="57">
        <f t="shared" si="99"/>
        <v>0</v>
      </c>
      <c r="IJ27" s="44"/>
      <c r="IK27" s="57"/>
      <c r="IL27" s="44">
        <f t="shared" si="100"/>
        <v>0</v>
      </c>
      <c r="IM27" s="42" t="str">
        <f t="shared" si="101"/>
        <v>THERMAL PAPER</v>
      </c>
      <c r="IN27" s="43">
        <f t="shared" si="102"/>
        <v>0</v>
      </c>
      <c r="IP27" s="42" t="str">
        <f t="shared" si="103"/>
        <v>THERMAL PAPER</v>
      </c>
      <c r="IQ27" s="43">
        <f t="shared" si="104"/>
        <v>0</v>
      </c>
      <c r="IS27" s="42" t="str">
        <f t="shared" si="105"/>
        <v>THERMAL PAPER</v>
      </c>
      <c r="IT27" s="43">
        <f t="shared" si="106"/>
        <v>0</v>
      </c>
      <c r="IV27" s="43"/>
      <c r="IW27" s="42" t="str">
        <f t="shared" si="107"/>
        <v>THERMAL PAPER</v>
      </c>
      <c r="IX27" s="43">
        <f t="shared" si="108"/>
        <v>0</v>
      </c>
      <c r="IZ27" s="42" t="str">
        <f t="shared" si="109"/>
        <v>THERMAL PAPER</v>
      </c>
      <c r="JA27" s="43">
        <f t="shared" si="110"/>
        <v>0</v>
      </c>
      <c r="JC27" s="42" t="str">
        <f t="shared" si="111"/>
        <v>THERMAL PAPER</v>
      </c>
      <c r="JD27" s="43">
        <f t="shared" si="112"/>
        <v>0</v>
      </c>
      <c r="JF27" s="43"/>
      <c r="JG27" s="42" t="str">
        <f t="shared" si="113"/>
        <v>THERMAL PAPER</v>
      </c>
      <c r="JH27" s="43">
        <f t="shared" si="114"/>
        <v>0</v>
      </c>
      <c r="JJ27" s="42" t="str">
        <f t="shared" si="115"/>
        <v>THERMAL PAPER</v>
      </c>
      <c r="JK27" s="43">
        <f t="shared" si="116"/>
        <v>0</v>
      </c>
      <c r="JM27" s="42" t="str">
        <f t="shared" si="117"/>
        <v>THERMAL PAPER</v>
      </c>
      <c r="JN27" s="43">
        <f t="shared" si="118"/>
        <v>0</v>
      </c>
      <c r="JP27" s="44">
        <f t="shared" si="119"/>
        <v>0</v>
      </c>
      <c r="JQ27" s="42" t="str">
        <f t="shared" si="120"/>
        <v>THERMAL PAPER</v>
      </c>
      <c r="JR27" s="43">
        <f t="shared" si="121"/>
        <v>0</v>
      </c>
      <c r="JT27" s="42" t="str">
        <f t="shared" si="122"/>
        <v>THERMAL PAPER</v>
      </c>
      <c r="JU27" s="43">
        <f t="shared" si="123"/>
        <v>0</v>
      </c>
      <c r="JW27" s="42" t="str">
        <f t="shared" si="124"/>
        <v>THERMAL PAPER</v>
      </c>
      <c r="JX27" s="43">
        <f t="shared" si="125"/>
        <v>0</v>
      </c>
      <c r="JZ27" s="44">
        <f t="shared" si="126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7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/>
      <c r="FR28" s="42" t="str">
        <f t="shared" si="55"/>
        <v>COCO LOPEZ</v>
      </c>
      <c r="FS28" s="43"/>
      <c r="FU28" s="42" t="str">
        <f t="shared" si="56"/>
        <v>COCO LOPEZ</v>
      </c>
      <c r="FV28" s="43"/>
      <c r="FX28" s="43">
        <f t="shared" si="57"/>
        <v>0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65"/>
        <v>0</v>
      </c>
      <c r="GS28" s="42" t="str">
        <f t="shared" si="66"/>
        <v>COCO LOPEZ</v>
      </c>
      <c r="GT28" s="43"/>
      <c r="GV28" s="42" t="str">
        <f t="shared" si="67"/>
        <v>COCO LOPEZ</v>
      </c>
      <c r="GW28" s="43"/>
      <c r="GY28" s="42" t="str">
        <f t="shared" si="68"/>
        <v>COCO LOPEZ</v>
      </c>
      <c r="GZ28" s="43"/>
      <c r="HB28" s="43">
        <f t="shared" si="69"/>
        <v>0</v>
      </c>
      <c r="HC28" s="42" t="str">
        <f t="shared" si="70"/>
        <v>COCO LOPEZ</v>
      </c>
      <c r="HD28" s="43">
        <f t="shared" si="71"/>
        <v>0</v>
      </c>
      <c r="HF28" s="42" t="str">
        <f t="shared" si="72"/>
        <v>COCO LOPEZ</v>
      </c>
      <c r="HG28" s="43">
        <f t="shared" si="73"/>
        <v>0</v>
      </c>
      <c r="HI28" s="42" t="str">
        <f t="shared" si="74"/>
        <v>COCO LOPEZ</v>
      </c>
      <c r="HJ28" s="43">
        <f t="shared" si="75"/>
        <v>0</v>
      </c>
      <c r="HL28" s="43">
        <f t="shared" si="76"/>
        <v>0</v>
      </c>
      <c r="HM28" s="42" t="str">
        <f t="shared" si="77"/>
        <v>COCO LOPEZ</v>
      </c>
      <c r="HN28" s="57">
        <f t="shared" si="78"/>
        <v>0</v>
      </c>
      <c r="HO28" s="44">
        <f t="shared" si="79"/>
        <v>0</v>
      </c>
      <c r="HP28" s="57">
        <f t="shared" si="80"/>
        <v>0</v>
      </c>
      <c r="HQ28" s="44">
        <f t="shared" si="81"/>
        <v>0</v>
      </c>
      <c r="HR28" s="57">
        <f t="shared" si="82"/>
        <v>0</v>
      </c>
      <c r="HS28" s="44">
        <f t="shared" si="83"/>
        <v>0</v>
      </c>
      <c r="HT28" s="57">
        <f t="shared" si="84"/>
        <v>0</v>
      </c>
      <c r="HU28" s="44">
        <f t="shared" si="85"/>
        <v>0</v>
      </c>
      <c r="HV28" s="57">
        <f t="shared" si="86"/>
        <v>0</v>
      </c>
      <c r="HW28" s="44">
        <f t="shared" si="87"/>
        <v>0</v>
      </c>
      <c r="HX28" s="57">
        <f t="shared" si="88"/>
        <v>0</v>
      </c>
      <c r="HY28" s="44">
        <f t="shared" si="89"/>
        <v>0</v>
      </c>
      <c r="HZ28" s="42" t="str">
        <f t="shared" si="90"/>
        <v>COCO LOPEZ</v>
      </c>
      <c r="IA28" s="57">
        <f t="shared" si="91"/>
        <v>0</v>
      </c>
      <c r="IB28" s="44">
        <f t="shared" si="92"/>
        <v>0</v>
      </c>
      <c r="IC28" s="57">
        <f t="shared" si="93"/>
        <v>0</v>
      </c>
      <c r="ID28" s="44">
        <f t="shared" si="94"/>
        <v>0</v>
      </c>
      <c r="IE28" s="57">
        <f t="shared" si="95"/>
        <v>0</v>
      </c>
      <c r="IF28" s="44">
        <f t="shared" si="96"/>
        <v>0</v>
      </c>
      <c r="IG28" s="57">
        <f t="shared" si="97"/>
        <v>0</v>
      </c>
      <c r="IH28" s="44">
        <f t="shared" si="98"/>
        <v>0</v>
      </c>
      <c r="II28" s="57">
        <f t="shared" si="99"/>
        <v>0</v>
      </c>
      <c r="IJ28" s="44"/>
      <c r="IK28" s="57"/>
      <c r="IL28" s="44">
        <f t="shared" si="100"/>
        <v>0</v>
      </c>
      <c r="IM28" s="42" t="str">
        <f t="shared" si="101"/>
        <v>COCO LOPEZ</v>
      </c>
      <c r="IN28" s="43">
        <f t="shared" si="102"/>
        <v>0</v>
      </c>
      <c r="IP28" s="42" t="str">
        <f t="shared" si="103"/>
        <v>COCO LOPEZ</v>
      </c>
      <c r="IQ28" s="43">
        <f t="shared" si="104"/>
        <v>0</v>
      </c>
      <c r="IS28" s="42" t="str">
        <f t="shared" si="105"/>
        <v>COCO LOPEZ</v>
      </c>
      <c r="IT28" s="43">
        <f t="shared" si="106"/>
        <v>0</v>
      </c>
      <c r="IV28" s="43"/>
      <c r="IW28" s="42" t="str">
        <f t="shared" si="107"/>
        <v>COCO LOPEZ</v>
      </c>
      <c r="IX28" s="43">
        <f t="shared" si="108"/>
        <v>0</v>
      </c>
      <c r="IZ28" s="42" t="str">
        <f t="shared" si="109"/>
        <v>COCO LOPEZ</v>
      </c>
      <c r="JA28" s="43">
        <f t="shared" si="110"/>
        <v>0</v>
      </c>
      <c r="JC28" s="42" t="str">
        <f t="shared" si="111"/>
        <v>COCO LOPEZ</v>
      </c>
      <c r="JD28" s="43">
        <f t="shared" si="112"/>
        <v>0</v>
      </c>
      <c r="JF28" s="43"/>
      <c r="JG28" s="42" t="str">
        <f t="shared" si="113"/>
        <v>COCO LOPEZ</v>
      </c>
      <c r="JH28" s="43">
        <f t="shared" si="114"/>
        <v>0</v>
      </c>
      <c r="JJ28" s="42" t="str">
        <f t="shared" si="115"/>
        <v>COCO LOPEZ</v>
      </c>
      <c r="JK28" s="43">
        <f t="shared" si="116"/>
        <v>0</v>
      </c>
      <c r="JM28" s="42" t="str">
        <f t="shared" si="117"/>
        <v>COCO LOPEZ</v>
      </c>
      <c r="JN28" s="43">
        <f t="shared" si="118"/>
        <v>0</v>
      </c>
      <c r="JP28" s="44">
        <f t="shared" si="119"/>
        <v>0</v>
      </c>
      <c r="JQ28" s="42" t="str">
        <f t="shared" si="120"/>
        <v>COCO LOPEZ</v>
      </c>
      <c r="JR28" s="43">
        <f t="shared" si="121"/>
        <v>0</v>
      </c>
      <c r="JT28" s="42" t="str">
        <f t="shared" si="122"/>
        <v>COCO LOPEZ</v>
      </c>
      <c r="JU28" s="43">
        <f t="shared" si="123"/>
        <v>0</v>
      </c>
      <c r="JW28" s="42" t="str">
        <f t="shared" si="124"/>
        <v>COCO LOPEZ</v>
      </c>
      <c r="JX28" s="43">
        <f t="shared" si="125"/>
        <v>0</v>
      </c>
      <c r="JZ28" s="44">
        <f t="shared" si="126"/>
        <v>0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7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/>
      <c r="FR29" s="24" t="str">
        <f t="shared" si="55"/>
        <v>TAPATIOS TACO M</v>
      </c>
      <c r="FS29" s="23"/>
      <c r="FU29" s="24" t="str">
        <f t="shared" si="56"/>
        <v>TAPATIOS TACO M</v>
      </c>
      <c r="FV29" s="23"/>
      <c r="FX29" s="23">
        <f t="shared" si="57"/>
        <v>0</v>
      </c>
      <c r="FY29" s="24" t="str">
        <f t="shared" si="58"/>
        <v>TAPATIOS TACO M</v>
      </c>
      <c r="FZ29" s="23"/>
      <c r="GB29" s="24" t="str">
        <f t="shared" si="59"/>
        <v>TAPATIOS TACO M</v>
      </c>
      <c r="GC29" s="23"/>
      <c r="GE29" s="24" t="str">
        <f t="shared" si="60"/>
        <v>TAPATIOS TACO M</v>
      </c>
      <c r="GF29" s="23"/>
      <c r="GH29" s="23">
        <f t="shared" si="61"/>
        <v>0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65"/>
        <v>0</v>
      </c>
      <c r="GS29" s="24" t="str">
        <f t="shared" si="66"/>
        <v>TAPATIOS TACO M</v>
      </c>
      <c r="GT29" s="23"/>
      <c r="GV29" s="24" t="str">
        <f t="shared" si="67"/>
        <v>TAPATIOS TACO M</v>
      </c>
      <c r="GW29" s="23"/>
      <c r="GY29" s="24" t="str">
        <f t="shared" si="68"/>
        <v>TAPATIOS TACO M</v>
      </c>
      <c r="GZ29" s="23"/>
      <c r="HB29" s="23">
        <f t="shared" si="69"/>
        <v>0</v>
      </c>
      <c r="HC29" s="24" t="str">
        <f t="shared" si="70"/>
        <v>TAPATIOS TACO M</v>
      </c>
      <c r="HD29" s="43">
        <f t="shared" si="71"/>
        <v>0</v>
      </c>
      <c r="HF29" s="24" t="str">
        <f t="shared" si="72"/>
        <v>TAPATIOS TACO M</v>
      </c>
      <c r="HG29" s="43">
        <f t="shared" si="73"/>
        <v>0</v>
      </c>
      <c r="HI29" s="24" t="str">
        <f t="shared" si="74"/>
        <v>TAPATIOS TACO M</v>
      </c>
      <c r="HJ29" s="43">
        <f t="shared" si="75"/>
        <v>0</v>
      </c>
      <c r="HL29" s="23">
        <f t="shared" si="76"/>
        <v>0</v>
      </c>
      <c r="HM29" s="24" t="str">
        <f t="shared" si="77"/>
        <v>TAPATIOS TACO M</v>
      </c>
      <c r="HN29" s="56">
        <f t="shared" si="78"/>
        <v>0</v>
      </c>
      <c r="HO29" s="25">
        <f t="shared" si="79"/>
        <v>0</v>
      </c>
      <c r="HP29" s="56">
        <f t="shared" si="80"/>
        <v>0</v>
      </c>
      <c r="HQ29" s="25">
        <f t="shared" si="81"/>
        <v>0</v>
      </c>
      <c r="HR29" s="56">
        <f t="shared" si="82"/>
        <v>0</v>
      </c>
      <c r="HS29" s="25">
        <f t="shared" si="83"/>
        <v>0</v>
      </c>
      <c r="HT29" s="56">
        <f t="shared" si="84"/>
        <v>0</v>
      </c>
      <c r="HU29" s="25">
        <f t="shared" si="85"/>
        <v>0</v>
      </c>
      <c r="HV29" s="56">
        <f t="shared" si="86"/>
        <v>0</v>
      </c>
      <c r="HW29" s="25">
        <f t="shared" si="87"/>
        <v>0</v>
      </c>
      <c r="HX29" s="56">
        <f t="shared" si="88"/>
        <v>0</v>
      </c>
      <c r="HY29" s="25">
        <f t="shared" si="89"/>
        <v>0</v>
      </c>
      <c r="HZ29" s="24" t="str">
        <f t="shared" si="90"/>
        <v>TAPATIOS TACO M</v>
      </c>
      <c r="IA29" s="56">
        <f t="shared" si="91"/>
        <v>0</v>
      </c>
      <c r="IB29" s="25">
        <f t="shared" si="92"/>
        <v>0</v>
      </c>
      <c r="IC29" s="56">
        <f t="shared" si="93"/>
        <v>0</v>
      </c>
      <c r="ID29" s="25">
        <f t="shared" si="94"/>
        <v>0</v>
      </c>
      <c r="IE29" s="56">
        <f t="shared" si="95"/>
        <v>0</v>
      </c>
      <c r="IF29" s="25">
        <f t="shared" si="96"/>
        <v>0</v>
      </c>
      <c r="IG29" s="56">
        <f t="shared" si="97"/>
        <v>0</v>
      </c>
      <c r="IH29" s="25">
        <f t="shared" si="98"/>
        <v>0</v>
      </c>
      <c r="II29" s="56">
        <f t="shared" si="99"/>
        <v>0</v>
      </c>
      <c r="IJ29" s="23"/>
      <c r="IK29" s="55"/>
      <c r="IL29" s="23">
        <f t="shared" si="100"/>
        <v>0</v>
      </c>
      <c r="IM29" s="24" t="str">
        <f t="shared" si="101"/>
        <v>TAPATIOS TACO M</v>
      </c>
      <c r="IN29" s="43">
        <f t="shared" si="102"/>
        <v>0</v>
      </c>
      <c r="IP29" s="24" t="str">
        <f t="shared" si="103"/>
        <v>TAPATIOS TACO M</v>
      </c>
      <c r="IQ29" s="43">
        <f t="shared" si="104"/>
        <v>0</v>
      </c>
      <c r="IS29" s="24" t="str">
        <f t="shared" si="105"/>
        <v>TAPATIOS TACO M</v>
      </c>
      <c r="IT29" s="43">
        <f t="shared" si="106"/>
        <v>0</v>
      </c>
      <c r="IV29" s="23"/>
      <c r="IW29" s="24" t="str">
        <f t="shared" si="107"/>
        <v>TAPATIOS TACO M</v>
      </c>
      <c r="IX29" s="43">
        <f t="shared" si="108"/>
        <v>0</v>
      </c>
      <c r="IZ29" s="24" t="str">
        <f t="shared" si="109"/>
        <v>TAPATIOS TACO M</v>
      </c>
      <c r="JA29" s="23">
        <f t="shared" si="110"/>
        <v>0</v>
      </c>
      <c r="JC29" s="24" t="str">
        <f t="shared" si="111"/>
        <v>TAPATIOS TACO M</v>
      </c>
      <c r="JD29" s="43">
        <f t="shared" si="112"/>
        <v>0</v>
      </c>
      <c r="JF29" s="23"/>
      <c r="JG29" s="24" t="str">
        <f t="shared" si="113"/>
        <v>TAPATIOS TACO M</v>
      </c>
      <c r="JH29" s="23">
        <f t="shared" si="114"/>
        <v>0</v>
      </c>
      <c r="JJ29" s="24" t="str">
        <f t="shared" si="115"/>
        <v>TAPATIOS TACO M</v>
      </c>
      <c r="JK29" s="23">
        <f t="shared" si="116"/>
        <v>0</v>
      </c>
      <c r="JM29" s="24" t="str">
        <f t="shared" si="117"/>
        <v>TAPATIOS TACO M</v>
      </c>
      <c r="JN29" s="23">
        <f t="shared" si="118"/>
        <v>0</v>
      </c>
      <c r="JP29" s="25">
        <f t="shared" si="119"/>
        <v>0</v>
      </c>
      <c r="JQ29" s="24" t="str">
        <f t="shared" si="120"/>
        <v>TAPATIOS TACO M</v>
      </c>
      <c r="JR29" s="23">
        <f t="shared" si="121"/>
        <v>0</v>
      </c>
      <c r="JT29" s="24" t="str">
        <f t="shared" si="122"/>
        <v>TAPATIOS TACO M</v>
      </c>
      <c r="JU29" s="23">
        <f t="shared" si="123"/>
        <v>0</v>
      </c>
      <c r="JV29" s="26"/>
      <c r="JW29" s="24" t="str">
        <f t="shared" si="124"/>
        <v>TAPATIOS TACO M</v>
      </c>
      <c r="JX29" s="23">
        <f t="shared" si="125"/>
        <v>0</v>
      </c>
      <c r="JZ29" s="23">
        <f t="shared" si="126"/>
        <v>0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54"/>
      <c r="HO30" s="28"/>
      <c r="HP30" s="54"/>
      <c r="HQ30" s="28"/>
      <c r="HR30" s="54"/>
      <c r="HS30" s="28"/>
      <c r="HT30" s="54"/>
      <c r="HU30" s="28"/>
      <c r="HV30" s="54"/>
      <c r="HW30" s="28"/>
      <c r="HX30" s="54"/>
      <c r="HY30" s="28"/>
      <c r="HZ30" s="27"/>
      <c r="IA30" s="54"/>
      <c r="IB30" s="28"/>
      <c r="IC30" s="54"/>
      <c r="ID30" s="28"/>
      <c r="IE30" s="54"/>
      <c r="IF30" s="28"/>
      <c r="IG30" s="54"/>
      <c r="IH30" s="28"/>
      <c r="II30" s="54"/>
      <c r="IJ30" s="28"/>
      <c r="IK30" s="54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0</v>
      </c>
      <c r="C31" s="7"/>
      <c r="D31" s="29" t="s">
        <v>19</v>
      </c>
      <c r="E31" s="30">
        <f>SUM(E11:E30)</f>
        <v>0</v>
      </c>
      <c r="F31" s="7"/>
      <c r="G31" s="29" t="s">
        <v>19</v>
      </c>
      <c r="H31" s="30">
        <f>SUM(H11:H30)</f>
        <v>0</v>
      </c>
      <c r="I31" s="7"/>
      <c r="J31" s="31">
        <f>SUM(J11:J30)</f>
        <v>0</v>
      </c>
      <c r="K31" s="29" t="s">
        <v>19</v>
      </c>
      <c r="L31" s="30">
        <f>SUM(L11:L30)</f>
        <v>0</v>
      </c>
      <c r="M31" s="32"/>
      <c r="N31" s="29" t="s">
        <v>19</v>
      </c>
      <c r="O31" s="30">
        <f>SUM(O11:O30)</f>
        <v>0</v>
      </c>
      <c r="P31" s="32"/>
      <c r="Q31" s="29" t="s">
        <v>19</v>
      </c>
      <c r="R31" s="30">
        <f>SUM(R11:R30)</f>
        <v>0</v>
      </c>
      <c r="S31" s="32"/>
      <c r="T31" s="31">
        <f>SUM(T11:T30)</f>
        <v>0</v>
      </c>
      <c r="U31" s="29" t="s">
        <v>19</v>
      </c>
      <c r="V31" s="30">
        <f>SUM(V11:V30)</f>
        <v>0</v>
      </c>
      <c r="W31" s="32"/>
      <c r="X31" s="29" t="s">
        <v>19</v>
      </c>
      <c r="Y31" s="30">
        <f>SUM(Y11:Y30)</f>
        <v>0</v>
      </c>
      <c r="Z31" s="32"/>
      <c r="AA31" s="29" t="s">
        <v>19</v>
      </c>
      <c r="AB31" s="30">
        <f>SUM(AB11:AB30)</f>
        <v>0</v>
      </c>
      <c r="AC31" s="32"/>
      <c r="AD31" s="31">
        <f>SUM(AD11:AD30)</f>
        <v>0</v>
      </c>
      <c r="AE31" s="29" t="s">
        <v>19</v>
      </c>
      <c r="AF31" s="30">
        <f>SUM(AF11:AF30)</f>
        <v>0</v>
      </c>
      <c r="AG31" s="32"/>
      <c r="AH31" s="29" t="s">
        <v>19</v>
      </c>
      <c r="AI31" s="30">
        <f>SUM(AI11:AI30)</f>
        <v>0</v>
      </c>
      <c r="AJ31" s="32"/>
      <c r="AK31" s="29" t="s">
        <v>19</v>
      </c>
      <c r="AL31" s="30">
        <f>SUM(AL11:AL30)</f>
        <v>0</v>
      </c>
      <c r="AM31" s="32"/>
      <c r="AN31" s="31">
        <f>SUM(AN11:AN30)</f>
        <v>0</v>
      </c>
      <c r="AO31" s="29" t="s">
        <v>19</v>
      </c>
      <c r="AP31" s="30">
        <f>SUM(AP11:AP30)</f>
        <v>0</v>
      </c>
      <c r="AQ31" s="32"/>
      <c r="AR31" s="29" t="s">
        <v>19</v>
      </c>
      <c r="AS31" s="30">
        <f>SUM(AS11:AS30)</f>
        <v>0</v>
      </c>
      <c r="AT31" s="32"/>
      <c r="AU31" s="29" t="s">
        <v>19</v>
      </c>
      <c r="AV31" s="30">
        <f>SUM(AV11:AV30)</f>
        <v>0</v>
      </c>
      <c r="AW31" s="32"/>
      <c r="AX31" s="31">
        <f>SUM(AX11:AX30)</f>
        <v>0</v>
      </c>
      <c r="AY31" s="29" t="s">
        <v>19</v>
      </c>
      <c r="AZ31" s="30">
        <f>SUM(AZ11:AZ30)</f>
        <v>0</v>
      </c>
      <c r="BA31" s="32"/>
      <c r="BB31" s="29" t="s">
        <v>19</v>
      </c>
      <c r="BC31" s="30">
        <f>SUM(BC11:BC30)</f>
        <v>0</v>
      </c>
      <c r="BD31" s="32"/>
      <c r="BE31" s="29" t="s">
        <v>19</v>
      </c>
      <c r="BF31" s="30">
        <f>SUM(BF11:BF30)</f>
        <v>0</v>
      </c>
      <c r="BG31" s="32"/>
      <c r="BH31" s="31">
        <f>SUM(BH11:BH30)</f>
        <v>0</v>
      </c>
      <c r="BI31" s="29" t="s">
        <v>19</v>
      </c>
      <c r="BJ31" s="30">
        <f>SUM(BJ11:BJ30)</f>
        <v>0</v>
      </c>
      <c r="BK31" s="32"/>
      <c r="BL31" s="29" t="s">
        <v>19</v>
      </c>
      <c r="BM31" s="30">
        <f>SUM(BM11:BM30)</f>
        <v>0</v>
      </c>
      <c r="BN31" s="32"/>
      <c r="BO31" s="29" t="s">
        <v>19</v>
      </c>
      <c r="BP31" s="30">
        <f>SUM(BP11:BP30)</f>
        <v>0</v>
      </c>
      <c r="BQ31" s="32"/>
      <c r="BR31" s="31">
        <f>SUM(BR11:BR30)</f>
        <v>0</v>
      </c>
      <c r="BS31" s="29" t="s">
        <v>19</v>
      </c>
      <c r="BT31" s="30">
        <f>SUM(BT11:BT30)</f>
        <v>0</v>
      </c>
      <c r="BU31" s="32"/>
      <c r="BV31" s="29" t="s">
        <v>19</v>
      </c>
      <c r="BW31" s="30">
        <f>SUM(BW11:BW30)</f>
        <v>0</v>
      </c>
      <c r="BX31" s="32"/>
      <c r="BY31" s="29" t="s">
        <v>19</v>
      </c>
      <c r="BZ31" s="30">
        <f>SUM(BZ11:BZ30)</f>
        <v>0</v>
      </c>
      <c r="CA31" s="32"/>
      <c r="CB31" s="31">
        <f>SUM(CB11:CB30)</f>
        <v>0</v>
      </c>
      <c r="CC31" s="29" t="s">
        <v>19</v>
      </c>
      <c r="CD31" s="30">
        <f>SUM(CD11:CD30)</f>
        <v>0</v>
      </c>
      <c r="CE31" s="32"/>
      <c r="CF31" s="29" t="s">
        <v>19</v>
      </c>
      <c r="CG31" s="30">
        <f>SUM(CG11:CG30)</f>
        <v>0</v>
      </c>
      <c r="CH31" s="32"/>
      <c r="CI31" s="29" t="s">
        <v>19</v>
      </c>
      <c r="CJ31" s="30">
        <f>SUM(CJ11:CJ30)</f>
        <v>0</v>
      </c>
      <c r="CK31" s="32"/>
      <c r="CL31" s="31">
        <f>SUM(CL11:CL30)</f>
        <v>0</v>
      </c>
      <c r="CM31" s="29" t="s">
        <v>19</v>
      </c>
      <c r="CN31" s="30">
        <f>SUM(CN11:CN30)</f>
        <v>0</v>
      </c>
      <c r="CO31" s="32"/>
      <c r="CP31" s="29" t="s">
        <v>19</v>
      </c>
      <c r="CQ31" s="30">
        <f>SUM(CQ11:CQ30)</f>
        <v>0</v>
      </c>
      <c r="CR31" s="32"/>
      <c r="CS31" s="29" t="s">
        <v>19</v>
      </c>
      <c r="CT31" s="30">
        <f>SUM(CT11:CT30)</f>
        <v>0</v>
      </c>
      <c r="CU31" s="32"/>
      <c r="CV31" s="31">
        <f>SUM(CV11:CV30)</f>
        <v>0</v>
      </c>
      <c r="CW31" s="29" t="s">
        <v>19</v>
      </c>
      <c r="CX31" s="30">
        <f>SUM(CX11:CX30)</f>
        <v>0</v>
      </c>
      <c r="CY31" s="32"/>
      <c r="CZ31" s="29" t="s">
        <v>19</v>
      </c>
      <c r="DA31" s="30">
        <f>SUM(DA11:DA30)</f>
        <v>0</v>
      </c>
      <c r="DB31" s="32"/>
      <c r="DC31" s="29" t="s">
        <v>19</v>
      </c>
      <c r="DD31" s="30">
        <f>SUM(DD11:DD30)</f>
        <v>0</v>
      </c>
      <c r="DE31" s="32"/>
      <c r="DF31" s="31">
        <f>SUM(DF11:DF30)</f>
        <v>0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>SUM(DK11:DK30)</f>
        <v>0</v>
      </c>
      <c r="DL31" s="32"/>
      <c r="DM31" s="29" t="s">
        <v>19</v>
      </c>
      <c r="DN31" s="30">
        <f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>SUM(DU11:DU30)</f>
        <v>0</v>
      </c>
      <c r="DV31" s="32"/>
      <c r="DW31" s="29" t="s">
        <v>19</v>
      </c>
      <c r="DX31" s="30">
        <f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>SUM(EE11:EE30)</f>
        <v>0</v>
      </c>
      <c r="EF31" s="32"/>
      <c r="EG31" s="29" t="s">
        <v>19</v>
      </c>
      <c r="EH31" s="30">
        <f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>SUM(EO11:EO30)</f>
        <v>0</v>
      </c>
      <c r="EP31" s="32"/>
      <c r="EQ31" s="29" t="s">
        <v>19</v>
      </c>
      <c r="ER31" s="30">
        <f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0</v>
      </c>
      <c r="EW31" s="32"/>
      <c r="EX31" s="29" t="s">
        <v>19</v>
      </c>
      <c r="EY31" s="30">
        <f>SUM(EY11:EY30)</f>
        <v>0</v>
      </c>
      <c r="EZ31" s="32"/>
      <c r="FA31" s="29" t="s">
        <v>19</v>
      </c>
      <c r="FB31" s="30">
        <f>SUM(FB11:FB30)</f>
        <v>0</v>
      </c>
      <c r="FC31" s="32"/>
      <c r="FD31" s="31">
        <f>SUM(FD11:FD30)</f>
        <v>0</v>
      </c>
      <c r="FE31" s="29" t="s">
        <v>19</v>
      </c>
      <c r="FF31" s="30">
        <f>SUM(FF11:FF30)</f>
        <v>0</v>
      </c>
      <c r="FG31" s="32"/>
      <c r="FH31" s="29" t="s">
        <v>19</v>
      </c>
      <c r="FI31" s="30">
        <f>SUM(FI11:FI30)</f>
        <v>0</v>
      </c>
      <c r="FJ31" s="32"/>
      <c r="FK31" s="29" t="s">
        <v>19</v>
      </c>
      <c r="FL31" s="30">
        <f>SUM(FL11:FL30)</f>
        <v>0</v>
      </c>
      <c r="FM31" s="32"/>
      <c r="FN31" s="31">
        <f>SUM(FN11:FN30)</f>
        <v>0</v>
      </c>
      <c r="FO31" s="29" t="s">
        <v>19</v>
      </c>
      <c r="FP31" s="30">
        <f>SUM(FP11:FP30)</f>
        <v>0</v>
      </c>
      <c r="FQ31" s="32"/>
      <c r="FR31" s="29" t="s">
        <v>19</v>
      </c>
      <c r="FS31" s="30">
        <f>SUM(FS11:FS30)</f>
        <v>0</v>
      </c>
      <c r="FT31" s="32"/>
      <c r="FU31" s="29" t="s">
        <v>19</v>
      </c>
      <c r="FV31" s="30">
        <f>SUM(FV11:FV30)</f>
        <v>0</v>
      </c>
      <c r="FW31" s="32"/>
      <c r="FX31" s="31">
        <f>SUM(FX11:FX30)</f>
        <v>0</v>
      </c>
      <c r="FY31" s="29" t="s">
        <v>19</v>
      </c>
      <c r="FZ31" s="30">
        <f>SUM(FZ11:FZ30)</f>
        <v>0</v>
      </c>
      <c r="GA31" s="32"/>
      <c r="GB31" s="29" t="s">
        <v>19</v>
      </c>
      <c r="GC31" s="30">
        <f>SUM(GC11:GC30)</f>
        <v>0</v>
      </c>
      <c r="GD31" s="32"/>
      <c r="GE31" s="29" t="s">
        <v>19</v>
      </c>
      <c r="GF31" s="30">
        <f>SUM(GF11:GF30)</f>
        <v>0</v>
      </c>
      <c r="GG31" s="32"/>
      <c r="GH31" s="31">
        <f>SUM(GH11:GH30)</f>
        <v>0</v>
      </c>
      <c r="GI31" s="29" t="s">
        <v>19</v>
      </c>
      <c r="GJ31" s="30">
        <f>SUM(GJ11:GJ30)</f>
        <v>0</v>
      </c>
      <c r="GK31" s="32"/>
      <c r="GL31" s="29" t="s">
        <v>19</v>
      </c>
      <c r="GM31" s="30">
        <f>SUM(GM11:GM30)</f>
        <v>0</v>
      </c>
      <c r="GN31" s="32"/>
      <c r="GO31" s="29" t="s">
        <v>19</v>
      </c>
      <c r="GP31" s="30">
        <f>SUM(GP11:GP30)</f>
        <v>0</v>
      </c>
      <c r="GQ31" s="32"/>
      <c r="GR31" s="31">
        <f>SUM(GR11:GR30)</f>
        <v>0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>SUM(GW11:GW30)</f>
        <v>0</v>
      </c>
      <c r="GX31" s="32"/>
      <c r="GY31" s="29" t="s">
        <v>19</v>
      </c>
      <c r="GZ31" s="30">
        <f>SUM(GZ11:GZ30)</f>
        <v>0</v>
      </c>
      <c r="HA31" s="32"/>
      <c r="HB31" s="31">
        <f>SUM(HB11:HB30)</f>
        <v>0</v>
      </c>
      <c r="HC31" s="29" t="s">
        <v>19</v>
      </c>
      <c r="HD31" s="30">
        <f>SUM(HD11:HD30)</f>
        <v>0</v>
      </c>
      <c r="HE31" s="32"/>
      <c r="HF31" s="29" t="s">
        <v>19</v>
      </c>
      <c r="HG31" s="30">
        <f>SUM(HG11:HG30)</f>
        <v>0</v>
      </c>
      <c r="HH31" s="32"/>
      <c r="HI31" s="29" t="s">
        <v>19</v>
      </c>
      <c r="HJ31" s="30">
        <f>SUM(HJ11:HJ30)</f>
        <v>0</v>
      </c>
      <c r="HK31" s="32"/>
      <c r="HL31" s="31">
        <f>SUM(HL11:HL30)</f>
        <v>0</v>
      </c>
      <c r="HM31" s="32" t="s">
        <v>19</v>
      </c>
      <c r="HN31" s="53">
        <f>J31</f>
        <v>0</v>
      </c>
      <c r="HO31" s="32">
        <f>T31</f>
        <v>0</v>
      </c>
      <c r="HP31" s="53">
        <f>AD31</f>
        <v>0</v>
      </c>
      <c r="HQ31" s="32">
        <f>AN31</f>
        <v>0</v>
      </c>
      <c r="HR31" s="53">
        <f>AX31</f>
        <v>0</v>
      </c>
      <c r="HS31" s="32">
        <f>BH31</f>
        <v>0</v>
      </c>
      <c r="HT31" s="53">
        <f>BR31</f>
        <v>0</v>
      </c>
      <c r="HU31" s="32">
        <f>CB31</f>
        <v>0</v>
      </c>
      <c r="HV31" s="53">
        <f>CL31</f>
        <v>0</v>
      </c>
      <c r="HW31" s="32">
        <f>CV31</f>
        <v>0</v>
      </c>
      <c r="HX31" s="53">
        <f>DF31</f>
        <v>0</v>
      </c>
      <c r="HY31" s="32">
        <f>DP31</f>
        <v>0</v>
      </c>
      <c r="HZ31" s="33" t="s">
        <v>19</v>
      </c>
      <c r="IA31" s="53">
        <f>DZ31</f>
        <v>0</v>
      </c>
      <c r="IB31" s="32">
        <f>ES31</f>
        <v>0</v>
      </c>
      <c r="IC31" s="53">
        <f>FC31</f>
        <v>0</v>
      </c>
      <c r="ID31" s="32">
        <f>FM31</f>
        <v>0</v>
      </c>
      <c r="IE31" s="53"/>
      <c r="IF31" s="32"/>
      <c r="IG31" s="53"/>
      <c r="IH31" s="32"/>
      <c r="II31" s="53"/>
      <c r="IJ31" s="32"/>
      <c r="IK31" s="53"/>
      <c r="IL31" s="32">
        <f>SUM(HN31:HY31)+SUM(IA31:IK31)</f>
        <v>0</v>
      </c>
      <c r="IM31" s="29" t="s">
        <v>19</v>
      </c>
      <c r="IN31" s="30">
        <f>SUM(IN11:IN30)</f>
        <v>0</v>
      </c>
      <c r="IO31" s="32"/>
      <c r="IP31" s="29" t="s">
        <v>19</v>
      </c>
      <c r="IQ31" s="30">
        <f>SUM(IQ11:IQ30)</f>
        <v>0</v>
      </c>
      <c r="IR31" s="32"/>
      <c r="IS31" s="29" t="s">
        <v>19</v>
      </c>
      <c r="IT31" s="30">
        <f>SUM(IT11:IT30)</f>
        <v>0</v>
      </c>
      <c r="IU31" s="32"/>
      <c r="IV31" s="31">
        <f>SUM(IV11:IV30)</f>
        <v>0</v>
      </c>
      <c r="IW31" s="29" t="s">
        <v>19</v>
      </c>
      <c r="IX31" s="30">
        <f>SUM(IX11:IX30)</f>
        <v>0</v>
      </c>
      <c r="IY31" s="32"/>
      <c r="IZ31" s="29" t="s">
        <v>19</v>
      </c>
      <c r="JA31" s="30">
        <f>SUM(JA11:JA30)</f>
        <v>0</v>
      </c>
      <c r="JB31" s="32"/>
      <c r="JC31" s="29" t="s">
        <v>19</v>
      </c>
      <c r="JD31" s="30">
        <f>SUM(JD11:JD30)</f>
        <v>0</v>
      </c>
      <c r="JE31" s="32"/>
      <c r="JF31" s="31">
        <f>SUM(JF11:JF30)</f>
        <v>0</v>
      </c>
      <c r="JG31" s="29" t="s">
        <v>19</v>
      </c>
      <c r="JH31" s="30">
        <f>SUM(JH11:JH30)</f>
        <v>0</v>
      </c>
      <c r="JI31" s="32"/>
      <c r="JJ31" s="29" t="s">
        <v>19</v>
      </c>
      <c r="JK31" s="30">
        <f>SUM(JK11:JK30)</f>
        <v>0</v>
      </c>
      <c r="JL31" s="32"/>
      <c r="JM31" s="29" t="s">
        <v>19</v>
      </c>
      <c r="JN31" s="30">
        <f>SUM(JN11:JN30)</f>
        <v>0</v>
      </c>
      <c r="JO31" s="32"/>
      <c r="JP31" s="31">
        <f>SUM(JP11:JP30)</f>
        <v>0</v>
      </c>
      <c r="JQ31" s="29" t="s">
        <v>19</v>
      </c>
      <c r="JR31" s="30">
        <f>SUM(JR11:JR30)</f>
        <v>0</v>
      </c>
      <c r="JS31" s="32"/>
      <c r="JT31" s="29" t="s">
        <v>19</v>
      </c>
      <c r="JU31" s="30">
        <f>SUM(JU11:JU30)</f>
        <v>0</v>
      </c>
      <c r="JV31" s="32"/>
      <c r="JW31" s="29" t="s">
        <v>19</v>
      </c>
      <c r="JX31" s="30">
        <f>SUM(JX11:JX30)</f>
        <v>0</v>
      </c>
      <c r="JY31" s="32"/>
      <c r="JZ31" s="31">
        <f>SUM(JZ11:JZ30)</f>
        <v>0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JG30:JH30"/>
    <mergeCell ref="JJ30:JK30"/>
    <mergeCell ref="JM30:JN30"/>
    <mergeCell ref="JQ30:JR30"/>
    <mergeCell ref="JT30:JU30"/>
    <mergeCell ref="JW30:JX30"/>
    <mergeCell ref="IM30:IN30"/>
    <mergeCell ref="IP30:IQ30"/>
    <mergeCell ref="IS30:IT30"/>
    <mergeCell ref="IW30:IX30"/>
    <mergeCell ref="IZ30:JA30"/>
    <mergeCell ref="JC30:JD30"/>
    <mergeCell ref="GS30:GT30"/>
    <mergeCell ref="GV30:GW30"/>
    <mergeCell ref="GY30:GZ30"/>
    <mergeCell ref="HC30:HD30"/>
    <mergeCell ref="HF30:HG30"/>
    <mergeCell ref="HI30:HJ30"/>
    <mergeCell ref="FY30:FZ30"/>
    <mergeCell ref="GB30:GC30"/>
    <mergeCell ref="GE30:GF30"/>
    <mergeCell ref="GI30:GJ30"/>
    <mergeCell ref="GL30:GM30"/>
    <mergeCell ref="GO30:GP30"/>
    <mergeCell ref="FE30:FF30"/>
    <mergeCell ref="FH30:FI30"/>
    <mergeCell ref="FK30:FL30"/>
    <mergeCell ref="FO30:FP30"/>
    <mergeCell ref="FR30:FS30"/>
    <mergeCell ref="FU30:FV30"/>
    <mergeCell ref="EK30:EL30"/>
    <mergeCell ref="EN30:EO30"/>
    <mergeCell ref="EQ30:ER30"/>
    <mergeCell ref="EU30:EV30"/>
    <mergeCell ref="EX30:EY30"/>
    <mergeCell ref="FA30:FB30"/>
    <mergeCell ref="DQ30:DR30"/>
    <mergeCell ref="DT30:DU30"/>
    <mergeCell ref="DW30:DX30"/>
    <mergeCell ref="EA30:EB30"/>
    <mergeCell ref="ED30:EE30"/>
    <mergeCell ref="EG30:EH30"/>
    <mergeCell ref="CW30:CX30"/>
    <mergeCell ref="CZ30:DA30"/>
    <mergeCell ref="DC30:DD30"/>
    <mergeCell ref="DG30:DH30"/>
    <mergeCell ref="DJ30:DK30"/>
    <mergeCell ref="DM30:DN30"/>
    <mergeCell ref="CC30:CD30"/>
    <mergeCell ref="CF30:CG30"/>
    <mergeCell ref="CI30:CJ30"/>
    <mergeCell ref="CM30:CN30"/>
    <mergeCell ref="CP30:CQ30"/>
    <mergeCell ref="CS30:CT30"/>
    <mergeCell ref="BI30:BJ30"/>
    <mergeCell ref="BL30:BM30"/>
    <mergeCell ref="BO30:BP30"/>
    <mergeCell ref="BS30:BT30"/>
    <mergeCell ref="BV30:BW30"/>
    <mergeCell ref="BY30:BZ30"/>
    <mergeCell ref="AO30:AP30"/>
    <mergeCell ref="AR30:AS30"/>
    <mergeCell ref="AU30:AV30"/>
    <mergeCell ref="AY30:AZ30"/>
    <mergeCell ref="BB30:BC30"/>
    <mergeCell ref="BE30:BF30"/>
    <mergeCell ref="U30:V30"/>
    <mergeCell ref="X30:Y30"/>
    <mergeCell ref="AA30:AB30"/>
    <mergeCell ref="AE30:AF30"/>
    <mergeCell ref="AH30:AI30"/>
    <mergeCell ref="AK30:AL30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IS9:IT9"/>
    <mergeCell ref="IW9:IX9"/>
    <mergeCell ref="IZ9:JA9"/>
    <mergeCell ref="JC9:JD9"/>
    <mergeCell ref="JG9:JH9"/>
    <mergeCell ref="JJ9:JK9"/>
    <mergeCell ref="GY9:GZ9"/>
    <mergeCell ref="HC9:HD9"/>
    <mergeCell ref="HF9:HG9"/>
    <mergeCell ref="HI9:HJ9"/>
    <mergeCell ref="IM9:IN9"/>
    <mergeCell ref="IP9:IQ9"/>
    <mergeCell ref="GE9:GF9"/>
    <mergeCell ref="GI9:GJ9"/>
    <mergeCell ref="GL9:GM9"/>
    <mergeCell ref="GO9:GP9"/>
    <mergeCell ref="GS9:GT9"/>
    <mergeCell ref="GV9:GW9"/>
    <mergeCell ref="FK9:FL9"/>
    <mergeCell ref="FO9:FP9"/>
    <mergeCell ref="FR9:FS9"/>
    <mergeCell ref="FU9:FV9"/>
    <mergeCell ref="FY9:FZ9"/>
    <mergeCell ref="GB9:GC9"/>
    <mergeCell ref="EQ9:ER9"/>
    <mergeCell ref="EU9:EV9"/>
    <mergeCell ref="EX9:EY9"/>
    <mergeCell ref="FA9:FB9"/>
    <mergeCell ref="FE9:FF9"/>
    <mergeCell ref="FH9:FI9"/>
    <mergeCell ref="DW9:DX9"/>
    <mergeCell ref="EA9:EB9"/>
    <mergeCell ref="ED9:EE9"/>
    <mergeCell ref="EG9:EH9"/>
    <mergeCell ref="EK9:EL9"/>
    <mergeCell ref="EN9:EO9"/>
    <mergeCell ref="DC9:DD9"/>
    <mergeCell ref="DG9:DH9"/>
    <mergeCell ref="DJ9:DK9"/>
    <mergeCell ref="DM9:DN9"/>
    <mergeCell ref="DQ9:DR9"/>
    <mergeCell ref="DT9:DU9"/>
    <mergeCell ref="CI9:CJ9"/>
    <mergeCell ref="CM9:CN9"/>
    <mergeCell ref="CP9:CQ9"/>
    <mergeCell ref="CS9:CT9"/>
    <mergeCell ref="CW9:CX9"/>
    <mergeCell ref="CZ9:DA9"/>
    <mergeCell ref="BO9:BP9"/>
    <mergeCell ref="BS9:BT9"/>
    <mergeCell ref="BV9:BW9"/>
    <mergeCell ref="BY9:BZ9"/>
    <mergeCell ref="CC9:CD9"/>
    <mergeCell ref="CF9:CG9"/>
    <mergeCell ref="AU9:AV9"/>
    <mergeCell ref="AY9:AZ9"/>
    <mergeCell ref="BB9:BC9"/>
    <mergeCell ref="BE9:BF9"/>
    <mergeCell ref="BI9:BJ9"/>
    <mergeCell ref="BL9:BM9"/>
    <mergeCell ref="AA9:AB9"/>
    <mergeCell ref="AE9:AF9"/>
    <mergeCell ref="AH9:AI9"/>
    <mergeCell ref="AK9:AL9"/>
    <mergeCell ref="AO9:AP9"/>
    <mergeCell ref="AR9:AS9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IZ8:JA8"/>
    <mergeCell ref="JC8:JD8"/>
    <mergeCell ref="JG8:JH8"/>
    <mergeCell ref="JJ8:JK8"/>
    <mergeCell ref="JM8:JN8"/>
    <mergeCell ref="JQ8:JR8"/>
    <mergeCell ref="HM8:HY8"/>
    <mergeCell ref="HZ8:IL8"/>
    <mergeCell ref="IM8:IN8"/>
    <mergeCell ref="IP8:IQ8"/>
    <mergeCell ref="IS8:IT8"/>
    <mergeCell ref="IW8:IX8"/>
    <mergeCell ref="GS8:GT8"/>
    <mergeCell ref="GV8:GW8"/>
    <mergeCell ref="GY8:GZ8"/>
    <mergeCell ref="HC8:HD8"/>
    <mergeCell ref="HF8:HG8"/>
    <mergeCell ref="HI8:HJ8"/>
    <mergeCell ref="FY8:FZ8"/>
    <mergeCell ref="GB8:GC8"/>
    <mergeCell ref="GE8:GF8"/>
    <mergeCell ref="GI8:GJ8"/>
    <mergeCell ref="GL8:GM8"/>
    <mergeCell ref="GO8:GP8"/>
    <mergeCell ref="FE8:FF8"/>
    <mergeCell ref="FH8:FI8"/>
    <mergeCell ref="FK8:FL8"/>
    <mergeCell ref="FO8:FP8"/>
    <mergeCell ref="FR8:FS8"/>
    <mergeCell ref="FU8:FV8"/>
    <mergeCell ref="EK8:EL8"/>
    <mergeCell ref="EN8:EO8"/>
    <mergeCell ref="EQ8:ER8"/>
    <mergeCell ref="EU8:EV8"/>
    <mergeCell ref="EX8:EY8"/>
    <mergeCell ref="FA8:FB8"/>
    <mergeCell ref="DQ8:DR8"/>
    <mergeCell ref="DT8:DU8"/>
    <mergeCell ref="DW8:DX8"/>
    <mergeCell ref="EA8:EB8"/>
    <mergeCell ref="ED8:EE8"/>
    <mergeCell ref="EG8:EH8"/>
    <mergeCell ref="DC8:DD8"/>
    <mergeCell ref="DG8:DH8"/>
    <mergeCell ref="DJ8:DK8"/>
    <mergeCell ref="DM8:DN8"/>
    <mergeCell ref="CC8:CD8"/>
    <mergeCell ref="CF8:CG8"/>
    <mergeCell ref="CI8:CJ8"/>
    <mergeCell ref="CM8:CN8"/>
    <mergeCell ref="CP8:CQ8"/>
    <mergeCell ref="CS8:CT8"/>
    <mergeCell ref="U8:V8"/>
    <mergeCell ref="X8:Y8"/>
    <mergeCell ref="AA8:AB8"/>
    <mergeCell ref="AE8:AF8"/>
    <mergeCell ref="AH8:AI8"/>
    <mergeCell ref="AK8:AL8"/>
    <mergeCell ref="IM7:IV7"/>
    <mergeCell ref="IW7:JF7"/>
    <mergeCell ref="JG7:JP7"/>
    <mergeCell ref="DG7:DP7"/>
    <mergeCell ref="BI8:BJ8"/>
    <mergeCell ref="BL8:BM8"/>
    <mergeCell ref="BO8:BP8"/>
    <mergeCell ref="BS8:BT8"/>
    <mergeCell ref="BV8:BW8"/>
    <mergeCell ref="BY8:BZ8"/>
    <mergeCell ref="AO8:AP8"/>
    <mergeCell ref="AR8:AS8"/>
    <mergeCell ref="AU8:AV8"/>
    <mergeCell ref="AY8:AZ8"/>
    <mergeCell ref="BB8:BC8"/>
    <mergeCell ref="BE8:BF8"/>
    <mergeCell ref="CW8:CX8"/>
    <mergeCell ref="CZ8:DA8"/>
    <mergeCell ref="JQ7:JZ7"/>
    <mergeCell ref="A8:B8"/>
    <mergeCell ref="D8:E8"/>
    <mergeCell ref="G8:H8"/>
    <mergeCell ref="K8:L8"/>
    <mergeCell ref="N8:O8"/>
    <mergeCell ref="Q8:R8"/>
    <mergeCell ref="FY7:GH7"/>
    <mergeCell ref="GI7:GR7"/>
    <mergeCell ref="GS7:HB7"/>
    <mergeCell ref="HC7:HL7"/>
    <mergeCell ref="HM7:HY7"/>
    <mergeCell ref="HZ7:IL7"/>
    <mergeCell ref="DQ7:DZ7"/>
    <mergeCell ref="EA7:EJ7"/>
    <mergeCell ref="EK7:ET7"/>
    <mergeCell ref="EU7:FD7"/>
    <mergeCell ref="FE7:FN7"/>
    <mergeCell ref="FO7:FX7"/>
    <mergeCell ref="BI7:BR7"/>
    <mergeCell ref="BS7:CB7"/>
    <mergeCell ref="CC7:CL7"/>
    <mergeCell ref="CM7:CV7"/>
    <mergeCell ref="CW7:DF7"/>
    <mergeCell ref="A7:J7"/>
    <mergeCell ref="K7:T7"/>
    <mergeCell ref="U7:AD7"/>
    <mergeCell ref="AE7:AN7"/>
    <mergeCell ref="AO7:AX7"/>
    <mergeCell ref="AY7:BH7"/>
    <mergeCell ref="JG6:JH6"/>
    <mergeCell ref="JJ6:JK6"/>
    <mergeCell ref="JM6:JN6"/>
    <mergeCell ref="GS6:GT6"/>
    <mergeCell ref="GV6:GW6"/>
    <mergeCell ref="GY6:GZ6"/>
    <mergeCell ref="HC6:HD6"/>
    <mergeCell ref="HF6:HG6"/>
    <mergeCell ref="HI6:HJ6"/>
    <mergeCell ref="FY6:FZ6"/>
    <mergeCell ref="GB6:GC6"/>
    <mergeCell ref="GE6:GF6"/>
    <mergeCell ref="GI6:GJ6"/>
    <mergeCell ref="GL6:GM6"/>
    <mergeCell ref="GO6:GP6"/>
    <mergeCell ref="FE6:FF6"/>
    <mergeCell ref="FH6:FI6"/>
    <mergeCell ref="FK6:FL6"/>
    <mergeCell ref="JQ6:JR6"/>
    <mergeCell ref="JT6:JU6"/>
    <mergeCell ref="JW6:JX6"/>
    <mergeCell ref="IM6:IN6"/>
    <mergeCell ref="IP6:IQ6"/>
    <mergeCell ref="IS6:IT6"/>
    <mergeCell ref="IW6:IX6"/>
    <mergeCell ref="IZ6:JA6"/>
    <mergeCell ref="JC6:JD6"/>
    <mergeCell ref="FO6:FP6"/>
    <mergeCell ref="FR6:FS6"/>
    <mergeCell ref="FU6:FV6"/>
    <mergeCell ref="EK6:EL6"/>
    <mergeCell ref="EN6:EO6"/>
    <mergeCell ref="EQ6:ER6"/>
    <mergeCell ref="EU6:EV6"/>
    <mergeCell ref="EX6:EY6"/>
    <mergeCell ref="FA6:FB6"/>
    <mergeCell ref="DQ6:DR6"/>
    <mergeCell ref="DT6:DU6"/>
    <mergeCell ref="DW6:DX6"/>
    <mergeCell ref="EA6:EB6"/>
    <mergeCell ref="ED6:EE6"/>
    <mergeCell ref="EG6:EH6"/>
    <mergeCell ref="CW6:CX6"/>
    <mergeCell ref="CZ6:DA6"/>
    <mergeCell ref="DC6:DD6"/>
    <mergeCell ref="DG6:DH6"/>
    <mergeCell ref="DJ6:DK6"/>
    <mergeCell ref="DM6:DN6"/>
    <mergeCell ref="CC6:CD6"/>
    <mergeCell ref="CF6:CG6"/>
    <mergeCell ref="CI6:CJ6"/>
    <mergeCell ref="CM6:CN6"/>
    <mergeCell ref="CP6:CQ6"/>
    <mergeCell ref="CS6:CT6"/>
    <mergeCell ref="BI6:BJ6"/>
    <mergeCell ref="BL6:BM6"/>
    <mergeCell ref="BO6:BP6"/>
    <mergeCell ref="BS6:BT6"/>
    <mergeCell ref="BV6:BW6"/>
    <mergeCell ref="BY6:BZ6"/>
    <mergeCell ref="AO6:AP6"/>
    <mergeCell ref="AR6:AS6"/>
    <mergeCell ref="AU6:AV6"/>
    <mergeCell ref="AY6:AZ6"/>
    <mergeCell ref="BB6:BC6"/>
    <mergeCell ref="BE6:BF6"/>
    <mergeCell ref="U6:V6"/>
    <mergeCell ref="X6:Y6"/>
    <mergeCell ref="AA6:AB6"/>
    <mergeCell ref="AE6:AF6"/>
    <mergeCell ref="AH6:AI6"/>
    <mergeCell ref="AK6:AL6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FY5:FZ5"/>
    <mergeCell ref="GI5:GJ5"/>
    <mergeCell ref="GS5:GT5"/>
    <mergeCell ref="HC5:HD5"/>
    <mergeCell ref="HM5:HN5"/>
    <mergeCell ref="HZ5:IA5"/>
    <mergeCell ref="DQ5:DR5"/>
    <mergeCell ref="EA5:EB5"/>
    <mergeCell ref="EK5:EL5"/>
    <mergeCell ref="EU5:EV5"/>
    <mergeCell ref="FE5:FF5"/>
    <mergeCell ref="FO5:FP5"/>
    <mergeCell ref="BI5:BJ5"/>
    <mergeCell ref="BS5:BT5"/>
    <mergeCell ref="CC5:CD5"/>
    <mergeCell ref="CM5:CN5"/>
    <mergeCell ref="CW5:CX5"/>
    <mergeCell ref="DG5:DH5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FY4:FZ4"/>
    <mergeCell ref="GI4:GJ4"/>
    <mergeCell ref="GS4:GT4"/>
    <mergeCell ref="HC4:HD4"/>
    <mergeCell ref="HM4:HN4"/>
    <mergeCell ref="HZ4:IA4"/>
    <mergeCell ref="DQ4:DR4"/>
    <mergeCell ref="EA4:EB4"/>
    <mergeCell ref="EK4:EL4"/>
    <mergeCell ref="EU4:EV4"/>
    <mergeCell ref="FE4:FF4"/>
    <mergeCell ref="FO4:FP4"/>
    <mergeCell ref="BI4:BJ4"/>
    <mergeCell ref="BS4:BT4"/>
    <mergeCell ref="CC4:CD4"/>
    <mergeCell ref="CM4:CN4"/>
    <mergeCell ref="CW4:CX4"/>
    <mergeCell ref="DG4:DH4"/>
    <mergeCell ref="IM3:IN3"/>
    <mergeCell ref="CM3:CN3"/>
    <mergeCell ref="CW3:CX3"/>
    <mergeCell ref="DG3:DH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FY3:FZ3"/>
    <mergeCell ref="GI3:GJ3"/>
    <mergeCell ref="GS3:GT3"/>
    <mergeCell ref="HC3:HD3"/>
    <mergeCell ref="HM3:HN3"/>
    <mergeCell ref="HZ3:IA3"/>
    <mergeCell ref="DQ3:DR3"/>
    <mergeCell ref="EA3:EB3"/>
    <mergeCell ref="EK3:EL3"/>
    <mergeCell ref="EU3:EV3"/>
    <mergeCell ref="FE3:FF3"/>
    <mergeCell ref="FO3:FP3"/>
    <mergeCell ref="BI3:BJ3"/>
    <mergeCell ref="BS3:BT3"/>
    <mergeCell ref="CC3:CD3"/>
    <mergeCell ref="A3:B3"/>
    <mergeCell ref="K3:L3"/>
    <mergeCell ref="U3:V3"/>
    <mergeCell ref="AE3:AF3"/>
    <mergeCell ref="AO3:AP3"/>
    <mergeCell ref="AY3:AZ3"/>
    <mergeCell ref="JG2:JH2"/>
    <mergeCell ref="JJ2:JK2"/>
    <mergeCell ref="JM2:JN2"/>
    <mergeCell ref="GS2:GT2"/>
    <mergeCell ref="GV2:GW2"/>
    <mergeCell ref="GY2:GZ2"/>
    <mergeCell ref="HC2:HD2"/>
    <mergeCell ref="HF2:HG2"/>
    <mergeCell ref="HI2:HJ2"/>
    <mergeCell ref="FY2:FZ2"/>
    <mergeCell ref="GB2:GC2"/>
    <mergeCell ref="GE2:GF2"/>
    <mergeCell ref="GI2:GJ2"/>
    <mergeCell ref="GL2:GM2"/>
    <mergeCell ref="GO2:GP2"/>
    <mergeCell ref="FE2:FF2"/>
    <mergeCell ref="FH2:FI2"/>
    <mergeCell ref="FK2:FL2"/>
    <mergeCell ref="JQ2:JR2"/>
    <mergeCell ref="JT2:JU2"/>
    <mergeCell ref="JW2:JX2"/>
    <mergeCell ref="IM2:IN2"/>
    <mergeCell ref="IP2:IQ2"/>
    <mergeCell ref="IS2:IT2"/>
    <mergeCell ref="IW2:IX2"/>
    <mergeCell ref="IZ2:JA2"/>
    <mergeCell ref="JC2:JD2"/>
    <mergeCell ref="FO2:FP2"/>
    <mergeCell ref="FR2:FS2"/>
    <mergeCell ref="FU2:FV2"/>
    <mergeCell ref="EK2:EL2"/>
    <mergeCell ref="EN2:EO2"/>
    <mergeCell ref="EQ2:ER2"/>
    <mergeCell ref="EU2:EV2"/>
    <mergeCell ref="EX2:EY2"/>
    <mergeCell ref="FA2:FB2"/>
    <mergeCell ref="DQ2:DR2"/>
    <mergeCell ref="DT2:DU2"/>
    <mergeCell ref="DW2:DX2"/>
    <mergeCell ref="EA2:EB2"/>
    <mergeCell ref="ED2:EE2"/>
    <mergeCell ref="EG2:EH2"/>
    <mergeCell ref="CW2:CX2"/>
    <mergeCell ref="CZ2:DA2"/>
    <mergeCell ref="DC2:DD2"/>
    <mergeCell ref="DG2:DH2"/>
    <mergeCell ref="DJ2:DK2"/>
    <mergeCell ref="DM2:DN2"/>
    <mergeCell ref="CC2:CD2"/>
    <mergeCell ref="CF2:CG2"/>
    <mergeCell ref="CI2:CJ2"/>
    <mergeCell ref="CM2:CN2"/>
    <mergeCell ref="CP2:CQ2"/>
    <mergeCell ref="CS2:CT2"/>
    <mergeCell ref="BI2:BJ2"/>
    <mergeCell ref="BL2:BM2"/>
    <mergeCell ref="BO2:BP2"/>
    <mergeCell ref="BS2:BT2"/>
    <mergeCell ref="BV2:BW2"/>
    <mergeCell ref="BY2:BZ2"/>
    <mergeCell ref="AO2:AP2"/>
    <mergeCell ref="AR2:AS2"/>
    <mergeCell ref="AU2:AV2"/>
    <mergeCell ref="AY2:AZ2"/>
    <mergeCell ref="BB2:BC2"/>
    <mergeCell ref="BE2:BF2"/>
    <mergeCell ref="U2:V2"/>
    <mergeCell ref="X2:Y2"/>
    <mergeCell ref="AA2:AB2"/>
    <mergeCell ref="AE2:AF2"/>
    <mergeCell ref="AH2:AI2"/>
    <mergeCell ref="AK2:AL2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FY1:FZ1"/>
    <mergeCell ref="GI1:GJ1"/>
    <mergeCell ref="GS1:GT1"/>
    <mergeCell ref="HC1:HD1"/>
    <mergeCell ref="HM1:HN1"/>
    <mergeCell ref="HZ1:IA1"/>
    <mergeCell ref="DQ1:DR1"/>
    <mergeCell ref="EA1:EB1"/>
    <mergeCell ref="EK1:EL1"/>
    <mergeCell ref="EU1:EV1"/>
    <mergeCell ref="FE1:FF1"/>
    <mergeCell ref="FO1:FP1"/>
    <mergeCell ref="BI1:BJ1"/>
    <mergeCell ref="BS1:BT1"/>
    <mergeCell ref="CC1:CD1"/>
    <mergeCell ref="CM1:CN1"/>
    <mergeCell ref="CW1:CX1"/>
    <mergeCell ref="DG1:DH1"/>
    <mergeCell ref="A1:B1"/>
    <mergeCell ref="K1:L1"/>
    <mergeCell ref="U1:V1"/>
    <mergeCell ref="AE1:AF1"/>
    <mergeCell ref="AO1:AP1"/>
    <mergeCell ref="AY1:AZ1"/>
  </mergeCells>
  <pageMargins left="0.7" right="0.7" top="0.75" bottom="0.75" header="0.3" footer="0.3"/>
  <pageSetup scale="41" fitToWidth="0" pageOrder="overThenDown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D813-DB9B-4D62-8C69-06F4A933A971}">
  <dimension ref="A1:JZ38"/>
  <sheetViews>
    <sheetView view="pageBreakPreview" zoomScale="28" zoomScaleNormal="50" zoomScaleSheetLayoutView="28" workbookViewId="0">
      <selection activeCell="G21" sqref="G21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79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46235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46235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0">
        <v>46232</v>
      </c>
      <c r="B9" s="70"/>
      <c r="D9" s="70"/>
      <c r="E9" s="70"/>
      <c r="G9" s="70">
        <f>A9+3</f>
        <v>46235</v>
      </c>
      <c r="H9" s="70"/>
      <c r="K9" s="70">
        <f>A9</f>
        <v>46232</v>
      </c>
      <c r="L9" s="70"/>
      <c r="N9" s="70"/>
      <c r="O9" s="70"/>
      <c r="Q9" s="70">
        <f>G9</f>
        <v>46235</v>
      </c>
      <c r="R9" s="70"/>
      <c r="U9" s="70">
        <f>A9</f>
        <v>46232</v>
      </c>
      <c r="V9" s="70"/>
      <c r="X9" s="70"/>
      <c r="Y9" s="70"/>
      <c r="AA9" s="70">
        <f>G9</f>
        <v>46235</v>
      </c>
      <c r="AB9" s="70"/>
      <c r="AE9" s="70">
        <f>A9</f>
        <v>46232</v>
      </c>
      <c r="AF9" s="70"/>
      <c r="AH9" s="70"/>
      <c r="AI9" s="70"/>
      <c r="AK9" s="70">
        <f>G9</f>
        <v>46235</v>
      </c>
      <c r="AL9" s="70"/>
      <c r="AO9" s="70">
        <f>A9</f>
        <v>46232</v>
      </c>
      <c r="AP9" s="70"/>
      <c r="AR9" s="70"/>
      <c r="AS9" s="70"/>
      <c r="AU9" s="70">
        <f>G9</f>
        <v>46235</v>
      </c>
      <c r="AV9" s="70"/>
      <c r="AY9" s="70">
        <f>A9</f>
        <v>46232</v>
      </c>
      <c r="AZ9" s="70"/>
      <c r="BB9" s="70"/>
      <c r="BC9" s="70"/>
      <c r="BE9" s="70">
        <f>G9</f>
        <v>46235</v>
      </c>
      <c r="BF9" s="70"/>
      <c r="BI9" s="70">
        <f>A9</f>
        <v>46232</v>
      </c>
      <c r="BJ9" s="70"/>
      <c r="BL9" s="70"/>
      <c r="BM9" s="70"/>
      <c r="BO9" s="70">
        <f>G9</f>
        <v>46235</v>
      </c>
      <c r="BP9" s="70"/>
      <c r="BS9" s="70">
        <f>A9</f>
        <v>46232</v>
      </c>
      <c r="BT9" s="70"/>
      <c r="BV9" s="70"/>
      <c r="BW9" s="70"/>
      <c r="BY9" s="70">
        <f>G9</f>
        <v>46235</v>
      </c>
      <c r="BZ9" s="70"/>
      <c r="CC9" s="70">
        <f>A9</f>
        <v>46232</v>
      </c>
      <c r="CD9" s="70"/>
      <c r="CF9" s="70"/>
      <c r="CG9" s="70"/>
      <c r="CI9" s="70">
        <f>G9</f>
        <v>46235</v>
      </c>
      <c r="CJ9" s="70"/>
      <c r="CM9" s="70">
        <f>A9</f>
        <v>46232</v>
      </c>
      <c r="CN9" s="70"/>
      <c r="CP9" s="70"/>
      <c r="CQ9" s="70"/>
      <c r="CS9" s="70">
        <f>G9</f>
        <v>46235</v>
      </c>
      <c r="CT9" s="70"/>
      <c r="CW9" s="70">
        <f>A9</f>
        <v>46232</v>
      </c>
      <c r="CX9" s="70"/>
      <c r="CZ9" s="70"/>
      <c r="DA9" s="70"/>
      <c r="DC9" s="70">
        <f>G9</f>
        <v>46235</v>
      </c>
      <c r="DD9" s="70"/>
      <c r="DG9" s="70">
        <f>A9</f>
        <v>46232</v>
      </c>
      <c r="DH9" s="70"/>
      <c r="DJ9" s="70"/>
      <c r="DK9" s="70"/>
      <c r="DM9" s="70">
        <f>G9</f>
        <v>46235</v>
      </c>
      <c r="DN9" s="70"/>
      <c r="DQ9" s="70">
        <f>A9</f>
        <v>46232</v>
      </c>
      <c r="DR9" s="70"/>
      <c r="DT9" s="70"/>
      <c r="DU9" s="70"/>
      <c r="DW9" s="70">
        <f>G9</f>
        <v>46235</v>
      </c>
      <c r="DX9" s="70"/>
      <c r="EA9" s="70">
        <f>U9</f>
        <v>46232</v>
      </c>
      <c r="EB9" s="70"/>
      <c r="ED9" s="70"/>
      <c r="EE9" s="70"/>
      <c r="EG9" s="70">
        <f>G9</f>
        <v>46235</v>
      </c>
      <c r="EH9" s="70"/>
      <c r="EK9" s="70">
        <f>A9</f>
        <v>46232</v>
      </c>
      <c r="EL9" s="70"/>
      <c r="EN9" s="70"/>
      <c r="EO9" s="70"/>
      <c r="EQ9" s="70">
        <f>G9</f>
        <v>46235</v>
      </c>
      <c r="ER9" s="70"/>
      <c r="EU9" s="70">
        <f>A9</f>
        <v>46232</v>
      </c>
      <c r="EV9" s="70"/>
      <c r="EX9" s="70"/>
      <c r="EY9" s="70"/>
      <c r="FA9" s="70">
        <f>G9</f>
        <v>46235</v>
      </c>
      <c r="FB9" s="70"/>
      <c r="FE9" s="70">
        <f>A9</f>
        <v>46232</v>
      </c>
      <c r="FF9" s="70"/>
      <c r="FH9" s="70"/>
      <c r="FI9" s="70"/>
      <c r="FK9" s="70">
        <f>G9</f>
        <v>46235</v>
      </c>
      <c r="FL9" s="70"/>
      <c r="FO9" s="70">
        <f>A9-2</f>
        <v>46230</v>
      </c>
      <c r="FP9" s="70"/>
      <c r="FR9" s="70">
        <f>A9+1</f>
        <v>46233</v>
      </c>
      <c r="FS9" s="70"/>
      <c r="FU9" s="70">
        <f>G9</f>
        <v>46235</v>
      </c>
      <c r="FV9" s="70"/>
      <c r="FY9" s="70">
        <f>A9-2</f>
        <v>46230</v>
      </c>
      <c r="FZ9" s="70"/>
      <c r="GB9" s="70">
        <f>A9+1</f>
        <v>46233</v>
      </c>
      <c r="GC9" s="70"/>
      <c r="GE9" s="70">
        <f>G9</f>
        <v>46235</v>
      </c>
      <c r="GF9" s="70"/>
      <c r="GI9" s="70">
        <f>A9-2</f>
        <v>46230</v>
      </c>
      <c r="GJ9" s="70"/>
      <c r="GL9" s="70">
        <f>A9+1</f>
        <v>46233</v>
      </c>
      <c r="GM9" s="70"/>
      <c r="GO9" s="70">
        <f>G9</f>
        <v>46235</v>
      </c>
      <c r="GP9" s="70"/>
      <c r="GS9" s="70">
        <f>A9-2</f>
        <v>46230</v>
      </c>
      <c r="GT9" s="70"/>
      <c r="GV9" s="70">
        <f>A9+1</f>
        <v>46233</v>
      </c>
      <c r="GW9" s="70"/>
      <c r="GY9" s="70">
        <f>G9</f>
        <v>46235</v>
      </c>
      <c r="GZ9" s="70"/>
      <c r="HC9" s="70">
        <f>A9</f>
        <v>46232</v>
      </c>
      <c r="HD9" s="70"/>
      <c r="HF9" s="70"/>
      <c r="HG9" s="70"/>
      <c r="HI9" s="70">
        <f>G9</f>
        <v>46235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0">
        <f>A9</f>
        <v>46232</v>
      </c>
      <c r="IN9" s="70"/>
      <c r="IP9" s="70"/>
      <c r="IQ9" s="70"/>
      <c r="IS9" s="70">
        <f>IM9+3</f>
        <v>46235</v>
      </c>
      <c r="IT9" s="70"/>
      <c r="IW9" s="70">
        <f>A9</f>
        <v>46232</v>
      </c>
      <c r="IX9" s="70"/>
      <c r="IZ9" s="70"/>
      <c r="JA9" s="70"/>
      <c r="JC9" s="70">
        <f>IW9+3</f>
        <v>46235</v>
      </c>
      <c r="JD9" s="70"/>
      <c r="JG9" s="70">
        <f>A9-2</f>
        <v>46230</v>
      </c>
      <c r="JH9" s="70"/>
      <c r="JJ9" s="70"/>
      <c r="JK9" s="70"/>
      <c r="JM9" s="70"/>
      <c r="JN9" s="70"/>
      <c r="JQ9" s="70">
        <f>A9+1</f>
        <v>46233</v>
      </c>
      <c r="JR9" s="70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55" t="s">
        <v>30</v>
      </c>
      <c r="HO10" s="23" t="s">
        <v>31</v>
      </c>
      <c r="HP10" s="55" t="s">
        <v>32</v>
      </c>
      <c r="HQ10" s="23" t="s">
        <v>33</v>
      </c>
      <c r="HR10" s="55" t="s">
        <v>34</v>
      </c>
      <c r="HS10" s="23" t="s">
        <v>35</v>
      </c>
      <c r="HT10" s="55" t="s">
        <v>36</v>
      </c>
      <c r="HU10" s="23" t="s">
        <v>37</v>
      </c>
      <c r="HV10" s="55" t="s">
        <v>38</v>
      </c>
      <c r="HW10" s="23" t="s">
        <v>39</v>
      </c>
      <c r="HX10" s="55" t="s">
        <v>40</v>
      </c>
      <c r="HY10" s="23" t="s">
        <v>70</v>
      </c>
      <c r="HZ10" s="22" t="s">
        <v>28</v>
      </c>
      <c r="IA10" s="55" t="s">
        <v>71</v>
      </c>
      <c r="IB10" s="23" t="s">
        <v>72</v>
      </c>
      <c r="IC10" s="55" t="s">
        <v>73</v>
      </c>
      <c r="ID10" s="23" t="s">
        <v>61</v>
      </c>
      <c r="IE10" s="55" t="s">
        <v>62</v>
      </c>
      <c r="IF10" s="23" t="s">
        <v>63</v>
      </c>
      <c r="IG10" s="55" t="s">
        <v>74</v>
      </c>
      <c r="IH10" s="23" t="s">
        <v>75</v>
      </c>
      <c r="II10" s="55" t="s">
        <v>76</v>
      </c>
      <c r="IJ10" s="23"/>
      <c r="IK10" s="55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/>
      <c r="D11" s="42"/>
      <c r="E11" s="43"/>
      <c r="G11" s="42" t="str">
        <f t="shared" ref="G11:G29" si="0">A11</f>
        <v>STEAK TACO</v>
      </c>
      <c r="H11" s="43"/>
      <c r="J11" s="44">
        <f t="shared" ref="J11:J29" si="1">B11+E11+H11</f>
        <v>0</v>
      </c>
      <c r="K11" s="42" t="str">
        <f t="shared" ref="K11:K29" si="2">A11</f>
        <v>STEAK TACO</v>
      </c>
      <c r="L11" s="43"/>
      <c r="N11" s="42"/>
      <c r="O11" s="43"/>
      <c r="Q11" s="42" t="str">
        <f t="shared" ref="Q11:Q29" si="3">A11</f>
        <v>STEAK TACO</v>
      </c>
      <c r="R11" s="43"/>
      <c r="T11" s="44">
        <f t="shared" ref="T11:T29" si="4">L11+O11+R11</f>
        <v>0</v>
      </c>
      <c r="U11" s="42" t="str">
        <f t="shared" ref="U11:U29" si="5">A11</f>
        <v>STEAK TACO</v>
      </c>
      <c r="V11" s="43"/>
      <c r="X11" s="42"/>
      <c r="Y11" s="43"/>
      <c r="AA11" s="42" t="str">
        <f t="shared" ref="AA11:AA29" si="6">A11</f>
        <v>STEAK TACO</v>
      </c>
      <c r="AB11" s="43"/>
      <c r="AD11" s="44">
        <f t="shared" ref="AD11:AD29" si="7">V11+Y11+AB11</f>
        <v>0</v>
      </c>
      <c r="AE11" s="42" t="str">
        <f t="shared" ref="AE11:AE29" si="8">A11</f>
        <v>STEAK TACO</v>
      </c>
      <c r="AF11" s="43"/>
      <c r="AH11" s="42"/>
      <c r="AI11" s="43"/>
      <c r="AK11" s="42" t="str">
        <f t="shared" ref="AK11:AK29" si="9">A11</f>
        <v>STEAK TACO</v>
      </c>
      <c r="AL11" s="43"/>
      <c r="AN11" s="44">
        <f t="shared" ref="AN11:AN29" si="10">AF11+AI11+AL11</f>
        <v>0</v>
      </c>
      <c r="AO11" s="42" t="str">
        <f t="shared" ref="AO11:AO29" si="11">A11</f>
        <v>STEAK TACO</v>
      </c>
      <c r="AP11" s="43"/>
      <c r="AR11" s="42"/>
      <c r="AS11" s="43"/>
      <c r="AU11" s="42" t="str">
        <f t="shared" ref="AU11:AU29" si="12">A11</f>
        <v>STEAK TACO</v>
      </c>
      <c r="AV11" s="43"/>
      <c r="AX11" s="44">
        <f t="shared" ref="AX11:AX29" si="13">AP11+AS11+AV11</f>
        <v>0</v>
      </c>
      <c r="AY11" s="42" t="str">
        <f t="shared" ref="AY11:AY29" si="14">A11</f>
        <v>STEAK TACO</v>
      </c>
      <c r="AZ11" s="43"/>
      <c r="BB11" s="42"/>
      <c r="BC11" s="43"/>
      <c r="BE11" s="42" t="str">
        <f t="shared" ref="BE11:BE29" si="15">A11</f>
        <v>STEAK TACO</v>
      </c>
      <c r="BF11" s="43"/>
      <c r="BH11" s="44">
        <f t="shared" ref="BH11:BH29" si="16">AZ11+BC11+BF11</f>
        <v>0</v>
      </c>
      <c r="BI11" s="42" t="str">
        <f t="shared" ref="BI11:BI29" si="17">A11</f>
        <v>STEAK TACO</v>
      </c>
      <c r="BJ11" s="43"/>
      <c r="BL11" s="42"/>
      <c r="BM11" s="43"/>
      <c r="BO11" s="42" t="str">
        <f t="shared" ref="BO11:BO29" si="18">A11</f>
        <v>STEAK TACO</v>
      </c>
      <c r="BP11" s="43"/>
      <c r="BR11" s="44">
        <f t="shared" ref="BR11:BR29" si="19">BJ11+BM11+BP11</f>
        <v>0</v>
      </c>
      <c r="BS11" s="42" t="str">
        <f t="shared" ref="BS11:BS29" si="20">A11</f>
        <v>STEAK TACO</v>
      </c>
      <c r="BT11" s="43"/>
      <c r="BV11" s="42"/>
      <c r="BW11" s="43"/>
      <c r="BY11" s="42" t="str">
        <f t="shared" ref="BY11:BY29" si="21">A11</f>
        <v>STEAK TACO</v>
      </c>
      <c r="BZ11" s="43"/>
      <c r="CB11" s="44">
        <f t="shared" ref="CB11:CB29" si="22">BT11+BW11+BZ11</f>
        <v>0</v>
      </c>
      <c r="CC11" s="42" t="str">
        <f t="shared" ref="CC11:CC29" si="23">A11</f>
        <v>STEAK TACO</v>
      </c>
      <c r="CD11" s="43"/>
      <c r="CF11" s="42"/>
      <c r="CG11" s="43"/>
      <c r="CI11" s="42" t="str">
        <f t="shared" ref="CI11:CI29" si="24">A11</f>
        <v>STEAK TACO</v>
      </c>
      <c r="CJ11" s="43"/>
      <c r="CL11" s="44">
        <f t="shared" ref="CL11:CL29" si="25">CD11+CG11+CJ11</f>
        <v>0</v>
      </c>
      <c r="CM11" s="42" t="str">
        <f t="shared" ref="CM11:CM29" si="26">A11</f>
        <v>STEAK TACO</v>
      </c>
      <c r="CN11" s="43"/>
      <c r="CP11" s="42"/>
      <c r="CQ11" s="43"/>
      <c r="CS11" s="42" t="str">
        <f t="shared" ref="CS11:CS29" si="27">A11</f>
        <v>STEAK TACO</v>
      </c>
      <c r="CT11" s="43"/>
      <c r="CV11" s="44">
        <f t="shared" ref="CV11:CV29" si="28">CN11+CQ11+CT11</f>
        <v>0</v>
      </c>
      <c r="CW11" s="42" t="str">
        <f t="shared" ref="CW11:CW29" si="29">A11</f>
        <v>STEAK TACO</v>
      </c>
      <c r="CX11" s="43"/>
      <c r="CZ11" s="42"/>
      <c r="DA11" s="43"/>
      <c r="DC11" s="42" t="str">
        <f t="shared" ref="DC11:DC16" si="30">AE11</f>
        <v>STEAK TACO</v>
      </c>
      <c r="DD11" s="43"/>
      <c r="DF11" s="44">
        <f t="shared" ref="DF11:DF29" si="31">CX11+DA11+DD11</f>
        <v>0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/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/>
      <c r="FD11" s="44">
        <f t="shared" ref="FD11:FD29" si="49">EV11+EY11+FB11</f>
        <v>0</v>
      </c>
      <c r="FE11" s="42" t="str">
        <f t="shared" ref="FE11:FE29" si="50">A11</f>
        <v>STEAK TACO</v>
      </c>
      <c r="FF11" s="43"/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/>
      <c r="FN11" s="44">
        <f t="shared" ref="FN11:FN29" si="53">FF11+FI11+FL11</f>
        <v>0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 t="shared" ref="GR11:GR29" si="65">GJ11+GM11+GP11</f>
        <v>0</v>
      </c>
      <c r="GS11" s="42" t="str">
        <f t="shared" ref="GS11:GS29" si="66">AO11</f>
        <v>STEAK TACO</v>
      </c>
      <c r="GT11" s="43"/>
      <c r="GV11" s="42" t="str">
        <f t="shared" ref="GV11:GV29" si="67">AO11</f>
        <v>STEAK TACO</v>
      </c>
      <c r="GW11" s="43"/>
      <c r="GY11" s="42" t="str">
        <f t="shared" ref="GY11:GY29" si="68">AO11</f>
        <v>STEAK TACO</v>
      </c>
      <c r="GZ11" s="43"/>
      <c r="HB11" s="44">
        <f t="shared" ref="HB11:HB29" si="69">GT11+GW11+GZ11</f>
        <v>0</v>
      </c>
      <c r="HC11" s="42" t="str">
        <f t="shared" ref="HC11:HC29" si="70">A11</f>
        <v>STEAK TACO</v>
      </c>
      <c r="HD11" s="43">
        <f t="shared" ref="HD11:HD29" si="71">B11+L11+V11+AF11+AP11+AZ11+BJ11+BT11+CD11+CN11+CX11+DH11+DR11+EB11+EL11+EV11+FF11</f>
        <v>0</v>
      </c>
      <c r="HF11" s="42" t="str">
        <f t="shared" ref="HF11:HF29" si="72">A11</f>
        <v>STEAK TACO</v>
      </c>
      <c r="HG11" s="43">
        <f t="shared" ref="HG11:HG29" si="73">E11+O11+Y11+AI11+AS11+BC11+BM11+BW11+CG11+CQ11+DA11+DK11+DU11+EE11+EO11+EY11+FI11</f>
        <v>0</v>
      </c>
      <c r="HI11" s="42" t="str">
        <f t="shared" ref="HI11:HI29" si="74">A11</f>
        <v>STEAK TACO</v>
      </c>
      <c r="HJ11" s="43">
        <f t="shared" ref="HJ11:HJ29" si="75">H11+R11+AB11+AL11+AV11+BF11+BP11+BZ11+CJ11+CT11+DD11+DN11+DX11+EH11+ER11+FB11+FL11</f>
        <v>0</v>
      </c>
      <c r="HL11" s="43">
        <f t="shared" ref="HL11:HL29" si="76">J11+T11+AD11+AN11+AX11+BH11+BR11+CB11+CL11+CV11+DF11+DP11+DZ11+EJ11+ET11+FD11+FN11+FX11+GH11+GR11+HB11</f>
        <v>0</v>
      </c>
      <c r="HM11" s="42" t="str">
        <f t="shared" ref="HM11:HM29" si="77">A11</f>
        <v>STEAK TACO</v>
      </c>
      <c r="HN11" s="57">
        <f t="shared" ref="HN11:HN29" si="78">J11</f>
        <v>0</v>
      </c>
      <c r="HO11" s="44">
        <f t="shared" ref="HO11:HO29" si="79">T11</f>
        <v>0</v>
      </c>
      <c r="HP11" s="57">
        <f t="shared" ref="HP11:HP29" si="80">AD11</f>
        <v>0</v>
      </c>
      <c r="HQ11" s="44">
        <f t="shared" ref="HQ11:HQ29" si="81">AN11</f>
        <v>0</v>
      </c>
      <c r="HR11" s="57">
        <f t="shared" ref="HR11:HR29" si="82">AX11</f>
        <v>0</v>
      </c>
      <c r="HS11" s="44">
        <f t="shared" ref="HS11:HS29" si="83">BH11</f>
        <v>0</v>
      </c>
      <c r="HT11" s="57">
        <f t="shared" ref="HT11:HT29" si="84">BR11</f>
        <v>0</v>
      </c>
      <c r="HU11" s="44">
        <f t="shared" ref="HU11:HU29" si="85">CB11</f>
        <v>0</v>
      </c>
      <c r="HV11" s="57">
        <f t="shared" ref="HV11:HV29" si="86">CL11</f>
        <v>0</v>
      </c>
      <c r="HW11" s="44">
        <f t="shared" ref="HW11:HW29" si="87">CV11</f>
        <v>0</v>
      </c>
      <c r="HX11" s="57">
        <f t="shared" ref="HX11:HX29" si="88">DF11</f>
        <v>0</v>
      </c>
      <c r="HY11" s="44">
        <f t="shared" ref="HY11:HY29" si="89">DP11</f>
        <v>0</v>
      </c>
      <c r="HZ11" s="42" t="str">
        <f t="shared" ref="HZ11:HZ29" si="90">A11</f>
        <v>STEAK TACO</v>
      </c>
      <c r="IA11" s="57">
        <f t="shared" ref="IA11:IA29" si="91">DZ11</f>
        <v>0</v>
      </c>
      <c r="IB11" s="44">
        <f t="shared" ref="IB11:IB29" si="92">EJ11</f>
        <v>0</v>
      </c>
      <c r="IC11" s="57">
        <f t="shared" ref="IC11:IC29" si="93">ET11</f>
        <v>0</v>
      </c>
      <c r="ID11" s="44">
        <f t="shared" ref="ID11:ID29" si="94">FD11</f>
        <v>0</v>
      </c>
      <c r="IE11" s="57">
        <f t="shared" ref="IE11:IE29" si="95">FN11</f>
        <v>0</v>
      </c>
      <c r="IF11" s="44">
        <f t="shared" ref="IF11:IF29" si="96">FX11</f>
        <v>0</v>
      </c>
      <c r="IG11" s="57">
        <f t="shared" ref="IG11:IG29" si="97">GH11</f>
        <v>0</v>
      </c>
      <c r="IH11" s="44">
        <f t="shared" ref="IH11:IH29" si="98">GR11</f>
        <v>0</v>
      </c>
      <c r="II11" s="57">
        <f t="shared" ref="II11:II29" si="99">HB11</f>
        <v>0</v>
      </c>
      <c r="IJ11" s="44"/>
      <c r="IK11" s="57"/>
      <c r="IL11" s="44">
        <f t="shared" ref="IL11:IL29" si="100">SUM(HN11:HY11)+SUM(IA11:IK11)</f>
        <v>0</v>
      </c>
      <c r="IM11" s="42" t="str">
        <f t="shared" ref="IM11:IM29" si="101">A11</f>
        <v>STEAK TACO</v>
      </c>
      <c r="IN11" s="43">
        <f t="shared" ref="IN11:IN29" si="102">B11+L11+V11+AF11+AZ11+BJ11+CD11+EL11+EV11+FF11</f>
        <v>0</v>
      </c>
      <c r="IP11" s="42" t="str">
        <f t="shared" ref="IP11:IP29" si="103">A11</f>
        <v>STEAK TACO</v>
      </c>
      <c r="IQ11" s="43">
        <f t="shared" ref="IQ11:IQ29" si="104">E11+O11+Y11+AI11+BC11+BM11+CG11+EO11+EY11+FI11</f>
        <v>0</v>
      </c>
      <c r="IS11" s="42" t="str">
        <f t="shared" ref="IS11:IS29" si="105">A11</f>
        <v>STEAK TACO</v>
      </c>
      <c r="IT11" s="43">
        <f t="shared" ref="IT11:IT29" si="106">H11+R11+AB11+AL11+BF11+BP11+CJ11+ER11+FB11+FL11</f>
        <v>0</v>
      </c>
      <c r="IV11" s="44"/>
      <c r="IW11" s="42" t="str">
        <f t="shared" ref="IW11:IW29" si="107">A11</f>
        <v>STEAK TACO</v>
      </c>
      <c r="IX11" s="43">
        <f t="shared" ref="IX11:IX29" si="108">AP11+BT11</f>
        <v>0</v>
      </c>
      <c r="IZ11" s="42" t="str">
        <f t="shared" ref="IZ11:IZ29" si="109">A11</f>
        <v>STEAK TACO</v>
      </c>
      <c r="JA11" s="43">
        <f t="shared" ref="JA11:JA29" si="110">AS11+BW11+CQ11+DA11+DK11+DU11</f>
        <v>0</v>
      </c>
      <c r="JC11" s="42" t="str">
        <f t="shared" ref="JC11:JC29" si="111">A11</f>
        <v>STEAK TACO</v>
      </c>
      <c r="JD11" s="43">
        <f t="shared" ref="JD11:JD29" si="112">AV11+BZ11</f>
        <v>0</v>
      </c>
      <c r="JF11" s="44"/>
      <c r="JG11" s="42" t="str">
        <f t="shared" ref="JG11:JG29" si="113">K11</f>
        <v>STEAK TACO</v>
      </c>
      <c r="JH11" s="43">
        <f t="shared" ref="JH11:JH29" si="114">FP11</f>
        <v>0</v>
      </c>
      <c r="JJ11" s="42" t="str">
        <f t="shared" ref="JJ11:JJ29" si="115">K11</f>
        <v>STEAK TACO</v>
      </c>
      <c r="JK11" s="43">
        <f t="shared" ref="JK11:JK29" si="116">FZ11</f>
        <v>0</v>
      </c>
      <c r="JM11" s="42" t="str">
        <f t="shared" ref="JM11:JM29" si="117">K11</f>
        <v>STEAK TACO</v>
      </c>
      <c r="JN11" s="43">
        <f t="shared" ref="JN11:JN29" si="118">GJ11</f>
        <v>0</v>
      </c>
      <c r="JP11" s="44">
        <f t="shared" ref="JP11:JP29" si="119">JH11+JK11+JN11</f>
        <v>0</v>
      </c>
      <c r="JQ11" s="42" t="str">
        <f t="shared" ref="JQ11:JQ29" si="120">U11</f>
        <v>STEAK TACO</v>
      </c>
      <c r="JR11" s="43">
        <f t="shared" ref="JR11:JR29" si="121">FS11</f>
        <v>0</v>
      </c>
      <c r="JT11" s="42" t="str">
        <f t="shared" ref="JT11:JT29" si="122">K11</f>
        <v>STEAK TACO</v>
      </c>
      <c r="JU11" s="43">
        <f t="shared" ref="JU11:JU29" si="123">GC11</f>
        <v>0</v>
      </c>
      <c r="JW11" s="42" t="str">
        <f t="shared" ref="JW11:JW29" si="124">U11</f>
        <v>STEAK TACO</v>
      </c>
      <c r="JX11" s="43">
        <f t="shared" ref="JX11:JX29" si="125">GM11</f>
        <v>0</v>
      </c>
      <c r="JZ11" s="44">
        <f t="shared" ref="JZ11:JZ29" si="126">JR11+JU11+JX11</f>
        <v>0</v>
      </c>
    </row>
    <row r="12" spans="1:286" s="7" customFormat="1" ht="54" customHeight="1" x14ac:dyDescent="0.65">
      <c r="A12" s="46" t="s">
        <v>42</v>
      </c>
      <c r="B12" s="43"/>
      <c r="D12" s="46"/>
      <c r="E12" s="43"/>
      <c r="G12" s="42" t="str">
        <f t="shared" si="0"/>
        <v>CHICKEN</v>
      </c>
      <c r="H12" s="43"/>
      <c r="J12" s="43">
        <f t="shared" si="1"/>
        <v>0</v>
      </c>
      <c r="K12" s="42" t="str">
        <f t="shared" si="2"/>
        <v>CHICKEN</v>
      </c>
      <c r="L12" s="43"/>
      <c r="N12" s="46"/>
      <c r="O12" s="43"/>
      <c r="Q12" s="42" t="str">
        <f t="shared" si="3"/>
        <v>CHICKEN</v>
      </c>
      <c r="R12" s="43"/>
      <c r="T12" s="43">
        <f t="shared" si="4"/>
        <v>0</v>
      </c>
      <c r="U12" s="42" t="str">
        <f t="shared" si="5"/>
        <v>CHICKEN</v>
      </c>
      <c r="V12" s="43"/>
      <c r="X12" s="46"/>
      <c r="Y12" s="43"/>
      <c r="AA12" s="42" t="str">
        <f t="shared" si="6"/>
        <v>CHICKEN</v>
      </c>
      <c r="AB12" s="43"/>
      <c r="AD12" s="43">
        <f t="shared" si="7"/>
        <v>0</v>
      </c>
      <c r="AE12" s="42" t="str">
        <f t="shared" si="8"/>
        <v>CHICKEN</v>
      </c>
      <c r="AF12" s="43"/>
      <c r="AH12" s="46"/>
      <c r="AI12" s="43"/>
      <c r="AK12" s="42" t="str">
        <f t="shared" si="9"/>
        <v>CHICKEN</v>
      </c>
      <c r="AL12" s="43"/>
      <c r="AN12" s="43">
        <f t="shared" si="10"/>
        <v>0</v>
      </c>
      <c r="AO12" s="42" t="str">
        <f t="shared" si="11"/>
        <v>CHICKEN</v>
      </c>
      <c r="AP12" s="43"/>
      <c r="AR12" s="46"/>
      <c r="AS12" s="43"/>
      <c r="AU12" s="42" t="str">
        <f t="shared" si="12"/>
        <v>CHICKEN</v>
      </c>
      <c r="AV12" s="43"/>
      <c r="AX12" s="43">
        <f t="shared" si="13"/>
        <v>0</v>
      </c>
      <c r="AY12" s="42" t="str">
        <f t="shared" si="14"/>
        <v>CHICKEN</v>
      </c>
      <c r="AZ12" s="43"/>
      <c r="BB12" s="46"/>
      <c r="BC12" s="43"/>
      <c r="BE12" s="42" t="str">
        <f t="shared" si="15"/>
        <v>CHICKEN</v>
      </c>
      <c r="BF12" s="43"/>
      <c r="BH12" s="43">
        <f t="shared" si="16"/>
        <v>0</v>
      </c>
      <c r="BI12" s="42" t="str">
        <f t="shared" si="17"/>
        <v>CHICKEN</v>
      </c>
      <c r="BJ12" s="43"/>
      <c r="BL12" s="46"/>
      <c r="BM12" s="43"/>
      <c r="BO12" s="42" t="str">
        <f t="shared" si="18"/>
        <v>CHICKEN</v>
      </c>
      <c r="BP12" s="43"/>
      <c r="BR12" s="43">
        <f t="shared" si="19"/>
        <v>0</v>
      </c>
      <c r="BS12" s="42" t="str">
        <f t="shared" si="20"/>
        <v>CHICKEN</v>
      </c>
      <c r="BT12" s="43"/>
      <c r="BV12" s="46"/>
      <c r="BW12" s="43"/>
      <c r="BY12" s="42" t="str">
        <f t="shared" si="21"/>
        <v>CHICKEN</v>
      </c>
      <c r="BZ12" s="43"/>
      <c r="CB12" s="43">
        <f t="shared" si="22"/>
        <v>0</v>
      </c>
      <c r="CC12" s="42" t="str">
        <f t="shared" si="23"/>
        <v>CHICKEN</v>
      </c>
      <c r="CD12" s="43"/>
      <c r="CF12" s="46"/>
      <c r="CG12" s="43"/>
      <c r="CI12" s="42" t="str">
        <f t="shared" si="24"/>
        <v>CHICKEN</v>
      </c>
      <c r="CJ12" s="43"/>
      <c r="CL12" s="43">
        <f t="shared" si="25"/>
        <v>0</v>
      </c>
      <c r="CM12" s="42" t="str">
        <f t="shared" si="26"/>
        <v>CHICKEN</v>
      </c>
      <c r="CN12" s="43"/>
      <c r="CP12" s="42"/>
      <c r="CQ12" s="43"/>
      <c r="CS12" s="42" t="str">
        <f t="shared" si="27"/>
        <v>CHICKEN</v>
      </c>
      <c r="CT12" s="43"/>
      <c r="CV12" s="43">
        <f t="shared" si="28"/>
        <v>0</v>
      </c>
      <c r="CW12" s="42" t="str">
        <f t="shared" si="29"/>
        <v>CHICKEN</v>
      </c>
      <c r="CX12" s="43"/>
      <c r="CZ12" s="46"/>
      <c r="DA12" s="43"/>
      <c r="DC12" s="42" t="str">
        <f t="shared" si="30"/>
        <v>CHICKEN</v>
      </c>
      <c r="DD12" s="43"/>
      <c r="DF12" s="43">
        <f t="shared" si="31"/>
        <v>0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/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0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/>
      <c r="FN12" s="43">
        <f t="shared" si="53"/>
        <v>0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si="65"/>
        <v>0</v>
      </c>
      <c r="GS12" s="42" t="str">
        <f t="shared" si="66"/>
        <v>CHICKEN</v>
      </c>
      <c r="GT12" s="43"/>
      <c r="GV12" s="42" t="str">
        <f t="shared" si="67"/>
        <v>CHICKEN</v>
      </c>
      <c r="GW12" s="43"/>
      <c r="GY12" s="42" t="str">
        <f t="shared" si="68"/>
        <v>CHICKEN</v>
      </c>
      <c r="GZ12" s="43"/>
      <c r="HB12" s="43">
        <f t="shared" si="69"/>
        <v>0</v>
      </c>
      <c r="HC12" s="42" t="str">
        <f t="shared" si="70"/>
        <v>CHICKEN</v>
      </c>
      <c r="HD12" s="43">
        <f t="shared" si="71"/>
        <v>0</v>
      </c>
      <c r="HF12" s="42" t="str">
        <f t="shared" si="72"/>
        <v>CHICKEN</v>
      </c>
      <c r="HG12" s="43">
        <f t="shared" si="73"/>
        <v>0</v>
      </c>
      <c r="HI12" s="42" t="str">
        <f t="shared" si="74"/>
        <v>CHICKEN</v>
      </c>
      <c r="HJ12" s="43">
        <f t="shared" si="75"/>
        <v>0</v>
      </c>
      <c r="HL12" s="43">
        <f t="shared" si="76"/>
        <v>0</v>
      </c>
      <c r="HM12" s="42" t="str">
        <f t="shared" si="77"/>
        <v>CHICKEN</v>
      </c>
      <c r="HN12" s="57">
        <f t="shared" si="78"/>
        <v>0</v>
      </c>
      <c r="HO12" s="44">
        <f t="shared" si="79"/>
        <v>0</v>
      </c>
      <c r="HP12" s="57">
        <f t="shared" si="80"/>
        <v>0</v>
      </c>
      <c r="HQ12" s="44">
        <f t="shared" si="81"/>
        <v>0</v>
      </c>
      <c r="HR12" s="57">
        <f t="shared" si="82"/>
        <v>0</v>
      </c>
      <c r="HS12" s="44">
        <f t="shared" si="83"/>
        <v>0</v>
      </c>
      <c r="HT12" s="57">
        <f t="shared" si="84"/>
        <v>0</v>
      </c>
      <c r="HU12" s="44">
        <f t="shared" si="85"/>
        <v>0</v>
      </c>
      <c r="HV12" s="57">
        <f t="shared" si="86"/>
        <v>0</v>
      </c>
      <c r="HW12" s="44">
        <f t="shared" si="87"/>
        <v>0</v>
      </c>
      <c r="HX12" s="57">
        <f t="shared" si="88"/>
        <v>0</v>
      </c>
      <c r="HY12" s="44">
        <f t="shared" si="89"/>
        <v>0</v>
      </c>
      <c r="HZ12" s="42" t="str">
        <f t="shared" si="90"/>
        <v>CHICKEN</v>
      </c>
      <c r="IA12" s="57">
        <f t="shared" si="91"/>
        <v>0</v>
      </c>
      <c r="IB12" s="44">
        <f t="shared" si="92"/>
        <v>0</v>
      </c>
      <c r="IC12" s="57">
        <f t="shared" si="93"/>
        <v>0</v>
      </c>
      <c r="ID12" s="44">
        <f t="shared" si="94"/>
        <v>0</v>
      </c>
      <c r="IE12" s="57">
        <f t="shared" si="95"/>
        <v>0</v>
      </c>
      <c r="IF12" s="44">
        <f t="shared" si="96"/>
        <v>0</v>
      </c>
      <c r="IG12" s="57">
        <f t="shared" si="97"/>
        <v>0</v>
      </c>
      <c r="IH12" s="44">
        <f t="shared" si="98"/>
        <v>0</v>
      </c>
      <c r="II12" s="57">
        <f t="shared" si="99"/>
        <v>0</v>
      </c>
      <c r="IJ12" s="44"/>
      <c r="IK12" s="57"/>
      <c r="IL12" s="44">
        <f t="shared" si="100"/>
        <v>0</v>
      </c>
      <c r="IM12" s="42" t="str">
        <f t="shared" si="101"/>
        <v>CHICKEN</v>
      </c>
      <c r="IN12" s="43">
        <f t="shared" si="102"/>
        <v>0</v>
      </c>
      <c r="IP12" s="42" t="str">
        <f t="shared" si="103"/>
        <v>CHICKEN</v>
      </c>
      <c r="IQ12" s="43">
        <f t="shared" si="104"/>
        <v>0</v>
      </c>
      <c r="IS12" s="42" t="str">
        <f t="shared" si="105"/>
        <v>CHICKEN</v>
      </c>
      <c r="IT12" s="43">
        <f t="shared" si="106"/>
        <v>0</v>
      </c>
      <c r="IV12" s="43"/>
      <c r="IW12" s="42" t="str">
        <f t="shared" si="107"/>
        <v>CHICKEN</v>
      </c>
      <c r="IX12" s="43">
        <f t="shared" si="108"/>
        <v>0</v>
      </c>
      <c r="IZ12" s="42" t="str">
        <f t="shared" si="109"/>
        <v>CHICKEN</v>
      </c>
      <c r="JA12" s="43">
        <f t="shared" si="110"/>
        <v>0</v>
      </c>
      <c r="JC12" s="42" t="str">
        <f t="shared" si="111"/>
        <v>CHICKEN</v>
      </c>
      <c r="JD12" s="43">
        <f t="shared" si="112"/>
        <v>0</v>
      </c>
      <c r="JF12" s="43"/>
      <c r="JG12" s="42" t="str">
        <f t="shared" si="113"/>
        <v>CHICKEN</v>
      </c>
      <c r="JH12" s="43">
        <f t="shared" si="114"/>
        <v>0</v>
      </c>
      <c r="JJ12" s="42" t="str">
        <f t="shared" si="115"/>
        <v>CHICKEN</v>
      </c>
      <c r="JK12" s="43">
        <f t="shared" si="116"/>
        <v>0</v>
      </c>
      <c r="JM12" s="42" t="str">
        <f t="shared" si="117"/>
        <v>CHICKEN</v>
      </c>
      <c r="JN12" s="43">
        <f t="shared" si="118"/>
        <v>0</v>
      </c>
      <c r="JP12" s="44">
        <f t="shared" si="119"/>
        <v>0</v>
      </c>
      <c r="JQ12" s="42" t="str">
        <f t="shared" si="120"/>
        <v>CHICKEN</v>
      </c>
      <c r="JR12" s="43">
        <f t="shared" si="121"/>
        <v>0</v>
      </c>
      <c r="JT12" s="42" t="str">
        <f t="shared" si="122"/>
        <v>CHICKEN</v>
      </c>
      <c r="JU12" s="43">
        <f t="shared" si="123"/>
        <v>0</v>
      </c>
      <c r="JW12" s="42" t="str">
        <f t="shared" si="124"/>
        <v>CHICKEN</v>
      </c>
      <c r="JX12" s="43">
        <f t="shared" si="125"/>
        <v>0</v>
      </c>
      <c r="JZ12" s="44">
        <f t="shared" si="126"/>
        <v>0</v>
      </c>
    </row>
    <row r="13" spans="1:286" s="7" customFormat="1" ht="54" customHeight="1" x14ac:dyDescent="0.65">
      <c r="A13" s="46" t="s">
        <v>43</v>
      </c>
      <c r="B13" s="43"/>
      <c r="D13" s="46"/>
      <c r="E13" s="43"/>
      <c r="G13" s="42" t="str">
        <f t="shared" si="0"/>
        <v>ALPASTOR</v>
      </c>
      <c r="H13" s="43"/>
      <c r="J13" s="43">
        <f t="shared" si="1"/>
        <v>0</v>
      </c>
      <c r="K13" s="42" t="str">
        <f t="shared" si="2"/>
        <v>ALPASTOR</v>
      </c>
      <c r="L13" s="43"/>
      <c r="N13" s="46"/>
      <c r="O13" s="43"/>
      <c r="Q13" s="42" t="str">
        <f t="shared" si="3"/>
        <v>ALPASTOR</v>
      </c>
      <c r="R13" s="43"/>
      <c r="T13" s="43">
        <f t="shared" si="4"/>
        <v>0</v>
      </c>
      <c r="U13" s="42" t="str">
        <f t="shared" si="5"/>
        <v>ALPASTOR</v>
      </c>
      <c r="V13" s="43"/>
      <c r="X13" s="46"/>
      <c r="Y13" s="43"/>
      <c r="AA13" s="42" t="str">
        <f t="shared" si="6"/>
        <v>ALPASTOR</v>
      </c>
      <c r="AB13" s="43"/>
      <c r="AD13" s="43">
        <f t="shared" si="7"/>
        <v>0</v>
      </c>
      <c r="AE13" s="42" t="str">
        <f t="shared" si="8"/>
        <v>ALPASTOR</v>
      </c>
      <c r="AF13" s="43"/>
      <c r="AH13" s="46"/>
      <c r="AI13" s="43"/>
      <c r="AK13" s="42" t="str">
        <f t="shared" si="9"/>
        <v>ALPASTOR</v>
      </c>
      <c r="AL13" s="43"/>
      <c r="AN13" s="43">
        <f t="shared" si="10"/>
        <v>0</v>
      </c>
      <c r="AO13" s="42" t="str">
        <f t="shared" si="11"/>
        <v>ALPASTOR</v>
      </c>
      <c r="AP13" s="43"/>
      <c r="AR13" s="46"/>
      <c r="AS13" s="43"/>
      <c r="AU13" s="42" t="str">
        <f t="shared" si="12"/>
        <v>ALPASTOR</v>
      </c>
      <c r="AV13" s="43"/>
      <c r="AX13" s="43">
        <f t="shared" si="13"/>
        <v>0</v>
      </c>
      <c r="AY13" s="42" t="str">
        <f t="shared" si="14"/>
        <v>ALPASTOR</v>
      </c>
      <c r="AZ13" s="43"/>
      <c r="BB13" s="46"/>
      <c r="BC13" s="43"/>
      <c r="BE13" s="42" t="str">
        <f t="shared" si="15"/>
        <v>ALPASTOR</v>
      </c>
      <c r="BF13" s="43"/>
      <c r="BH13" s="43">
        <f t="shared" si="16"/>
        <v>0</v>
      </c>
      <c r="BI13" s="42" t="str">
        <f t="shared" si="17"/>
        <v>ALPASTOR</v>
      </c>
      <c r="BJ13" s="43"/>
      <c r="BL13" s="46"/>
      <c r="BM13" s="43"/>
      <c r="BO13" s="42" t="str">
        <f t="shared" si="18"/>
        <v>ALPASTOR</v>
      </c>
      <c r="BP13" s="43"/>
      <c r="BR13" s="43">
        <f t="shared" si="19"/>
        <v>0</v>
      </c>
      <c r="BS13" s="42" t="str">
        <f t="shared" si="20"/>
        <v>ALPASTOR</v>
      </c>
      <c r="BT13" s="43"/>
      <c r="BV13" s="46"/>
      <c r="BW13" s="43"/>
      <c r="BY13" s="42" t="str">
        <f t="shared" si="21"/>
        <v>ALPASTOR</v>
      </c>
      <c r="BZ13" s="43"/>
      <c r="CB13" s="43">
        <f t="shared" si="22"/>
        <v>0</v>
      </c>
      <c r="CC13" s="42" t="str">
        <f t="shared" si="23"/>
        <v>ALPASTOR</v>
      </c>
      <c r="CD13" s="43"/>
      <c r="CF13" s="46"/>
      <c r="CG13" s="43"/>
      <c r="CI13" s="42" t="str">
        <f t="shared" si="24"/>
        <v>ALPASTOR</v>
      </c>
      <c r="CJ13" s="43"/>
      <c r="CL13" s="43">
        <f t="shared" si="25"/>
        <v>0</v>
      </c>
      <c r="CM13" s="42" t="str">
        <f t="shared" si="26"/>
        <v>ALPASTOR</v>
      </c>
      <c r="CN13" s="43"/>
      <c r="CP13" s="42"/>
      <c r="CQ13" s="43"/>
      <c r="CS13" s="42" t="str">
        <f t="shared" si="27"/>
        <v>ALPASTOR</v>
      </c>
      <c r="CT13" s="43"/>
      <c r="CV13" s="43">
        <f t="shared" si="28"/>
        <v>0</v>
      </c>
      <c r="CW13" s="42" t="str">
        <f t="shared" si="29"/>
        <v>ALPASTOR</v>
      </c>
      <c r="CX13" s="43"/>
      <c r="CZ13" s="46"/>
      <c r="DA13" s="43"/>
      <c r="DC13" s="42" t="str">
        <f t="shared" si="30"/>
        <v>ALPASTOR</v>
      </c>
      <c r="DD13" s="43"/>
      <c r="DF13" s="43">
        <f t="shared" si="31"/>
        <v>0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/>
      <c r="EX13" s="42" t="str">
        <f t="shared" si="47"/>
        <v>ALPASTOR</v>
      </c>
      <c r="EY13" s="43"/>
      <c r="FA13" s="42" t="str">
        <f t="shared" si="48"/>
        <v>ALPASTOR</v>
      </c>
      <c r="FB13" s="43"/>
      <c r="FD13" s="43">
        <f t="shared" si="49"/>
        <v>0</v>
      </c>
      <c r="FE13" s="42" t="str">
        <f t="shared" si="50"/>
        <v>ALPASTOR</v>
      </c>
      <c r="FF13" s="43"/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0</v>
      </c>
      <c r="FO13" s="42" t="str">
        <f t="shared" si="54"/>
        <v>ALPASTOR</v>
      </c>
      <c r="FP13" s="43"/>
      <c r="FR13" s="42" t="str">
        <f t="shared" si="55"/>
        <v>ALPASTOR</v>
      </c>
      <c r="FS13" s="43"/>
      <c r="FU13" s="42" t="str">
        <f t="shared" si="56"/>
        <v>ALPASTOR</v>
      </c>
      <c r="FV13" s="43"/>
      <c r="FX13" s="43">
        <f t="shared" si="57"/>
        <v>0</v>
      </c>
      <c r="FY13" s="42" t="str">
        <f t="shared" si="58"/>
        <v>ALPASTOR</v>
      </c>
      <c r="FZ13" s="43"/>
      <c r="GB13" s="42" t="str">
        <f t="shared" si="59"/>
        <v>ALPASTOR</v>
      </c>
      <c r="GC13" s="43"/>
      <c r="GE13" s="42" t="str">
        <f t="shared" si="60"/>
        <v>ALPASTOR</v>
      </c>
      <c r="GF13" s="43"/>
      <c r="GH13" s="43">
        <f t="shared" si="61"/>
        <v>0</v>
      </c>
      <c r="GI13" s="42" t="str">
        <f t="shared" si="62"/>
        <v>ALPASTOR</v>
      </c>
      <c r="GJ13" s="43"/>
      <c r="GL13" s="42" t="str">
        <f t="shared" si="63"/>
        <v>ALPASTOR</v>
      </c>
      <c r="GM13" s="43"/>
      <c r="GO13" s="42" t="str">
        <f t="shared" si="64"/>
        <v>ALPASTOR</v>
      </c>
      <c r="GP13" s="43"/>
      <c r="GR13" s="43">
        <f t="shared" si="65"/>
        <v>0</v>
      </c>
      <c r="GS13" s="42" t="str">
        <f t="shared" si="66"/>
        <v>ALPASTOR</v>
      </c>
      <c r="GT13" s="43"/>
      <c r="GV13" s="42" t="str">
        <f t="shared" si="67"/>
        <v>ALPASTOR</v>
      </c>
      <c r="GW13" s="43"/>
      <c r="GY13" s="42" t="str">
        <f t="shared" si="68"/>
        <v>ALPASTOR</v>
      </c>
      <c r="GZ13" s="43"/>
      <c r="HB13" s="43">
        <f t="shared" si="69"/>
        <v>0</v>
      </c>
      <c r="HC13" s="42" t="str">
        <f t="shared" si="70"/>
        <v>ALPASTOR</v>
      </c>
      <c r="HD13" s="43">
        <f t="shared" si="71"/>
        <v>0</v>
      </c>
      <c r="HF13" s="42" t="str">
        <f t="shared" si="72"/>
        <v>ALPASTOR</v>
      </c>
      <c r="HG13" s="43">
        <f t="shared" si="73"/>
        <v>0</v>
      </c>
      <c r="HI13" s="42" t="str">
        <f t="shared" si="74"/>
        <v>ALPASTOR</v>
      </c>
      <c r="HJ13" s="43">
        <f t="shared" si="75"/>
        <v>0</v>
      </c>
      <c r="HL13" s="43">
        <f t="shared" si="76"/>
        <v>0</v>
      </c>
      <c r="HM13" s="42" t="str">
        <f t="shared" si="77"/>
        <v>ALPASTOR</v>
      </c>
      <c r="HN13" s="57">
        <f t="shared" si="78"/>
        <v>0</v>
      </c>
      <c r="HO13" s="44">
        <f t="shared" si="79"/>
        <v>0</v>
      </c>
      <c r="HP13" s="57">
        <f t="shared" si="80"/>
        <v>0</v>
      </c>
      <c r="HQ13" s="44">
        <f t="shared" si="81"/>
        <v>0</v>
      </c>
      <c r="HR13" s="57">
        <f t="shared" si="82"/>
        <v>0</v>
      </c>
      <c r="HS13" s="44">
        <f t="shared" si="83"/>
        <v>0</v>
      </c>
      <c r="HT13" s="57">
        <f t="shared" si="84"/>
        <v>0</v>
      </c>
      <c r="HU13" s="44">
        <f t="shared" si="85"/>
        <v>0</v>
      </c>
      <c r="HV13" s="57">
        <f t="shared" si="86"/>
        <v>0</v>
      </c>
      <c r="HW13" s="44">
        <f t="shared" si="87"/>
        <v>0</v>
      </c>
      <c r="HX13" s="57">
        <f t="shared" si="88"/>
        <v>0</v>
      </c>
      <c r="HY13" s="44">
        <f t="shared" si="89"/>
        <v>0</v>
      </c>
      <c r="HZ13" s="42" t="str">
        <f t="shared" si="90"/>
        <v>ALPASTOR</v>
      </c>
      <c r="IA13" s="57">
        <f t="shared" si="91"/>
        <v>0</v>
      </c>
      <c r="IB13" s="44">
        <f t="shared" si="92"/>
        <v>0</v>
      </c>
      <c r="IC13" s="57">
        <f t="shared" si="93"/>
        <v>0</v>
      </c>
      <c r="ID13" s="44">
        <f t="shared" si="94"/>
        <v>0</v>
      </c>
      <c r="IE13" s="57">
        <f t="shared" si="95"/>
        <v>0</v>
      </c>
      <c r="IF13" s="44">
        <f t="shared" si="96"/>
        <v>0</v>
      </c>
      <c r="IG13" s="57">
        <f t="shared" si="97"/>
        <v>0</v>
      </c>
      <c r="IH13" s="44">
        <f t="shared" si="98"/>
        <v>0</v>
      </c>
      <c r="II13" s="57">
        <f t="shared" si="99"/>
        <v>0</v>
      </c>
      <c r="IJ13" s="44"/>
      <c r="IK13" s="57"/>
      <c r="IL13" s="44">
        <f t="shared" si="100"/>
        <v>0</v>
      </c>
      <c r="IM13" s="42" t="str">
        <f t="shared" si="101"/>
        <v>ALPASTOR</v>
      </c>
      <c r="IN13" s="43">
        <f t="shared" si="102"/>
        <v>0</v>
      </c>
      <c r="IP13" s="42" t="str">
        <f t="shared" si="103"/>
        <v>ALPASTOR</v>
      </c>
      <c r="IQ13" s="43">
        <f t="shared" si="104"/>
        <v>0</v>
      </c>
      <c r="IS13" s="42" t="str">
        <f t="shared" si="105"/>
        <v>ALPASTOR</v>
      </c>
      <c r="IT13" s="43">
        <f t="shared" si="106"/>
        <v>0</v>
      </c>
      <c r="IV13" s="43"/>
      <c r="IW13" s="42" t="str">
        <f t="shared" si="107"/>
        <v>ALPASTOR</v>
      </c>
      <c r="IX13" s="43">
        <f t="shared" si="108"/>
        <v>0</v>
      </c>
      <c r="IZ13" s="42" t="str">
        <f t="shared" si="109"/>
        <v>ALPASTOR</v>
      </c>
      <c r="JA13" s="43">
        <f t="shared" si="110"/>
        <v>0</v>
      </c>
      <c r="JC13" s="42" t="str">
        <f t="shared" si="111"/>
        <v>ALPASTOR</v>
      </c>
      <c r="JD13" s="43">
        <f t="shared" si="112"/>
        <v>0</v>
      </c>
      <c r="JF13" s="43"/>
      <c r="JG13" s="42" t="str">
        <f t="shared" si="113"/>
        <v>ALPASTOR</v>
      </c>
      <c r="JH13" s="43">
        <f t="shared" si="114"/>
        <v>0</v>
      </c>
      <c r="JJ13" s="42" t="str">
        <f t="shared" si="115"/>
        <v>ALPASTOR</v>
      </c>
      <c r="JK13" s="43">
        <f t="shared" si="116"/>
        <v>0</v>
      </c>
      <c r="JM13" s="42" t="str">
        <f t="shared" si="117"/>
        <v>ALPASTOR</v>
      </c>
      <c r="JN13" s="43">
        <f t="shared" si="118"/>
        <v>0</v>
      </c>
      <c r="JP13" s="44">
        <f t="shared" si="119"/>
        <v>0</v>
      </c>
      <c r="JQ13" s="42" t="str">
        <f t="shared" si="120"/>
        <v>ALPASTOR</v>
      </c>
      <c r="JR13" s="43">
        <f t="shared" si="121"/>
        <v>0</v>
      </c>
      <c r="JT13" s="42" t="str">
        <f t="shared" si="122"/>
        <v>ALPASTOR</v>
      </c>
      <c r="JU13" s="43">
        <f t="shared" si="123"/>
        <v>0</v>
      </c>
      <c r="JW13" s="42" t="str">
        <f t="shared" si="124"/>
        <v>ALPASTOR</v>
      </c>
      <c r="JX13" s="43">
        <f t="shared" si="125"/>
        <v>0</v>
      </c>
      <c r="JZ13" s="44">
        <f t="shared" si="126"/>
        <v>0</v>
      </c>
    </row>
    <row r="14" spans="1:286" s="7" customFormat="1" ht="54" customHeight="1" x14ac:dyDescent="0.65">
      <c r="A14" s="46" t="s">
        <v>44</v>
      </c>
      <c r="B14" s="43"/>
      <c r="D14" s="46"/>
      <c r="E14" s="43"/>
      <c r="G14" s="42" t="str">
        <f t="shared" si="0"/>
        <v>CARNE ASADA</v>
      </c>
      <c r="H14" s="43"/>
      <c r="J14" s="43">
        <f t="shared" si="1"/>
        <v>0</v>
      </c>
      <c r="K14" s="42" t="str">
        <f t="shared" si="2"/>
        <v>CARNE ASADA</v>
      </c>
      <c r="L14" s="43"/>
      <c r="N14" s="47"/>
      <c r="O14" s="43"/>
      <c r="Q14" s="42" t="str">
        <f t="shared" si="3"/>
        <v>CARNE ASADA</v>
      </c>
      <c r="R14" s="43"/>
      <c r="T14" s="43">
        <f t="shared" si="4"/>
        <v>0</v>
      </c>
      <c r="U14" s="42" t="str">
        <f t="shared" si="5"/>
        <v>CARNE ASADA</v>
      </c>
      <c r="V14" s="43"/>
      <c r="X14" s="46"/>
      <c r="Y14" s="43"/>
      <c r="AA14" s="42" t="str">
        <f t="shared" si="6"/>
        <v>CARNE ASADA</v>
      </c>
      <c r="AB14" s="43"/>
      <c r="AD14" s="43">
        <f t="shared" si="7"/>
        <v>0</v>
      </c>
      <c r="AE14" s="42" t="str">
        <f t="shared" si="8"/>
        <v>CARNE ASADA</v>
      </c>
      <c r="AF14" s="43"/>
      <c r="AH14" s="47"/>
      <c r="AI14" s="43"/>
      <c r="AK14" s="42" t="str">
        <f t="shared" si="9"/>
        <v>CARNE ASADA</v>
      </c>
      <c r="AL14" s="43"/>
      <c r="AN14" s="43">
        <f t="shared" si="10"/>
        <v>0</v>
      </c>
      <c r="AO14" s="42" t="str">
        <f t="shared" si="11"/>
        <v>CARNE ASADA</v>
      </c>
      <c r="AP14" s="43"/>
      <c r="AR14" s="46"/>
      <c r="AS14" s="43"/>
      <c r="AU14" s="42" t="str">
        <f t="shared" si="12"/>
        <v>CARNE ASADA</v>
      </c>
      <c r="AV14" s="43"/>
      <c r="AX14" s="43">
        <f t="shared" si="13"/>
        <v>0</v>
      </c>
      <c r="AY14" s="42" t="str">
        <f t="shared" si="14"/>
        <v>CARNE ASADA</v>
      </c>
      <c r="AZ14" s="43"/>
      <c r="BB14" s="47"/>
      <c r="BC14" s="43"/>
      <c r="BE14" s="42" t="str">
        <f t="shared" si="15"/>
        <v>CARNE ASADA</v>
      </c>
      <c r="BF14" s="43"/>
      <c r="BH14" s="43">
        <f t="shared" si="16"/>
        <v>0</v>
      </c>
      <c r="BI14" s="42" t="str">
        <f t="shared" si="17"/>
        <v>CARNE ASADA</v>
      </c>
      <c r="BJ14" s="43"/>
      <c r="BL14" s="46"/>
      <c r="BM14" s="43"/>
      <c r="BO14" s="42" t="str">
        <f t="shared" si="18"/>
        <v>CARNE ASADA</v>
      </c>
      <c r="BP14" s="43"/>
      <c r="BR14" s="43">
        <f t="shared" si="19"/>
        <v>0</v>
      </c>
      <c r="BS14" s="42" t="str">
        <f t="shared" si="20"/>
        <v>CARNE ASADA</v>
      </c>
      <c r="BT14" s="43"/>
      <c r="BV14" s="47"/>
      <c r="BW14" s="43"/>
      <c r="BY14" s="42" t="str">
        <f t="shared" si="21"/>
        <v>CARNE ASADA</v>
      </c>
      <c r="BZ14" s="43"/>
      <c r="CB14" s="43">
        <f t="shared" si="22"/>
        <v>0</v>
      </c>
      <c r="CC14" s="42" t="str">
        <f t="shared" si="23"/>
        <v>CARNE ASADA</v>
      </c>
      <c r="CD14" s="43"/>
      <c r="CF14" s="46"/>
      <c r="CG14" s="43"/>
      <c r="CI14" s="42" t="str">
        <f t="shared" si="24"/>
        <v>CARNE ASADA</v>
      </c>
      <c r="CJ14" s="43"/>
      <c r="CL14" s="43">
        <f t="shared" si="25"/>
        <v>0</v>
      </c>
      <c r="CM14" s="42" t="str">
        <f t="shared" si="26"/>
        <v>CARNE ASADA</v>
      </c>
      <c r="CN14" s="43"/>
      <c r="CP14" s="42"/>
      <c r="CQ14" s="43"/>
      <c r="CS14" s="42" t="str">
        <f t="shared" si="27"/>
        <v>CARNE ASADA</v>
      </c>
      <c r="CT14" s="43"/>
      <c r="CV14" s="43">
        <f t="shared" si="28"/>
        <v>0</v>
      </c>
      <c r="CW14" s="42" t="str">
        <f t="shared" si="29"/>
        <v>CARNE ASADA</v>
      </c>
      <c r="CX14" s="43"/>
      <c r="CZ14" s="47"/>
      <c r="DA14" s="43"/>
      <c r="DC14" s="42" t="str">
        <f t="shared" si="30"/>
        <v>CARNE ASADA</v>
      </c>
      <c r="DD14" s="43"/>
      <c r="DF14" s="43">
        <f t="shared" si="31"/>
        <v>0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/>
      <c r="FD14" s="43">
        <f t="shared" si="49"/>
        <v>0</v>
      </c>
      <c r="FE14" s="42" t="str">
        <f t="shared" si="50"/>
        <v>CARNE ASADA</v>
      </c>
      <c r="FF14" s="43"/>
      <c r="FH14" s="42" t="str">
        <f t="shared" si="51"/>
        <v>CARNE ASADA</v>
      </c>
      <c r="FI14" s="43"/>
      <c r="FK14" s="42" t="str">
        <f t="shared" si="52"/>
        <v>CARNE ASADA</v>
      </c>
      <c r="FL14" s="43"/>
      <c r="FN14" s="43">
        <f t="shared" si="53"/>
        <v>0</v>
      </c>
      <c r="FO14" s="42" t="str">
        <f t="shared" si="54"/>
        <v>CARNE ASADA</v>
      </c>
      <c r="FP14" s="43"/>
      <c r="FR14" s="42" t="str">
        <f t="shared" si="55"/>
        <v>CARNE ASADA</v>
      </c>
      <c r="FS14" s="43"/>
      <c r="FU14" s="42" t="str">
        <f t="shared" si="56"/>
        <v>CARNE ASADA</v>
      </c>
      <c r="FV14" s="43"/>
      <c r="FX14" s="43">
        <f t="shared" si="57"/>
        <v>0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/>
      <c r="GL14" s="42" t="str">
        <f t="shared" si="63"/>
        <v>CARNE ASADA</v>
      </c>
      <c r="GM14" s="43"/>
      <c r="GO14" s="42" t="str">
        <f t="shared" si="64"/>
        <v>CARNE ASADA</v>
      </c>
      <c r="GP14" s="43"/>
      <c r="GR14" s="43">
        <f t="shared" si="65"/>
        <v>0</v>
      </c>
      <c r="GS14" s="42" t="str">
        <f t="shared" si="66"/>
        <v>CARNE ASADA</v>
      </c>
      <c r="GT14" s="43"/>
      <c r="GV14" s="42" t="str">
        <f t="shared" si="67"/>
        <v>CARNE ASADA</v>
      </c>
      <c r="GW14" s="43"/>
      <c r="GY14" s="42" t="str">
        <f t="shared" si="68"/>
        <v>CARNE ASADA</v>
      </c>
      <c r="GZ14" s="43"/>
      <c r="HB14" s="43">
        <f t="shared" si="69"/>
        <v>0</v>
      </c>
      <c r="HC14" s="42" t="str">
        <f t="shared" si="70"/>
        <v>CARNE ASADA</v>
      </c>
      <c r="HD14" s="43">
        <f t="shared" si="71"/>
        <v>0</v>
      </c>
      <c r="HF14" s="42" t="str">
        <f t="shared" si="72"/>
        <v>CARNE ASADA</v>
      </c>
      <c r="HG14" s="43">
        <f t="shared" si="73"/>
        <v>0</v>
      </c>
      <c r="HI14" s="42" t="str">
        <f t="shared" si="74"/>
        <v>CARNE ASADA</v>
      </c>
      <c r="HJ14" s="43">
        <f t="shared" si="75"/>
        <v>0</v>
      </c>
      <c r="HL14" s="43">
        <f t="shared" si="76"/>
        <v>0</v>
      </c>
      <c r="HM14" s="42" t="str">
        <f t="shared" si="77"/>
        <v>CARNE ASADA</v>
      </c>
      <c r="HN14" s="57">
        <f t="shared" si="78"/>
        <v>0</v>
      </c>
      <c r="HO14" s="44">
        <f t="shared" si="79"/>
        <v>0</v>
      </c>
      <c r="HP14" s="57">
        <f t="shared" si="80"/>
        <v>0</v>
      </c>
      <c r="HQ14" s="44">
        <f t="shared" si="81"/>
        <v>0</v>
      </c>
      <c r="HR14" s="57">
        <f t="shared" si="82"/>
        <v>0</v>
      </c>
      <c r="HS14" s="44">
        <f t="shared" si="83"/>
        <v>0</v>
      </c>
      <c r="HT14" s="57">
        <f t="shared" si="84"/>
        <v>0</v>
      </c>
      <c r="HU14" s="44">
        <f t="shared" si="85"/>
        <v>0</v>
      </c>
      <c r="HV14" s="57">
        <f t="shared" si="86"/>
        <v>0</v>
      </c>
      <c r="HW14" s="44">
        <f t="shared" si="87"/>
        <v>0</v>
      </c>
      <c r="HX14" s="57">
        <f t="shared" si="88"/>
        <v>0</v>
      </c>
      <c r="HY14" s="44">
        <f t="shared" si="89"/>
        <v>0</v>
      </c>
      <c r="HZ14" s="42" t="str">
        <f t="shared" si="90"/>
        <v>CARNE ASADA</v>
      </c>
      <c r="IA14" s="57">
        <f t="shared" si="91"/>
        <v>0</v>
      </c>
      <c r="IB14" s="44">
        <f t="shared" si="92"/>
        <v>0</v>
      </c>
      <c r="IC14" s="57">
        <f t="shared" si="93"/>
        <v>0</v>
      </c>
      <c r="ID14" s="44">
        <f t="shared" si="94"/>
        <v>0</v>
      </c>
      <c r="IE14" s="57">
        <f t="shared" si="95"/>
        <v>0</v>
      </c>
      <c r="IF14" s="44">
        <f t="shared" si="96"/>
        <v>0</v>
      </c>
      <c r="IG14" s="57">
        <f t="shared" si="97"/>
        <v>0</v>
      </c>
      <c r="IH14" s="44">
        <f t="shared" si="98"/>
        <v>0</v>
      </c>
      <c r="II14" s="57">
        <f t="shared" si="99"/>
        <v>0</v>
      </c>
      <c r="IJ14" s="44"/>
      <c r="IK14" s="57"/>
      <c r="IL14" s="44">
        <f t="shared" si="100"/>
        <v>0</v>
      </c>
      <c r="IM14" s="42" t="str">
        <f t="shared" si="101"/>
        <v>CARNE ASADA</v>
      </c>
      <c r="IN14" s="43">
        <f t="shared" si="102"/>
        <v>0</v>
      </c>
      <c r="IP14" s="42" t="str">
        <f t="shared" si="103"/>
        <v>CARNE ASADA</v>
      </c>
      <c r="IQ14" s="43">
        <f t="shared" si="104"/>
        <v>0</v>
      </c>
      <c r="IS14" s="42" t="str">
        <f t="shared" si="105"/>
        <v>CARNE ASADA</v>
      </c>
      <c r="IT14" s="43">
        <f t="shared" si="106"/>
        <v>0</v>
      </c>
      <c r="IV14" s="43"/>
      <c r="IW14" s="42" t="str">
        <f t="shared" si="107"/>
        <v>CARNE ASADA</v>
      </c>
      <c r="IX14" s="43">
        <f t="shared" si="108"/>
        <v>0</v>
      </c>
      <c r="IZ14" s="42" t="str">
        <f t="shared" si="109"/>
        <v>CARNE ASADA</v>
      </c>
      <c r="JA14" s="43">
        <f t="shared" si="110"/>
        <v>0</v>
      </c>
      <c r="JC14" s="42" t="str">
        <f t="shared" si="111"/>
        <v>CARNE ASADA</v>
      </c>
      <c r="JD14" s="43">
        <f t="shared" si="112"/>
        <v>0</v>
      </c>
      <c r="JF14" s="43"/>
      <c r="JG14" s="42" t="str">
        <f t="shared" si="113"/>
        <v>CARNE ASADA</v>
      </c>
      <c r="JH14" s="43">
        <f t="shared" si="114"/>
        <v>0</v>
      </c>
      <c r="JJ14" s="42" t="str">
        <f t="shared" si="115"/>
        <v>CARNE ASADA</v>
      </c>
      <c r="JK14" s="43">
        <f t="shared" si="116"/>
        <v>0</v>
      </c>
      <c r="JM14" s="42" t="str">
        <f t="shared" si="117"/>
        <v>CARNE ASADA</v>
      </c>
      <c r="JN14" s="43">
        <f t="shared" si="118"/>
        <v>0</v>
      </c>
      <c r="JP14" s="44">
        <f t="shared" si="119"/>
        <v>0</v>
      </c>
      <c r="JQ14" s="42" t="str">
        <f t="shared" si="120"/>
        <v>CARNE ASADA</v>
      </c>
      <c r="JR14" s="43">
        <f t="shared" si="121"/>
        <v>0</v>
      </c>
      <c r="JT14" s="42" t="str">
        <f t="shared" si="122"/>
        <v>CARNE ASADA</v>
      </c>
      <c r="JU14" s="43">
        <f t="shared" si="123"/>
        <v>0</v>
      </c>
      <c r="JW14" s="42" t="str">
        <f t="shared" si="124"/>
        <v>CARNE ASADA</v>
      </c>
      <c r="JX14" s="43">
        <f t="shared" si="125"/>
        <v>0</v>
      </c>
      <c r="JZ14" s="44">
        <f t="shared" si="126"/>
        <v>0</v>
      </c>
    </row>
    <row r="15" spans="1:286" s="7" customFormat="1" ht="54" customHeight="1" x14ac:dyDescent="0.65">
      <c r="A15" s="46" t="s">
        <v>45</v>
      </c>
      <c r="B15" s="43"/>
      <c r="D15" s="46"/>
      <c r="E15" s="43"/>
      <c r="G15" s="42" t="str">
        <f t="shared" si="0"/>
        <v>FAJITAS</v>
      </c>
      <c r="H15" s="43"/>
      <c r="J15" s="43">
        <f t="shared" si="1"/>
        <v>0</v>
      </c>
      <c r="K15" s="42" t="str">
        <f t="shared" si="2"/>
        <v>FAJITAS</v>
      </c>
      <c r="L15" s="43"/>
      <c r="N15" s="46"/>
      <c r="O15" s="43"/>
      <c r="Q15" s="42" t="str">
        <f t="shared" si="3"/>
        <v>FAJITAS</v>
      </c>
      <c r="R15" s="43"/>
      <c r="T15" s="43">
        <f t="shared" si="4"/>
        <v>0</v>
      </c>
      <c r="U15" s="42" t="str">
        <f t="shared" si="5"/>
        <v>FAJITAS</v>
      </c>
      <c r="V15" s="43"/>
      <c r="X15" s="46"/>
      <c r="Y15" s="43"/>
      <c r="AA15" s="42" t="str">
        <f t="shared" si="6"/>
        <v>FAJITAS</v>
      </c>
      <c r="AB15" s="43"/>
      <c r="AD15" s="43">
        <f t="shared" si="7"/>
        <v>0</v>
      </c>
      <c r="AE15" s="42" t="str">
        <f t="shared" si="8"/>
        <v>FAJITAS</v>
      </c>
      <c r="AF15" s="43"/>
      <c r="AH15" s="46"/>
      <c r="AI15" s="43"/>
      <c r="AK15" s="42" t="str">
        <f t="shared" si="9"/>
        <v>FAJITAS</v>
      </c>
      <c r="AL15" s="43"/>
      <c r="AN15" s="43">
        <f t="shared" si="10"/>
        <v>0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/>
      <c r="AX15" s="43">
        <f t="shared" si="13"/>
        <v>0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/>
      <c r="BL15" s="46"/>
      <c r="BM15" s="43"/>
      <c r="BO15" s="42" t="str">
        <f t="shared" si="18"/>
        <v>FAJITAS</v>
      </c>
      <c r="BP15" s="43"/>
      <c r="BR15" s="43">
        <f t="shared" si="19"/>
        <v>0</v>
      </c>
      <c r="BS15" s="42" t="str">
        <f t="shared" si="20"/>
        <v>FAJITAS</v>
      </c>
      <c r="BT15" s="43"/>
      <c r="BV15" s="47"/>
      <c r="BW15" s="43"/>
      <c r="BY15" s="42" t="str">
        <f t="shared" si="21"/>
        <v>FAJITAS</v>
      </c>
      <c r="BZ15" s="43"/>
      <c r="CB15" s="43">
        <f t="shared" si="22"/>
        <v>0</v>
      </c>
      <c r="CC15" s="42" t="str">
        <f t="shared" si="23"/>
        <v>FAJITAS</v>
      </c>
      <c r="CD15" s="43"/>
      <c r="CF15" s="46"/>
      <c r="CG15" s="43"/>
      <c r="CI15" s="42" t="str">
        <f t="shared" si="24"/>
        <v>FAJITAS</v>
      </c>
      <c r="CJ15" s="43"/>
      <c r="CL15" s="43">
        <f t="shared" si="25"/>
        <v>0</v>
      </c>
      <c r="CM15" s="42" t="str">
        <f t="shared" si="26"/>
        <v>FAJITAS</v>
      </c>
      <c r="CN15" s="43"/>
      <c r="CP15" s="42"/>
      <c r="CQ15" s="43"/>
      <c r="CS15" s="42" t="str">
        <f t="shared" si="27"/>
        <v>FAJITAS</v>
      </c>
      <c r="CT15" s="43"/>
      <c r="CV15" s="43">
        <f t="shared" si="28"/>
        <v>0</v>
      </c>
      <c r="CW15" s="42" t="str">
        <f t="shared" si="29"/>
        <v>FAJITAS</v>
      </c>
      <c r="CX15" s="43"/>
      <c r="CZ15" s="47"/>
      <c r="DA15" s="43"/>
      <c r="DC15" s="42" t="str">
        <f t="shared" si="30"/>
        <v>FAJITAS</v>
      </c>
      <c r="DD15" s="43"/>
      <c r="DF15" s="43">
        <f t="shared" si="31"/>
        <v>0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65"/>
        <v>0</v>
      </c>
      <c r="GS15" s="42" t="str">
        <f t="shared" si="66"/>
        <v>FAJITAS</v>
      </c>
      <c r="GT15" s="43"/>
      <c r="GV15" s="42" t="str">
        <f t="shared" si="67"/>
        <v>FAJITAS</v>
      </c>
      <c r="GW15" s="43"/>
      <c r="GY15" s="42" t="str">
        <f t="shared" si="68"/>
        <v>FAJITAS</v>
      </c>
      <c r="GZ15" s="43"/>
      <c r="HB15" s="43">
        <f t="shared" si="69"/>
        <v>0</v>
      </c>
      <c r="HC15" s="42" t="str">
        <f t="shared" si="70"/>
        <v>FAJITAS</v>
      </c>
      <c r="HD15" s="43">
        <f t="shared" si="71"/>
        <v>0</v>
      </c>
      <c r="HF15" s="42" t="str">
        <f t="shared" si="72"/>
        <v>FAJITAS</v>
      </c>
      <c r="HG15" s="43">
        <f t="shared" si="73"/>
        <v>0</v>
      </c>
      <c r="HI15" s="42" t="str">
        <f t="shared" si="74"/>
        <v>FAJITAS</v>
      </c>
      <c r="HJ15" s="43">
        <f t="shared" si="75"/>
        <v>0</v>
      </c>
      <c r="HL15" s="43">
        <f t="shared" si="76"/>
        <v>0</v>
      </c>
      <c r="HM15" s="42" t="str">
        <f t="shared" si="77"/>
        <v>FAJITAS</v>
      </c>
      <c r="HN15" s="57">
        <f t="shared" si="78"/>
        <v>0</v>
      </c>
      <c r="HO15" s="44">
        <f t="shared" si="79"/>
        <v>0</v>
      </c>
      <c r="HP15" s="57">
        <f t="shared" si="80"/>
        <v>0</v>
      </c>
      <c r="HQ15" s="44">
        <f t="shared" si="81"/>
        <v>0</v>
      </c>
      <c r="HR15" s="57">
        <f t="shared" si="82"/>
        <v>0</v>
      </c>
      <c r="HS15" s="44">
        <f t="shared" si="83"/>
        <v>0</v>
      </c>
      <c r="HT15" s="57">
        <f t="shared" si="84"/>
        <v>0</v>
      </c>
      <c r="HU15" s="44">
        <f t="shared" si="85"/>
        <v>0</v>
      </c>
      <c r="HV15" s="57">
        <f t="shared" si="86"/>
        <v>0</v>
      </c>
      <c r="HW15" s="44">
        <f t="shared" si="87"/>
        <v>0</v>
      </c>
      <c r="HX15" s="57">
        <f t="shared" si="88"/>
        <v>0</v>
      </c>
      <c r="HY15" s="44">
        <f t="shared" si="89"/>
        <v>0</v>
      </c>
      <c r="HZ15" s="42" t="str">
        <f t="shared" si="90"/>
        <v>FAJITAS</v>
      </c>
      <c r="IA15" s="57">
        <f t="shared" si="91"/>
        <v>0</v>
      </c>
      <c r="IB15" s="44">
        <f t="shared" si="92"/>
        <v>0</v>
      </c>
      <c r="IC15" s="57">
        <f t="shared" si="93"/>
        <v>0</v>
      </c>
      <c r="ID15" s="44">
        <f t="shared" si="94"/>
        <v>0</v>
      </c>
      <c r="IE15" s="57">
        <f t="shared" si="95"/>
        <v>0</v>
      </c>
      <c r="IF15" s="44">
        <f t="shared" si="96"/>
        <v>0</v>
      </c>
      <c r="IG15" s="57">
        <f t="shared" si="97"/>
        <v>0</v>
      </c>
      <c r="IH15" s="44">
        <f t="shared" si="98"/>
        <v>0</v>
      </c>
      <c r="II15" s="57">
        <f t="shared" si="99"/>
        <v>0</v>
      </c>
      <c r="IJ15" s="44"/>
      <c r="IK15" s="57"/>
      <c r="IL15" s="44">
        <f t="shared" si="100"/>
        <v>0</v>
      </c>
      <c r="IM15" s="42" t="str">
        <f t="shared" si="101"/>
        <v>FAJITAS</v>
      </c>
      <c r="IN15" s="43">
        <f t="shared" si="102"/>
        <v>0</v>
      </c>
      <c r="IP15" s="42" t="str">
        <f t="shared" si="103"/>
        <v>FAJITAS</v>
      </c>
      <c r="IQ15" s="43">
        <f t="shared" si="104"/>
        <v>0</v>
      </c>
      <c r="IS15" s="42" t="str">
        <f t="shared" si="105"/>
        <v>FAJITAS</v>
      </c>
      <c r="IT15" s="43">
        <f t="shared" si="106"/>
        <v>0</v>
      </c>
      <c r="IV15" s="43"/>
      <c r="IW15" s="42" t="str">
        <f t="shared" si="107"/>
        <v>FAJITAS</v>
      </c>
      <c r="IX15" s="43">
        <f t="shared" si="108"/>
        <v>0</v>
      </c>
      <c r="IZ15" s="42" t="str">
        <f t="shared" si="109"/>
        <v>FAJITAS</v>
      </c>
      <c r="JA15" s="43">
        <f t="shared" si="110"/>
        <v>0</v>
      </c>
      <c r="JC15" s="42" t="str">
        <f t="shared" si="111"/>
        <v>FAJITAS</v>
      </c>
      <c r="JD15" s="43">
        <f t="shared" si="112"/>
        <v>0</v>
      </c>
      <c r="JF15" s="43"/>
      <c r="JG15" s="42" t="str">
        <f t="shared" si="113"/>
        <v>FAJITAS</v>
      </c>
      <c r="JH15" s="43">
        <f t="shared" si="114"/>
        <v>0</v>
      </c>
      <c r="JJ15" s="42" t="str">
        <f t="shared" si="115"/>
        <v>FAJITAS</v>
      </c>
      <c r="JK15" s="43">
        <f t="shared" si="116"/>
        <v>0</v>
      </c>
      <c r="JM15" s="42" t="str">
        <f t="shared" si="117"/>
        <v>FAJITAS</v>
      </c>
      <c r="JN15" s="43">
        <f t="shared" si="118"/>
        <v>0</v>
      </c>
      <c r="JP15" s="44">
        <f t="shared" si="119"/>
        <v>0</v>
      </c>
      <c r="JQ15" s="42" t="str">
        <f t="shared" si="120"/>
        <v>FAJITAS</v>
      </c>
      <c r="JR15" s="43">
        <f t="shared" si="121"/>
        <v>0</v>
      </c>
      <c r="JT15" s="42" t="str">
        <f t="shared" si="122"/>
        <v>FAJITAS</v>
      </c>
      <c r="JU15" s="43">
        <f t="shared" si="123"/>
        <v>0</v>
      </c>
      <c r="JW15" s="42" t="str">
        <f t="shared" si="124"/>
        <v>FAJITAS</v>
      </c>
      <c r="JX15" s="43">
        <f t="shared" si="125"/>
        <v>0</v>
      </c>
      <c r="JZ15" s="44">
        <f t="shared" si="126"/>
        <v>0</v>
      </c>
    </row>
    <row r="16" spans="1:286" s="7" customFormat="1" ht="54" customHeight="1" x14ac:dyDescent="0.65">
      <c r="A16" s="46" t="s">
        <v>46</v>
      </c>
      <c r="B16" s="43"/>
      <c r="D16" s="46"/>
      <c r="E16" s="43"/>
      <c r="G16" s="42" t="str">
        <f t="shared" si="0"/>
        <v>MILANESA</v>
      </c>
      <c r="H16" s="43"/>
      <c r="J16" s="43">
        <f t="shared" si="1"/>
        <v>0</v>
      </c>
      <c r="K16" s="42" t="str">
        <f t="shared" si="2"/>
        <v>MILANESA</v>
      </c>
      <c r="L16" s="43"/>
      <c r="N16" s="46"/>
      <c r="O16" s="43"/>
      <c r="Q16" s="42" t="str">
        <f t="shared" si="3"/>
        <v>MILANESA</v>
      </c>
      <c r="R16" s="43"/>
      <c r="T16" s="43">
        <f t="shared" si="4"/>
        <v>0</v>
      </c>
      <c r="U16" s="42" t="str">
        <f t="shared" si="5"/>
        <v>MILANESA</v>
      </c>
      <c r="V16" s="43"/>
      <c r="X16" s="46"/>
      <c r="Y16" s="43"/>
      <c r="AA16" s="42" t="str">
        <f t="shared" si="6"/>
        <v>MILANESA</v>
      </c>
      <c r="AB16" s="43"/>
      <c r="AD16" s="43">
        <f t="shared" si="7"/>
        <v>0</v>
      </c>
      <c r="AE16" s="42" t="str">
        <f t="shared" si="8"/>
        <v>MILANESA</v>
      </c>
      <c r="AF16" s="43"/>
      <c r="AH16" s="46"/>
      <c r="AI16" s="43"/>
      <c r="AK16" s="42" t="str">
        <f t="shared" si="9"/>
        <v>MILANESA</v>
      </c>
      <c r="AL16" s="43"/>
      <c r="AN16" s="43">
        <f t="shared" si="10"/>
        <v>0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/>
      <c r="AX16" s="43">
        <f t="shared" si="13"/>
        <v>0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/>
      <c r="BH16" s="43">
        <f t="shared" si="16"/>
        <v>0</v>
      </c>
      <c r="BI16" s="42" t="str">
        <f t="shared" si="17"/>
        <v>MILANESA</v>
      </c>
      <c r="BJ16" s="43"/>
      <c r="BL16" s="46"/>
      <c r="BM16" s="43"/>
      <c r="BO16" s="42" t="str">
        <f t="shared" si="18"/>
        <v>MILANESA</v>
      </c>
      <c r="BP16" s="43"/>
      <c r="BR16" s="43">
        <f t="shared" si="19"/>
        <v>0</v>
      </c>
      <c r="BS16" s="42" t="str">
        <f t="shared" si="20"/>
        <v>MILANESA</v>
      </c>
      <c r="BT16" s="43"/>
      <c r="BV16" s="46"/>
      <c r="BW16" s="43"/>
      <c r="BY16" s="42" t="str">
        <f t="shared" si="21"/>
        <v>MILANESA</v>
      </c>
      <c r="BZ16" s="43"/>
      <c r="CB16" s="43">
        <f t="shared" si="22"/>
        <v>0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/>
      <c r="CL16" s="43">
        <f t="shared" si="25"/>
        <v>0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/>
      <c r="CZ16" s="46"/>
      <c r="DA16" s="43"/>
      <c r="DC16" s="42" t="str">
        <f t="shared" si="30"/>
        <v>MILANESA</v>
      </c>
      <c r="DD16" s="43"/>
      <c r="DF16" s="43">
        <f t="shared" si="31"/>
        <v>0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/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0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/>
      <c r="FR16" s="42" t="str">
        <f t="shared" si="55"/>
        <v>MILANESA</v>
      </c>
      <c r="FS16" s="43"/>
      <c r="FU16" s="42" t="str">
        <f t="shared" si="56"/>
        <v>MILANESA</v>
      </c>
      <c r="FV16" s="43"/>
      <c r="FX16" s="43">
        <f t="shared" si="57"/>
        <v>0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/>
      <c r="GO16" s="42" t="str">
        <f t="shared" si="64"/>
        <v>MILANESA</v>
      </c>
      <c r="GP16" s="43"/>
      <c r="GR16" s="43">
        <f t="shared" si="65"/>
        <v>0</v>
      </c>
      <c r="GS16" s="42" t="str">
        <f t="shared" si="66"/>
        <v>MILANESA</v>
      </c>
      <c r="GT16" s="43"/>
      <c r="GV16" s="42" t="str">
        <f t="shared" si="67"/>
        <v>MILANESA</v>
      </c>
      <c r="GW16" s="43"/>
      <c r="GY16" s="42" t="str">
        <f t="shared" si="68"/>
        <v>MILANESA</v>
      </c>
      <c r="GZ16" s="43"/>
      <c r="HB16" s="43">
        <f t="shared" si="69"/>
        <v>0</v>
      </c>
      <c r="HC16" s="42" t="str">
        <f t="shared" si="70"/>
        <v>MILANESA</v>
      </c>
      <c r="HD16" s="43">
        <f t="shared" si="71"/>
        <v>0</v>
      </c>
      <c r="HF16" s="42" t="str">
        <f t="shared" si="72"/>
        <v>MILANESA</v>
      </c>
      <c r="HG16" s="43">
        <f t="shared" si="73"/>
        <v>0</v>
      </c>
      <c r="HI16" s="42" t="str">
        <f t="shared" si="74"/>
        <v>MILANESA</v>
      </c>
      <c r="HJ16" s="43">
        <f t="shared" si="75"/>
        <v>0</v>
      </c>
      <c r="HL16" s="43">
        <f t="shared" si="76"/>
        <v>0</v>
      </c>
      <c r="HM16" s="42" t="str">
        <f t="shared" si="77"/>
        <v>MILANESA</v>
      </c>
      <c r="HN16" s="57">
        <f t="shared" si="78"/>
        <v>0</v>
      </c>
      <c r="HO16" s="44">
        <f t="shared" si="79"/>
        <v>0</v>
      </c>
      <c r="HP16" s="57">
        <f t="shared" si="80"/>
        <v>0</v>
      </c>
      <c r="HQ16" s="44">
        <f t="shared" si="81"/>
        <v>0</v>
      </c>
      <c r="HR16" s="57">
        <f t="shared" si="82"/>
        <v>0</v>
      </c>
      <c r="HS16" s="44">
        <f t="shared" si="83"/>
        <v>0</v>
      </c>
      <c r="HT16" s="57">
        <f t="shared" si="84"/>
        <v>0</v>
      </c>
      <c r="HU16" s="44">
        <f t="shared" si="85"/>
        <v>0</v>
      </c>
      <c r="HV16" s="57">
        <f t="shared" si="86"/>
        <v>0</v>
      </c>
      <c r="HW16" s="44">
        <f t="shared" si="87"/>
        <v>0</v>
      </c>
      <c r="HX16" s="57">
        <f t="shared" si="88"/>
        <v>0</v>
      </c>
      <c r="HY16" s="44">
        <f t="shared" si="89"/>
        <v>0</v>
      </c>
      <c r="HZ16" s="42" t="str">
        <f t="shared" si="90"/>
        <v>MILANESA</v>
      </c>
      <c r="IA16" s="57">
        <f t="shared" si="91"/>
        <v>0</v>
      </c>
      <c r="IB16" s="44">
        <f t="shared" si="92"/>
        <v>0</v>
      </c>
      <c r="IC16" s="57">
        <f t="shared" si="93"/>
        <v>0</v>
      </c>
      <c r="ID16" s="44">
        <f t="shared" si="94"/>
        <v>0</v>
      </c>
      <c r="IE16" s="57">
        <f t="shared" si="95"/>
        <v>0</v>
      </c>
      <c r="IF16" s="44">
        <f t="shared" si="96"/>
        <v>0</v>
      </c>
      <c r="IG16" s="57">
        <f t="shared" si="97"/>
        <v>0</v>
      </c>
      <c r="IH16" s="44">
        <f t="shared" si="98"/>
        <v>0</v>
      </c>
      <c r="II16" s="57">
        <f t="shared" si="99"/>
        <v>0</v>
      </c>
      <c r="IJ16" s="44"/>
      <c r="IK16" s="57"/>
      <c r="IL16" s="44">
        <f t="shared" si="100"/>
        <v>0</v>
      </c>
      <c r="IM16" s="42" t="str">
        <f t="shared" si="101"/>
        <v>MILANESA</v>
      </c>
      <c r="IN16" s="43">
        <f t="shared" si="102"/>
        <v>0</v>
      </c>
      <c r="IP16" s="42" t="str">
        <f t="shared" si="103"/>
        <v>MILANESA</v>
      </c>
      <c r="IQ16" s="43">
        <f t="shared" si="104"/>
        <v>0</v>
      </c>
      <c r="IS16" s="42" t="str">
        <f t="shared" si="105"/>
        <v>MILANESA</v>
      </c>
      <c r="IT16" s="43">
        <f t="shared" si="106"/>
        <v>0</v>
      </c>
      <c r="IV16" s="43"/>
      <c r="IW16" s="42" t="str">
        <f t="shared" si="107"/>
        <v>MILANESA</v>
      </c>
      <c r="IX16" s="43">
        <f t="shared" si="108"/>
        <v>0</v>
      </c>
      <c r="IZ16" s="42" t="str">
        <f t="shared" si="109"/>
        <v>MILANESA</v>
      </c>
      <c r="JA16" s="43">
        <f t="shared" si="110"/>
        <v>0</v>
      </c>
      <c r="JC16" s="42" t="str">
        <f t="shared" si="111"/>
        <v>MILANESA</v>
      </c>
      <c r="JD16" s="43">
        <f t="shared" si="112"/>
        <v>0</v>
      </c>
      <c r="JF16" s="43"/>
      <c r="JG16" s="42" t="str">
        <f t="shared" si="113"/>
        <v>MILANESA</v>
      </c>
      <c r="JH16" s="43">
        <f t="shared" si="114"/>
        <v>0</v>
      </c>
      <c r="JJ16" s="42" t="str">
        <f t="shared" si="115"/>
        <v>MILANESA</v>
      </c>
      <c r="JK16" s="43">
        <f t="shared" si="116"/>
        <v>0</v>
      </c>
      <c r="JM16" s="42" t="str">
        <f t="shared" si="117"/>
        <v>MILANESA</v>
      </c>
      <c r="JN16" s="43">
        <f t="shared" si="118"/>
        <v>0</v>
      </c>
      <c r="JP16" s="44">
        <f t="shared" si="119"/>
        <v>0</v>
      </c>
      <c r="JQ16" s="42" t="str">
        <f t="shared" si="120"/>
        <v>MILANESA</v>
      </c>
      <c r="JR16" s="43">
        <f t="shared" si="121"/>
        <v>0</v>
      </c>
      <c r="JT16" s="42" t="str">
        <f t="shared" si="122"/>
        <v>MILANESA</v>
      </c>
      <c r="JU16" s="43">
        <f t="shared" si="123"/>
        <v>0</v>
      </c>
      <c r="JW16" s="42" t="str">
        <f t="shared" si="124"/>
        <v>MILANESA</v>
      </c>
      <c r="JX16" s="43">
        <f t="shared" si="125"/>
        <v>0</v>
      </c>
      <c r="JZ16" s="44">
        <f t="shared" si="126"/>
        <v>0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/>
      <c r="T17" s="43">
        <f t="shared" si="4"/>
        <v>0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/>
      <c r="AR17" s="46"/>
      <c r="AS17" s="43"/>
      <c r="AU17" s="42" t="str">
        <f t="shared" si="12"/>
        <v>TAMAL ROJO</v>
      </c>
      <c r="AV17" s="43"/>
      <c r="AX17" s="43">
        <f t="shared" si="13"/>
        <v>0</v>
      </c>
      <c r="AY17" s="42" t="str">
        <f t="shared" si="14"/>
        <v>TAMAL ROJO</v>
      </c>
      <c r="AZ17" s="43"/>
      <c r="BB17" s="46"/>
      <c r="BC17" s="43"/>
      <c r="BE17" s="42" t="str">
        <f t="shared" si="15"/>
        <v>TAMAL ROJO</v>
      </c>
      <c r="BF17" s="43"/>
      <c r="BH17" s="43">
        <f t="shared" si="16"/>
        <v>0</v>
      </c>
      <c r="BI17" s="42" t="str">
        <f t="shared" si="17"/>
        <v>TAMAL ROJO</v>
      </c>
      <c r="BJ17" s="43"/>
      <c r="BL17" s="46"/>
      <c r="BM17" s="43"/>
      <c r="BO17" s="42" t="str">
        <f t="shared" si="18"/>
        <v>TAMAL ROJO</v>
      </c>
      <c r="BP17" s="43"/>
      <c r="BR17" s="43">
        <f t="shared" si="19"/>
        <v>0</v>
      </c>
      <c r="BS17" s="42" t="str">
        <f t="shared" si="20"/>
        <v>TAMAL ROJO</v>
      </c>
      <c r="BT17" s="43"/>
      <c r="BV17" s="46"/>
      <c r="BW17" s="43"/>
      <c r="BY17" s="42" t="str">
        <f t="shared" si="21"/>
        <v>TAMAL ROJO</v>
      </c>
      <c r="BZ17" s="43"/>
      <c r="CB17" s="43">
        <f t="shared" si="22"/>
        <v>0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/>
      <c r="CP17" s="42"/>
      <c r="CQ17" s="43"/>
      <c r="CS17" s="42" t="str">
        <f t="shared" si="27"/>
        <v>TAMAL ROJO</v>
      </c>
      <c r="CT17" s="43"/>
      <c r="CV17" s="43">
        <f t="shared" si="28"/>
        <v>0</v>
      </c>
      <c r="CW17" s="42" t="str">
        <f t="shared" si="29"/>
        <v>TAMAL ROJO</v>
      </c>
      <c r="CX17" s="43"/>
      <c r="CZ17" s="42"/>
      <c r="DA17" s="43"/>
      <c r="DC17" s="42" t="str">
        <f t="shared" ref="DC17:DC29" si="127">A17</f>
        <v>TAMAL ROJO</v>
      </c>
      <c r="DD17" s="43"/>
      <c r="DF17" s="43">
        <f t="shared" si="31"/>
        <v>0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65"/>
        <v>0</v>
      </c>
      <c r="GS17" s="42" t="str">
        <f t="shared" si="66"/>
        <v>TAMAL ROJO</v>
      </c>
      <c r="GT17" s="43"/>
      <c r="GV17" s="42" t="str">
        <f t="shared" si="67"/>
        <v>TAMAL ROJO</v>
      </c>
      <c r="GW17" s="43"/>
      <c r="GY17" s="42" t="str">
        <f t="shared" si="68"/>
        <v>TAMAL ROJO</v>
      </c>
      <c r="GZ17" s="43"/>
      <c r="HB17" s="43">
        <f t="shared" si="69"/>
        <v>0</v>
      </c>
      <c r="HC17" s="42" t="str">
        <f t="shared" si="70"/>
        <v>TAMAL ROJO</v>
      </c>
      <c r="HD17" s="43">
        <f t="shared" si="71"/>
        <v>0</v>
      </c>
      <c r="HF17" s="42" t="str">
        <f t="shared" si="72"/>
        <v>TAMAL ROJO</v>
      </c>
      <c r="HG17" s="43">
        <f t="shared" si="73"/>
        <v>0</v>
      </c>
      <c r="HI17" s="42" t="str">
        <f t="shared" si="74"/>
        <v>TAMAL ROJO</v>
      </c>
      <c r="HJ17" s="43">
        <f t="shared" si="75"/>
        <v>0</v>
      </c>
      <c r="HL17" s="43">
        <f t="shared" si="76"/>
        <v>0</v>
      </c>
      <c r="HM17" s="42" t="str">
        <f t="shared" si="77"/>
        <v>TAMAL ROJO</v>
      </c>
      <c r="HN17" s="57">
        <f t="shared" si="78"/>
        <v>0</v>
      </c>
      <c r="HO17" s="44">
        <f t="shared" si="79"/>
        <v>0</v>
      </c>
      <c r="HP17" s="57">
        <f t="shared" si="80"/>
        <v>0</v>
      </c>
      <c r="HQ17" s="44">
        <f t="shared" si="81"/>
        <v>0</v>
      </c>
      <c r="HR17" s="57">
        <f t="shared" si="82"/>
        <v>0</v>
      </c>
      <c r="HS17" s="44">
        <f t="shared" si="83"/>
        <v>0</v>
      </c>
      <c r="HT17" s="57">
        <f t="shared" si="84"/>
        <v>0</v>
      </c>
      <c r="HU17" s="44">
        <f t="shared" si="85"/>
        <v>0</v>
      </c>
      <c r="HV17" s="57">
        <f t="shared" si="86"/>
        <v>0</v>
      </c>
      <c r="HW17" s="44">
        <f t="shared" si="87"/>
        <v>0</v>
      </c>
      <c r="HX17" s="57">
        <f t="shared" si="88"/>
        <v>0</v>
      </c>
      <c r="HY17" s="44">
        <f t="shared" si="89"/>
        <v>0</v>
      </c>
      <c r="HZ17" s="42" t="str">
        <f t="shared" si="90"/>
        <v>TAMAL ROJO</v>
      </c>
      <c r="IA17" s="57">
        <f t="shared" si="91"/>
        <v>0</v>
      </c>
      <c r="IB17" s="44">
        <f t="shared" si="92"/>
        <v>0</v>
      </c>
      <c r="IC17" s="57">
        <f t="shared" si="93"/>
        <v>0</v>
      </c>
      <c r="ID17" s="44">
        <f t="shared" si="94"/>
        <v>0</v>
      </c>
      <c r="IE17" s="57">
        <f t="shared" si="95"/>
        <v>0</v>
      </c>
      <c r="IF17" s="44">
        <f t="shared" si="96"/>
        <v>0</v>
      </c>
      <c r="IG17" s="57">
        <f t="shared" si="97"/>
        <v>0</v>
      </c>
      <c r="IH17" s="44">
        <f t="shared" si="98"/>
        <v>0</v>
      </c>
      <c r="II17" s="57">
        <f t="shared" si="99"/>
        <v>0</v>
      </c>
      <c r="IJ17" s="44"/>
      <c r="IK17" s="57"/>
      <c r="IL17" s="44">
        <f t="shared" si="100"/>
        <v>0</v>
      </c>
      <c r="IM17" s="42" t="str">
        <f t="shared" si="101"/>
        <v>TAMAL ROJO</v>
      </c>
      <c r="IN17" s="43">
        <f t="shared" si="102"/>
        <v>0</v>
      </c>
      <c r="IP17" s="42" t="str">
        <f t="shared" si="103"/>
        <v>TAMAL ROJO</v>
      </c>
      <c r="IQ17" s="43">
        <f t="shared" si="104"/>
        <v>0</v>
      </c>
      <c r="IS17" s="42" t="str">
        <f t="shared" si="105"/>
        <v>TAMAL ROJO</v>
      </c>
      <c r="IT17" s="43">
        <f t="shared" si="106"/>
        <v>0</v>
      </c>
      <c r="IV17" s="43"/>
      <c r="IW17" s="42" t="str">
        <f t="shared" si="107"/>
        <v>TAMAL ROJO</v>
      </c>
      <c r="IX17" s="43">
        <f t="shared" si="108"/>
        <v>0</v>
      </c>
      <c r="IZ17" s="42" t="str">
        <f t="shared" si="109"/>
        <v>TAMAL ROJO</v>
      </c>
      <c r="JA17" s="43">
        <f t="shared" si="110"/>
        <v>0</v>
      </c>
      <c r="JC17" s="42" t="str">
        <f t="shared" si="111"/>
        <v>TAMAL ROJO</v>
      </c>
      <c r="JD17" s="43">
        <f t="shared" si="112"/>
        <v>0</v>
      </c>
      <c r="JF17" s="43"/>
      <c r="JG17" s="42" t="str">
        <f t="shared" si="113"/>
        <v>TAMAL ROJO</v>
      </c>
      <c r="JH17" s="43">
        <f t="shared" si="114"/>
        <v>0</v>
      </c>
      <c r="JJ17" s="42" t="str">
        <f t="shared" si="115"/>
        <v>TAMAL ROJO</v>
      </c>
      <c r="JK17" s="43">
        <f t="shared" si="116"/>
        <v>0</v>
      </c>
      <c r="JM17" s="42" t="str">
        <f t="shared" si="117"/>
        <v>TAMAL ROJO</v>
      </c>
      <c r="JN17" s="43">
        <f t="shared" si="118"/>
        <v>0</v>
      </c>
      <c r="JP17" s="44">
        <f t="shared" si="119"/>
        <v>0</v>
      </c>
      <c r="JQ17" s="42" t="str">
        <f t="shared" si="120"/>
        <v>TAMAL ROJO</v>
      </c>
      <c r="JR17" s="43">
        <f t="shared" si="121"/>
        <v>0</v>
      </c>
      <c r="JT17" s="42" t="str">
        <f t="shared" si="122"/>
        <v>TAMAL ROJO</v>
      </c>
      <c r="JU17" s="43">
        <f t="shared" si="123"/>
        <v>0</v>
      </c>
      <c r="JW17" s="42" t="str">
        <f t="shared" si="124"/>
        <v>TAMAL ROJO</v>
      </c>
      <c r="JX17" s="43">
        <f t="shared" si="125"/>
        <v>0</v>
      </c>
      <c r="JZ17" s="44">
        <f t="shared" si="126"/>
        <v>0</v>
      </c>
    </row>
    <row r="18" spans="1:286" s="7" customFormat="1" ht="54" customHeight="1" x14ac:dyDescent="0.65">
      <c r="A18" s="46" t="s">
        <v>48</v>
      </c>
      <c r="B18" s="43"/>
      <c r="D18" s="46"/>
      <c r="E18" s="43"/>
      <c r="G18" s="42" t="str">
        <f t="shared" si="0"/>
        <v>CHILE RELLENO</v>
      </c>
      <c r="H18" s="43"/>
      <c r="J18" s="43">
        <f t="shared" si="1"/>
        <v>0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/>
      <c r="T18" s="43">
        <f t="shared" si="4"/>
        <v>0</v>
      </c>
      <c r="U18" s="42" t="str">
        <f t="shared" si="5"/>
        <v>CHILE RELLENO</v>
      </c>
      <c r="V18" s="43"/>
      <c r="X18" s="46"/>
      <c r="Y18" s="43"/>
      <c r="AA18" s="42" t="str">
        <f t="shared" si="6"/>
        <v>CHILE RELLENO</v>
      </c>
      <c r="AB18" s="43"/>
      <c r="AD18" s="43">
        <f t="shared" si="7"/>
        <v>0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/>
      <c r="AR18" s="46"/>
      <c r="AS18" s="43"/>
      <c r="AU18" s="42" t="str">
        <f t="shared" si="12"/>
        <v>CHILE RELLENO</v>
      </c>
      <c r="AV18" s="43"/>
      <c r="AX18" s="43">
        <f t="shared" si="13"/>
        <v>0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/>
      <c r="BL18" s="46"/>
      <c r="BM18" s="43"/>
      <c r="BO18" s="42" t="str">
        <f t="shared" si="18"/>
        <v>CHILE RELLENO</v>
      </c>
      <c r="BP18" s="43"/>
      <c r="BR18" s="43">
        <f t="shared" si="19"/>
        <v>0</v>
      </c>
      <c r="BS18" s="42" t="str">
        <f t="shared" si="20"/>
        <v>CHILE RELLENO</v>
      </c>
      <c r="BT18" s="43"/>
      <c r="BV18" s="46"/>
      <c r="BW18" s="43"/>
      <c r="BY18" s="42" t="str">
        <f t="shared" si="21"/>
        <v>CHILE RELLENO</v>
      </c>
      <c r="BZ18" s="43"/>
      <c r="CB18" s="43">
        <f t="shared" si="22"/>
        <v>0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7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/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0</v>
      </c>
      <c r="FE18" s="42" t="str">
        <f t="shared" si="50"/>
        <v>CHILE RELLENO</v>
      </c>
      <c r="FF18" s="43"/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0</v>
      </c>
      <c r="FO18" s="42" t="str">
        <f t="shared" si="54"/>
        <v>CHILE RELLENO</v>
      </c>
      <c r="FP18" s="43"/>
      <c r="FR18" s="42" t="str">
        <f t="shared" si="55"/>
        <v>CHILE RELLENO</v>
      </c>
      <c r="FS18" s="43"/>
      <c r="FU18" s="42" t="str">
        <f t="shared" si="56"/>
        <v>CHILE RELLENO</v>
      </c>
      <c r="FV18" s="43"/>
      <c r="FX18" s="43">
        <f t="shared" si="57"/>
        <v>0</v>
      </c>
      <c r="FY18" s="42" t="str">
        <f t="shared" si="58"/>
        <v>CHILE RELLENO</v>
      </c>
      <c r="FZ18" s="43"/>
      <c r="GB18" s="42" t="str">
        <f t="shared" si="59"/>
        <v>CHILE RELLENO</v>
      </c>
      <c r="GC18" s="43"/>
      <c r="GE18" s="42" t="str">
        <f t="shared" si="60"/>
        <v>CHILE RELLENO</v>
      </c>
      <c r="GF18" s="43"/>
      <c r="GH18" s="43">
        <f t="shared" si="61"/>
        <v>0</v>
      </c>
      <c r="GI18" s="42" t="str">
        <f t="shared" si="62"/>
        <v>CHILE RELLENO</v>
      </c>
      <c r="GJ18" s="43"/>
      <c r="GL18" s="42" t="str">
        <f t="shared" si="63"/>
        <v>CHILE RELLENO</v>
      </c>
      <c r="GM18" s="43"/>
      <c r="GO18" s="42" t="str">
        <f t="shared" si="64"/>
        <v>CHILE RELLENO</v>
      </c>
      <c r="GP18" s="43"/>
      <c r="GR18" s="43">
        <f t="shared" si="65"/>
        <v>0</v>
      </c>
      <c r="GS18" s="42" t="str">
        <f t="shared" si="66"/>
        <v>CHILE RELLENO</v>
      </c>
      <c r="GT18" s="43"/>
      <c r="GV18" s="42" t="str">
        <f t="shared" si="67"/>
        <v>CHILE RELLENO</v>
      </c>
      <c r="GW18" s="43"/>
      <c r="GY18" s="42" t="str">
        <f t="shared" si="68"/>
        <v>CHILE RELLENO</v>
      </c>
      <c r="GZ18" s="43"/>
      <c r="HB18" s="43">
        <f t="shared" si="69"/>
        <v>0</v>
      </c>
      <c r="HC18" s="42" t="str">
        <f t="shared" si="70"/>
        <v>CHILE RELLENO</v>
      </c>
      <c r="HD18" s="43">
        <f t="shared" si="71"/>
        <v>0</v>
      </c>
      <c r="HF18" s="42" t="str">
        <f t="shared" si="72"/>
        <v>CHILE RELLENO</v>
      </c>
      <c r="HG18" s="43">
        <f t="shared" si="73"/>
        <v>0</v>
      </c>
      <c r="HI18" s="42" t="str">
        <f t="shared" si="74"/>
        <v>CHILE RELLENO</v>
      </c>
      <c r="HJ18" s="43">
        <f t="shared" si="75"/>
        <v>0</v>
      </c>
      <c r="HL18" s="43">
        <f t="shared" si="76"/>
        <v>0</v>
      </c>
      <c r="HM18" s="42" t="str">
        <f t="shared" si="77"/>
        <v>CHILE RELLENO</v>
      </c>
      <c r="HN18" s="57">
        <f t="shared" si="78"/>
        <v>0</v>
      </c>
      <c r="HO18" s="44">
        <f t="shared" si="79"/>
        <v>0</v>
      </c>
      <c r="HP18" s="57">
        <f t="shared" si="80"/>
        <v>0</v>
      </c>
      <c r="HQ18" s="44">
        <f t="shared" si="81"/>
        <v>0</v>
      </c>
      <c r="HR18" s="57">
        <f t="shared" si="82"/>
        <v>0</v>
      </c>
      <c r="HS18" s="44">
        <f t="shared" si="83"/>
        <v>0</v>
      </c>
      <c r="HT18" s="57">
        <f t="shared" si="84"/>
        <v>0</v>
      </c>
      <c r="HU18" s="44">
        <f t="shared" si="85"/>
        <v>0</v>
      </c>
      <c r="HV18" s="57">
        <f t="shared" si="86"/>
        <v>0</v>
      </c>
      <c r="HW18" s="44">
        <f t="shared" si="87"/>
        <v>0</v>
      </c>
      <c r="HX18" s="57">
        <f t="shared" si="88"/>
        <v>0</v>
      </c>
      <c r="HY18" s="44">
        <f t="shared" si="89"/>
        <v>0</v>
      </c>
      <c r="HZ18" s="42" t="str">
        <f t="shared" si="90"/>
        <v>CHILE RELLENO</v>
      </c>
      <c r="IA18" s="57">
        <f t="shared" si="91"/>
        <v>0</v>
      </c>
      <c r="IB18" s="44">
        <f t="shared" si="92"/>
        <v>0</v>
      </c>
      <c r="IC18" s="57">
        <f t="shared" si="93"/>
        <v>0</v>
      </c>
      <c r="ID18" s="44">
        <f t="shared" si="94"/>
        <v>0</v>
      </c>
      <c r="IE18" s="57">
        <f t="shared" si="95"/>
        <v>0</v>
      </c>
      <c r="IF18" s="44">
        <f t="shared" si="96"/>
        <v>0</v>
      </c>
      <c r="IG18" s="57">
        <f t="shared" si="97"/>
        <v>0</v>
      </c>
      <c r="IH18" s="44">
        <f t="shared" si="98"/>
        <v>0</v>
      </c>
      <c r="II18" s="57">
        <f t="shared" si="99"/>
        <v>0</v>
      </c>
      <c r="IJ18" s="44"/>
      <c r="IK18" s="57"/>
      <c r="IL18" s="44">
        <f t="shared" si="100"/>
        <v>0</v>
      </c>
      <c r="IM18" s="42" t="str">
        <f t="shared" si="101"/>
        <v>CHILE RELLENO</v>
      </c>
      <c r="IN18" s="43">
        <f t="shared" si="102"/>
        <v>0</v>
      </c>
      <c r="IP18" s="42" t="str">
        <f t="shared" si="103"/>
        <v>CHILE RELLENO</v>
      </c>
      <c r="IQ18" s="43">
        <f t="shared" si="104"/>
        <v>0</v>
      </c>
      <c r="IS18" s="42" t="str">
        <f t="shared" si="105"/>
        <v>CHILE RELLENO</v>
      </c>
      <c r="IT18" s="43">
        <f t="shared" si="106"/>
        <v>0</v>
      </c>
      <c r="IV18" s="43"/>
      <c r="IW18" s="42" t="str">
        <f t="shared" si="107"/>
        <v>CHILE RELLENO</v>
      </c>
      <c r="IX18" s="43">
        <f t="shared" si="108"/>
        <v>0</v>
      </c>
      <c r="IZ18" s="42" t="str">
        <f t="shared" si="109"/>
        <v>CHILE RELLENO</v>
      </c>
      <c r="JA18" s="43">
        <f t="shared" si="110"/>
        <v>0</v>
      </c>
      <c r="JC18" s="42" t="str">
        <f t="shared" si="111"/>
        <v>CHILE RELLENO</v>
      </c>
      <c r="JD18" s="43">
        <f t="shared" si="112"/>
        <v>0</v>
      </c>
      <c r="JF18" s="43"/>
      <c r="JG18" s="42" t="str">
        <f t="shared" si="113"/>
        <v>CHILE RELLENO</v>
      </c>
      <c r="JH18" s="43">
        <f t="shared" si="114"/>
        <v>0</v>
      </c>
      <c r="JJ18" s="42" t="str">
        <f t="shared" si="115"/>
        <v>CHILE RELLENO</v>
      </c>
      <c r="JK18" s="43">
        <f t="shared" si="116"/>
        <v>0</v>
      </c>
      <c r="JM18" s="42" t="str">
        <f t="shared" si="117"/>
        <v>CHILE RELLENO</v>
      </c>
      <c r="JN18" s="43">
        <f t="shared" si="118"/>
        <v>0</v>
      </c>
      <c r="JP18" s="44">
        <f t="shared" si="119"/>
        <v>0</v>
      </c>
      <c r="JQ18" s="42" t="str">
        <f t="shared" si="120"/>
        <v>CHILE RELLENO</v>
      </c>
      <c r="JR18" s="43">
        <f t="shared" si="121"/>
        <v>0</v>
      </c>
      <c r="JT18" s="42" t="str">
        <f t="shared" si="122"/>
        <v>CHILE RELLENO</v>
      </c>
      <c r="JU18" s="43">
        <f t="shared" si="123"/>
        <v>0</v>
      </c>
      <c r="JW18" s="42" t="str">
        <f t="shared" si="124"/>
        <v>CHILE RELLENO</v>
      </c>
      <c r="JX18" s="43">
        <f t="shared" si="125"/>
        <v>0</v>
      </c>
      <c r="JZ18" s="44">
        <f t="shared" si="126"/>
        <v>0</v>
      </c>
    </row>
    <row r="19" spans="1:286" s="7" customFormat="1" ht="54" customHeight="1" x14ac:dyDescent="0.65">
      <c r="A19" s="46" t="s">
        <v>49</v>
      </c>
      <c r="B19" s="43"/>
      <c r="D19" s="46"/>
      <c r="E19" s="43"/>
      <c r="G19" s="42" t="str">
        <f t="shared" si="0"/>
        <v>TACO DORADO</v>
      </c>
      <c r="H19" s="43"/>
      <c r="J19" s="43">
        <f t="shared" si="1"/>
        <v>0</v>
      </c>
      <c r="K19" s="42" t="str">
        <f t="shared" si="2"/>
        <v>TACO DORADO</v>
      </c>
      <c r="L19" s="43"/>
      <c r="N19" s="46"/>
      <c r="O19" s="43"/>
      <c r="Q19" s="42" t="str">
        <f t="shared" si="3"/>
        <v>TACO DORADO</v>
      </c>
      <c r="R19" s="43"/>
      <c r="T19" s="43">
        <f t="shared" si="4"/>
        <v>0</v>
      </c>
      <c r="U19" s="42" t="str">
        <f t="shared" si="5"/>
        <v>TACO DORADO</v>
      </c>
      <c r="V19" s="43"/>
      <c r="X19" s="46"/>
      <c r="Y19" s="43"/>
      <c r="AA19" s="42" t="str">
        <f t="shared" si="6"/>
        <v>TACO DORADO</v>
      </c>
      <c r="AB19" s="43"/>
      <c r="AD19" s="43">
        <f t="shared" si="7"/>
        <v>0</v>
      </c>
      <c r="AE19" s="42" t="str">
        <f t="shared" si="8"/>
        <v>TACO DORADO</v>
      </c>
      <c r="AF19" s="43"/>
      <c r="AH19" s="46"/>
      <c r="AI19" s="43"/>
      <c r="AK19" s="42" t="str">
        <f t="shared" si="9"/>
        <v>TACO DORADO</v>
      </c>
      <c r="AL19" s="43"/>
      <c r="AN19" s="43">
        <f t="shared" si="10"/>
        <v>0</v>
      </c>
      <c r="AO19" s="42" t="str">
        <f t="shared" si="11"/>
        <v>TACO DORADO</v>
      </c>
      <c r="AP19" s="43"/>
      <c r="AR19" s="46"/>
      <c r="AS19" s="43"/>
      <c r="AU19" s="42" t="str">
        <f t="shared" si="12"/>
        <v>TACO DORADO</v>
      </c>
      <c r="AV19" s="43"/>
      <c r="AX19" s="43">
        <f t="shared" si="13"/>
        <v>0</v>
      </c>
      <c r="AY19" s="42" t="str">
        <f t="shared" si="14"/>
        <v>TACO DORADO</v>
      </c>
      <c r="AZ19" s="43"/>
      <c r="BB19" s="46"/>
      <c r="BC19" s="43"/>
      <c r="BE19" s="42" t="str">
        <f t="shared" si="15"/>
        <v>TACO DORADO</v>
      </c>
      <c r="BF19" s="43"/>
      <c r="BH19" s="43">
        <f t="shared" si="16"/>
        <v>0</v>
      </c>
      <c r="BI19" s="42" t="str">
        <f t="shared" si="17"/>
        <v>TACO DORADO</v>
      </c>
      <c r="BJ19" s="43"/>
      <c r="BL19" s="46"/>
      <c r="BM19" s="43"/>
      <c r="BO19" s="42" t="str">
        <f t="shared" si="18"/>
        <v>TACO DORADO</v>
      </c>
      <c r="BP19" s="43"/>
      <c r="BR19" s="43">
        <f t="shared" si="19"/>
        <v>0</v>
      </c>
      <c r="BS19" s="42" t="str">
        <f t="shared" si="20"/>
        <v>TACO DORADO</v>
      </c>
      <c r="BT19" s="43"/>
      <c r="BV19" s="46"/>
      <c r="BW19" s="43"/>
      <c r="BY19" s="42" t="str">
        <f t="shared" si="21"/>
        <v>TACO DORADO</v>
      </c>
      <c r="BZ19" s="43"/>
      <c r="CB19" s="43">
        <f t="shared" si="22"/>
        <v>0</v>
      </c>
      <c r="CC19" s="42" t="str">
        <f t="shared" si="23"/>
        <v>TACO DORADO</v>
      </c>
      <c r="CD19" s="43"/>
      <c r="CF19" s="46"/>
      <c r="CG19" s="43"/>
      <c r="CI19" s="42" t="str">
        <f t="shared" si="24"/>
        <v>TACO DORADO</v>
      </c>
      <c r="CJ19" s="43"/>
      <c r="CL19" s="43">
        <f t="shared" si="25"/>
        <v>0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/>
      <c r="CV19" s="43">
        <f t="shared" si="28"/>
        <v>0</v>
      </c>
      <c r="CW19" s="42" t="str">
        <f t="shared" si="29"/>
        <v>TACO DORADO</v>
      </c>
      <c r="CX19" s="43"/>
      <c r="CZ19" s="42"/>
      <c r="DA19" s="43"/>
      <c r="DC19" s="42" t="str">
        <f t="shared" si="127"/>
        <v>TACO DORADO</v>
      </c>
      <c r="DD19" s="43"/>
      <c r="DF19" s="43">
        <f t="shared" si="31"/>
        <v>0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65"/>
        <v>0</v>
      </c>
      <c r="GS19" s="42" t="str">
        <f t="shared" si="66"/>
        <v>TACO DORADO</v>
      </c>
      <c r="GT19" s="43"/>
      <c r="GV19" s="42" t="str">
        <f t="shared" si="67"/>
        <v>TACO DORADO</v>
      </c>
      <c r="GW19" s="43"/>
      <c r="GY19" s="42" t="str">
        <f t="shared" si="68"/>
        <v>TACO DORADO</v>
      </c>
      <c r="GZ19" s="43"/>
      <c r="HB19" s="43">
        <f t="shared" si="69"/>
        <v>0</v>
      </c>
      <c r="HC19" s="42" t="str">
        <f t="shared" si="70"/>
        <v>TACO DORADO</v>
      </c>
      <c r="HD19" s="43">
        <f t="shared" si="71"/>
        <v>0</v>
      </c>
      <c r="HF19" s="42" t="str">
        <f t="shared" si="72"/>
        <v>TACO DORADO</v>
      </c>
      <c r="HG19" s="43">
        <f t="shared" si="73"/>
        <v>0</v>
      </c>
      <c r="HI19" s="42" t="str">
        <f t="shared" si="74"/>
        <v>TACO DORADO</v>
      </c>
      <c r="HJ19" s="43">
        <f t="shared" si="75"/>
        <v>0</v>
      </c>
      <c r="HL19" s="43">
        <f t="shared" si="76"/>
        <v>0</v>
      </c>
      <c r="HM19" s="42" t="str">
        <f t="shared" si="77"/>
        <v>TACO DORADO</v>
      </c>
      <c r="HN19" s="57">
        <f t="shared" si="78"/>
        <v>0</v>
      </c>
      <c r="HO19" s="44">
        <f t="shared" si="79"/>
        <v>0</v>
      </c>
      <c r="HP19" s="57">
        <f t="shared" si="80"/>
        <v>0</v>
      </c>
      <c r="HQ19" s="44">
        <f t="shared" si="81"/>
        <v>0</v>
      </c>
      <c r="HR19" s="57">
        <f t="shared" si="82"/>
        <v>0</v>
      </c>
      <c r="HS19" s="44">
        <f t="shared" si="83"/>
        <v>0</v>
      </c>
      <c r="HT19" s="57">
        <f t="shared" si="84"/>
        <v>0</v>
      </c>
      <c r="HU19" s="44">
        <f t="shared" si="85"/>
        <v>0</v>
      </c>
      <c r="HV19" s="57">
        <f t="shared" si="86"/>
        <v>0</v>
      </c>
      <c r="HW19" s="44">
        <f t="shared" si="87"/>
        <v>0</v>
      </c>
      <c r="HX19" s="57">
        <f t="shared" si="88"/>
        <v>0</v>
      </c>
      <c r="HY19" s="44">
        <f t="shared" si="89"/>
        <v>0</v>
      </c>
      <c r="HZ19" s="42" t="str">
        <f t="shared" si="90"/>
        <v>TACO DORADO</v>
      </c>
      <c r="IA19" s="57">
        <f t="shared" si="91"/>
        <v>0</v>
      </c>
      <c r="IB19" s="44">
        <f t="shared" si="92"/>
        <v>0</v>
      </c>
      <c r="IC19" s="57">
        <f t="shared" si="93"/>
        <v>0</v>
      </c>
      <c r="ID19" s="44">
        <f t="shared" si="94"/>
        <v>0</v>
      </c>
      <c r="IE19" s="57">
        <f t="shared" si="95"/>
        <v>0</v>
      </c>
      <c r="IF19" s="44">
        <f t="shared" si="96"/>
        <v>0</v>
      </c>
      <c r="IG19" s="57">
        <f t="shared" si="97"/>
        <v>0</v>
      </c>
      <c r="IH19" s="44">
        <f t="shared" si="98"/>
        <v>0</v>
      </c>
      <c r="II19" s="57">
        <f t="shared" si="99"/>
        <v>0</v>
      </c>
      <c r="IJ19" s="44"/>
      <c r="IK19" s="57"/>
      <c r="IL19" s="44">
        <f t="shared" si="100"/>
        <v>0</v>
      </c>
      <c r="IM19" s="42" t="str">
        <f t="shared" si="101"/>
        <v>TACO DORADO</v>
      </c>
      <c r="IN19" s="43">
        <f t="shared" si="102"/>
        <v>0</v>
      </c>
      <c r="IP19" s="42" t="str">
        <f t="shared" si="103"/>
        <v>TACO DORADO</v>
      </c>
      <c r="IQ19" s="43">
        <f t="shared" si="104"/>
        <v>0</v>
      </c>
      <c r="IS19" s="42" t="str">
        <f t="shared" si="105"/>
        <v>TACO DORADO</v>
      </c>
      <c r="IT19" s="43">
        <f t="shared" si="106"/>
        <v>0</v>
      </c>
      <c r="IV19" s="43"/>
      <c r="IW19" s="42" t="str">
        <f t="shared" si="107"/>
        <v>TACO DORADO</v>
      </c>
      <c r="IX19" s="43">
        <f t="shared" si="108"/>
        <v>0</v>
      </c>
      <c r="IZ19" s="42" t="str">
        <f t="shared" si="109"/>
        <v>TACO DORADO</v>
      </c>
      <c r="JA19" s="43">
        <f t="shared" si="110"/>
        <v>0</v>
      </c>
      <c r="JC19" s="42" t="str">
        <f t="shared" si="111"/>
        <v>TACO DORADO</v>
      </c>
      <c r="JD19" s="43">
        <f t="shared" si="112"/>
        <v>0</v>
      </c>
      <c r="JF19" s="43"/>
      <c r="JG19" s="42" t="str">
        <f t="shared" si="113"/>
        <v>TACO DORADO</v>
      </c>
      <c r="JH19" s="43">
        <f t="shared" si="114"/>
        <v>0</v>
      </c>
      <c r="JJ19" s="42" t="str">
        <f t="shared" si="115"/>
        <v>TACO DORADO</v>
      </c>
      <c r="JK19" s="43">
        <f t="shared" si="116"/>
        <v>0</v>
      </c>
      <c r="JM19" s="42" t="str">
        <f t="shared" si="117"/>
        <v>TACO DORADO</v>
      </c>
      <c r="JN19" s="43">
        <f t="shared" si="118"/>
        <v>0</v>
      </c>
      <c r="JP19" s="44">
        <f t="shared" si="119"/>
        <v>0</v>
      </c>
      <c r="JQ19" s="42" t="str">
        <f t="shared" si="120"/>
        <v>TACO DORADO</v>
      </c>
      <c r="JR19" s="43">
        <f t="shared" si="121"/>
        <v>0</v>
      </c>
      <c r="JT19" s="42" t="str">
        <f t="shared" si="122"/>
        <v>TACO DORADO</v>
      </c>
      <c r="JU19" s="43">
        <f t="shared" si="123"/>
        <v>0</v>
      </c>
      <c r="JW19" s="42" t="str">
        <f t="shared" si="124"/>
        <v>TACO DORADO</v>
      </c>
      <c r="JX19" s="43">
        <f t="shared" si="125"/>
        <v>0</v>
      </c>
      <c r="JZ19" s="44">
        <f t="shared" si="126"/>
        <v>0</v>
      </c>
    </row>
    <row r="20" spans="1:286" s="7" customFormat="1" ht="54" customHeight="1" x14ac:dyDescent="0.65">
      <c r="A20" s="46" t="s">
        <v>50</v>
      </c>
      <c r="B20" s="43"/>
      <c r="D20" s="46"/>
      <c r="E20" s="43"/>
      <c r="G20" s="42" t="str">
        <f t="shared" si="0"/>
        <v>ADOBO PICADILLO</v>
      </c>
      <c r="H20" s="43"/>
      <c r="J20" s="43">
        <f t="shared" si="1"/>
        <v>0</v>
      </c>
      <c r="K20" s="42" t="str">
        <f t="shared" si="2"/>
        <v>ADOBO PICADILLO</v>
      </c>
      <c r="L20" s="43"/>
      <c r="N20" s="46"/>
      <c r="O20" s="43"/>
      <c r="Q20" s="42" t="str">
        <f t="shared" si="3"/>
        <v>ADOBO PICADILLO</v>
      </c>
      <c r="R20" s="43"/>
      <c r="T20" s="43">
        <f t="shared" si="4"/>
        <v>0</v>
      </c>
      <c r="U20" s="42" t="str">
        <f t="shared" si="5"/>
        <v>ADOBO PICADILLO</v>
      </c>
      <c r="V20" s="43"/>
      <c r="X20" s="46"/>
      <c r="Y20" s="43"/>
      <c r="AA20" s="42" t="str">
        <f t="shared" si="6"/>
        <v>ADOBO PICADILLO</v>
      </c>
      <c r="AB20" s="43"/>
      <c r="AD20" s="43">
        <f t="shared" si="7"/>
        <v>0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/>
      <c r="AR20" s="46"/>
      <c r="AS20" s="43"/>
      <c r="AU20" s="42" t="str">
        <f t="shared" si="12"/>
        <v>ADOBO PICADILLO</v>
      </c>
      <c r="AV20" s="43"/>
      <c r="AX20" s="43">
        <f t="shared" si="13"/>
        <v>0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/>
      <c r="BH20" s="43">
        <f t="shared" si="16"/>
        <v>0</v>
      </c>
      <c r="BI20" s="42" t="str">
        <f t="shared" si="17"/>
        <v>ADOBO PICADILLO</v>
      </c>
      <c r="BJ20" s="43"/>
      <c r="BL20" s="46"/>
      <c r="BM20" s="43"/>
      <c r="BO20" s="42" t="str">
        <f t="shared" si="18"/>
        <v>ADOBO PICADILLO</v>
      </c>
      <c r="BP20" s="43"/>
      <c r="BR20" s="43">
        <f t="shared" si="19"/>
        <v>0</v>
      </c>
      <c r="BS20" s="42" t="str">
        <f t="shared" si="20"/>
        <v>ADOBO PICADILLO</v>
      </c>
      <c r="BT20" s="43"/>
      <c r="BV20" s="46"/>
      <c r="BW20" s="43"/>
      <c r="BY20" s="42" t="str">
        <f t="shared" si="21"/>
        <v>ADOBO PICADILLO</v>
      </c>
      <c r="BZ20" s="43"/>
      <c r="CB20" s="43">
        <f t="shared" si="22"/>
        <v>0</v>
      </c>
      <c r="CC20" s="42" t="str">
        <f t="shared" si="23"/>
        <v>ADOBO PICADILLO</v>
      </c>
      <c r="CD20" s="43"/>
      <c r="CF20" s="46"/>
      <c r="CG20" s="43"/>
      <c r="CI20" s="42" t="str">
        <f t="shared" si="24"/>
        <v>ADOBO PICADILLO</v>
      </c>
      <c r="CJ20" s="43"/>
      <c r="CL20" s="43">
        <f t="shared" si="25"/>
        <v>0</v>
      </c>
      <c r="CM20" s="42" t="str">
        <f t="shared" si="26"/>
        <v>ADOBO PICADILLO</v>
      </c>
      <c r="CN20" s="43"/>
      <c r="CP20" s="42"/>
      <c r="CQ20" s="43"/>
      <c r="CS20" s="42" t="str">
        <f t="shared" si="27"/>
        <v>ADOBO PICADILLO</v>
      </c>
      <c r="CT20" s="43"/>
      <c r="CV20" s="43">
        <f t="shared" si="28"/>
        <v>0</v>
      </c>
      <c r="CW20" s="42" t="str">
        <f t="shared" si="29"/>
        <v>ADOBO PICADILLO</v>
      </c>
      <c r="CX20" s="43"/>
      <c r="CZ20" s="42"/>
      <c r="DA20" s="43"/>
      <c r="DC20" s="42" t="str">
        <f t="shared" si="127"/>
        <v>ADOBO PICADILLO</v>
      </c>
      <c r="DD20" s="43"/>
      <c r="DF20" s="43">
        <f t="shared" si="31"/>
        <v>0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 t="str">
        <f t="shared" si="58"/>
        <v>ADOBO PICADILLO</v>
      </c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65"/>
        <v>0</v>
      </c>
      <c r="GS20" s="42" t="str">
        <f t="shared" si="66"/>
        <v>ADOBO PICADILLO</v>
      </c>
      <c r="GT20" s="43"/>
      <c r="GV20" s="42" t="str">
        <f t="shared" si="67"/>
        <v>ADOBO PICADILLO</v>
      </c>
      <c r="GW20" s="43"/>
      <c r="GY20" s="42" t="str">
        <f t="shared" si="68"/>
        <v>ADOBO PICADILLO</v>
      </c>
      <c r="GZ20" s="43"/>
      <c r="HB20" s="43">
        <f t="shared" si="69"/>
        <v>0</v>
      </c>
      <c r="HC20" s="42" t="str">
        <f t="shared" si="70"/>
        <v>ADOBO PICADILLO</v>
      </c>
      <c r="HD20" s="43">
        <f t="shared" si="71"/>
        <v>0</v>
      </c>
      <c r="HF20" s="42" t="str">
        <f t="shared" si="72"/>
        <v>ADOBO PICADILLO</v>
      </c>
      <c r="HG20" s="43">
        <f t="shared" si="73"/>
        <v>0</v>
      </c>
      <c r="HI20" s="42" t="str">
        <f t="shared" si="74"/>
        <v>ADOBO PICADILLO</v>
      </c>
      <c r="HJ20" s="43">
        <f t="shared" si="75"/>
        <v>0</v>
      </c>
      <c r="HL20" s="43">
        <f t="shared" si="76"/>
        <v>0</v>
      </c>
      <c r="HM20" s="42" t="str">
        <f t="shared" si="77"/>
        <v>ADOBO PICADILLO</v>
      </c>
      <c r="HN20" s="57">
        <f t="shared" si="78"/>
        <v>0</v>
      </c>
      <c r="HO20" s="44">
        <f t="shared" si="79"/>
        <v>0</v>
      </c>
      <c r="HP20" s="57">
        <f t="shared" si="80"/>
        <v>0</v>
      </c>
      <c r="HQ20" s="44">
        <f t="shared" si="81"/>
        <v>0</v>
      </c>
      <c r="HR20" s="57">
        <f t="shared" si="82"/>
        <v>0</v>
      </c>
      <c r="HS20" s="44">
        <f t="shared" si="83"/>
        <v>0</v>
      </c>
      <c r="HT20" s="57">
        <f t="shared" si="84"/>
        <v>0</v>
      </c>
      <c r="HU20" s="44">
        <f t="shared" si="85"/>
        <v>0</v>
      </c>
      <c r="HV20" s="57">
        <f t="shared" si="86"/>
        <v>0</v>
      </c>
      <c r="HW20" s="44">
        <f t="shared" si="87"/>
        <v>0</v>
      </c>
      <c r="HX20" s="57">
        <f t="shared" si="88"/>
        <v>0</v>
      </c>
      <c r="HY20" s="44">
        <f t="shared" si="89"/>
        <v>0</v>
      </c>
      <c r="HZ20" s="42" t="str">
        <f t="shared" si="90"/>
        <v>ADOBO PICADILLO</v>
      </c>
      <c r="IA20" s="57">
        <f t="shared" si="91"/>
        <v>0</v>
      </c>
      <c r="IB20" s="44">
        <f t="shared" si="92"/>
        <v>0</v>
      </c>
      <c r="IC20" s="57">
        <f t="shared" si="93"/>
        <v>0</v>
      </c>
      <c r="ID20" s="44">
        <f t="shared" si="94"/>
        <v>0</v>
      </c>
      <c r="IE20" s="57">
        <f t="shared" si="95"/>
        <v>0</v>
      </c>
      <c r="IF20" s="44">
        <f t="shared" si="96"/>
        <v>0</v>
      </c>
      <c r="IG20" s="57">
        <f t="shared" si="97"/>
        <v>0</v>
      </c>
      <c r="IH20" s="44">
        <f t="shared" si="98"/>
        <v>0</v>
      </c>
      <c r="II20" s="57">
        <f t="shared" si="99"/>
        <v>0</v>
      </c>
      <c r="IJ20" s="44"/>
      <c r="IK20" s="57"/>
      <c r="IL20" s="44">
        <f t="shared" si="100"/>
        <v>0</v>
      </c>
      <c r="IM20" s="42" t="str">
        <f t="shared" si="101"/>
        <v>ADOBO PICADILLO</v>
      </c>
      <c r="IN20" s="43">
        <f t="shared" si="102"/>
        <v>0</v>
      </c>
      <c r="IP20" s="42" t="str">
        <f t="shared" si="103"/>
        <v>ADOBO PICADILLO</v>
      </c>
      <c r="IQ20" s="43">
        <f t="shared" si="104"/>
        <v>0</v>
      </c>
      <c r="IS20" s="42" t="str">
        <f t="shared" si="105"/>
        <v>ADOBO PICADILLO</v>
      </c>
      <c r="IT20" s="43">
        <f t="shared" si="106"/>
        <v>0</v>
      </c>
      <c r="IV20" s="43"/>
      <c r="IW20" s="42" t="str">
        <f t="shared" si="107"/>
        <v>ADOBO PICADILLO</v>
      </c>
      <c r="IX20" s="43">
        <f t="shared" si="108"/>
        <v>0</v>
      </c>
      <c r="IZ20" s="42" t="str">
        <f t="shared" si="109"/>
        <v>ADOBO PICADILLO</v>
      </c>
      <c r="JA20" s="43">
        <f t="shared" si="110"/>
        <v>0</v>
      </c>
      <c r="JC20" s="42" t="str">
        <f t="shared" si="111"/>
        <v>ADOBO PICADILLO</v>
      </c>
      <c r="JD20" s="43">
        <f t="shared" si="112"/>
        <v>0</v>
      </c>
      <c r="JF20" s="43"/>
      <c r="JG20" s="42" t="str">
        <f t="shared" si="113"/>
        <v>ADOBO PICADILLO</v>
      </c>
      <c r="JH20" s="43">
        <f t="shared" si="114"/>
        <v>0</v>
      </c>
      <c r="JJ20" s="42" t="str">
        <f t="shared" si="115"/>
        <v>ADOBO PICADILLO</v>
      </c>
      <c r="JK20" s="43">
        <f t="shared" si="116"/>
        <v>0</v>
      </c>
      <c r="JM20" s="42" t="str">
        <f t="shared" si="117"/>
        <v>ADOBO PICADILLO</v>
      </c>
      <c r="JN20" s="43">
        <f t="shared" si="118"/>
        <v>0</v>
      </c>
      <c r="JP20" s="44">
        <f t="shared" si="119"/>
        <v>0</v>
      </c>
      <c r="JQ20" s="42" t="str">
        <f t="shared" si="120"/>
        <v>ADOBO PICADILLO</v>
      </c>
      <c r="JR20" s="43">
        <f t="shared" si="121"/>
        <v>0</v>
      </c>
      <c r="JT20" s="42" t="str">
        <f t="shared" si="122"/>
        <v>ADOBO PICADILLO</v>
      </c>
      <c r="JU20" s="43">
        <f t="shared" si="123"/>
        <v>0</v>
      </c>
      <c r="JW20" s="42" t="str">
        <f t="shared" si="124"/>
        <v>ADOBO PICADILLO</v>
      </c>
      <c r="JX20" s="43">
        <f t="shared" si="125"/>
        <v>0</v>
      </c>
      <c r="JZ20" s="44">
        <f t="shared" si="126"/>
        <v>0</v>
      </c>
    </row>
    <row r="21" spans="1:286" s="7" customFormat="1" ht="54" customHeight="1" x14ac:dyDescent="0.65">
      <c r="A21" s="46" t="s">
        <v>51</v>
      </c>
      <c r="B21" s="43"/>
      <c r="D21" s="46"/>
      <c r="E21" s="43"/>
      <c r="G21" s="42" t="str">
        <f t="shared" si="0"/>
        <v>CARNITAS</v>
      </c>
      <c r="H21" s="43"/>
      <c r="J21" s="43">
        <f t="shared" si="1"/>
        <v>0</v>
      </c>
      <c r="K21" s="42" t="str">
        <f t="shared" si="2"/>
        <v>CARNITAS</v>
      </c>
      <c r="L21" s="43"/>
      <c r="N21" s="46"/>
      <c r="O21" s="43"/>
      <c r="Q21" s="42" t="str">
        <f t="shared" si="3"/>
        <v>CARNITAS</v>
      </c>
      <c r="R21" s="43"/>
      <c r="T21" s="43">
        <f t="shared" si="4"/>
        <v>0</v>
      </c>
      <c r="U21" s="42" t="str">
        <f t="shared" si="5"/>
        <v>CARNITAS</v>
      </c>
      <c r="V21" s="43"/>
      <c r="X21" s="46"/>
      <c r="Y21" s="43"/>
      <c r="AA21" s="42" t="str">
        <f t="shared" si="6"/>
        <v>CARNITAS</v>
      </c>
      <c r="AB21" s="43"/>
      <c r="AD21" s="43">
        <f t="shared" si="7"/>
        <v>0</v>
      </c>
      <c r="AE21" s="42" t="str">
        <f t="shared" si="8"/>
        <v>CARNITAS</v>
      </c>
      <c r="AF21" s="43"/>
      <c r="AH21" s="46"/>
      <c r="AI21" s="43"/>
      <c r="AK21" s="42" t="str">
        <f t="shared" si="9"/>
        <v>CARNITAS</v>
      </c>
      <c r="AL21" s="43"/>
      <c r="AN21" s="43">
        <f t="shared" si="10"/>
        <v>0</v>
      </c>
      <c r="AO21" s="42" t="str">
        <f t="shared" si="11"/>
        <v>CARNITAS</v>
      </c>
      <c r="AP21" s="43"/>
      <c r="AR21" s="46"/>
      <c r="AS21" s="43"/>
      <c r="AU21" s="42" t="str">
        <f t="shared" si="12"/>
        <v>CARNITAS</v>
      </c>
      <c r="AV21" s="43"/>
      <c r="AX21" s="43">
        <f t="shared" si="13"/>
        <v>0</v>
      </c>
      <c r="AY21" s="42" t="str">
        <f t="shared" si="14"/>
        <v>CARNITAS</v>
      </c>
      <c r="AZ21" s="43"/>
      <c r="BB21" s="46"/>
      <c r="BC21" s="43"/>
      <c r="BE21" s="42" t="str">
        <f t="shared" si="15"/>
        <v>CARNITAS</v>
      </c>
      <c r="BF21" s="43"/>
      <c r="BH21" s="43">
        <f t="shared" si="16"/>
        <v>0</v>
      </c>
      <c r="BI21" s="42" t="str">
        <f t="shared" si="17"/>
        <v>CARNITAS</v>
      </c>
      <c r="BJ21" s="43"/>
      <c r="BL21" s="46"/>
      <c r="BM21" s="43"/>
      <c r="BO21" s="42" t="str">
        <f t="shared" si="18"/>
        <v>CARNITAS</v>
      </c>
      <c r="BP21" s="43"/>
      <c r="BR21" s="43">
        <f t="shared" si="19"/>
        <v>0</v>
      </c>
      <c r="BS21" s="42" t="str">
        <f t="shared" si="20"/>
        <v>CARNITAS</v>
      </c>
      <c r="BT21" s="43"/>
      <c r="BV21" s="46"/>
      <c r="BW21" s="43"/>
      <c r="BY21" s="42" t="str">
        <f t="shared" si="21"/>
        <v>CARNITAS</v>
      </c>
      <c r="BZ21" s="43"/>
      <c r="CB21" s="43">
        <f t="shared" si="22"/>
        <v>0</v>
      </c>
      <c r="CC21" s="42" t="str">
        <f t="shared" si="23"/>
        <v>CARNITAS</v>
      </c>
      <c r="CD21" s="43"/>
      <c r="CF21" s="46"/>
      <c r="CG21" s="43"/>
      <c r="CI21" s="42" t="str">
        <f t="shared" si="24"/>
        <v>CARNITAS</v>
      </c>
      <c r="CJ21" s="43"/>
      <c r="CL21" s="43">
        <f t="shared" si="25"/>
        <v>0</v>
      </c>
      <c r="CM21" s="42" t="str">
        <f t="shared" si="26"/>
        <v>CARNITAS</v>
      </c>
      <c r="CN21" s="43"/>
      <c r="CP21" s="42"/>
      <c r="CQ21" s="43"/>
      <c r="CS21" s="42" t="str">
        <f t="shared" si="27"/>
        <v>CARNITAS</v>
      </c>
      <c r="CT21" s="43"/>
      <c r="CV21" s="43">
        <f t="shared" si="28"/>
        <v>0</v>
      </c>
      <c r="CW21" s="42" t="str">
        <f t="shared" si="29"/>
        <v>CARNITAS</v>
      </c>
      <c r="CX21" s="43"/>
      <c r="CZ21" s="42"/>
      <c r="DA21" s="43"/>
      <c r="DC21" s="42" t="str">
        <f t="shared" si="127"/>
        <v>CARNITAS</v>
      </c>
      <c r="DD21" s="43"/>
      <c r="DF21" s="43">
        <f t="shared" si="31"/>
        <v>0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tr">
        <f t="shared" si="58"/>
        <v>CARNITAS</v>
      </c>
      <c r="FZ21" s="43"/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0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65"/>
        <v>0</v>
      </c>
      <c r="GS21" s="42" t="str">
        <f t="shared" si="66"/>
        <v>CARNITAS</v>
      </c>
      <c r="GT21" s="43"/>
      <c r="GV21" s="42" t="str">
        <f t="shared" si="67"/>
        <v>CARNITAS</v>
      </c>
      <c r="GW21" s="43"/>
      <c r="GY21" s="42" t="str">
        <f t="shared" si="68"/>
        <v>CARNITAS</v>
      </c>
      <c r="GZ21" s="43"/>
      <c r="HB21" s="43">
        <f t="shared" si="69"/>
        <v>0</v>
      </c>
      <c r="HC21" s="42" t="str">
        <f t="shared" si="70"/>
        <v>CARNITAS</v>
      </c>
      <c r="HD21" s="43">
        <f t="shared" si="71"/>
        <v>0</v>
      </c>
      <c r="HF21" s="42" t="str">
        <f t="shared" si="72"/>
        <v>CARNITAS</v>
      </c>
      <c r="HG21" s="43">
        <f t="shared" si="73"/>
        <v>0</v>
      </c>
      <c r="HI21" s="42" t="str">
        <f t="shared" si="74"/>
        <v>CARNITAS</v>
      </c>
      <c r="HJ21" s="43">
        <f t="shared" si="75"/>
        <v>0</v>
      </c>
      <c r="HL21" s="43">
        <f t="shared" si="76"/>
        <v>0</v>
      </c>
      <c r="HM21" s="42" t="str">
        <f t="shared" si="77"/>
        <v>CARNITAS</v>
      </c>
      <c r="HN21" s="57">
        <f t="shared" si="78"/>
        <v>0</v>
      </c>
      <c r="HO21" s="44">
        <f t="shared" si="79"/>
        <v>0</v>
      </c>
      <c r="HP21" s="57">
        <f t="shared" si="80"/>
        <v>0</v>
      </c>
      <c r="HQ21" s="44">
        <f t="shared" si="81"/>
        <v>0</v>
      </c>
      <c r="HR21" s="57">
        <f t="shared" si="82"/>
        <v>0</v>
      </c>
      <c r="HS21" s="44">
        <f t="shared" si="83"/>
        <v>0</v>
      </c>
      <c r="HT21" s="57">
        <f t="shared" si="84"/>
        <v>0</v>
      </c>
      <c r="HU21" s="44">
        <f t="shared" si="85"/>
        <v>0</v>
      </c>
      <c r="HV21" s="57">
        <f t="shared" si="86"/>
        <v>0</v>
      </c>
      <c r="HW21" s="44">
        <f t="shared" si="87"/>
        <v>0</v>
      </c>
      <c r="HX21" s="57">
        <f t="shared" si="88"/>
        <v>0</v>
      </c>
      <c r="HY21" s="44">
        <f t="shared" si="89"/>
        <v>0</v>
      </c>
      <c r="HZ21" s="42" t="str">
        <f t="shared" si="90"/>
        <v>CARNITAS</v>
      </c>
      <c r="IA21" s="57">
        <f t="shared" si="91"/>
        <v>0</v>
      </c>
      <c r="IB21" s="44">
        <f t="shared" si="92"/>
        <v>0</v>
      </c>
      <c r="IC21" s="57">
        <f t="shared" si="93"/>
        <v>0</v>
      </c>
      <c r="ID21" s="44">
        <f t="shared" si="94"/>
        <v>0</v>
      </c>
      <c r="IE21" s="57">
        <f t="shared" si="95"/>
        <v>0</v>
      </c>
      <c r="IF21" s="44">
        <f t="shared" si="96"/>
        <v>0</v>
      </c>
      <c r="IG21" s="57">
        <f t="shared" si="97"/>
        <v>0</v>
      </c>
      <c r="IH21" s="44">
        <f t="shared" si="98"/>
        <v>0</v>
      </c>
      <c r="II21" s="57">
        <f t="shared" si="99"/>
        <v>0</v>
      </c>
      <c r="IJ21" s="44"/>
      <c r="IK21" s="57"/>
      <c r="IL21" s="44">
        <f t="shared" si="100"/>
        <v>0</v>
      </c>
      <c r="IM21" s="42" t="str">
        <f t="shared" si="101"/>
        <v>CARNITAS</v>
      </c>
      <c r="IN21" s="43">
        <f t="shared" si="102"/>
        <v>0</v>
      </c>
      <c r="IP21" s="42" t="str">
        <f t="shared" si="103"/>
        <v>CARNITAS</v>
      </c>
      <c r="IQ21" s="43">
        <f t="shared" si="104"/>
        <v>0</v>
      </c>
      <c r="IS21" s="42" t="str">
        <f t="shared" si="105"/>
        <v>CARNITAS</v>
      </c>
      <c r="IT21" s="43">
        <f t="shared" si="106"/>
        <v>0</v>
      </c>
      <c r="IV21" s="43"/>
      <c r="IW21" s="42" t="str">
        <f t="shared" si="107"/>
        <v>CARNITAS</v>
      </c>
      <c r="IX21" s="43">
        <f t="shared" si="108"/>
        <v>0</v>
      </c>
      <c r="IZ21" s="42" t="str">
        <f t="shared" si="109"/>
        <v>CARNITAS</v>
      </c>
      <c r="JA21" s="43">
        <f t="shared" si="110"/>
        <v>0</v>
      </c>
      <c r="JC21" s="42" t="str">
        <f t="shared" si="111"/>
        <v>CARNITAS</v>
      </c>
      <c r="JD21" s="43">
        <f t="shared" si="112"/>
        <v>0</v>
      </c>
      <c r="JF21" s="43"/>
      <c r="JG21" s="42" t="str">
        <f t="shared" si="113"/>
        <v>CARNITAS</v>
      </c>
      <c r="JH21" s="43">
        <f t="shared" si="114"/>
        <v>0</v>
      </c>
      <c r="JJ21" s="42" t="str">
        <f t="shared" si="115"/>
        <v>CARNITAS</v>
      </c>
      <c r="JK21" s="43">
        <f t="shared" si="116"/>
        <v>0</v>
      </c>
      <c r="JM21" s="42" t="str">
        <f t="shared" si="117"/>
        <v>CARNITAS</v>
      </c>
      <c r="JN21" s="43">
        <f t="shared" si="118"/>
        <v>0</v>
      </c>
      <c r="JP21" s="44">
        <f t="shared" si="119"/>
        <v>0</v>
      </c>
      <c r="JQ21" s="42" t="str">
        <f t="shared" si="120"/>
        <v>CARNITAS</v>
      </c>
      <c r="JR21" s="43">
        <f t="shared" si="121"/>
        <v>0</v>
      </c>
      <c r="JT21" s="42" t="str">
        <f t="shared" si="122"/>
        <v>CARNITAS</v>
      </c>
      <c r="JU21" s="43">
        <f t="shared" si="123"/>
        <v>0</v>
      </c>
      <c r="JW21" s="42" t="str">
        <f t="shared" si="124"/>
        <v>CARNITAS</v>
      </c>
      <c r="JX21" s="43">
        <f t="shared" si="125"/>
        <v>0</v>
      </c>
      <c r="JZ21" s="44">
        <f t="shared" si="126"/>
        <v>0</v>
      </c>
    </row>
    <row r="22" spans="1:286" s="7" customFormat="1" ht="54" customHeight="1" x14ac:dyDescent="0.65">
      <c r="A22" s="46" t="s">
        <v>52</v>
      </c>
      <c r="B22" s="43"/>
      <c r="D22" s="46"/>
      <c r="E22" s="43"/>
      <c r="G22" s="42" t="str">
        <f t="shared" si="0"/>
        <v>CATERING</v>
      </c>
      <c r="H22" s="43"/>
      <c r="J22" s="43">
        <f t="shared" si="1"/>
        <v>0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/>
      <c r="BV22" s="46"/>
      <c r="BW22" s="43"/>
      <c r="BY22" s="42" t="str">
        <f t="shared" si="21"/>
        <v>CATERING</v>
      </c>
      <c r="BZ22" s="43"/>
      <c r="CB22" s="43">
        <f t="shared" si="22"/>
        <v>0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/>
      <c r="CZ22" s="42"/>
      <c r="DA22" s="43"/>
      <c r="DC22" s="42" t="str">
        <f t="shared" si="127"/>
        <v>CATERING</v>
      </c>
      <c r="DD22" s="43"/>
      <c r="DF22" s="43">
        <f t="shared" si="31"/>
        <v>0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tr">
        <f t="shared" si="58"/>
        <v>CATERING</v>
      </c>
      <c r="FZ22" s="43"/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0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65"/>
        <v>0</v>
      </c>
      <c r="GS22" s="42" t="str">
        <f t="shared" si="66"/>
        <v>CATERING</v>
      </c>
      <c r="GT22" s="43"/>
      <c r="GV22" s="42" t="str">
        <f t="shared" si="67"/>
        <v>CATERING</v>
      </c>
      <c r="GW22" s="43"/>
      <c r="GY22" s="42" t="str">
        <f t="shared" si="68"/>
        <v>CATERING</v>
      </c>
      <c r="GZ22" s="43"/>
      <c r="HB22" s="43">
        <f t="shared" si="69"/>
        <v>0</v>
      </c>
      <c r="HC22" s="42" t="str">
        <f t="shared" si="70"/>
        <v>CATERING</v>
      </c>
      <c r="HD22" s="43">
        <f t="shared" si="71"/>
        <v>0</v>
      </c>
      <c r="HF22" s="42" t="str">
        <f t="shared" si="72"/>
        <v>CATERING</v>
      </c>
      <c r="HG22" s="43">
        <f t="shared" si="73"/>
        <v>0</v>
      </c>
      <c r="HI22" s="42" t="str">
        <f t="shared" si="74"/>
        <v>CATERING</v>
      </c>
      <c r="HJ22" s="43">
        <f t="shared" si="75"/>
        <v>0</v>
      </c>
      <c r="HL22" s="43">
        <f t="shared" si="76"/>
        <v>0</v>
      </c>
      <c r="HM22" s="42" t="str">
        <f t="shared" si="77"/>
        <v>CATERING</v>
      </c>
      <c r="HN22" s="57">
        <f t="shared" si="78"/>
        <v>0</v>
      </c>
      <c r="HO22" s="44">
        <f t="shared" si="79"/>
        <v>0</v>
      </c>
      <c r="HP22" s="57">
        <f t="shared" si="80"/>
        <v>0</v>
      </c>
      <c r="HQ22" s="44">
        <f t="shared" si="81"/>
        <v>0</v>
      </c>
      <c r="HR22" s="57">
        <f t="shared" si="82"/>
        <v>0</v>
      </c>
      <c r="HS22" s="44">
        <f t="shared" si="83"/>
        <v>0</v>
      </c>
      <c r="HT22" s="57">
        <f t="shared" si="84"/>
        <v>0</v>
      </c>
      <c r="HU22" s="44">
        <f t="shared" si="85"/>
        <v>0</v>
      </c>
      <c r="HV22" s="57">
        <f t="shared" si="86"/>
        <v>0</v>
      </c>
      <c r="HW22" s="44">
        <f t="shared" si="87"/>
        <v>0</v>
      </c>
      <c r="HX22" s="57">
        <f t="shared" si="88"/>
        <v>0</v>
      </c>
      <c r="HY22" s="44">
        <f t="shared" si="89"/>
        <v>0</v>
      </c>
      <c r="HZ22" s="42" t="str">
        <f t="shared" si="90"/>
        <v>CATERING</v>
      </c>
      <c r="IA22" s="57">
        <f t="shared" si="91"/>
        <v>0</v>
      </c>
      <c r="IB22" s="44">
        <f t="shared" si="92"/>
        <v>0</v>
      </c>
      <c r="IC22" s="57">
        <f t="shared" si="93"/>
        <v>0</v>
      </c>
      <c r="ID22" s="44">
        <f t="shared" si="94"/>
        <v>0</v>
      </c>
      <c r="IE22" s="57">
        <f t="shared" si="95"/>
        <v>0</v>
      </c>
      <c r="IF22" s="44">
        <f t="shared" si="96"/>
        <v>0</v>
      </c>
      <c r="IG22" s="57">
        <f t="shared" si="97"/>
        <v>0</v>
      </c>
      <c r="IH22" s="44">
        <f t="shared" si="98"/>
        <v>0</v>
      </c>
      <c r="II22" s="57">
        <f t="shared" si="99"/>
        <v>0</v>
      </c>
      <c r="IJ22" s="44"/>
      <c r="IK22" s="57"/>
      <c r="IL22" s="44">
        <f t="shared" si="100"/>
        <v>0</v>
      </c>
      <c r="IM22" s="42" t="str">
        <f t="shared" si="101"/>
        <v>CATERING</v>
      </c>
      <c r="IN22" s="43">
        <f t="shared" si="102"/>
        <v>0</v>
      </c>
      <c r="IP22" s="42" t="str">
        <f t="shared" si="103"/>
        <v>CATERING</v>
      </c>
      <c r="IQ22" s="43">
        <f t="shared" si="104"/>
        <v>0</v>
      </c>
      <c r="IS22" s="42" t="str">
        <f t="shared" si="105"/>
        <v>CATERING</v>
      </c>
      <c r="IT22" s="43">
        <f t="shared" si="106"/>
        <v>0</v>
      </c>
      <c r="IV22" s="43"/>
      <c r="IW22" s="42" t="str">
        <f t="shared" si="107"/>
        <v>CATERING</v>
      </c>
      <c r="IX22" s="43">
        <f t="shared" si="108"/>
        <v>0</v>
      </c>
      <c r="IZ22" s="42" t="str">
        <f t="shared" si="109"/>
        <v>CATERING</v>
      </c>
      <c r="JA22" s="43">
        <f t="shared" si="110"/>
        <v>0</v>
      </c>
      <c r="JC22" s="42" t="str">
        <f t="shared" si="111"/>
        <v>CATERING</v>
      </c>
      <c r="JD22" s="43">
        <f t="shared" si="112"/>
        <v>0</v>
      </c>
      <c r="JF22" s="43"/>
      <c r="JG22" s="42" t="str">
        <f t="shared" si="113"/>
        <v>CATERING</v>
      </c>
      <c r="JH22" s="43">
        <f t="shared" si="114"/>
        <v>0</v>
      </c>
      <c r="JJ22" s="42" t="str">
        <f t="shared" si="115"/>
        <v>CATERING</v>
      </c>
      <c r="JK22" s="43">
        <f t="shared" si="116"/>
        <v>0</v>
      </c>
      <c r="JM22" s="42" t="str">
        <f t="shared" si="117"/>
        <v>CATERING</v>
      </c>
      <c r="JN22" s="43">
        <f t="shared" si="118"/>
        <v>0</v>
      </c>
      <c r="JP22" s="44">
        <f t="shared" si="119"/>
        <v>0</v>
      </c>
      <c r="JQ22" s="42" t="str">
        <f t="shared" si="120"/>
        <v>CATERING</v>
      </c>
      <c r="JR22" s="43">
        <f t="shared" si="121"/>
        <v>0</v>
      </c>
      <c r="JT22" s="42" t="str">
        <f t="shared" si="122"/>
        <v>CATERING</v>
      </c>
      <c r="JU22" s="43">
        <f t="shared" si="123"/>
        <v>0</v>
      </c>
      <c r="JW22" s="42" t="str">
        <f t="shared" si="124"/>
        <v>CATERING</v>
      </c>
      <c r="JX22" s="43">
        <f t="shared" si="125"/>
        <v>0</v>
      </c>
      <c r="JZ22" s="44">
        <f t="shared" si="126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7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/>
      <c r="FR23" s="42" t="str">
        <f t="shared" si="55"/>
        <v>FOIL 12X1000</v>
      </c>
      <c r="FS23" s="43"/>
      <c r="FU23" s="42" t="str">
        <f t="shared" si="56"/>
        <v>FOIL 12X1000</v>
      </c>
      <c r="FV23" s="43"/>
      <c r="FX23" s="43">
        <f t="shared" si="57"/>
        <v>0</v>
      </c>
      <c r="FY23" s="42" t="str">
        <f t="shared" si="58"/>
        <v>FOIL 12X1000</v>
      </c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65"/>
        <v>0</v>
      </c>
      <c r="GS23" s="42" t="str">
        <f t="shared" si="66"/>
        <v>FOIL 12X1000</v>
      </c>
      <c r="GT23" s="43"/>
      <c r="GV23" s="42" t="str">
        <f t="shared" si="67"/>
        <v>FOIL 12X1000</v>
      </c>
      <c r="GW23" s="43"/>
      <c r="GY23" s="42" t="str">
        <f t="shared" si="68"/>
        <v>FOIL 12X1000</v>
      </c>
      <c r="GZ23" s="43"/>
      <c r="HB23" s="43">
        <f t="shared" si="69"/>
        <v>0</v>
      </c>
      <c r="HC23" s="42" t="str">
        <f t="shared" si="70"/>
        <v>FOIL 12X1000</v>
      </c>
      <c r="HD23" s="43">
        <f t="shared" si="71"/>
        <v>0</v>
      </c>
      <c r="HF23" s="42" t="str">
        <f t="shared" si="72"/>
        <v>FOIL 12X1000</v>
      </c>
      <c r="HG23" s="43">
        <f t="shared" si="73"/>
        <v>0</v>
      </c>
      <c r="HI23" s="42" t="str">
        <f t="shared" si="74"/>
        <v>FOIL 12X1000</v>
      </c>
      <c r="HJ23" s="43">
        <f t="shared" si="75"/>
        <v>0</v>
      </c>
      <c r="HL23" s="43">
        <f t="shared" si="76"/>
        <v>0</v>
      </c>
      <c r="HM23" s="42" t="str">
        <f t="shared" si="77"/>
        <v>FOIL 12X1000</v>
      </c>
      <c r="HN23" s="57">
        <f t="shared" si="78"/>
        <v>0</v>
      </c>
      <c r="HO23" s="44">
        <f t="shared" si="79"/>
        <v>0</v>
      </c>
      <c r="HP23" s="57">
        <f t="shared" si="80"/>
        <v>0</v>
      </c>
      <c r="HQ23" s="44">
        <f t="shared" si="81"/>
        <v>0</v>
      </c>
      <c r="HR23" s="57">
        <f t="shared" si="82"/>
        <v>0</v>
      </c>
      <c r="HS23" s="44">
        <f t="shared" si="83"/>
        <v>0</v>
      </c>
      <c r="HT23" s="57">
        <f t="shared" si="84"/>
        <v>0</v>
      </c>
      <c r="HU23" s="44">
        <f t="shared" si="85"/>
        <v>0</v>
      </c>
      <c r="HV23" s="57">
        <f t="shared" si="86"/>
        <v>0</v>
      </c>
      <c r="HW23" s="44">
        <f t="shared" si="87"/>
        <v>0</v>
      </c>
      <c r="HX23" s="57">
        <f t="shared" si="88"/>
        <v>0</v>
      </c>
      <c r="HY23" s="44">
        <f t="shared" si="89"/>
        <v>0</v>
      </c>
      <c r="HZ23" s="42" t="str">
        <f t="shared" si="90"/>
        <v>FOIL 12X1000</v>
      </c>
      <c r="IA23" s="57">
        <f t="shared" si="91"/>
        <v>0</v>
      </c>
      <c r="IB23" s="44">
        <f t="shared" si="92"/>
        <v>0</v>
      </c>
      <c r="IC23" s="57">
        <f t="shared" si="93"/>
        <v>0</v>
      </c>
      <c r="ID23" s="44">
        <f t="shared" si="94"/>
        <v>0</v>
      </c>
      <c r="IE23" s="57">
        <f t="shared" si="95"/>
        <v>0</v>
      </c>
      <c r="IF23" s="44">
        <f t="shared" si="96"/>
        <v>0</v>
      </c>
      <c r="IG23" s="57">
        <f t="shared" si="97"/>
        <v>0</v>
      </c>
      <c r="IH23" s="44">
        <f t="shared" si="98"/>
        <v>0</v>
      </c>
      <c r="II23" s="57">
        <f t="shared" si="99"/>
        <v>0</v>
      </c>
      <c r="IJ23" s="44"/>
      <c r="IK23" s="57"/>
      <c r="IL23" s="44">
        <f t="shared" si="100"/>
        <v>0</v>
      </c>
      <c r="IM23" s="42" t="str">
        <f t="shared" si="101"/>
        <v>FOIL 12X1000</v>
      </c>
      <c r="IN23" s="43">
        <f t="shared" si="102"/>
        <v>0</v>
      </c>
      <c r="IP23" s="42" t="str">
        <f t="shared" si="103"/>
        <v>FOIL 12X1000</v>
      </c>
      <c r="IQ23" s="43">
        <f t="shared" si="104"/>
        <v>0</v>
      </c>
      <c r="IS23" s="42" t="str">
        <f t="shared" si="105"/>
        <v>FOIL 12X1000</v>
      </c>
      <c r="IT23" s="43">
        <f t="shared" si="106"/>
        <v>0</v>
      </c>
      <c r="IV23" s="43"/>
      <c r="IW23" s="42" t="str">
        <f t="shared" si="107"/>
        <v>FOIL 12X1000</v>
      </c>
      <c r="IX23" s="43">
        <f t="shared" si="108"/>
        <v>0</v>
      </c>
      <c r="IZ23" s="42" t="str">
        <f t="shared" si="109"/>
        <v>FOIL 12X1000</v>
      </c>
      <c r="JA23" s="43">
        <f t="shared" si="110"/>
        <v>0</v>
      </c>
      <c r="JC23" s="42" t="str">
        <f t="shared" si="111"/>
        <v>FOIL 12X1000</v>
      </c>
      <c r="JD23" s="43">
        <f t="shared" si="112"/>
        <v>0</v>
      </c>
      <c r="JF23" s="43"/>
      <c r="JG23" s="42" t="str">
        <f t="shared" si="113"/>
        <v>FOIL 12X1000</v>
      </c>
      <c r="JH23" s="43">
        <f t="shared" si="114"/>
        <v>0</v>
      </c>
      <c r="JJ23" s="42" t="str">
        <f t="shared" si="115"/>
        <v>FOIL 12X1000</v>
      </c>
      <c r="JK23" s="43">
        <f t="shared" si="116"/>
        <v>0</v>
      </c>
      <c r="JM23" s="42" t="str">
        <f t="shared" si="117"/>
        <v>FOIL 12X1000</v>
      </c>
      <c r="JN23" s="43">
        <f t="shared" si="118"/>
        <v>0</v>
      </c>
      <c r="JP23" s="44">
        <f t="shared" si="119"/>
        <v>0</v>
      </c>
      <c r="JQ23" s="42" t="str">
        <f t="shared" si="120"/>
        <v>FOIL 12X1000</v>
      </c>
      <c r="JR23" s="43">
        <f t="shared" si="121"/>
        <v>0</v>
      </c>
      <c r="JT23" s="42" t="str">
        <f t="shared" si="122"/>
        <v>FOIL 12X1000</v>
      </c>
      <c r="JU23" s="43">
        <f t="shared" si="123"/>
        <v>0</v>
      </c>
      <c r="JW23" s="42" t="str">
        <f t="shared" si="124"/>
        <v>FOIL 12X1000</v>
      </c>
      <c r="JX23" s="43">
        <f t="shared" si="125"/>
        <v>0</v>
      </c>
      <c r="JZ23" s="44">
        <f t="shared" si="126"/>
        <v>0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7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/>
      <c r="FR24" s="42" t="str">
        <f t="shared" si="55"/>
        <v>THREE COMP CONT</v>
      </c>
      <c r="FS24" s="43"/>
      <c r="FU24" s="42" t="str">
        <f t="shared" si="56"/>
        <v>THREE COMP CONT</v>
      </c>
      <c r="FV24" s="43"/>
      <c r="FX24" s="43">
        <f t="shared" si="57"/>
        <v>0</v>
      </c>
      <c r="FY24" s="42" t="str">
        <f t="shared" si="58"/>
        <v>THREE COMP CONT</v>
      </c>
      <c r="FZ24" s="43"/>
      <c r="GB24" s="42" t="str">
        <f t="shared" si="59"/>
        <v>THREE COMP CONT</v>
      </c>
      <c r="GC24" s="43"/>
      <c r="GE24" s="42" t="str">
        <f t="shared" si="60"/>
        <v>THREE COMP CONT</v>
      </c>
      <c r="GF24" s="43"/>
      <c r="GH24" s="43">
        <f t="shared" si="61"/>
        <v>0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65"/>
        <v>0</v>
      </c>
      <c r="GS24" s="42" t="str">
        <f t="shared" si="66"/>
        <v>THREE COMP CONT</v>
      </c>
      <c r="GT24" s="43"/>
      <c r="GV24" s="42" t="str">
        <f t="shared" si="67"/>
        <v>THREE COMP CONT</v>
      </c>
      <c r="GW24" s="43"/>
      <c r="GY24" s="42" t="str">
        <f t="shared" si="68"/>
        <v>THREE COMP CONT</v>
      </c>
      <c r="GZ24" s="43"/>
      <c r="HB24" s="43">
        <f t="shared" si="69"/>
        <v>0</v>
      </c>
      <c r="HC24" s="42" t="str">
        <f t="shared" si="70"/>
        <v>THREE COMP CONT</v>
      </c>
      <c r="HD24" s="43">
        <f t="shared" si="71"/>
        <v>0</v>
      </c>
      <c r="HF24" s="42" t="str">
        <f t="shared" si="72"/>
        <v>THREE COMP CONT</v>
      </c>
      <c r="HG24" s="43">
        <f t="shared" si="73"/>
        <v>0</v>
      </c>
      <c r="HI24" s="42" t="str">
        <f t="shared" si="74"/>
        <v>THREE COMP CONT</v>
      </c>
      <c r="HJ24" s="43">
        <f t="shared" si="75"/>
        <v>0</v>
      </c>
      <c r="HL24" s="43">
        <f t="shared" si="76"/>
        <v>0</v>
      </c>
      <c r="HM24" s="42" t="str">
        <f t="shared" si="77"/>
        <v>THREE COMP CONT</v>
      </c>
      <c r="HN24" s="57">
        <f t="shared" si="78"/>
        <v>0</v>
      </c>
      <c r="HO24" s="44">
        <f t="shared" si="79"/>
        <v>0</v>
      </c>
      <c r="HP24" s="57">
        <f t="shared" si="80"/>
        <v>0</v>
      </c>
      <c r="HQ24" s="44">
        <f t="shared" si="81"/>
        <v>0</v>
      </c>
      <c r="HR24" s="57">
        <f t="shared" si="82"/>
        <v>0</v>
      </c>
      <c r="HS24" s="44">
        <f t="shared" si="83"/>
        <v>0</v>
      </c>
      <c r="HT24" s="57">
        <f t="shared" si="84"/>
        <v>0</v>
      </c>
      <c r="HU24" s="44">
        <f t="shared" si="85"/>
        <v>0</v>
      </c>
      <c r="HV24" s="57">
        <f t="shared" si="86"/>
        <v>0</v>
      </c>
      <c r="HW24" s="44">
        <f t="shared" si="87"/>
        <v>0</v>
      </c>
      <c r="HX24" s="57">
        <f t="shared" si="88"/>
        <v>0</v>
      </c>
      <c r="HY24" s="44">
        <f t="shared" si="89"/>
        <v>0</v>
      </c>
      <c r="HZ24" s="42" t="str">
        <f t="shared" si="90"/>
        <v>THREE COMP CONT</v>
      </c>
      <c r="IA24" s="57">
        <f t="shared" si="91"/>
        <v>0</v>
      </c>
      <c r="IB24" s="44">
        <f t="shared" si="92"/>
        <v>0</v>
      </c>
      <c r="IC24" s="57">
        <f t="shared" si="93"/>
        <v>0</v>
      </c>
      <c r="ID24" s="44">
        <f t="shared" si="94"/>
        <v>0</v>
      </c>
      <c r="IE24" s="57">
        <f t="shared" si="95"/>
        <v>0</v>
      </c>
      <c r="IF24" s="44">
        <f t="shared" si="96"/>
        <v>0</v>
      </c>
      <c r="IG24" s="57">
        <f t="shared" si="97"/>
        <v>0</v>
      </c>
      <c r="IH24" s="44">
        <f t="shared" si="98"/>
        <v>0</v>
      </c>
      <c r="II24" s="57">
        <f t="shared" si="99"/>
        <v>0</v>
      </c>
      <c r="IJ24" s="44"/>
      <c r="IK24" s="57"/>
      <c r="IL24" s="44">
        <f t="shared" si="100"/>
        <v>0</v>
      </c>
      <c r="IM24" s="42" t="str">
        <f t="shared" si="101"/>
        <v>THREE COMP CONT</v>
      </c>
      <c r="IN24" s="43">
        <f t="shared" si="102"/>
        <v>0</v>
      </c>
      <c r="IP24" s="42" t="str">
        <f t="shared" si="103"/>
        <v>THREE COMP CONT</v>
      </c>
      <c r="IQ24" s="43">
        <f t="shared" si="104"/>
        <v>0</v>
      </c>
      <c r="IS24" s="42" t="str">
        <f t="shared" si="105"/>
        <v>THREE COMP CONT</v>
      </c>
      <c r="IT24" s="43">
        <f t="shared" si="106"/>
        <v>0</v>
      </c>
      <c r="IV24" s="43"/>
      <c r="IW24" s="42" t="str">
        <f t="shared" si="107"/>
        <v>THREE COMP CONT</v>
      </c>
      <c r="IX24" s="43">
        <f t="shared" si="108"/>
        <v>0</v>
      </c>
      <c r="IZ24" s="42" t="str">
        <f t="shared" si="109"/>
        <v>THREE COMP CONT</v>
      </c>
      <c r="JA24" s="43">
        <f t="shared" si="110"/>
        <v>0</v>
      </c>
      <c r="JC24" s="42" t="str">
        <f t="shared" si="111"/>
        <v>THREE COMP CONT</v>
      </c>
      <c r="JD24" s="43">
        <f t="shared" si="112"/>
        <v>0</v>
      </c>
      <c r="JF24" s="43"/>
      <c r="JG24" s="42" t="str">
        <f t="shared" si="113"/>
        <v>THREE COMP CONT</v>
      </c>
      <c r="JH24" s="43">
        <f t="shared" si="114"/>
        <v>0</v>
      </c>
      <c r="JJ24" s="42" t="str">
        <f t="shared" si="115"/>
        <v>THREE COMP CONT</v>
      </c>
      <c r="JK24" s="43">
        <f t="shared" si="116"/>
        <v>0</v>
      </c>
      <c r="JM24" s="42" t="str">
        <f t="shared" si="117"/>
        <v>THREE COMP CONT</v>
      </c>
      <c r="JN24" s="43">
        <f t="shared" si="118"/>
        <v>0</v>
      </c>
      <c r="JP24" s="44">
        <f t="shared" si="119"/>
        <v>0</v>
      </c>
      <c r="JQ24" s="42" t="str">
        <f t="shared" si="120"/>
        <v>THREE COMP CONT</v>
      </c>
      <c r="JR24" s="43">
        <f t="shared" si="121"/>
        <v>0</v>
      </c>
      <c r="JT24" s="42" t="str">
        <f t="shared" si="122"/>
        <v>THREE COMP CONT</v>
      </c>
      <c r="JU24" s="43">
        <f t="shared" si="123"/>
        <v>0</v>
      </c>
      <c r="JW24" s="42" t="str">
        <f t="shared" si="124"/>
        <v>THREE COMP CONT</v>
      </c>
      <c r="JX24" s="43">
        <f t="shared" si="125"/>
        <v>0</v>
      </c>
      <c r="JZ24" s="44">
        <f t="shared" si="126"/>
        <v>0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7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/>
      <c r="FR25" s="42" t="str">
        <f t="shared" si="55"/>
        <v>ONE COMP CONT</v>
      </c>
      <c r="FS25" s="43"/>
      <c r="FU25" s="42" t="str">
        <f t="shared" si="56"/>
        <v>ONE COMP CONT</v>
      </c>
      <c r="FV25" s="43"/>
      <c r="FX25" s="43">
        <f t="shared" si="57"/>
        <v>0</v>
      </c>
      <c r="FY25" s="42" t="str">
        <f t="shared" si="58"/>
        <v>ONE COMP CONT</v>
      </c>
      <c r="FZ25" s="43"/>
      <c r="GB25" s="42" t="str">
        <f t="shared" si="59"/>
        <v>ONE COMP CONT</v>
      </c>
      <c r="GC25" s="43"/>
      <c r="GE25" s="42" t="str">
        <f t="shared" si="60"/>
        <v>ONE COMP CONT</v>
      </c>
      <c r="GF25" s="43"/>
      <c r="GH25" s="43">
        <f t="shared" si="61"/>
        <v>0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65"/>
        <v>0</v>
      </c>
      <c r="GS25" s="42" t="str">
        <f t="shared" si="66"/>
        <v>ONE COMP CONT</v>
      </c>
      <c r="GT25" s="43"/>
      <c r="GV25" s="42" t="str">
        <f t="shared" si="67"/>
        <v>ONE COMP CONT</v>
      </c>
      <c r="GW25" s="43"/>
      <c r="GY25" s="42" t="str">
        <f t="shared" si="68"/>
        <v>ONE COMP CONT</v>
      </c>
      <c r="GZ25" s="43"/>
      <c r="HB25" s="43">
        <f t="shared" si="69"/>
        <v>0</v>
      </c>
      <c r="HC25" s="42" t="str">
        <f t="shared" si="70"/>
        <v>ONE COMP CONT</v>
      </c>
      <c r="HD25" s="43">
        <f t="shared" si="71"/>
        <v>0</v>
      </c>
      <c r="HF25" s="42" t="str">
        <f t="shared" si="72"/>
        <v>ONE COMP CONT</v>
      </c>
      <c r="HG25" s="43">
        <f t="shared" si="73"/>
        <v>0</v>
      </c>
      <c r="HI25" s="42" t="str">
        <f t="shared" si="74"/>
        <v>ONE COMP CONT</v>
      </c>
      <c r="HJ25" s="43">
        <f t="shared" si="75"/>
        <v>0</v>
      </c>
      <c r="HL25" s="43">
        <f t="shared" si="76"/>
        <v>0</v>
      </c>
      <c r="HM25" s="42" t="str">
        <f t="shared" si="77"/>
        <v>ONE COMP CONT</v>
      </c>
      <c r="HN25" s="57">
        <f t="shared" si="78"/>
        <v>0</v>
      </c>
      <c r="HO25" s="44">
        <f t="shared" si="79"/>
        <v>0</v>
      </c>
      <c r="HP25" s="57">
        <f t="shared" si="80"/>
        <v>0</v>
      </c>
      <c r="HQ25" s="44">
        <f t="shared" si="81"/>
        <v>0</v>
      </c>
      <c r="HR25" s="57">
        <f t="shared" si="82"/>
        <v>0</v>
      </c>
      <c r="HS25" s="44">
        <f t="shared" si="83"/>
        <v>0</v>
      </c>
      <c r="HT25" s="57">
        <f t="shared" si="84"/>
        <v>0</v>
      </c>
      <c r="HU25" s="44">
        <f t="shared" si="85"/>
        <v>0</v>
      </c>
      <c r="HV25" s="57">
        <f t="shared" si="86"/>
        <v>0</v>
      </c>
      <c r="HW25" s="44">
        <f t="shared" si="87"/>
        <v>0</v>
      </c>
      <c r="HX25" s="57">
        <f t="shared" si="88"/>
        <v>0</v>
      </c>
      <c r="HY25" s="44">
        <f t="shared" si="89"/>
        <v>0</v>
      </c>
      <c r="HZ25" s="42" t="str">
        <f t="shared" si="90"/>
        <v>ONE COMP CONT</v>
      </c>
      <c r="IA25" s="57">
        <f t="shared" si="91"/>
        <v>0</v>
      </c>
      <c r="IB25" s="44">
        <f t="shared" si="92"/>
        <v>0</v>
      </c>
      <c r="IC25" s="57">
        <f t="shared" si="93"/>
        <v>0</v>
      </c>
      <c r="ID25" s="44">
        <f t="shared" si="94"/>
        <v>0</v>
      </c>
      <c r="IE25" s="57">
        <f t="shared" si="95"/>
        <v>0</v>
      </c>
      <c r="IF25" s="44">
        <f t="shared" si="96"/>
        <v>0</v>
      </c>
      <c r="IG25" s="57">
        <f t="shared" si="97"/>
        <v>0</v>
      </c>
      <c r="IH25" s="44">
        <f t="shared" si="98"/>
        <v>0</v>
      </c>
      <c r="II25" s="57">
        <f t="shared" si="99"/>
        <v>0</v>
      </c>
      <c r="IJ25" s="44"/>
      <c r="IK25" s="57"/>
      <c r="IL25" s="44">
        <f t="shared" si="100"/>
        <v>0</v>
      </c>
      <c r="IM25" s="42" t="str">
        <f t="shared" si="101"/>
        <v>ONE COMP CONT</v>
      </c>
      <c r="IN25" s="43">
        <f t="shared" si="102"/>
        <v>0</v>
      </c>
      <c r="IP25" s="42" t="str">
        <f t="shared" si="103"/>
        <v>ONE COMP CONT</v>
      </c>
      <c r="IQ25" s="43">
        <f t="shared" si="104"/>
        <v>0</v>
      </c>
      <c r="IS25" s="42" t="str">
        <f t="shared" si="105"/>
        <v>ONE COMP CONT</v>
      </c>
      <c r="IT25" s="43">
        <f t="shared" si="106"/>
        <v>0</v>
      </c>
      <c r="IV25" s="43"/>
      <c r="IW25" s="42" t="str">
        <f t="shared" si="107"/>
        <v>ONE COMP CONT</v>
      </c>
      <c r="IX25" s="43">
        <f t="shared" si="108"/>
        <v>0</v>
      </c>
      <c r="IZ25" s="42" t="str">
        <f t="shared" si="109"/>
        <v>ONE COMP CONT</v>
      </c>
      <c r="JA25" s="43">
        <f t="shared" si="110"/>
        <v>0</v>
      </c>
      <c r="JC25" s="42" t="str">
        <f t="shared" si="111"/>
        <v>ONE COMP CONT</v>
      </c>
      <c r="JD25" s="43">
        <f t="shared" si="112"/>
        <v>0</v>
      </c>
      <c r="JF25" s="43"/>
      <c r="JG25" s="42" t="str">
        <f t="shared" si="113"/>
        <v>ONE COMP CONT</v>
      </c>
      <c r="JH25" s="43">
        <f t="shared" si="114"/>
        <v>0</v>
      </c>
      <c r="JJ25" s="42" t="str">
        <f t="shared" si="115"/>
        <v>ONE COMP CONT</v>
      </c>
      <c r="JK25" s="43">
        <f t="shared" si="116"/>
        <v>0</v>
      </c>
      <c r="JM25" s="42" t="str">
        <f t="shared" si="117"/>
        <v>ONE COMP CONT</v>
      </c>
      <c r="JN25" s="43">
        <f t="shared" si="118"/>
        <v>0</v>
      </c>
      <c r="JP25" s="44">
        <f t="shared" si="119"/>
        <v>0</v>
      </c>
      <c r="JQ25" s="42" t="str">
        <f t="shared" si="120"/>
        <v>ONE COMP CONT</v>
      </c>
      <c r="JR25" s="43">
        <f t="shared" si="121"/>
        <v>0</v>
      </c>
      <c r="JT25" s="42" t="str">
        <f t="shared" si="122"/>
        <v>ONE COMP CONT</v>
      </c>
      <c r="JU25" s="43">
        <f t="shared" si="123"/>
        <v>0</v>
      </c>
      <c r="JW25" s="42" t="str">
        <f t="shared" si="124"/>
        <v>ONE COMP CONT</v>
      </c>
      <c r="JX25" s="43">
        <f t="shared" si="125"/>
        <v>0</v>
      </c>
      <c r="JZ25" s="44">
        <f t="shared" si="126"/>
        <v>0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7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/>
      <c r="FR26" s="42" t="str">
        <f t="shared" si="55"/>
        <v>SUIZO CONT</v>
      </c>
      <c r="FS26" s="43"/>
      <c r="FU26" s="42" t="str">
        <f t="shared" si="56"/>
        <v>SUIZO CONT</v>
      </c>
      <c r="FV26" s="43"/>
      <c r="FX26" s="43">
        <f t="shared" si="57"/>
        <v>0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65"/>
        <v>0</v>
      </c>
      <c r="GS26" s="42" t="str">
        <f t="shared" si="66"/>
        <v>SUIZO CONT</v>
      </c>
      <c r="GT26" s="43"/>
      <c r="GV26" s="42" t="str">
        <f t="shared" si="67"/>
        <v>SUIZO CONT</v>
      </c>
      <c r="GW26" s="43"/>
      <c r="GY26" s="42" t="str">
        <f t="shared" si="68"/>
        <v>SUIZO CONT</v>
      </c>
      <c r="GZ26" s="43"/>
      <c r="HB26" s="43">
        <f t="shared" si="69"/>
        <v>0</v>
      </c>
      <c r="HC26" s="42" t="str">
        <f t="shared" si="70"/>
        <v>SUIZO CONT</v>
      </c>
      <c r="HD26" s="43">
        <f t="shared" si="71"/>
        <v>0</v>
      </c>
      <c r="HF26" s="42" t="str">
        <f t="shared" si="72"/>
        <v>SUIZO CONT</v>
      </c>
      <c r="HG26" s="43">
        <f t="shared" si="73"/>
        <v>0</v>
      </c>
      <c r="HI26" s="42" t="str">
        <f t="shared" si="74"/>
        <v>SUIZO CONT</v>
      </c>
      <c r="HJ26" s="43">
        <f t="shared" si="75"/>
        <v>0</v>
      </c>
      <c r="HL26" s="43">
        <f t="shared" si="76"/>
        <v>0</v>
      </c>
      <c r="HM26" s="42" t="str">
        <f t="shared" si="77"/>
        <v>SUIZO CONT</v>
      </c>
      <c r="HN26" s="57">
        <f t="shared" si="78"/>
        <v>0</v>
      </c>
      <c r="HO26" s="44">
        <f t="shared" si="79"/>
        <v>0</v>
      </c>
      <c r="HP26" s="57">
        <f t="shared" si="80"/>
        <v>0</v>
      </c>
      <c r="HQ26" s="44">
        <f t="shared" si="81"/>
        <v>0</v>
      </c>
      <c r="HR26" s="57">
        <f t="shared" si="82"/>
        <v>0</v>
      </c>
      <c r="HS26" s="44">
        <f t="shared" si="83"/>
        <v>0</v>
      </c>
      <c r="HT26" s="57">
        <f t="shared" si="84"/>
        <v>0</v>
      </c>
      <c r="HU26" s="44">
        <f t="shared" si="85"/>
        <v>0</v>
      </c>
      <c r="HV26" s="57">
        <f t="shared" si="86"/>
        <v>0</v>
      </c>
      <c r="HW26" s="44">
        <f t="shared" si="87"/>
        <v>0</v>
      </c>
      <c r="HX26" s="57">
        <f t="shared" si="88"/>
        <v>0</v>
      </c>
      <c r="HY26" s="44">
        <f t="shared" si="89"/>
        <v>0</v>
      </c>
      <c r="HZ26" s="42" t="str">
        <f t="shared" si="90"/>
        <v>SUIZO CONT</v>
      </c>
      <c r="IA26" s="57">
        <f t="shared" si="91"/>
        <v>0</v>
      </c>
      <c r="IB26" s="44">
        <f t="shared" si="92"/>
        <v>0</v>
      </c>
      <c r="IC26" s="57">
        <f t="shared" si="93"/>
        <v>0</v>
      </c>
      <c r="ID26" s="44">
        <f t="shared" si="94"/>
        <v>0</v>
      </c>
      <c r="IE26" s="57">
        <f t="shared" si="95"/>
        <v>0</v>
      </c>
      <c r="IF26" s="44">
        <f t="shared" si="96"/>
        <v>0</v>
      </c>
      <c r="IG26" s="57">
        <f t="shared" si="97"/>
        <v>0</v>
      </c>
      <c r="IH26" s="44">
        <f t="shared" si="98"/>
        <v>0</v>
      </c>
      <c r="II26" s="57">
        <f t="shared" si="99"/>
        <v>0</v>
      </c>
      <c r="IJ26" s="44"/>
      <c r="IK26" s="57"/>
      <c r="IL26" s="44">
        <f t="shared" si="100"/>
        <v>0</v>
      </c>
      <c r="IM26" s="42" t="str">
        <f t="shared" si="101"/>
        <v>SUIZO CONT</v>
      </c>
      <c r="IN26" s="43">
        <f t="shared" si="102"/>
        <v>0</v>
      </c>
      <c r="IP26" s="42" t="str">
        <f t="shared" si="103"/>
        <v>SUIZO CONT</v>
      </c>
      <c r="IQ26" s="43">
        <f t="shared" si="104"/>
        <v>0</v>
      </c>
      <c r="IS26" s="42" t="str">
        <f t="shared" si="105"/>
        <v>SUIZO CONT</v>
      </c>
      <c r="IT26" s="43">
        <f t="shared" si="106"/>
        <v>0</v>
      </c>
      <c r="IV26" s="43"/>
      <c r="IW26" s="42" t="str">
        <f t="shared" si="107"/>
        <v>SUIZO CONT</v>
      </c>
      <c r="IX26" s="43">
        <f t="shared" si="108"/>
        <v>0</v>
      </c>
      <c r="IZ26" s="42" t="str">
        <f t="shared" si="109"/>
        <v>SUIZO CONT</v>
      </c>
      <c r="JA26" s="43">
        <f t="shared" si="110"/>
        <v>0</v>
      </c>
      <c r="JC26" s="42" t="str">
        <f t="shared" si="111"/>
        <v>SUIZO CONT</v>
      </c>
      <c r="JD26" s="43">
        <f t="shared" si="112"/>
        <v>0</v>
      </c>
      <c r="JF26" s="43"/>
      <c r="JG26" s="42" t="str">
        <f t="shared" si="113"/>
        <v>SUIZO CONT</v>
      </c>
      <c r="JH26" s="43">
        <f t="shared" si="114"/>
        <v>0</v>
      </c>
      <c r="JJ26" s="42" t="str">
        <f t="shared" si="115"/>
        <v>SUIZO CONT</v>
      </c>
      <c r="JK26" s="43">
        <f t="shared" si="116"/>
        <v>0</v>
      </c>
      <c r="JM26" s="42" t="str">
        <f t="shared" si="117"/>
        <v>SUIZO CONT</v>
      </c>
      <c r="JN26" s="43">
        <f t="shared" si="118"/>
        <v>0</v>
      </c>
      <c r="JP26" s="44">
        <f t="shared" si="119"/>
        <v>0</v>
      </c>
      <c r="JQ26" s="42" t="str">
        <f t="shared" si="120"/>
        <v>SUIZO CONT</v>
      </c>
      <c r="JR26" s="43">
        <f t="shared" si="121"/>
        <v>0</v>
      </c>
      <c r="JT26" s="42" t="str">
        <f t="shared" si="122"/>
        <v>SUIZO CONT</v>
      </c>
      <c r="JU26" s="43">
        <f t="shared" si="123"/>
        <v>0</v>
      </c>
      <c r="JW26" s="42" t="str">
        <f t="shared" si="124"/>
        <v>SUIZO CONT</v>
      </c>
      <c r="JX26" s="43">
        <f t="shared" si="125"/>
        <v>0</v>
      </c>
      <c r="JZ26" s="44">
        <f t="shared" si="126"/>
        <v>0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7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/>
      <c r="GH27" s="43">
        <f t="shared" si="61"/>
        <v>0</v>
      </c>
      <c r="GI27" s="42" t="str">
        <f t="shared" si="62"/>
        <v>THERMAL PAPER</v>
      </c>
      <c r="GJ27" s="43"/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65"/>
        <v>0</v>
      </c>
      <c r="GS27" s="42" t="str">
        <f t="shared" si="66"/>
        <v>THERMAL PAPER</v>
      </c>
      <c r="GT27" s="43"/>
      <c r="GV27" s="42" t="str">
        <f t="shared" si="67"/>
        <v>THERMAL PAPER</v>
      </c>
      <c r="GW27" s="43"/>
      <c r="GY27" s="42" t="str">
        <f t="shared" si="68"/>
        <v>THERMAL PAPER</v>
      </c>
      <c r="GZ27" s="43"/>
      <c r="HB27" s="43">
        <f t="shared" si="69"/>
        <v>0</v>
      </c>
      <c r="HC27" s="42" t="str">
        <f t="shared" si="70"/>
        <v>THERMAL PAPER</v>
      </c>
      <c r="HD27" s="43">
        <f t="shared" si="71"/>
        <v>0</v>
      </c>
      <c r="HF27" s="42" t="str">
        <f t="shared" si="72"/>
        <v>THERMAL PAPER</v>
      </c>
      <c r="HG27" s="43">
        <f t="shared" si="73"/>
        <v>0</v>
      </c>
      <c r="HI27" s="42" t="str">
        <f t="shared" si="74"/>
        <v>THERMAL PAPER</v>
      </c>
      <c r="HJ27" s="43">
        <f t="shared" si="75"/>
        <v>0</v>
      </c>
      <c r="HL27" s="43">
        <f t="shared" si="76"/>
        <v>0</v>
      </c>
      <c r="HM27" s="42" t="str">
        <f t="shared" si="77"/>
        <v>THERMAL PAPER</v>
      </c>
      <c r="HN27" s="57">
        <f t="shared" si="78"/>
        <v>0</v>
      </c>
      <c r="HO27" s="44">
        <f t="shared" si="79"/>
        <v>0</v>
      </c>
      <c r="HP27" s="57">
        <f t="shared" si="80"/>
        <v>0</v>
      </c>
      <c r="HQ27" s="44">
        <f t="shared" si="81"/>
        <v>0</v>
      </c>
      <c r="HR27" s="57">
        <f t="shared" si="82"/>
        <v>0</v>
      </c>
      <c r="HS27" s="44">
        <f t="shared" si="83"/>
        <v>0</v>
      </c>
      <c r="HT27" s="57">
        <f t="shared" si="84"/>
        <v>0</v>
      </c>
      <c r="HU27" s="44">
        <f t="shared" si="85"/>
        <v>0</v>
      </c>
      <c r="HV27" s="57">
        <f t="shared" si="86"/>
        <v>0</v>
      </c>
      <c r="HW27" s="44">
        <f t="shared" si="87"/>
        <v>0</v>
      </c>
      <c r="HX27" s="57">
        <f t="shared" si="88"/>
        <v>0</v>
      </c>
      <c r="HY27" s="44">
        <f t="shared" si="89"/>
        <v>0</v>
      </c>
      <c r="HZ27" s="42" t="str">
        <f t="shared" si="90"/>
        <v>THERMAL PAPER</v>
      </c>
      <c r="IA27" s="57">
        <f t="shared" si="91"/>
        <v>0</v>
      </c>
      <c r="IB27" s="44">
        <f t="shared" si="92"/>
        <v>0</v>
      </c>
      <c r="IC27" s="57">
        <f t="shared" si="93"/>
        <v>0</v>
      </c>
      <c r="ID27" s="44">
        <f t="shared" si="94"/>
        <v>0</v>
      </c>
      <c r="IE27" s="57">
        <f t="shared" si="95"/>
        <v>0</v>
      </c>
      <c r="IF27" s="44">
        <f t="shared" si="96"/>
        <v>0</v>
      </c>
      <c r="IG27" s="57">
        <f t="shared" si="97"/>
        <v>0</v>
      </c>
      <c r="IH27" s="44">
        <f t="shared" si="98"/>
        <v>0</v>
      </c>
      <c r="II27" s="57">
        <f t="shared" si="99"/>
        <v>0</v>
      </c>
      <c r="IJ27" s="44"/>
      <c r="IK27" s="57"/>
      <c r="IL27" s="44">
        <f t="shared" si="100"/>
        <v>0</v>
      </c>
      <c r="IM27" s="42" t="str">
        <f t="shared" si="101"/>
        <v>THERMAL PAPER</v>
      </c>
      <c r="IN27" s="43">
        <f t="shared" si="102"/>
        <v>0</v>
      </c>
      <c r="IP27" s="42" t="str">
        <f t="shared" si="103"/>
        <v>THERMAL PAPER</v>
      </c>
      <c r="IQ27" s="43">
        <f t="shared" si="104"/>
        <v>0</v>
      </c>
      <c r="IS27" s="42" t="str">
        <f t="shared" si="105"/>
        <v>THERMAL PAPER</v>
      </c>
      <c r="IT27" s="43">
        <f t="shared" si="106"/>
        <v>0</v>
      </c>
      <c r="IV27" s="43"/>
      <c r="IW27" s="42" t="str">
        <f t="shared" si="107"/>
        <v>THERMAL PAPER</v>
      </c>
      <c r="IX27" s="43">
        <f t="shared" si="108"/>
        <v>0</v>
      </c>
      <c r="IZ27" s="42" t="str">
        <f t="shared" si="109"/>
        <v>THERMAL PAPER</v>
      </c>
      <c r="JA27" s="43">
        <f t="shared" si="110"/>
        <v>0</v>
      </c>
      <c r="JC27" s="42" t="str">
        <f t="shared" si="111"/>
        <v>THERMAL PAPER</v>
      </c>
      <c r="JD27" s="43">
        <f t="shared" si="112"/>
        <v>0</v>
      </c>
      <c r="JF27" s="43"/>
      <c r="JG27" s="42" t="str">
        <f t="shared" si="113"/>
        <v>THERMAL PAPER</v>
      </c>
      <c r="JH27" s="43">
        <f t="shared" si="114"/>
        <v>0</v>
      </c>
      <c r="JJ27" s="42" t="str">
        <f t="shared" si="115"/>
        <v>THERMAL PAPER</v>
      </c>
      <c r="JK27" s="43">
        <f t="shared" si="116"/>
        <v>0</v>
      </c>
      <c r="JM27" s="42" t="str">
        <f t="shared" si="117"/>
        <v>THERMAL PAPER</v>
      </c>
      <c r="JN27" s="43">
        <f t="shared" si="118"/>
        <v>0</v>
      </c>
      <c r="JP27" s="44">
        <f t="shared" si="119"/>
        <v>0</v>
      </c>
      <c r="JQ27" s="42" t="str">
        <f t="shared" si="120"/>
        <v>THERMAL PAPER</v>
      </c>
      <c r="JR27" s="43">
        <f t="shared" si="121"/>
        <v>0</v>
      </c>
      <c r="JT27" s="42" t="str">
        <f t="shared" si="122"/>
        <v>THERMAL PAPER</v>
      </c>
      <c r="JU27" s="43">
        <f t="shared" si="123"/>
        <v>0</v>
      </c>
      <c r="JW27" s="42" t="str">
        <f t="shared" si="124"/>
        <v>THERMAL PAPER</v>
      </c>
      <c r="JX27" s="43">
        <f t="shared" si="125"/>
        <v>0</v>
      </c>
      <c r="JZ27" s="44">
        <f t="shared" si="126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7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/>
      <c r="FR28" s="42" t="str">
        <f t="shared" si="55"/>
        <v>COCO LOPEZ</v>
      </c>
      <c r="FS28" s="43"/>
      <c r="FU28" s="42" t="str">
        <f t="shared" si="56"/>
        <v>COCO LOPEZ</v>
      </c>
      <c r="FV28" s="43"/>
      <c r="FX28" s="43">
        <f t="shared" si="57"/>
        <v>0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65"/>
        <v>0</v>
      </c>
      <c r="GS28" s="42" t="str">
        <f t="shared" si="66"/>
        <v>COCO LOPEZ</v>
      </c>
      <c r="GT28" s="43"/>
      <c r="GV28" s="42" t="str">
        <f t="shared" si="67"/>
        <v>COCO LOPEZ</v>
      </c>
      <c r="GW28" s="43"/>
      <c r="GY28" s="42" t="str">
        <f t="shared" si="68"/>
        <v>COCO LOPEZ</v>
      </c>
      <c r="GZ28" s="43"/>
      <c r="HB28" s="43">
        <f t="shared" si="69"/>
        <v>0</v>
      </c>
      <c r="HC28" s="42" t="str">
        <f t="shared" si="70"/>
        <v>COCO LOPEZ</v>
      </c>
      <c r="HD28" s="43">
        <f t="shared" si="71"/>
        <v>0</v>
      </c>
      <c r="HF28" s="42" t="str">
        <f t="shared" si="72"/>
        <v>COCO LOPEZ</v>
      </c>
      <c r="HG28" s="43">
        <f t="shared" si="73"/>
        <v>0</v>
      </c>
      <c r="HI28" s="42" t="str">
        <f t="shared" si="74"/>
        <v>COCO LOPEZ</v>
      </c>
      <c r="HJ28" s="43">
        <f t="shared" si="75"/>
        <v>0</v>
      </c>
      <c r="HL28" s="43">
        <f t="shared" si="76"/>
        <v>0</v>
      </c>
      <c r="HM28" s="42" t="str">
        <f t="shared" si="77"/>
        <v>COCO LOPEZ</v>
      </c>
      <c r="HN28" s="57">
        <f t="shared" si="78"/>
        <v>0</v>
      </c>
      <c r="HO28" s="44">
        <f t="shared" si="79"/>
        <v>0</v>
      </c>
      <c r="HP28" s="57">
        <f t="shared" si="80"/>
        <v>0</v>
      </c>
      <c r="HQ28" s="44">
        <f t="shared" si="81"/>
        <v>0</v>
      </c>
      <c r="HR28" s="57">
        <f t="shared" si="82"/>
        <v>0</v>
      </c>
      <c r="HS28" s="44">
        <f t="shared" si="83"/>
        <v>0</v>
      </c>
      <c r="HT28" s="57">
        <f t="shared" si="84"/>
        <v>0</v>
      </c>
      <c r="HU28" s="44">
        <f t="shared" si="85"/>
        <v>0</v>
      </c>
      <c r="HV28" s="57">
        <f t="shared" si="86"/>
        <v>0</v>
      </c>
      <c r="HW28" s="44">
        <f t="shared" si="87"/>
        <v>0</v>
      </c>
      <c r="HX28" s="57">
        <f t="shared" si="88"/>
        <v>0</v>
      </c>
      <c r="HY28" s="44">
        <f t="shared" si="89"/>
        <v>0</v>
      </c>
      <c r="HZ28" s="42" t="str">
        <f t="shared" si="90"/>
        <v>COCO LOPEZ</v>
      </c>
      <c r="IA28" s="57">
        <f t="shared" si="91"/>
        <v>0</v>
      </c>
      <c r="IB28" s="44">
        <f t="shared" si="92"/>
        <v>0</v>
      </c>
      <c r="IC28" s="57">
        <f t="shared" si="93"/>
        <v>0</v>
      </c>
      <c r="ID28" s="44">
        <f t="shared" si="94"/>
        <v>0</v>
      </c>
      <c r="IE28" s="57">
        <f t="shared" si="95"/>
        <v>0</v>
      </c>
      <c r="IF28" s="44">
        <f t="shared" si="96"/>
        <v>0</v>
      </c>
      <c r="IG28" s="57">
        <f t="shared" si="97"/>
        <v>0</v>
      </c>
      <c r="IH28" s="44">
        <f t="shared" si="98"/>
        <v>0</v>
      </c>
      <c r="II28" s="57">
        <f t="shared" si="99"/>
        <v>0</v>
      </c>
      <c r="IJ28" s="44"/>
      <c r="IK28" s="57"/>
      <c r="IL28" s="44">
        <f t="shared" si="100"/>
        <v>0</v>
      </c>
      <c r="IM28" s="42" t="str">
        <f t="shared" si="101"/>
        <v>COCO LOPEZ</v>
      </c>
      <c r="IN28" s="43">
        <f t="shared" si="102"/>
        <v>0</v>
      </c>
      <c r="IP28" s="42" t="str">
        <f t="shared" si="103"/>
        <v>COCO LOPEZ</v>
      </c>
      <c r="IQ28" s="43">
        <f t="shared" si="104"/>
        <v>0</v>
      </c>
      <c r="IS28" s="42" t="str">
        <f t="shared" si="105"/>
        <v>COCO LOPEZ</v>
      </c>
      <c r="IT28" s="43">
        <f t="shared" si="106"/>
        <v>0</v>
      </c>
      <c r="IV28" s="43"/>
      <c r="IW28" s="42" t="str">
        <f t="shared" si="107"/>
        <v>COCO LOPEZ</v>
      </c>
      <c r="IX28" s="43">
        <f t="shared" si="108"/>
        <v>0</v>
      </c>
      <c r="IZ28" s="42" t="str">
        <f t="shared" si="109"/>
        <v>COCO LOPEZ</v>
      </c>
      <c r="JA28" s="43">
        <f t="shared" si="110"/>
        <v>0</v>
      </c>
      <c r="JC28" s="42" t="str">
        <f t="shared" si="111"/>
        <v>COCO LOPEZ</v>
      </c>
      <c r="JD28" s="43">
        <f t="shared" si="112"/>
        <v>0</v>
      </c>
      <c r="JF28" s="43"/>
      <c r="JG28" s="42" t="str">
        <f t="shared" si="113"/>
        <v>COCO LOPEZ</v>
      </c>
      <c r="JH28" s="43">
        <f t="shared" si="114"/>
        <v>0</v>
      </c>
      <c r="JJ28" s="42" t="str">
        <f t="shared" si="115"/>
        <v>COCO LOPEZ</v>
      </c>
      <c r="JK28" s="43">
        <f t="shared" si="116"/>
        <v>0</v>
      </c>
      <c r="JM28" s="42" t="str">
        <f t="shared" si="117"/>
        <v>COCO LOPEZ</v>
      </c>
      <c r="JN28" s="43">
        <f t="shared" si="118"/>
        <v>0</v>
      </c>
      <c r="JP28" s="44">
        <f t="shared" si="119"/>
        <v>0</v>
      </c>
      <c r="JQ28" s="42" t="str">
        <f t="shared" si="120"/>
        <v>COCO LOPEZ</v>
      </c>
      <c r="JR28" s="43">
        <f t="shared" si="121"/>
        <v>0</v>
      </c>
      <c r="JT28" s="42" t="str">
        <f t="shared" si="122"/>
        <v>COCO LOPEZ</v>
      </c>
      <c r="JU28" s="43">
        <f t="shared" si="123"/>
        <v>0</v>
      </c>
      <c r="JW28" s="42" t="str">
        <f t="shared" si="124"/>
        <v>COCO LOPEZ</v>
      </c>
      <c r="JX28" s="43">
        <f t="shared" si="125"/>
        <v>0</v>
      </c>
      <c r="JZ28" s="44">
        <f t="shared" si="126"/>
        <v>0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7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/>
      <c r="FR29" s="24" t="str">
        <f t="shared" si="55"/>
        <v>TAPATIOS TACO M</v>
      </c>
      <c r="FS29" s="23"/>
      <c r="FU29" s="24" t="str">
        <f t="shared" si="56"/>
        <v>TAPATIOS TACO M</v>
      </c>
      <c r="FV29" s="23"/>
      <c r="FX29" s="23">
        <f t="shared" si="57"/>
        <v>0</v>
      </c>
      <c r="FY29" s="24" t="str">
        <f t="shared" si="58"/>
        <v>TAPATIOS TACO M</v>
      </c>
      <c r="FZ29" s="23"/>
      <c r="GB29" s="24" t="str">
        <f t="shared" si="59"/>
        <v>TAPATIOS TACO M</v>
      </c>
      <c r="GC29" s="23"/>
      <c r="GE29" s="24" t="str">
        <f t="shared" si="60"/>
        <v>TAPATIOS TACO M</v>
      </c>
      <c r="GF29" s="23"/>
      <c r="GH29" s="23">
        <f t="shared" si="61"/>
        <v>0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65"/>
        <v>0</v>
      </c>
      <c r="GS29" s="24" t="str">
        <f t="shared" si="66"/>
        <v>TAPATIOS TACO M</v>
      </c>
      <c r="GT29" s="23"/>
      <c r="GV29" s="24" t="str">
        <f t="shared" si="67"/>
        <v>TAPATIOS TACO M</v>
      </c>
      <c r="GW29" s="23"/>
      <c r="GY29" s="24" t="str">
        <f t="shared" si="68"/>
        <v>TAPATIOS TACO M</v>
      </c>
      <c r="GZ29" s="23"/>
      <c r="HB29" s="23">
        <f t="shared" si="69"/>
        <v>0</v>
      </c>
      <c r="HC29" s="24" t="str">
        <f t="shared" si="70"/>
        <v>TAPATIOS TACO M</v>
      </c>
      <c r="HD29" s="43">
        <f t="shared" si="71"/>
        <v>0</v>
      </c>
      <c r="HF29" s="24" t="str">
        <f t="shared" si="72"/>
        <v>TAPATIOS TACO M</v>
      </c>
      <c r="HG29" s="43">
        <f t="shared" si="73"/>
        <v>0</v>
      </c>
      <c r="HI29" s="24" t="str">
        <f t="shared" si="74"/>
        <v>TAPATIOS TACO M</v>
      </c>
      <c r="HJ29" s="43">
        <f t="shared" si="75"/>
        <v>0</v>
      </c>
      <c r="HL29" s="23">
        <f t="shared" si="76"/>
        <v>0</v>
      </c>
      <c r="HM29" s="24" t="str">
        <f t="shared" si="77"/>
        <v>TAPATIOS TACO M</v>
      </c>
      <c r="HN29" s="56">
        <f t="shared" si="78"/>
        <v>0</v>
      </c>
      <c r="HO29" s="25">
        <f t="shared" si="79"/>
        <v>0</v>
      </c>
      <c r="HP29" s="56">
        <f t="shared" si="80"/>
        <v>0</v>
      </c>
      <c r="HQ29" s="25">
        <f t="shared" si="81"/>
        <v>0</v>
      </c>
      <c r="HR29" s="56">
        <f t="shared" si="82"/>
        <v>0</v>
      </c>
      <c r="HS29" s="25">
        <f t="shared" si="83"/>
        <v>0</v>
      </c>
      <c r="HT29" s="56">
        <f t="shared" si="84"/>
        <v>0</v>
      </c>
      <c r="HU29" s="25">
        <f t="shared" si="85"/>
        <v>0</v>
      </c>
      <c r="HV29" s="56">
        <f t="shared" si="86"/>
        <v>0</v>
      </c>
      <c r="HW29" s="25">
        <f t="shared" si="87"/>
        <v>0</v>
      </c>
      <c r="HX29" s="56">
        <f t="shared" si="88"/>
        <v>0</v>
      </c>
      <c r="HY29" s="25">
        <f t="shared" si="89"/>
        <v>0</v>
      </c>
      <c r="HZ29" s="24" t="str">
        <f t="shared" si="90"/>
        <v>TAPATIOS TACO M</v>
      </c>
      <c r="IA29" s="56">
        <f t="shared" si="91"/>
        <v>0</v>
      </c>
      <c r="IB29" s="25">
        <f t="shared" si="92"/>
        <v>0</v>
      </c>
      <c r="IC29" s="56">
        <f t="shared" si="93"/>
        <v>0</v>
      </c>
      <c r="ID29" s="25">
        <f t="shared" si="94"/>
        <v>0</v>
      </c>
      <c r="IE29" s="56">
        <f t="shared" si="95"/>
        <v>0</v>
      </c>
      <c r="IF29" s="25">
        <f t="shared" si="96"/>
        <v>0</v>
      </c>
      <c r="IG29" s="56">
        <f t="shared" si="97"/>
        <v>0</v>
      </c>
      <c r="IH29" s="25">
        <f t="shared" si="98"/>
        <v>0</v>
      </c>
      <c r="II29" s="56">
        <f t="shared" si="99"/>
        <v>0</v>
      </c>
      <c r="IJ29" s="23"/>
      <c r="IK29" s="55"/>
      <c r="IL29" s="23">
        <f t="shared" si="100"/>
        <v>0</v>
      </c>
      <c r="IM29" s="24" t="str">
        <f t="shared" si="101"/>
        <v>TAPATIOS TACO M</v>
      </c>
      <c r="IN29" s="43">
        <f t="shared" si="102"/>
        <v>0</v>
      </c>
      <c r="IP29" s="24" t="str">
        <f t="shared" si="103"/>
        <v>TAPATIOS TACO M</v>
      </c>
      <c r="IQ29" s="43">
        <f t="shared" si="104"/>
        <v>0</v>
      </c>
      <c r="IS29" s="24" t="str">
        <f t="shared" si="105"/>
        <v>TAPATIOS TACO M</v>
      </c>
      <c r="IT29" s="43">
        <f t="shared" si="106"/>
        <v>0</v>
      </c>
      <c r="IV29" s="23"/>
      <c r="IW29" s="24" t="str">
        <f t="shared" si="107"/>
        <v>TAPATIOS TACO M</v>
      </c>
      <c r="IX29" s="43">
        <f t="shared" si="108"/>
        <v>0</v>
      </c>
      <c r="IZ29" s="24" t="str">
        <f t="shared" si="109"/>
        <v>TAPATIOS TACO M</v>
      </c>
      <c r="JA29" s="23">
        <f t="shared" si="110"/>
        <v>0</v>
      </c>
      <c r="JC29" s="24" t="str">
        <f t="shared" si="111"/>
        <v>TAPATIOS TACO M</v>
      </c>
      <c r="JD29" s="43">
        <f t="shared" si="112"/>
        <v>0</v>
      </c>
      <c r="JF29" s="23"/>
      <c r="JG29" s="24" t="str">
        <f t="shared" si="113"/>
        <v>TAPATIOS TACO M</v>
      </c>
      <c r="JH29" s="23">
        <f t="shared" si="114"/>
        <v>0</v>
      </c>
      <c r="JJ29" s="24" t="str">
        <f t="shared" si="115"/>
        <v>TAPATIOS TACO M</v>
      </c>
      <c r="JK29" s="23">
        <f t="shared" si="116"/>
        <v>0</v>
      </c>
      <c r="JM29" s="24" t="str">
        <f t="shared" si="117"/>
        <v>TAPATIOS TACO M</v>
      </c>
      <c r="JN29" s="23">
        <f t="shared" si="118"/>
        <v>0</v>
      </c>
      <c r="JP29" s="25">
        <f t="shared" si="119"/>
        <v>0</v>
      </c>
      <c r="JQ29" s="24" t="str">
        <f t="shared" si="120"/>
        <v>TAPATIOS TACO M</v>
      </c>
      <c r="JR29" s="23">
        <f t="shared" si="121"/>
        <v>0</v>
      </c>
      <c r="JT29" s="24" t="str">
        <f t="shared" si="122"/>
        <v>TAPATIOS TACO M</v>
      </c>
      <c r="JU29" s="23">
        <f t="shared" si="123"/>
        <v>0</v>
      </c>
      <c r="JV29" s="26"/>
      <c r="JW29" s="24" t="str">
        <f t="shared" si="124"/>
        <v>TAPATIOS TACO M</v>
      </c>
      <c r="JX29" s="23">
        <f t="shared" si="125"/>
        <v>0</v>
      </c>
      <c r="JZ29" s="23">
        <f t="shared" si="126"/>
        <v>0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54"/>
      <c r="HO30" s="28"/>
      <c r="HP30" s="54"/>
      <c r="HQ30" s="28"/>
      <c r="HR30" s="54"/>
      <c r="HS30" s="28"/>
      <c r="HT30" s="54"/>
      <c r="HU30" s="28"/>
      <c r="HV30" s="54"/>
      <c r="HW30" s="28"/>
      <c r="HX30" s="54"/>
      <c r="HY30" s="28"/>
      <c r="HZ30" s="27"/>
      <c r="IA30" s="54"/>
      <c r="IB30" s="28"/>
      <c r="IC30" s="54"/>
      <c r="ID30" s="28"/>
      <c r="IE30" s="54"/>
      <c r="IF30" s="28"/>
      <c r="IG30" s="54"/>
      <c r="IH30" s="28"/>
      <c r="II30" s="54"/>
      <c r="IJ30" s="28"/>
      <c r="IK30" s="54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0</v>
      </c>
      <c r="C31" s="7"/>
      <c r="D31" s="29" t="s">
        <v>19</v>
      </c>
      <c r="E31" s="30">
        <f>SUM(E11:E30)</f>
        <v>0</v>
      </c>
      <c r="F31" s="7"/>
      <c r="G31" s="29" t="s">
        <v>19</v>
      </c>
      <c r="H31" s="30">
        <f>SUM(H11:H30)</f>
        <v>0</v>
      </c>
      <c r="I31" s="7"/>
      <c r="J31" s="31">
        <f>SUM(J11:J30)</f>
        <v>0</v>
      </c>
      <c r="K31" s="29" t="s">
        <v>19</v>
      </c>
      <c r="L31" s="30">
        <f>SUM(L11:L30)</f>
        <v>0</v>
      </c>
      <c r="M31" s="32"/>
      <c r="N31" s="29" t="s">
        <v>19</v>
      </c>
      <c r="O31" s="30">
        <f>SUM(O11:O30)</f>
        <v>0</v>
      </c>
      <c r="P31" s="32"/>
      <c r="Q31" s="29" t="s">
        <v>19</v>
      </c>
      <c r="R31" s="30">
        <f>SUM(R11:R30)</f>
        <v>0</v>
      </c>
      <c r="S31" s="32"/>
      <c r="T31" s="31">
        <f>SUM(T11:T30)</f>
        <v>0</v>
      </c>
      <c r="U31" s="29" t="s">
        <v>19</v>
      </c>
      <c r="V31" s="30">
        <f>SUM(V11:V30)</f>
        <v>0</v>
      </c>
      <c r="W31" s="32"/>
      <c r="X31" s="29" t="s">
        <v>19</v>
      </c>
      <c r="Y31" s="30">
        <f>SUM(Y11:Y30)</f>
        <v>0</v>
      </c>
      <c r="Z31" s="32"/>
      <c r="AA31" s="29" t="s">
        <v>19</v>
      </c>
      <c r="AB31" s="30">
        <f>SUM(AB11:AB30)</f>
        <v>0</v>
      </c>
      <c r="AC31" s="32"/>
      <c r="AD31" s="31">
        <f>SUM(AD11:AD30)</f>
        <v>0</v>
      </c>
      <c r="AE31" s="29" t="s">
        <v>19</v>
      </c>
      <c r="AF31" s="30">
        <f>SUM(AF11:AF30)</f>
        <v>0</v>
      </c>
      <c r="AG31" s="32"/>
      <c r="AH31" s="29" t="s">
        <v>19</v>
      </c>
      <c r="AI31" s="30">
        <f>SUM(AI11:AI30)</f>
        <v>0</v>
      </c>
      <c r="AJ31" s="32"/>
      <c r="AK31" s="29" t="s">
        <v>19</v>
      </c>
      <c r="AL31" s="30">
        <f>SUM(AL11:AL30)</f>
        <v>0</v>
      </c>
      <c r="AM31" s="32"/>
      <c r="AN31" s="31">
        <f>SUM(AN11:AN30)</f>
        <v>0</v>
      </c>
      <c r="AO31" s="29" t="s">
        <v>19</v>
      </c>
      <c r="AP31" s="30">
        <f>SUM(AP11:AP30)</f>
        <v>0</v>
      </c>
      <c r="AQ31" s="32"/>
      <c r="AR31" s="29" t="s">
        <v>19</v>
      </c>
      <c r="AS31" s="30">
        <f>SUM(AS11:AS30)</f>
        <v>0</v>
      </c>
      <c r="AT31" s="32"/>
      <c r="AU31" s="29" t="s">
        <v>19</v>
      </c>
      <c r="AV31" s="30">
        <f>SUM(AV11:AV30)</f>
        <v>0</v>
      </c>
      <c r="AW31" s="32"/>
      <c r="AX31" s="31">
        <f>SUM(AX11:AX30)</f>
        <v>0</v>
      </c>
      <c r="AY31" s="29" t="s">
        <v>19</v>
      </c>
      <c r="AZ31" s="30">
        <f>SUM(AZ11:AZ30)</f>
        <v>0</v>
      </c>
      <c r="BA31" s="32"/>
      <c r="BB31" s="29" t="s">
        <v>19</v>
      </c>
      <c r="BC31" s="30">
        <f>SUM(BC11:BC30)</f>
        <v>0</v>
      </c>
      <c r="BD31" s="32"/>
      <c r="BE31" s="29" t="s">
        <v>19</v>
      </c>
      <c r="BF31" s="30">
        <f>SUM(BF11:BF30)</f>
        <v>0</v>
      </c>
      <c r="BG31" s="32"/>
      <c r="BH31" s="31">
        <f>SUM(BH11:BH30)</f>
        <v>0</v>
      </c>
      <c r="BI31" s="29" t="s">
        <v>19</v>
      </c>
      <c r="BJ31" s="30">
        <f>SUM(BJ11:BJ30)</f>
        <v>0</v>
      </c>
      <c r="BK31" s="32"/>
      <c r="BL31" s="29" t="s">
        <v>19</v>
      </c>
      <c r="BM31" s="30">
        <f>SUM(BM11:BM30)</f>
        <v>0</v>
      </c>
      <c r="BN31" s="32"/>
      <c r="BO31" s="29" t="s">
        <v>19</v>
      </c>
      <c r="BP31" s="30">
        <f>SUM(BP11:BP30)</f>
        <v>0</v>
      </c>
      <c r="BQ31" s="32"/>
      <c r="BR31" s="31">
        <f>SUM(BR11:BR30)</f>
        <v>0</v>
      </c>
      <c r="BS31" s="29" t="s">
        <v>19</v>
      </c>
      <c r="BT31" s="30">
        <f>SUM(BT11:BT30)</f>
        <v>0</v>
      </c>
      <c r="BU31" s="32"/>
      <c r="BV31" s="29" t="s">
        <v>19</v>
      </c>
      <c r="BW31" s="30">
        <f>SUM(BW11:BW30)</f>
        <v>0</v>
      </c>
      <c r="BX31" s="32"/>
      <c r="BY31" s="29" t="s">
        <v>19</v>
      </c>
      <c r="BZ31" s="30">
        <f>SUM(BZ11:BZ30)</f>
        <v>0</v>
      </c>
      <c r="CA31" s="32"/>
      <c r="CB31" s="31">
        <f>SUM(CB11:CB30)</f>
        <v>0</v>
      </c>
      <c r="CC31" s="29" t="s">
        <v>19</v>
      </c>
      <c r="CD31" s="30">
        <f>SUM(CD11:CD30)</f>
        <v>0</v>
      </c>
      <c r="CE31" s="32"/>
      <c r="CF31" s="29" t="s">
        <v>19</v>
      </c>
      <c r="CG31" s="30">
        <f>SUM(CG11:CG30)</f>
        <v>0</v>
      </c>
      <c r="CH31" s="32"/>
      <c r="CI31" s="29" t="s">
        <v>19</v>
      </c>
      <c r="CJ31" s="30">
        <f>SUM(CJ11:CJ30)</f>
        <v>0</v>
      </c>
      <c r="CK31" s="32"/>
      <c r="CL31" s="31">
        <f>SUM(CL11:CL30)</f>
        <v>0</v>
      </c>
      <c r="CM31" s="29" t="s">
        <v>19</v>
      </c>
      <c r="CN31" s="30">
        <f>SUM(CN11:CN30)</f>
        <v>0</v>
      </c>
      <c r="CO31" s="32"/>
      <c r="CP31" s="29" t="s">
        <v>19</v>
      </c>
      <c r="CQ31" s="30">
        <f>SUM(CQ11:CQ30)</f>
        <v>0</v>
      </c>
      <c r="CR31" s="32"/>
      <c r="CS31" s="29" t="s">
        <v>19</v>
      </c>
      <c r="CT31" s="30">
        <f>SUM(CT11:CT30)</f>
        <v>0</v>
      </c>
      <c r="CU31" s="32"/>
      <c r="CV31" s="31">
        <f>SUM(CV11:CV30)</f>
        <v>0</v>
      </c>
      <c r="CW31" s="29" t="s">
        <v>19</v>
      </c>
      <c r="CX31" s="30">
        <f>SUM(CX11:CX30)</f>
        <v>0</v>
      </c>
      <c r="CY31" s="32"/>
      <c r="CZ31" s="29" t="s">
        <v>19</v>
      </c>
      <c r="DA31" s="30">
        <f>SUM(DA11:DA30)</f>
        <v>0</v>
      </c>
      <c r="DB31" s="32"/>
      <c r="DC31" s="29" t="s">
        <v>19</v>
      </c>
      <c r="DD31" s="30">
        <f>SUM(DD11:DD30)</f>
        <v>0</v>
      </c>
      <c r="DE31" s="32"/>
      <c r="DF31" s="31">
        <f>SUM(DF11:DF30)</f>
        <v>0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>SUM(DK11:DK30)</f>
        <v>0</v>
      </c>
      <c r="DL31" s="32"/>
      <c r="DM31" s="29" t="s">
        <v>19</v>
      </c>
      <c r="DN31" s="30">
        <f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>SUM(DU11:DU30)</f>
        <v>0</v>
      </c>
      <c r="DV31" s="32"/>
      <c r="DW31" s="29" t="s">
        <v>19</v>
      </c>
      <c r="DX31" s="30">
        <f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>SUM(EE11:EE30)</f>
        <v>0</v>
      </c>
      <c r="EF31" s="32"/>
      <c r="EG31" s="29" t="s">
        <v>19</v>
      </c>
      <c r="EH31" s="30">
        <f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>SUM(EO11:EO30)</f>
        <v>0</v>
      </c>
      <c r="EP31" s="32"/>
      <c r="EQ31" s="29" t="s">
        <v>19</v>
      </c>
      <c r="ER31" s="30">
        <f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0</v>
      </c>
      <c r="EW31" s="32"/>
      <c r="EX31" s="29" t="s">
        <v>19</v>
      </c>
      <c r="EY31" s="30">
        <f>SUM(EY11:EY30)</f>
        <v>0</v>
      </c>
      <c r="EZ31" s="32"/>
      <c r="FA31" s="29" t="s">
        <v>19</v>
      </c>
      <c r="FB31" s="30">
        <f>SUM(FB11:FB30)</f>
        <v>0</v>
      </c>
      <c r="FC31" s="32"/>
      <c r="FD31" s="31">
        <f>SUM(FD11:FD30)</f>
        <v>0</v>
      </c>
      <c r="FE31" s="29" t="s">
        <v>19</v>
      </c>
      <c r="FF31" s="30">
        <f>SUM(FF11:FF30)</f>
        <v>0</v>
      </c>
      <c r="FG31" s="32"/>
      <c r="FH31" s="29" t="s">
        <v>19</v>
      </c>
      <c r="FI31" s="30">
        <f>SUM(FI11:FI30)</f>
        <v>0</v>
      </c>
      <c r="FJ31" s="32"/>
      <c r="FK31" s="29" t="s">
        <v>19</v>
      </c>
      <c r="FL31" s="30">
        <f>SUM(FL11:FL30)</f>
        <v>0</v>
      </c>
      <c r="FM31" s="32"/>
      <c r="FN31" s="31">
        <f>SUM(FN11:FN30)</f>
        <v>0</v>
      </c>
      <c r="FO31" s="29" t="s">
        <v>19</v>
      </c>
      <c r="FP31" s="30">
        <f>SUM(FP11:FP30)</f>
        <v>0</v>
      </c>
      <c r="FQ31" s="32"/>
      <c r="FR31" s="29" t="s">
        <v>19</v>
      </c>
      <c r="FS31" s="30">
        <f>SUM(FS11:FS30)</f>
        <v>0</v>
      </c>
      <c r="FT31" s="32"/>
      <c r="FU31" s="29" t="s">
        <v>19</v>
      </c>
      <c r="FV31" s="30">
        <f>SUM(FV11:FV30)</f>
        <v>0</v>
      </c>
      <c r="FW31" s="32"/>
      <c r="FX31" s="31">
        <f>SUM(FX11:FX30)</f>
        <v>0</v>
      </c>
      <c r="FY31" s="29" t="s">
        <v>19</v>
      </c>
      <c r="FZ31" s="30">
        <f>SUM(FZ11:FZ30)</f>
        <v>0</v>
      </c>
      <c r="GA31" s="32"/>
      <c r="GB31" s="29" t="s">
        <v>19</v>
      </c>
      <c r="GC31" s="30">
        <f>SUM(GC11:GC30)</f>
        <v>0</v>
      </c>
      <c r="GD31" s="32"/>
      <c r="GE31" s="29" t="s">
        <v>19</v>
      </c>
      <c r="GF31" s="30">
        <f>SUM(GF11:GF30)</f>
        <v>0</v>
      </c>
      <c r="GG31" s="32"/>
      <c r="GH31" s="31">
        <f>SUM(GH11:GH30)</f>
        <v>0</v>
      </c>
      <c r="GI31" s="29" t="s">
        <v>19</v>
      </c>
      <c r="GJ31" s="30">
        <f>SUM(GJ11:GJ30)</f>
        <v>0</v>
      </c>
      <c r="GK31" s="32"/>
      <c r="GL31" s="29" t="s">
        <v>19</v>
      </c>
      <c r="GM31" s="30">
        <f>SUM(GM11:GM30)</f>
        <v>0</v>
      </c>
      <c r="GN31" s="32"/>
      <c r="GO31" s="29" t="s">
        <v>19</v>
      </c>
      <c r="GP31" s="30">
        <f>SUM(GP11:GP30)</f>
        <v>0</v>
      </c>
      <c r="GQ31" s="32"/>
      <c r="GR31" s="31">
        <f>SUM(GR11:GR30)</f>
        <v>0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>SUM(GW11:GW30)</f>
        <v>0</v>
      </c>
      <c r="GX31" s="32"/>
      <c r="GY31" s="29" t="s">
        <v>19</v>
      </c>
      <c r="GZ31" s="30">
        <f>SUM(GZ11:GZ30)</f>
        <v>0</v>
      </c>
      <c r="HA31" s="32"/>
      <c r="HB31" s="31">
        <f>SUM(HB11:HB30)</f>
        <v>0</v>
      </c>
      <c r="HC31" s="29" t="s">
        <v>19</v>
      </c>
      <c r="HD31" s="30">
        <f>SUM(HD11:HD30)</f>
        <v>0</v>
      </c>
      <c r="HE31" s="32"/>
      <c r="HF31" s="29" t="s">
        <v>19</v>
      </c>
      <c r="HG31" s="30">
        <f>SUM(HG11:HG30)</f>
        <v>0</v>
      </c>
      <c r="HH31" s="32"/>
      <c r="HI31" s="29" t="s">
        <v>19</v>
      </c>
      <c r="HJ31" s="30">
        <f>SUM(HJ11:HJ30)</f>
        <v>0</v>
      </c>
      <c r="HK31" s="32"/>
      <c r="HL31" s="31">
        <f>SUM(HL11:HL30)</f>
        <v>0</v>
      </c>
      <c r="HM31" s="32" t="s">
        <v>19</v>
      </c>
      <c r="HN31" s="53">
        <f>J31</f>
        <v>0</v>
      </c>
      <c r="HO31" s="32">
        <f>T31</f>
        <v>0</v>
      </c>
      <c r="HP31" s="53">
        <f>AD31</f>
        <v>0</v>
      </c>
      <c r="HQ31" s="32">
        <f>AN31</f>
        <v>0</v>
      </c>
      <c r="HR31" s="53">
        <f>AX31</f>
        <v>0</v>
      </c>
      <c r="HS31" s="32">
        <f>BH31</f>
        <v>0</v>
      </c>
      <c r="HT31" s="53">
        <f>BR31</f>
        <v>0</v>
      </c>
      <c r="HU31" s="32">
        <f>CB31</f>
        <v>0</v>
      </c>
      <c r="HV31" s="53">
        <f>CL31</f>
        <v>0</v>
      </c>
      <c r="HW31" s="32">
        <f>CV31</f>
        <v>0</v>
      </c>
      <c r="HX31" s="53">
        <f>DF31</f>
        <v>0</v>
      </c>
      <c r="HY31" s="32">
        <f>DP31</f>
        <v>0</v>
      </c>
      <c r="HZ31" s="33" t="s">
        <v>19</v>
      </c>
      <c r="IA31" s="53">
        <f>DZ31</f>
        <v>0</v>
      </c>
      <c r="IB31" s="32">
        <f>ES31</f>
        <v>0</v>
      </c>
      <c r="IC31" s="53">
        <f>FC31</f>
        <v>0</v>
      </c>
      <c r="ID31" s="32">
        <f>FM31</f>
        <v>0</v>
      </c>
      <c r="IE31" s="53"/>
      <c r="IF31" s="32"/>
      <c r="IG31" s="53"/>
      <c r="IH31" s="32"/>
      <c r="II31" s="53"/>
      <c r="IJ31" s="32"/>
      <c r="IK31" s="53"/>
      <c r="IL31" s="32">
        <f>SUM(HN31:HY31)+SUM(IA31:IK31)</f>
        <v>0</v>
      </c>
      <c r="IM31" s="29" t="s">
        <v>19</v>
      </c>
      <c r="IN31" s="30">
        <f>SUM(IN11:IN30)</f>
        <v>0</v>
      </c>
      <c r="IO31" s="32"/>
      <c r="IP31" s="29" t="s">
        <v>19</v>
      </c>
      <c r="IQ31" s="30">
        <f>SUM(IQ11:IQ30)</f>
        <v>0</v>
      </c>
      <c r="IR31" s="32"/>
      <c r="IS31" s="29" t="s">
        <v>19</v>
      </c>
      <c r="IT31" s="30">
        <f>SUM(IT11:IT30)</f>
        <v>0</v>
      </c>
      <c r="IU31" s="32"/>
      <c r="IV31" s="31">
        <f>SUM(IV11:IV30)</f>
        <v>0</v>
      </c>
      <c r="IW31" s="29" t="s">
        <v>19</v>
      </c>
      <c r="IX31" s="30">
        <f>SUM(IX11:IX30)</f>
        <v>0</v>
      </c>
      <c r="IY31" s="32"/>
      <c r="IZ31" s="29" t="s">
        <v>19</v>
      </c>
      <c r="JA31" s="30">
        <f>SUM(JA11:JA30)</f>
        <v>0</v>
      </c>
      <c r="JB31" s="32"/>
      <c r="JC31" s="29" t="s">
        <v>19</v>
      </c>
      <c r="JD31" s="30">
        <f>SUM(JD11:JD30)</f>
        <v>0</v>
      </c>
      <c r="JE31" s="32"/>
      <c r="JF31" s="31">
        <f>SUM(JF11:JF30)</f>
        <v>0</v>
      </c>
      <c r="JG31" s="29" t="s">
        <v>19</v>
      </c>
      <c r="JH31" s="30">
        <f>SUM(JH11:JH30)</f>
        <v>0</v>
      </c>
      <c r="JI31" s="32"/>
      <c r="JJ31" s="29" t="s">
        <v>19</v>
      </c>
      <c r="JK31" s="30">
        <f>SUM(JK11:JK30)</f>
        <v>0</v>
      </c>
      <c r="JL31" s="32"/>
      <c r="JM31" s="29" t="s">
        <v>19</v>
      </c>
      <c r="JN31" s="30">
        <f>SUM(JN11:JN30)</f>
        <v>0</v>
      </c>
      <c r="JO31" s="32"/>
      <c r="JP31" s="31">
        <f>SUM(JP11:JP30)</f>
        <v>0</v>
      </c>
      <c r="JQ31" s="29" t="s">
        <v>19</v>
      </c>
      <c r="JR31" s="30">
        <f>SUM(JR11:JR30)</f>
        <v>0</v>
      </c>
      <c r="JS31" s="32"/>
      <c r="JT31" s="29" t="s">
        <v>19</v>
      </c>
      <c r="JU31" s="30">
        <f>SUM(JU11:JU30)</f>
        <v>0</v>
      </c>
      <c r="JV31" s="32"/>
      <c r="JW31" s="29" t="s">
        <v>19</v>
      </c>
      <c r="JX31" s="30">
        <f>SUM(JX11:JX30)</f>
        <v>0</v>
      </c>
      <c r="JY31" s="32"/>
      <c r="JZ31" s="31">
        <f>SUM(JZ11:JZ30)</f>
        <v>0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JG30:JH30"/>
    <mergeCell ref="JJ30:JK30"/>
    <mergeCell ref="JM30:JN30"/>
    <mergeCell ref="JQ30:JR30"/>
    <mergeCell ref="JT30:JU30"/>
    <mergeCell ref="JW30:JX30"/>
    <mergeCell ref="IM30:IN30"/>
    <mergeCell ref="IP30:IQ30"/>
    <mergeCell ref="IS30:IT30"/>
    <mergeCell ref="IW30:IX30"/>
    <mergeCell ref="IZ30:JA30"/>
    <mergeCell ref="JC30:JD30"/>
    <mergeCell ref="GS30:GT30"/>
    <mergeCell ref="GV30:GW30"/>
    <mergeCell ref="GY30:GZ30"/>
    <mergeCell ref="HC30:HD30"/>
    <mergeCell ref="HF30:HG30"/>
    <mergeCell ref="HI30:HJ30"/>
    <mergeCell ref="FY30:FZ30"/>
    <mergeCell ref="GB30:GC30"/>
    <mergeCell ref="GE30:GF30"/>
    <mergeCell ref="GI30:GJ30"/>
    <mergeCell ref="GL30:GM30"/>
    <mergeCell ref="GO30:GP30"/>
    <mergeCell ref="FE30:FF30"/>
    <mergeCell ref="FH30:FI30"/>
    <mergeCell ref="FK30:FL30"/>
    <mergeCell ref="FO30:FP30"/>
    <mergeCell ref="FR30:FS30"/>
    <mergeCell ref="FU30:FV30"/>
    <mergeCell ref="EK30:EL30"/>
    <mergeCell ref="EN30:EO30"/>
    <mergeCell ref="EQ30:ER30"/>
    <mergeCell ref="EU30:EV30"/>
    <mergeCell ref="EX30:EY30"/>
    <mergeCell ref="FA30:FB30"/>
    <mergeCell ref="DQ30:DR30"/>
    <mergeCell ref="DT30:DU30"/>
    <mergeCell ref="DW30:DX30"/>
    <mergeCell ref="EA30:EB30"/>
    <mergeCell ref="ED30:EE30"/>
    <mergeCell ref="EG30:EH30"/>
    <mergeCell ref="CW30:CX30"/>
    <mergeCell ref="CZ30:DA30"/>
    <mergeCell ref="DC30:DD30"/>
    <mergeCell ref="DG30:DH30"/>
    <mergeCell ref="DJ30:DK30"/>
    <mergeCell ref="DM30:DN30"/>
    <mergeCell ref="CC30:CD30"/>
    <mergeCell ref="CF30:CG30"/>
    <mergeCell ref="CI30:CJ30"/>
    <mergeCell ref="CM30:CN30"/>
    <mergeCell ref="CP30:CQ30"/>
    <mergeCell ref="CS30:CT30"/>
    <mergeCell ref="BI30:BJ30"/>
    <mergeCell ref="BL30:BM30"/>
    <mergeCell ref="BO30:BP30"/>
    <mergeCell ref="BS30:BT30"/>
    <mergeCell ref="BV30:BW30"/>
    <mergeCell ref="BY30:BZ30"/>
    <mergeCell ref="AO30:AP30"/>
    <mergeCell ref="AR30:AS30"/>
    <mergeCell ref="AU30:AV30"/>
    <mergeCell ref="AY30:AZ30"/>
    <mergeCell ref="BB30:BC30"/>
    <mergeCell ref="BE30:BF30"/>
    <mergeCell ref="U30:V30"/>
    <mergeCell ref="X30:Y30"/>
    <mergeCell ref="AA30:AB30"/>
    <mergeCell ref="AE30:AF30"/>
    <mergeCell ref="AH30:AI30"/>
    <mergeCell ref="AK30:AL30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IS9:IT9"/>
    <mergeCell ref="IW9:IX9"/>
    <mergeCell ref="IZ9:JA9"/>
    <mergeCell ref="JC9:JD9"/>
    <mergeCell ref="JG9:JH9"/>
    <mergeCell ref="JJ9:JK9"/>
    <mergeCell ref="GY9:GZ9"/>
    <mergeCell ref="HC9:HD9"/>
    <mergeCell ref="HF9:HG9"/>
    <mergeCell ref="HI9:HJ9"/>
    <mergeCell ref="IM9:IN9"/>
    <mergeCell ref="IP9:IQ9"/>
    <mergeCell ref="GE9:GF9"/>
    <mergeCell ref="GI9:GJ9"/>
    <mergeCell ref="GL9:GM9"/>
    <mergeCell ref="GO9:GP9"/>
    <mergeCell ref="GS9:GT9"/>
    <mergeCell ref="GV9:GW9"/>
    <mergeCell ref="FK9:FL9"/>
    <mergeCell ref="FO9:FP9"/>
    <mergeCell ref="FR9:FS9"/>
    <mergeCell ref="FU9:FV9"/>
    <mergeCell ref="FY9:FZ9"/>
    <mergeCell ref="GB9:GC9"/>
    <mergeCell ref="EQ9:ER9"/>
    <mergeCell ref="EU9:EV9"/>
    <mergeCell ref="EX9:EY9"/>
    <mergeCell ref="FA9:FB9"/>
    <mergeCell ref="FE9:FF9"/>
    <mergeCell ref="FH9:FI9"/>
    <mergeCell ref="DW9:DX9"/>
    <mergeCell ref="EA9:EB9"/>
    <mergeCell ref="ED9:EE9"/>
    <mergeCell ref="EG9:EH9"/>
    <mergeCell ref="EK9:EL9"/>
    <mergeCell ref="EN9:EO9"/>
    <mergeCell ref="DC9:DD9"/>
    <mergeCell ref="DG9:DH9"/>
    <mergeCell ref="DJ9:DK9"/>
    <mergeCell ref="DM9:DN9"/>
    <mergeCell ref="DQ9:DR9"/>
    <mergeCell ref="DT9:DU9"/>
    <mergeCell ref="CI9:CJ9"/>
    <mergeCell ref="CM9:CN9"/>
    <mergeCell ref="CP9:CQ9"/>
    <mergeCell ref="CS9:CT9"/>
    <mergeCell ref="CW9:CX9"/>
    <mergeCell ref="CZ9:DA9"/>
    <mergeCell ref="BO9:BP9"/>
    <mergeCell ref="BS9:BT9"/>
    <mergeCell ref="BV9:BW9"/>
    <mergeCell ref="BY9:BZ9"/>
    <mergeCell ref="CC9:CD9"/>
    <mergeCell ref="CF9:CG9"/>
    <mergeCell ref="AU9:AV9"/>
    <mergeCell ref="AY9:AZ9"/>
    <mergeCell ref="BB9:BC9"/>
    <mergeCell ref="BE9:BF9"/>
    <mergeCell ref="BI9:BJ9"/>
    <mergeCell ref="BL9:BM9"/>
    <mergeCell ref="AA9:AB9"/>
    <mergeCell ref="AE9:AF9"/>
    <mergeCell ref="AH9:AI9"/>
    <mergeCell ref="AK9:AL9"/>
    <mergeCell ref="AO9:AP9"/>
    <mergeCell ref="AR9:AS9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IZ8:JA8"/>
    <mergeCell ref="JC8:JD8"/>
    <mergeCell ref="JG8:JH8"/>
    <mergeCell ref="JJ8:JK8"/>
    <mergeCell ref="JM8:JN8"/>
    <mergeCell ref="JQ8:JR8"/>
    <mergeCell ref="HM8:HY8"/>
    <mergeCell ref="HZ8:IL8"/>
    <mergeCell ref="IM8:IN8"/>
    <mergeCell ref="IP8:IQ8"/>
    <mergeCell ref="IS8:IT8"/>
    <mergeCell ref="IW8:IX8"/>
    <mergeCell ref="GS8:GT8"/>
    <mergeCell ref="GV8:GW8"/>
    <mergeCell ref="GY8:GZ8"/>
    <mergeCell ref="HC8:HD8"/>
    <mergeCell ref="HF8:HG8"/>
    <mergeCell ref="HI8:HJ8"/>
    <mergeCell ref="FY8:FZ8"/>
    <mergeCell ref="GB8:GC8"/>
    <mergeCell ref="GE8:GF8"/>
    <mergeCell ref="GI8:GJ8"/>
    <mergeCell ref="GL8:GM8"/>
    <mergeCell ref="GO8:GP8"/>
    <mergeCell ref="FE8:FF8"/>
    <mergeCell ref="FH8:FI8"/>
    <mergeCell ref="FK8:FL8"/>
    <mergeCell ref="FO8:FP8"/>
    <mergeCell ref="FR8:FS8"/>
    <mergeCell ref="FU8:FV8"/>
    <mergeCell ref="EK8:EL8"/>
    <mergeCell ref="EN8:EO8"/>
    <mergeCell ref="EQ8:ER8"/>
    <mergeCell ref="EU8:EV8"/>
    <mergeCell ref="EX8:EY8"/>
    <mergeCell ref="FA8:FB8"/>
    <mergeCell ref="DQ8:DR8"/>
    <mergeCell ref="DT8:DU8"/>
    <mergeCell ref="DW8:DX8"/>
    <mergeCell ref="EA8:EB8"/>
    <mergeCell ref="ED8:EE8"/>
    <mergeCell ref="EG8:EH8"/>
    <mergeCell ref="DC8:DD8"/>
    <mergeCell ref="DG8:DH8"/>
    <mergeCell ref="DJ8:DK8"/>
    <mergeCell ref="DM8:DN8"/>
    <mergeCell ref="CC8:CD8"/>
    <mergeCell ref="CF8:CG8"/>
    <mergeCell ref="CI8:CJ8"/>
    <mergeCell ref="CM8:CN8"/>
    <mergeCell ref="CP8:CQ8"/>
    <mergeCell ref="CS8:CT8"/>
    <mergeCell ref="U8:V8"/>
    <mergeCell ref="X8:Y8"/>
    <mergeCell ref="AA8:AB8"/>
    <mergeCell ref="AE8:AF8"/>
    <mergeCell ref="AH8:AI8"/>
    <mergeCell ref="AK8:AL8"/>
    <mergeCell ref="IM7:IV7"/>
    <mergeCell ref="IW7:JF7"/>
    <mergeCell ref="JG7:JP7"/>
    <mergeCell ref="DG7:DP7"/>
    <mergeCell ref="BI8:BJ8"/>
    <mergeCell ref="BL8:BM8"/>
    <mergeCell ref="BO8:BP8"/>
    <mergeCell ref="BS8:BT8"/>
    <mergeCell ref="BV8:BW8"/>
    <mergeCell ref="BY8:BZ8"/>
    <mergeCell ref="AO8:AP8"/>
    <mergeCell ref="AR8:AS8"/>
    <mergeCell ref="AU8:AV8"/>
    <mergeCell ref="AY8:AZ8"/>
    <mergeCell ref="BB8:BC8"/>
    <mergeCell ref="BE8:BF8"/>
    <mergeCell ref="CW8:CX8"/>
    <mergeCell ref="CZ8:DA8"/>
    <mergeCell ref="JQ7:JZ7"/>
    <mergeCell ref="A8:B8"/>
    <mergeCell ref="D8:E8"/>
    <mergeCell ref="G8:H8"/>
    <mergeCell ref="K8:L8"/>
    <mergeCell ref="N8:O8"/>
    <mergeCell ref="Q8:R8"/>
    <mergeCell ref="FY7:GH7"/>
    <mergeCell ref="GI7:GR7"/>
    <mergeCell ref="GS7:HB7"/>
    <mergeCell ref="HC7:HL7"/>
    <mergeCell ref="HM7:HY7"/>
    <mergeCell ref="HZ7:IL7"/>
    <mergeCell ref="DQ7:DZ7"/>
    <mergeCell ref="EA7:EJ7"/>
    <mergeCell ref="EK7:ET7"/>
    <mergeCell ref="EU7:FD7"/>
    <mergeCell ref="FE7:FN7"/>
    <mergeCell ref="FO7:FX7"/>
    <mergeCell ref="BI7:BR7"/>
    <mergeCell ref="BS7:CB7"/>
    <mergeCell ref="CC7:CL7"/>
    <mergeCell ref="CM7:CV7"/>
    <mergeCell ref="CW7:DF7"/>
    <mergeCell ref="A7:J7"/>
    <mergeCell ref="K7:T7"/>
    <mergeCell ref="U7:AD7"/>
    <mergeCell ref="AE7:AN7"/>
    <mergeCell ref="AO7:AX7"/>
    <mergeCell ref="AY7:BH7"/>
    <mergeCell ref="JG6:JH6"/>
    <mergeCell ref="JJ6:JK6"/>
    <mergeCell ref="JM6:JN6"/>
    <mergeCell ref="GS6:GT6"/>
    <mergeCell ref="GV6:GW6"/>
    <mergeCell ref="GY6:GZ6"/>
    <mergeCell ref="HC6:HD6"/>
    <mergeCell ref="HF6:HG6"/>
    <mergeCell ref="HI6:HJ6"/>
    <mergeCell ref="FY6:FZ6"/>
    <mergeCell ref="GB6:GC6"/>
    <mergeCell ref="GE6:GF6"/>
    <mergeCell ref="GI6:GJ6"/>
    <mergeCell ref="GL6:GM6"/>
    <mergeCell ref="GO6:GP6"/>
    <mergeCell ref="FE6:FF6"/>
    <mergeCell ref="FH6:FI6"/>
    <mergeCell ref="FK6:FL6"/>
    <mergeCell ref="JQ6:JR6"/>
    <mergeCell ref="JT6:JU6"/>
    <mergeCell ref="JW6:JX6"/>
    <mergeCell ref="IM6:IN6"/>
    <mergeCell ref="IP6:IQ6"/>
    <mergeCell ref="IS6:IT6"/>
    <mergeCell ref="IW6:IX6"/>
    <mergeCell ref="IZ6:JA6"/>
    <mergeCell ref="JC6:JD6"/>
    <mergeCell ref="FO6:FP6"/>
    <mergeCell ref="FR6:FS6"/>
    <mergeCell ref="FU6:FV6"/>
    <mergeCell ref="EK6:EL6"/>
    <mergeCell ref="EN6:EO6"/>
    <mergeCell ref="EQ6:ER6"/>
    <mergeCell ref="EU6:EV6"/>
    <mergeCell ref="EX6:EY6"/>
    <mergeCell ref="FA6:FB6"/>
    <mergeCell ref="DQ6:DR6"/>
    <mergeCell ref="DT6:DU6"/>
    <mergeCell ref="DW6:DX6"/>
    <mergeCell ref="EA6:EB6"/>
    <mergeCell ref="ED6:EE6"/>
    <mergeCell ref="EG6:EH6"/>
    <mergeCell ref="CW6:CX6"/>
    <mergeCell ref="CZ6:DA6"/>
    <mergeCell ref="DC6:DD6"/>
    <mergeCell ref="DG6:DH6"/>
    <mergeCell ref="DJ6:DK6"/>
    <mergeCell ref="DM6:DN6"/>
    <mergeCell ref="CC6:CD6"/>
    <mergeCell ref="CF6:CG6"/>
    <mergeCell ref="CI6:CJ6"/>
    <mergeCell ref="CM6:CN6"/>
    <mergeCell ref="CP6:CQ6"/>
    <mergeCell ref="CS6:CT6"/>
    <mergeCell ref="BI6:BJ6"/>
    <mergeCell ref="BL6:BM6"/>
    <mergeCell ref="BO6:BP6"/>
    <mergeCell ref="BS6:BT6"/>
    <mergeCell ref="BV6:BW6"/>
    <mergeCell ref="BY6:BZ6"/>
    <mergeCell ref="AO6:AP6"/>
    <mergeCell ref="AR6:AS6"/>
    <mergeCell ref="AU6:AV6"/>
    <mergeCell ref="AY6:AZ6"/>
    <mergeCell ref="BB6:BC6"/>
    <mergeCell ref="BE6:BF6"/>
    <mergeCell ref="U6:V6"/>
    <mergeCell ref="X6:Y6"/>
    <mergeCell ref="AA6:AB6"/>
    <mergeCell ref="AE6:AF6"/>
    <mergeCell ref="AH6:AI6"/>
    <mergeCell ref="AK6:AL6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FY5:FZ5"/>
    <mergeCell ref="GI5:GJ5"/>
    <mergeCell ref="GS5:GT5"/>
    <mergeCell ref="HC5:HD5"/>
    <mergeCell ref="HM5:HN5"/>
    <mergeCell ref="HZ5:IA5"/>
    <mergeCell ref="DQ5:DR5"/>
    <mergeCell ref="EA5:EB5"/>
    <mergeCell ref="EK5:EL5"/>
    <mergeCell ref="EU5:EV5"/>
    <mergeCell ref="FE5:FF5"/>
    <mergeCell ref="FO5:FP5"/>
    <mergeCell ref="BI5:BJ5"/>
    <mergeCell ref="BS5:BT5"/>
    <mergeCell ref="CC5:CD5"/>
    <mergeCell ref="CM5:CN5"/>
    <mergeCell ref="CW5:CX5"/>
    <mergeCell ref="DG5:DH5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FY4:FZ4"/>
    <mergeCell ref="GI4:GJ4"/>
    <mergeCell ref="GS4:GT4"/>
    <mergeCell ref="HC4:HD4"/>
    <mergeCell ref="HM4:HN4"/>
    <mergeCell ref="HZ4:IA4"/>
    <mergeCell ref="DQ4:DR4"/>
    <mergeCell ref="EA4:EB4"/>
    <mergeCell ref="EK4:EL4"/>
    <mergeCell ref="EU4:EV4"/>
    <mergeCell ref="FE4:FF4"/>
    <mergeCell ref="FO4:FP4"/>
    <mergeCell ref="BI4:BJ4"/>
    <mergeCell ref="BS4:BT4"/>
    <mergeCell ref="CC4:CD4"/>
    <mergeCell ref="CM4:CN4"/>
    <mergeCell ref="CW4:CX4"/>
    <mergeCell ref="DG4:DH4"/>
    <mergeCell ref="IM3:IN3"/>
    <mergeCell ref="CM3:CN3"/>
    <mergeCell ref="CW3:CX3"/>
    <mergeCell ref="DG3:DH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FY3:FZ3"/>
    <mergeCell ref="GI3:GJ3"/>
    <mergeCell ref="GS3:GT3"/>
    <mergeCell ref="HC3:HD3"/>
    <mergeCell ref="HM3:HN3"/>
    <mergeCell ref="HZ3:IA3"/>
    <mergeCell ref="DQ3:DR3"/>
    <mergeCell ref="EA3:EB3"/>
    <mergeCell ref="EK3:EL3"/>
    <mergeCell ref="EU3:EV3"/>
    <mergeCell ref="FE3:FF3"/>
    <mergeCell ref="FO3:FP3"/>
    <mergeCell ref="BI3:BJ3"/>
    <mergeCell ref="BS3:BT3"/>
    <mergeCell ref="CC3:CD3"/>
    <mergeCell ref="A3:B3"/>
    <mergeCell ref="K3:L3"/>
    <mergeCell ref="U3:V3"/>
    <mergeCell ref="AE3:AF3"/>
    <mergeCell ref="AO3:AP3"/>
    <mergeCell ref="AY3:AZ3"/>
    <mergeCell ref="JG2:JH2"/>
    <mergeCell ref="JJ2:JK2"/>
    <mergeCell ref="JM2:JN2"/>
    <mergeCell ref="GS2:GT2"/>
    <mergeCell ref="GV2:GW2"/>
    <mergeCell ref="GY2:GZ2"/>
    <mergeCell ref="HC2:HD2"/>
    <mergeCell ref="HF2:HG2"/>
    <mergeCell ref="HI2:HJ2"/>
    <mergeCell ref="FY2:FZ2"/>
    <mergeCell ref="GB2:GC2"/>
    <mergeCell ref="GE2:GF2"/>
    <mergeCell ref="GI2:GJ2"/>
    <mergeCell ref="GL2:GM2"/>
    <mergeCell ref="GO2:GP2"/>
    <mergeCell ref="FE2:FF2"/>
    <mergeCell ref="FH2:FI2"/>
    <mergeCell ref="FK2:FL2"/>
    <mergeCell ref="JQ2:JR2"/>
    <mergeCell ref="JT2:JU2"/>
    <mergeCell ref="JW2:JX2"/>
    <mergeCell ref="IM2:IN2"/>
    <mergeCell ref="IP2:IQ2"/>
    <mergeCell ref="IS2:IT2"/>
    <mergeCell ref="IW2:IX2"/>
    <mergeCell ref="IZ2:JA2"/>
    <mergeCell ref="JC2:JD2"/>
    <mergeCell ref="FO2:FP2"/>
    <mergeCell ref="FR2:FS2"/>
    <mergeCell ref="FU2:FV2"/>
    <mergeCell ref="EK2:EL2"/>
    <mergeCell ref="EN2:EO2"/>
    <mergeCell ref="EQ2:ER2"/>
    <mergeCell ref="EU2:EV2"/>
    <mergeCell ref="EX2:EY2"/>
    <mergeCell ref="FA2:FB2"/>
    <mergeCell ref="DQ2:DR2"/>
    <mergeCell ref="DT2:DU2"/>
    <mergeCell ref="DW2:DX2"/>
    <mergeCell ref="EA2:EB2"/>
    <mergeCell ref="ED2:EE2"/>
    <mergeCell ref="EG2:EH2"/>
    <mergeCell ref="CW2:CX2"/>
    <mergeCell ref="CZ2:DA2"/>
    <mergeCell ref="DC2:DD2"/>
    <mergeCell ref="DG2:DH2"/>
    <mergeCell ref="DJ2:DK2"/>
    <mergeCell ref="DM2:DN2"/>
    <mergeCell ref="CC2:CD2"/>
    <mergeCell ref="CF2:CG2"/>
    <mergeCell ref="CI2:CJ2"/>
    <mergeCell ref="CM2:CN2"/>
    <mergeCell ref="CP2:CQ2"/>
    <mergeCell ref="CS2:CT2"/>
    <mergeCell ref="BI2:BJ2"/>
    <mergeCell ref="BL2:BM2"/>
    <mergeCell ref="BO2:BP2"/>
    <mergeCell ref="BS2:BT2"/>
    <mergeCell ref="BV2:BW2"/>
    <mergeCell ref="BY2:BZ2"/>
    <mergeCell ref="AO2:AP2"/>
    <mergeCell ref="AR2:AS2"/>
    <mergeCell ref="AU2:AV2"/>
    <mergeCell ref="AY2:AZ2"/>
    <mergeCell ref="BB2:BC2"/>
    <mergeCell ref="BE2:BF2"/>
    <mergeCell ref="U2:V2"/>
    <mergeCell ref="X2:Y2"/>
    <mergeCell ref="AA2:AB2"/>
    <mergeCell ref="AE2:AF2"/>
    <mergeCell ref="AH2:AI2"/>
    <mergeCell ref="AK2:AL2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FY1:FZ1"/>
    <mergeCell ref="GI1:GJ1"/>
    <mergeCell ref="GS1:GT1"/>
    <mergeCell ref="HC1:HD1"/>
    <mergeCell ref="HM1:HN1"/>
    <mergeCell ref="HZ1:IA1"/>
    <mergeCell ref="DQ1:DR1"/>
    <mergeCell ref="EA1:EB1"/>
    <mergeCell ref="EK1:EL1"/>
    <mergeCell ref="EU1:EV1"/>
    <mergeCell ref="FE1:FF1"/>
    <mergeCell ref="FO1:FP1"/>
    <mergeCell ref="BI1:BJ1"/>
    <mergeCell ref="BS1:BT1"/>
    <mergeCell ref="CC1:CD1"/>
    <mergeCell ref="CM1:CN1"/>
    <mergeCell ref="CW1:CX1"/>
    <mergeCell ref="DG1:DH1"/>
    <mergeCell ref="A1:B1"/>
    <mergeCell ref="K1:L1"/>
    <mergeCell ref="U1:V1"/>
    <mergeCell ref="AE1:AF1"/>
    <mergeCell ref="AO1:AP1"/>
    <mergeCell ref="AY1:AZ1"/>
  </mergeCells>
  <pageMargins left="0.7" right="0.7" top="0.75" bottom="0.75" header="0.3" footer="0.3"/>
  <pageSetup scale="41" fitToWidth="0" pageOrder="overThenDown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8080-DA90-48AE-887B-660768E4CB82}">
  <dimension ref="A1:JZ38"/>
  <sheetViews>
    <sheetView view="pageBreakPreview" zoomScale="28" zoomScaleNormal="50" zoomScaleSheetLayoutView="28" workbookViewId="0">
      <selection activeCell="A10" sqref="A10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79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46228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46228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1">
        <v>46225</v>
      </c>
      <c r="B9" s="71"/>
      <c r="D9" s="70"/>
      <c r="E9" s="70"/>
      <c r="G9" s="70">
        <f>A9+3</f>
        <v>46228</v>
      </c>
      <c r="H9" s="70"/>
      <c r="K9" s="71">
        <f>A9</f>
        <v>46225</v>
      </c>
      <c r="L9" s="71"/>
      <c r="N9" s="70"/>
      <c r="O9" s="70"/>
      <c r="Q9" s="70">
        <f>G9</f>
        <v>46228</v>
      </c>
      <c r="R9" s="70"/>
      <c r="U9" s="71">
        <f>A9</f>
        <v>46225</v>
      </c>
      <c r="V9" s="71"/>
      <c r="X9" s="70"/>
      <c r="Y9" s="70"/>
      <c r="AA9" s="70">
        <f>G9</f>
        <v>46228</v>
      </c>
      <c r="AB9" s="70"/>
      <c r="AE9" s="71">
        <f>A9</f>
        <v>46225</v>
      </c>
      <c r="AF9" s="71"/>
      <c r="AH9" s="70"/>
      <c r="AI9" s="70"/>
      <c r="AK9" s="70">
        <f>G9</f>
        <v>46228</v>
      </c>
      <c r="AL9" s="70"/>
      <c r="AO9" s="71">
        <f>A9</f>
        <v>46225</v>
      </c>
      <c r="AP9" s="71"/>
      <c r="AR9" s="70"/>
      <c r="AS9" s="70"/>
      <c r="AU9" s="70">
        <f>G9</f>
        <v>46228</v>
      </c>
      <c r="AV9" s="70"/>
      <c r="AY9" s="71">
        <f>A9</f>
        <v>46225</v>
      </c>
      <c r="AZ9" s="71"/>
      <c r="BB9" s="70"/>
      <c r="BC9" s="70"/>
      <c r="BE9" s="70">
        <f>G9</f>
        <v>46228</v>
      </c>
      <c r="BF9" s="70"/>
      <c r="BI9" s="71">
        <f>A9</f>
        <v>46225</v>
      </c>
      <c r="BJ9" s="71"/>
      <c r="BL9" s="70"/>
      <c r="BM9" s="70"/>
      <c r="BO9" s="70">
        <f>G9</f>
        <v>46228</v>
      </c>
      <c r="BP9" s="70"/>
      <c r="BS9" s="71">
        <f>A9</f>
        <v>46225</v>
      </c>
      <c r="BT9" s="71"/>
      <c r="BV9" s="70"/>
      <c r="BW9" s="70"/>
      <c r="BY9" s="70">
        <f>G9</f>
        <v>46228</v>
      </c>
      <c r="BZ9" s="70"/>
      <c r="CC9" s="71">
        <f>A9</f>
        <v>46225</v>
      </c>
      <c r="CD9" s="71"/>
      <c r="CF9" s="70"/>
      <c r="CG9" s="70"/>
      <c r="CI9" s="70">
        <f>G9</f>
        <v>46228</v>
      </c>
      <c r="CJ9" s="70"/>
      <c r="CM9" s="71">
        <f>A9</f>
        <v>46225</v>
      </c>
      <c r="CN9" s="71"/>
      <c r="CP9" s="70"/>
      <c r="CQ9" s="70"/>
      <c r="CS9" s="70">
        <f>G9</f>
        <v>46228</v>
      </c>
      <c r="CT9" s="70"/>
      <c r="CW9" s="71">
        <f>A9</f>
        <v>46225</v>
      </c>
      <c r="CX9" s="71"/>
      <c r="CZ9" s="70"/>
      <c r="DA9" s="70"/>
      <c r="DC9" s="70">
        <f>G9</f>
        <v>46228</v>
      </c>
      <c r="DD9" s="70"/>
      <c r="DG9" s="71">
        <f>A9</f>
        <v>46225</v>
      </c>
      <c r="DH9" s="71"/>
      <c r="DJ9" s="70"/>
      <c r="DK9" s="70"/>
      <c r="DM9" s="70">
        <f>G9</f>
        <v>46228</v>
      </c>
      <c r="DN9" s="70"/>
      <c r="DQ9" s="71">
        <f>A9</f>
        <v>46225</v>
      </c>
      <c r="DR9" s="71"/>
      <c r="DT9" s="70"/>
      <c r="DU9" s="70"/>
      <c r="DW9" s="70">
        <f>G9</f>
        <v>46228</v>
      </c>
      <c r="DX9" s="70"/>
      <c r="EA9" s="71">
        <f>U9</f>
        <v>46225</v>
      </c>
      <c r="EB9" s="71"/>
      <c r="ED9" s="70"/>
      <c r="EE9" s="70"/>
      <c r="EG9" s="70">
        <f>G9</f>
        <v>46228</v>
      </c>
      <c r="EH9" s="70"/>
      <c r="EK9" s="71">
        <f>A9</f>
        <v>46225</v>
      </c>
      <c r="EL9" s="71"/>
      <c r="EN9" s="70"/>
      <c r="EO9" s="70"/>
      <c r="EQ9" s="70">
        <f>G9</f>
        <v>46228</v>
      </c>
      <c r="ER9" s="70"/>
      <c r="EU9" s="71">
        <f>A9</f>
        <v>46225</v>
      </c>
      <c r="EV9" s="71"/>
      <c r="EX9" s="70"/>
      <c r="EY9" s="70"/>
      <c r="FA9" s="70">
        <f>G9</f>
        <v>46228</v>
      </c>
      <c r="FB9" s="70"/>
      <c r="FE9" s="71">
        <f>A9</f>
        <v>46225</v>
      </c>
      <c r="FF9" s="71"/>
      <c r="FH9" s="70"/>
      <c r="FI9" s="70"/>
      <c r="FK9" s="70">
        <f>G9</f>
        <v>46228</v>
      </c>
      <c r="FL9" s="70"/>
      <c r="FO9" s="71">
        <f>A9-2</f>
        <v>46223</v>
      </c>
      <c r="FP9" s="71"/>
      <c r="FR9" s="70">
        <f>A9+1</f>
        <v>46226</v>
      </c>
      <c r="FS9" s="70"/>
      <c r="FU9" s="70">
        <f>G9</f>
        <v>46228</v>
      </c>
      <c r="FV9" s="70"/>
      <c r="FY9" s="71">
        <f>A9-2</f>
        <v>46223</v>
      </c>
      <c r="FZ9" s="71"/>
      <c r="GB9" s="70">
        <f>A9+1</f>
        <v>46226</v>
      </c>
      <c r="GC9" s="70"/>
      <c r="GE9" s="70">
        <f>G9</f>
        <v>46228</v>
      </c>
      <c r="GF9" s="70"/>
      <c r="GI9" s="71">
        <f>A9-2</f>
        <v>46223</v>
      </c>
      <c r="GJ9" s="71"/>
      <c r="GL9" s="70">
        <f>A9+1</f>
        <v>46226</v>
      </c>
      <c r="GM9" s="70"/>
      <c r="GO9" s="70">
        <f>G9</f>
        <v>46228</v>
      </c>
      <c r="GP9" s="70"/>
      <c r="GS9" s="71">
        <f>A9-2</f>
        <v>46223</v>
      </c>
      <c r="GT9" s="71"/>
      <c r="GV9" s="70">
        <f>A9+1</f>
        <v>46226</v>
      </c>
      <c r="GW9" s="70"/>
      <c r="GY9" s="70">
        <f>G9</f>
        <v>46228</v>
      </c>
      <c r="GZ9" s="70"/>
      <c r="HC9" s="71">
        <f>A9</f>
        <v>46225</v>
      </c>
      <c r="HD9" s="71"/>
      <c r="HF9" s="70"/>
      <c r="HG9" s="70"/>
      <c r="HI9" s="70">
        <f>G9</f>
        <v>46228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1">
        <f>A9</f>
        <v>46225</v>
      </c>
      <c r="IN9" s="71"/>
      <c r="IP9" s="70"/>
      <c r="IQ9" s="70"/>
      <c r="IS9" s="70">
        <f>IM9+3</f>
        <v>46228</v>
      </c>
      <c r="IT9" s="70"/>
      <c r="IW9" s="71">
        <f>A9</f>
        <v>46225</v>
      </c>
      <c r="IX9" s="71"/>
      <c r="IZ9" s="70"/>
      <c r="JA9" s="70"/>
      <c r="JC9" s="70">
        <f>IW9+3</f>
        <v>46228</v>
      </c>
      <c r="JD9" s="70"/>
      <c r="JG9" s="71">
        <f>A9-2</f>
        <v>46223</v>
      </c>
      <c r="JH9" s="71"/>
      <c r="JJ9" s="70"/>
      <c r="JK9" s="70"/>
      <c r="JM9" s="70"/>
      <c r="JN9" s="70"/>
      <c r="JQ9" s="71">
        <f>A9+1</f>
        <v>46226</v>
      </c>
      <c r="JR9" s="71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55" t="s">
        <v>30</v>
      </c>
      <c r="HO10" s="23" t="s">
        <v>31</v>
      </c>
      <c r="HP10" s="55" t="s">
        <v>32</v>
      </c>
      <c r="HQ10" s="23" t="s">
        <v>33</v>
      </c>
      <c r="HR10" s="55" t="s">
        <v>34</v>
      </c>
      <c r="HS10" s="23" t="s">
        <v>35</v>
      </c>
      <c r="HT10" s="55" t="s">
        <v>36</v>
      </c>
      <c r="HU10" s="23" t="s">
        <v>37</v>
      </c>
      <c r="HV10" s="55" t="s">
        <v>38</v>
      </c>
      <c r="HW10" s="23" t="s">
        <v>39</v>
      </c>
      <c r="HX10" s="55" t="s">
        <v>40</v>
      </c>
      <c r="HY10" s="23" t="s">
        <v>70</v>
      </c>
      <c r="HZ10" s="22" t="s">
        <v>28</v>
      </c>
      <c r="IA10" s="55" t="s">
        <v>71</v>
      </c>
      <c r="IB10" s="23" t="s">
        <v>72</v>
      </c>
      <c r="IC10" s="55" t="s">
        <v>73</v>
      </c>
      <c r="ID10" s="23" t="s">
        <v>61</v>
      </c>
      <c r="IE10" s="55" t="s">
        <v>62</v>
      </c>
      <c r="IF10" s="23" t="s">
        <v>63</v>
      </c>
      <c r="IG10" s="55" t="s">
        <v>74</v>
      </c>
      <c r="IH10" s="23" t="s">
        <v>75</v>
      </c>
      <c r="II10" s="55" t="s">
        <v>76</v>
      </c>
      <c r="IJ10" s="23"/>
      <c r="IK10" s="55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/>
      <c r="D11" s="42"/>
      <c r="E11" s="43"/>
      <c r="G11" s="42" t="str">
        <f t="shared" ref="G11:G29" si="0">A11</f>
        <v>STEAK TACO</v>
      </c>
      <c r="H11" s="43"/>
      <c r="J11" s="44">
        <f t="shared" ref="J11:J29" si="1">B11+E11+H11</f>
        <v>0</v>
      </c>
      <c r="K11" s="42" t="str">
        <f t="shared" ref="K11:K29" si="2">A11</f>
        <v>STEAK TACO</v>
      </c>
      <c r="L11" s="43"/>
      <c r="N11" s="42"/>
      <c r="O11" s="43"/>
      <c r="Q11" s="42" t="str">
        <f t="shared" ref="Q11:Q29" si="3">A11</f>
        <v>STEAK TACO</v>
      </c>
      <c r="R11" s="43"/>
      <c r="T11" s="44">
        <f t="shared" ref="T11:T29" si="4">L11+O11+R11</f>
        <v>0</v>
      </c>
      <c r="U11" s="42" t="str">
        <f t="shared" ref="U11:U29" si="5">A11</f>
        <v>STEAK TACO</v>
      </c>
      <c r="V11" s="43"/>
      <c r="X11" s="42"/>
      <c r="Y11" s="43"/>
      <c r="AA11" s="42" t="str">
        <f t="shared" ref="AA11:AA29" si="6">A11</f>
        <v>STEAK TACO</v>
      </c>
      <c r="AB11" s="43"/>
      <c r="AD11" s="44">
        <f t="shared" ref="AD11:AD29" si="7">V11+Y11+AB11</f>
        <v>0</v>
      </c>
      <c r="AE11" s="42" t="str">
        <f t="shared" ref="AE11:AE29" si="8">A11</f>
        <v>STEAK TACO</v>
      </c>
      <c r="AF11" s="43"/>
      <c r="AH11" s="42"/>
      <c r="AI11" s="43"/>
      <c r="AK11" s="42" t="str">
        <f t="shared" ref="AK11:AK29" si="9">A11</f>
        <v>STEAK TACO</v>
      </c>
      <c r="AL11" s="43"/>
      <c r="AN11" s="44">
        <f t="shared" ref="AN11:AN29" si="10">AF11+AI11+AL11</f>
        <v>0</v>
      </c>
      <c r="AO11" s="42" t="str">
        <f t="shared" ref="AO11:AO29" si="11">A11</f>
        <v>STEAK TACO</v>
      </c>
      <c r="AP11" s="43"/>
      <c r="AR11" s="42"/>
      <c r="AS11" s="43"/>
      <c r="AU11" s="42" t="str">
        <f t="shared" ref="AU11:AU29" si="12">A11</f>
        <v>STEAK TACO</v>
      </c>
      <c r="AV11" s="43"/>
      <c r="AX11" s="44">
        <f t="shared" ref="AX11:AX29" si="13">AP11+AS11+AV11</f>
        <v>0</v>
      </c>
      <c r="AY11" s="42" t="str">
        <f t="shared" ref="AY11:AY29" si="14">A11</f>
        <v>STEAK TACO</v>
      </c>
      <c r="AZ11" s="43"/>
      <c r="BB11" s="42"/>
      <c r="BC11" s="43"/>
      <c r="BE11" s="42" t="str">
        <f t="shared" ref="BE11:BE29" si="15">A11</f>
        <v>STEAK TACO</v>
      </c>
      <c r="BF11" s="43"/>
      <c r="BH11" s="44">
        <f t="shared" ref="BH11:BH29" si="16">AZ11+BC11+BF11</f>
        <v>0</v>
      </c>
      <c r="BI11" s="42" t="str">
        <f t="shared" ref="BI11:BI29" si="17">A11</f>
        <v>STEAK TACO</v>
      </c>
      <c r="BJ11" s="43"/>
      <c r="BL11" s="42"/>
      <c r="BM11" s="43"/>
      <c r="BO11" s="42" t="str">
        <f t="shared" ref="BO11:BO29" si="18">A11</f>
        <v>STEAK TACO</v>
      </c>
      <c r="BP11" s="43"/>
      <c r="BR11" s="44">
        <f t="shared" ref="BR11:BR29" si="19">BJ11+BM11+BP11</f>
        <v>0</v>
      </c>
      <c r="BS11" s="42" t="str">
        <f t="shared" ref="BS11:BS29" si="20">A11</f>
        <v>STEAK TACO</v>
      </c>
      <c r="BT11" s="43"/>
      <c r="BV11" s="42"/>
      <c r="BW11" s="43"/>
      <c r="BY11" s="42" t="str">
        <f t="shared" ref="BY11:BY29" si="21">A11</f>
        <v>STEAK TACO</v>
      </c>
      <c r="BZ11" s="43"/>
      <c r="CB11" s="44">
        <f t="shared" ref="CB11:CB29" si="22">BT11+BW11+BZ11</f>
        <v>0</v>
      </c>
      <c r="CC11" s="42" t="str">
        <f t="shared" ref="CC11:CC29" si="23">A11</f>
        <v>STEAK TACO</v>
      </c>
      <c r="CD11" s="43"/>
      <c r="CF11" s="42"/>
      <c r="CG11" s="43"/>
      <c r="CI11" s="42" t="str">
        <f t="shared" ref="CI11:CI29" si="24">A11</f>
        <v>STEAK TACO</v>
      </c>
      <c r="CJ11" s="43"/>
      <c r="CL11" s="44">
        <f t="shared" ref="CL11:CL29" si="25">CD11+CG11+CJ11</f>
        <v>0</v>
      </c>
      <c r="CM11" s="42" t="str">
        <f t="shared" ref="CM11:CM29" si="26">A11</f>
        <v>STEAK TACO</v>
      </c>
      <c r="CN11" s="43"/>
      <c r="CP11" s="42"/>
      <c r="CQ11" s="43"/>
      <c r="CS11" s="42" t="str">
        <f t="shared" ref="CS11:CS29" si="27">A11</f>
        <v>STEAK TACO</v>
      </c>
      <c r="CT11" s="43"/>
      <c r="CV11" s="44">
        <f t="shared" ref="CV11:CV29" si="28">CN11+CQ11+CT11</f>
        <v>0</v>
      </c>
      <c r="CW11" s="42" t="str">
        <f t="shared" ref="CW11:CW29" si="29">A11</f>
        <v>STEAK TACO</v>
      </c>
      <c r="CX11" s="43"/>
      <c r="CZ11" s="42"/>
      <c r="DA11" s="43"/>
      <c r="DC11" s="42" t="str">
        <f t="shared" ref="DC11:DC16" si="30">AE11</f>
        <v>STEAK TACO</v>
      </c>
      <c r="DD11" s="43"/>
      <c r="DF11" s="44">
        <f t="shared" ref="DF11:DF29" si="31">CX11+DA11+DD11</f>
        <v>0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/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/>
      <c r="FD11" s="44">
        <f t="shared" ref="FD11:FD29" si="49">EV11+EY11+FB11</f>
        <v>0</v>
      </c>
      <c r="FE11" s="42" t="str">
        <f t="shared" ref="FE11:FE29" si="50">A11</f>
        <v>STEAK TACO</v>
      </c>
      <c r="FF11" s="43"/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/>
      <c r="FN11" s="44">
        <f t="shared" ref="FN11:FN29" si="53">FF11+FI11+FL11</f>
        <v>0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 t="shared" ref="GR11:GR29" si="65">GJ11+GM11+GP11</f>
        <v>0</v>
      </c>
      <c r="GS11" s="42" t="str">
        <f t="shared" ref="GS11:GS29" si="66">AO11</f>
        <v>STEAK TACO</v>
      </c>
      <c r="GT11" s="43"/>
      <c r="GV11" s="42" t="str">
        <f t="shared" ref="GV11:GV29" si="67">AO11</f>
        <v>STEAK TACO</v>
      </c>
      <c r="GW11" s="43"/>
      <c r="GY11" s="42" t="str">
        <f t="shared" ref="GY11:GY29" si="68">AO11</f>
        <v>STEAK TACO</v>
      </c>
      <c r="GZ11" s="43"/>
      <c r="HB11" s="44">
        <f t="shared" ref="HB11:HB29" si="69">GT11+GW11+GZ11</f>
        <v>0</v>
      </c>
      <c r="HC11" s="42" t="str">
        <f t="shared" ref="HC11:HC29" si="70">A11</f>
        <v>STEAK TACO</v>
      </c>
      <c r="HD11" s="43">
        <f t="shared" ref="HD11:HD29" si="71">B11+L11+V11+AF11+AP11+AZ11+BJ11+BT11+CD11+CN11+CX11+DH11+DR11+EB11+EL11+EV11+FF11</f>
        <v>0</v>
      </c>
      <c r="HF11" s="42" t="str">
        <f t="shared" ref="HF11:HF29" si="72">A11</f>
        <v>STEAK TACO</v>
      </c>
      <c r="HG11" s="43">
        <f t="shared" ref="HG11:HG29" si="73">E11+O11+Y11+AI11+AS11+BC11+BM11+BW11+CG11+CQ11+DA11+DK11+DU11+EE11+EO11+EY11+FI11</f>
        <v>0</v>
      </c>
      <c r="HI11" s="42" t="str">
        <f t="shared" ref="HI11:HI29" si="74">A11</f>
        <v>STEAK TACO</v>
      </c>
      <c r="HJ11" s="43">
        <f t="shared" ref="HJ11:HJ29" si="75">H11+R11+AB11+AL11+AV11+BF11+BP11+BZ11+CJ11+CT11+DD11+DN11+DX11+EH11+ER11+FB11+FL11</f>
        <v>0</v>
      </c>
      <c r="HL11" s="43">
        <f t="shared" ref="HL11:HL29" si="76">J11+T11+AD11+AN11+AX11+BH11+BR11+CB11+CL11+CV11+DF11+DP11+DZ11+EJ11+ET11+FD11+FN11+FX11+GH11+GR11+HB11</f>
        <v>0</v>
      </c>
      <c r="HM11" s="42" t="str">
        <f t="shared" ref="HM11:HM29" si="77">A11</f>
        <v>STEAK TACO</v>
      </c>
      <c r="HN11" s="57">
        <f t="shared" ref="HN11:HN29" si="78">J11</f>
        <v>0</v>
      </c>
      <c r="HO11" s="44">
        <f t="shared" ref="HO11:HO29" si="79">T11</f>
        <v>0</v>
      </c>
      <c r="HP11" s="57">
        <f t="shared" ref="HP11:HP29" si="80">AD11</f>
        <v>0</v>
      </c>
      <c r="HQ11" s="44">
        <f t="shared" ref="HQ11:HQ29" si="81">AN11</f>
        <v>0</v>
      </c>
      <c r="HR11" s="57">
        <f t="shared" ref="HR11:HR29" si="82">AX11</f>
        <v>0</v>
      </c>
      <c r="HS11" s="44">
        <f t="shared" ref="HS11:HS29" si="83">BH11</f>
        <v>0</v>
      </c>
      <c r="HT11" s="57">
        <f t="shared" ref="HT11:HT29" si="84">BR11</f>
        <v>0</v>
      </c>
      <c r="HU11" s="44">
        <f t="shared" ref="HU11:HU29" si="85">CB11</f>
        <v>0</v>
      </c>
      <c r="HV11" s="57">
        <f t="shared" ref="HV11:HV29" si="86">CL11</f>
        <v>0</v>
      </c>
      <c r="HW11" s="44">
        <f t="shared" ref="HW11:HW29" si="87">CV11</f>
        <v>0</v>
      </c>
      <c r="HX11" s="57">
        <f t="shared" ref="HX11:HX29" si="88">DF11</f>
        <v>0</v>
      </c>
      <c r="HY11" s="44">
        <f t="shared" ref="HY11:HY29" si="89">DP11</f>
        <v>0</v>
      </c>
      <c r="HZ11" s="42" t="str">
        <f t="shared" ref="HZ11:HZ29" si="90">A11</f>
        <v>STEAK TACO</v>
      </c>
      <c r="IA11" s="57">
        <f t="shared" ref="IA11:IA29" si="91">DZ11</f>
        <v>0</v>
      </c>
      <c r="IB11" s="44">
        <f t="shared" ref="IB11:IB29" si="92">EJ11</f>
        <v>0</v>
      </c>
      <c r="IC11" s="57">
        <f t="shared" ref="IC11:IC29" si="93">ET11</f>
        <v>0</v>
      </c>
      <c r="ID11" s="44">
        <f t="shared" ref="ID11:ID29" si="94">FD11</f>
        <v>0</v>
      </c>
      <c r="IE11" s="57">
        <f t="shared" ref="IE11:IE29" si="95">FN11</f>
        <v>0</v>
      </c>
      <c r="IF11" s="44">
        <f t="shared" ref="IF11:IF29" si="96">FX11</f>
        <v>0</v>
      </c>
      <c r="IG11" s="57">
        <f t="shared" ref="IG11:IG29" si="97">GH11</f>
        <v>0</v>
      </c>
      <c r="IH11" s="44">
        <f t="shared" ref="IH11:IH29" si="98">GR11</f>
        <v>0</v>
      </c>
      <c r="II11" s="57">
        <f t="shared" ref="II11:II29" si="99">HB11</f>
        <v>0</v>
      </c>
      <c r="IJ11" s="44"/>
      <c r="IK11" s="57"/>
      <c r="IL11" s="44">
        <f t="shared" ref="IL11:IL29" si="100">SUM(HN11:HY11)+SUM(IA11:IK11)</f>
        <v>0</v>
      </c>
      <c r="IM11" s="42" t="str">
        <f t="shared" ref="IM11:IM29" si="101">A11</f>
        <v>STEAK TACO</v>
      </c>
      <c r="IN11" s="43">
        <f t="shared" ref="IN11:IN29" si="102">B11+L11+V11+AF11+AZ11+BJ11+CD11+EL11+EV11+FF11</f>
        <v>0</v>
      </c>
      <c r="IP11" s="42" t="str">
        <f t="shared" ref="IP11:IP29" si="103">A11</f>
        <v>STEAK TACO</v>
      </c>
      <c r="IQ11" s="43">
        <f t="shared" ref="IQ11:IQ29" si="104">E11+O11+Y11+AI11+BC11+BM11+CG11+EO11+EY11+FI11</f>
        <v>0</v>
      </c>
      <c r="IS11" s="42" t="str">
        <f t="shared" ref="IS11:IS29" si="105">A11</f>
        <v>STEAK TACO</v>
      </c>
      <c r="IT11" s="43">
        <f t="shared" ref="IT11:IT29" si="106">H11+R11+AB11+AL11+BF11+BP11+CJ11+ER11+FB11+FL11</f>
        <v>0</v>
      </c>
      <c r="IV11" s="44"/>
      <c r="IW11" s="42" t="str">
        <f t="shared" ref="IW11:IW29" si="107">A11</f>
        <v>STEAK TACO</v>
      </c>
      <c r="IX11" s="43">
        <f t="shared" ref="IX11:IX29" si="108">AP11+BT11</f>
        <v>0</v>
      </c>
      <c r="IZ11" s="42" t="str">
        <f t="shared" ref="IZ11:IZ29" si="109">A11</f>
        <v>STEAK TACO</v>
      </c>
      <c r="JA11" s="43">
        <f t="shared" ref="JA11:JA29" si="110">AS11+BW11+CQ11+DA11+DK11+DU11</f>
        <v>0</v>
      </c>
      <c r="JC11" s="42" t="str">
        <f t="shared" ref="JC11:JC29" si="111">A11</f>
        <v>STEAK TACO</v>
      </c>
      <c r="JD11" s="43">
        <f t="shared" ref="JD11:JD29" si="112">AV11+BZ11</f>
        <v>0</v>
      </c>
      <c r="JF11" s="44"/>
      <c r="JG11" s="42" t="str">
        <f t="shared" ref="JG11:JG29" si="113">K11</f>
        <v>STEAK TACO</v>
      </c>
      <c r="JH11" s="43">
        <f t="shared" ref="JH11:JH29" si="114">FP11</f>
        <v>0</v>
      </c>
      <c r="JJ11" s="42" t="str">
        <f t="shared" ref="JJ11:JJ29" si="115">K11</f>
        <v>STEAK TACO</v>
      </c>
      <c r="JK11" s="43">
        <f t="shared" ref="JK11:JK29" si="116">FZ11</f>
        <v>0</v>
      </c>
      <c r="JM11" s="42" t="str">
        <f t="shared" ref="JM11:JM29" si="117">K11</f>
        <v>STEAK TACO</v>
      </c>
      <c r="JN11" s="43">
        <f t="shared" ref="JN11:JN29" si="118">GJ11</f>
        <v>0</v>
      </c>
      <c r="JP11" s="44">
        <f t="shared" ref="JP11:JP29" si="119">JH11+JK11+JN11</f>
        <v>0</v>
      </c>
      <c r="JQ11" s="42" t="str">
        <f t="shared" ref="JQ11:JQ29" si="120">U11</f>
        <v>STEAK TACO</v>
      </c>
      <c r="JR11" s="43">
        <f t="shared" ref="JR11:JR29" si="121">FS11</f>
        <v>0</v>
      </c>
      <c r="JT11" s="42" t="str">
        <f t="shared" ref="JT11:JT29" si="122">K11</f>
        <v>STEAK TACO</v>
      </c>
      <c r="JU11" s="43">
        <f t="shared" ref="JU11:JU29" si="123">GC11</f>
        <v>0</v>
      </c>
      <c r="JW11" s="42" t="str">
        <f t="shared" ref="JW11:JW29" si="124">U11</f>
        <v>STEAK TACO</v>
      </c>
      <c r="JX11" s="43">
        <f t="shared" ref="JX11:JX29" si="125">GM11</f>
        <v>0</v>
      </c>
      <c r="JZ11" s="44">
        <f t="shared" ref="JZ11:JZ29" si="126">JR11+JU11+JX11</f>
        <v>0</v>
      </c>
    </row>
    <row r="12" spans="1:286" s="7" customFormat="1" ht="54" customHeight="1" x14ac:dyDescent="0.65">
      <c r="A12" s="46" t="s">
        <v>42</v>
      </c>
      <c r="B12" s="43"/>
      <c r="D12" s="46"/>
      <c r="E12" s="43"/>
      <c r="G12" s="42" t="str">
        <f t="shared" si="0"/>
        <v>CHICKEN</v>
      </c>
      <c r="H12" s="43"/>
      <c r="J12" s="43">
        <f t="shared" si="1"/>
        <v>0</v>
      </c>
      <c r="K12" s="42" t="str">
        <f t="shared" si="2"/>
        <v>CHICKEN</v>
      </c>
      <c r="L12" s="43"/>
      <c r="N12" s="46"/>
      <c r="O12" s="43"/>
      <c r="Q12" s="42" t="str">
        <f t="shared" si="3"/>
        <v>CHICKEN</v>
      </c>
      <c r="R12" s="43"/>
      <c r="T12" s="43">
        <f t="shared" si="4"/>
        <v>0</v>
      </c>
      <c r="U12" s="42" t="str">
        <f t="shared" si="5"/>
        <v>CHICKEN</v>
      </c>
      <c r="V12" s="43"/>
      <c r="X12" s="46"/>
      <c r="Y12" s="43"/>
      <c r="AA12" s="42" t="str">
        <f t="shared" si="6"/>
        <v>CHICKEN</v>
      </c>
      <c r="AB12" s="43"/>
      <c r="AD12" s="43">
        <f t="shared" si="7"/>
        <v>0</v>
      </c>
      <c r="AE12" s="42" t="str">
        <f t="shared" si="8"/>
        <v>CHICKEN</v>
      </c>
      <c r="AF12" s="43"/>
      <c r="AH12" s="46"/>
      <c r="AI12" s="43"/>
      <c r="AK12" s="42" t="str">
        <f t="shared" si="9"/>
        <v>CHICKEN</v>
      </c>
      <c r="AL12" s="43"/>
      <c r="AN12" s="43">
        <f t="shared" si="10"/>
        <v>0</v>
      </c>
      <c r="AO12" s="42" t="str">
        <f t="shared" si="11"/>
        <v>CHICKEN</v>
      </c>
      <c r="AP12" s="43"/>
      <c r="AR12" s="46"/>
      <c r="AS12" s="43"/>
      <c r="AU12" s="42" t="str">
        <f t="shared" si="12"/>
        <v>CHICKEN</v>
      </c>
      <c r="AV12" s="43"/>
      <c r="AX12" s="43">
        <f t="shared" si="13"/>
        <v>0</v>
      </c>
      <c r="AY12" s="42" t="str">
        <f t="shared" si="14"/>
        <v>CHICKEN</v>
      </c>
      <c r="AZ12" s="43"/>
      <c r="BB12" s="46"/>
      <c r="BC12" s="43"/>
      <c r="BE12" s="42" t="str">
        <f t="shared" si="15"/>
        <v>CHICKEN</v>
      </c>
      <c r="BF12" s="43"/>
      <c r="BH12" s="43">
        <f t="shared" si="16"/>
        <v>0</v>
      </c>
      <c r="BI12" s="42" t="str">
        <f t="shared" si="17"/>
        <v>CHICKEN</v>
      </c>
      <c r="BJ12" s="43"/>
      <c r="BL12" s="46"/>
      <c r="BM12" s="43"/>
      <c r="BO12" s="42" t="str">
        <f t="shared" si="18"/>
        <v>CHICKEN</v>
      </c>
      <c r="BP12" s="43"/>
      <c r="BR12" s="43">
        <f t="shared" si="19"/>
        <v>0</v>
      </c>
      <c r="BS12" s="42" t="str">
        <f t="shared" si="20"/>
        <v>CHICKEN</v>
      </c>
      <c r="BT12" s="43"/>
      <c r="BV12" s="46"/>
      <c r="BW12" s="43"/>
      <c r="BY12" s="42" t="str">
        <f t="shared" si="21"/>
        <v>CHICKEN</v>
      </c>
      <c r="BZ12" s="43"/>
      <c r="CB12" s="43">
        <f t="shared" si="22"/>
        <v>0</v>
      </c>
      <c r="CC12" s="42" t="str">
        <f t="shared" si="23"/>
        <v>CHICKEN</v>
      </c>
      <c r="CD12" s="43"/>
      <c r="CF12" s="46"/>
      <c r="CG12" s="43"/>
      <c r="CI12" s="42" t="str">
        <f t="shared" si="24"/>
        <v>CHICKEN</v>
      </c>
      <c r="CJ12" s="43"/>
      <c r="CL12" s="43">
        <f t="shared" si="25"/>
        <v>0</v>
      </c>
      <c r="CM12" s="42" t="str">
        <f t="shared" si="26"/>
        <v>CHICKEN</v>
      </c>
      <c r="CN12" s="43"/>
      <c r="CP12" s="42"/>
      <c r="CQ12" s="43"/>
      <c r="CS12" s="42" t="str">
        <f t="shared" si="27"/>
        <v>CHICKEN</v>
      </c>
      <c r="CT12" s="43"/>
      <c r="CV12" s="43">
        <f t="shared" si="28"/>
        <v>0</v>
      </c>
      <c r="CW12" s="42" t="str">
        <f t="shared" si="29"/>
        <v>CHICKEN</v>
      </c>
      <c r="CX12" s="43"/>
      <c r="CZ12" s="46"/>
      <c r="DA12" s="43"/>
      <c r="DC12" s="42" t="str">
        <f t="shared" si="30"/>
        <v>CHICKEN</v>
      </c>
      <c r="DD12" s="43"/>
      <c r="DF12" s="43">
        <f t="shared" si="31"/>
        <v>0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/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0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/>
      <c r="FN12" s="43">
        <f t="shared" si="53"/>
        <v>0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si="65"/>
        <v>0</v>
      </c>
      <c r="GS12" s="42" t="str">
        <f t="shared" si="66"/>
        <v>CHICKEN</v>
      </c>
      <c r="GT12" s="43"/>
      <c r="GV12" s="42" t="str">
        <f t="shared" si="67"/>
        <v>CHICKEN</v>
      </c>
      <c r="GW12" s="43"/>
      <c r="GY12" s="42" t="str">
        <f t="shared" si="68"/>
        <v>CHICKEN</v>
      </c>
      <c r="GZ12" s="43"/>
      <c r="HB12" s="43">
        <f t="shared" si="69"/>
        <v>0</v>
      </c>
      <c r="HC12" s="42" t="str">
        <f t="shared" si="70"/>
        <v>CHICKEN</v>
      </c>
      <c r="HD12" s="43">
        <f t="shared" si="71"/>
        <v>0</v>
      </c>
      <c r="HF12" s="42" t="str">
        <f t="shared" si="72"/>
        <v>CHICKEN</v>
      </c>
      <c r="HG12" s="43">
        <f t="shared" si="73"/>
        <v>0</v>
      </c>
      <c r="HI12" s="42" t="str">
        <f t="shared" si="74"/>
        <v>CHICKEN</v>
      </c>
      <c r="HJ12" s="43">
        <f t="shared" si="75"/>
        <v>0</v>
      </c>
      <c r="HL12" s="43">
        <f t="shared" si="76"/>
        <v>0</v>
      </c>
      <c r="HM12" s="42" t="str">
        <f t="shared" si="77"/>
        <v>CHICKEN</v>
      </c>
      <c r="HN12" s="57">
        <f t="shared" si="78"/>
        <v>0</v>
      </c>
      <c r="HO12" s="44">
        <f t="shared" si="79"/>
        <v>0</v>
      </c>
      <c r="HP12" s="57">
        <f t="shared" si="80"/>
        <v>0</v>
      </c>
      <c r="HQ12" s="44">
        <f t="shared" si="81"/>
        <v>0</v>
      </c>
      <c r="HR12" s="57">
        <f t="shared" si="82"/>
        <v>0</v>
      </c>
      <c r="HS12" s="44">
        <f t="shared" si="83"/>
        <v>0</v>
      </c>
      <c r="HT12" s="57">
        <f t="shared" si="84"/>
        <v>0</v>
      </c>
      <c r="HU12" s="44">
        <f t="shared" si="85"/>
        <v>0</v>
      </c>
      <c r="HV12" s="57">
        <f t="shared" si="86"/>
        <v>0</v>
      </c>
      <c r="HW12" s="44">
        <f t="shared" si="87"/>
        <v>0</v>
      </c>
      <c r="HX12" s="57">
        <f t="shared" si="88"/>
        <v>0</v>
      </c>
      <c r="HY12" s="44">
        <f t="shared" si="89"/>
        <v>0</v>
      </c>
      <c r="HZ12" s="42" t="str">
        <f t="shared" si="90"/>
        <v>CHICKEN</v>
      </c>
      <c r="IA12" s="57">
        <f t="shared" si="91"/>
        <v>0</v>
      </c>
      <c r="IB12" s="44">
        <f t="shared" si="92"/>
        <v>0</v>
      </c>
      <c r="IC12" s="57">
        <f t="shared" si="93"/>
        <v>0</v>
      </c>
      <c r="ID12" s="44">
        <f t="shared" si="94"/>
        <v>0</v>
      </c>
      <c r="IE12" s="57">
        <f t="shared" si="95"/>
        <v>0</v>
      </c>
      <c r="IF12" s="44">
        <f t="shared" si="96"/>
        <v>0</v>
      </c>
      <c r="IG12" s="57">
        <f t="shared" si="97"/>
        <v>0</v>
      </c>
      <c r="IH12" s="44">
        <f t="shared" si="98"/>
        <v>0</v>
      </c>
      <c r="II12" s="57">
        <f t="shared" si="99"/>
        <v>0</v>
      </c>
      <c r="IJ12" s="44"/>
      <c r="IK12" s="57"/>
      <c r="IL12" s="44">
        <f t="shared" si="100"/>
        <v>0</v>
      </c>
      <c r="IM12" s="42" t="str">
        <f t="shared" si="101"/>
        <v>CHICKEN</v>
      </c>
      <c r="IN12" s="43">
        <f t="shared" si="102"/>
        <v>0</v>
      </c>
      <c r="IP12" s="42" t="str">
        <f t="shared" si="103"/>
        <v>CHICKEN</v>
      </c>
      <c r="IQ12" s="43">
        <f t="shared" si="104"/>
        <v>0</v>
      </c>
      <c r="IS12" s="42" t="str">
        <f t="shared" si="105"/>
        <v>CHICKEN</v>
      </c>
      <c r="IT12" s="43">
        <f t="shared" si="106"/>
        <v>0</v>
      </c>
      <c r="IV12" s="43"/>
      <c r="IW12" s="42" t="str">
        <f t="shared" si="107"/>
        <v>CHICKEN</v>
      </c>
      <c r="IX12" s="43">
        <f t="shared" si="108"/>
        <v>0</v>
      </c>
      <c r="IZ12" s="42" t="str">
        <f t="shared" si="109"/>
        <v>CHICKEN</v>
      </c>
      <c r="JA12" s="43">
        <f t="shared" si="110"/>
        <v>0</v>
      </c>
      <c r="JC12" s="42" t="str">
        <f t="shared" si="111"/>
        <v>CHICKEN</v>
      </c>
      <c r="JD12" s="43">
        <f t="shared" si="112"/>
        <v>0</v>
      </c>
      <c r="JF12" s="43"/>
      <c r="JG12" s="42" t="str">
        <f t="shared" si="113"/>
        <v>CHICKEN</v>
      </c>
      <c r="JH12" s="43">
        <f t="shared" si="114"/>
        <v>0</v>
      </c>
      <c r="JJ12" s="42" t="str">
        <f t="shared" si="115"/>
        <v>CHICKEN</v>
      </c>
      <c r="JK12" s="43">
        <f t="shared" si="116"/>
        <v>0</v>
      </c>
      <c r="JM12" s="42" t="str">
        <f t="shared" si="117"/>
        <v>CHICKEN</v>
      </c>
      <c r="JN12" s="43">
        <f t="shared" si="118"/>
        <v>0</v>
      </c>
      <c r="JP12" s="44">
        <f t="shared" si="119"/>
        <v>0</v>
      </c>
      <c r="JQ12" s="42" t="str">
        <f t="shared" si="120"/>
        <v>CHICKEN</v>
      </c>
      <c r="JR12" s="43">
        <f t="shared" si="121"/>
        <v>0</v>
      </c>
      <c r="JT12" s="42" t="str">
        <f t="shared" si="122"/>
        <v>CHICKEN</v>
      </c>
      <c r="JU12" s="43">
        <f t="shared" si="123"/>
        <v>0</v>
      </c>
      <c r="JW12" s="42" t="str">
        <f t="shared" si="124"/>
        <v>CHICKEN</v>
      </c>
      <c r="JX12" s="43">
        <f t="shared" si="125"/>
        <v>0</v>
      </c>
      <c r="JZ12" s="44">
        <f t="shared" si="126"/>
        <v>0</v>
      </c>
    </row>
    <row r="13" spans="1:286" s="7" customFormat="1" ht="54" customHeight="1" x14ac:dyDescent="0.65">
      <c r="A13" s="46" t="s">
        <v>43</v>
      </c>
      <c r="B13" s="43"/>
      <c r="D13" s="46"/>
      <c r="E13" s="43"/>
      <c r="G13" s="42" t="str">
        <f t="shared" si="0"/>
        <v>ALPASTOR</v>
      </c>
      <c r="H13" s="43"/>
      <c r="J13" s="43">
        <f t="shared" si="1"/>
        <v>0</v>
      </c>
      <c r="K13" s="42" t="str">
        <f t="shared" si="2"/>
        <v>ALPASTOR</v>
      </c>
      <c r="L13" s="43"/>
      <c r="N13" s="46"/>
      <c r="O13" s="43"/>
      <c r="Q13" s="42" t="str">
        <f t="shared" si="3"/>
        <v>ALPASTOR</v>
      </c>
      <c r="R13" s="43"/>
      <c r="T13" s="43">
        <f t="shared" si="4"/>
        <v>0</v>
      </c>
      <c r="U13" s="42" t="str">
        <f t="shared" si="5"/>
        <v>ALPASTOR</v>
      </c>
      <c r="V13" s="43"/>
      <c r="X13" s="46"/>
      <c r="Y13" s="43"/>
      <c r="AA13" s="42" t="str">
        <f t="shared" si="6"/>
        <v>ALPASTOR</v>
      </c>
      <c r="AB13" s="43"/>
      <c r="AD13" s="43">
        <f t="shared" si="7"/>
        <v>0</v>
      </c>
      <c r="AE13" s="42" t="str">
        <f t="shared" si="8"/>
        <v>ALPASTOR</v>
      </c>
      <c r="AF13" s="43"/>
      <c r="AH13" s="46"/>
      <c r="AI13" s="43"/>
      <c r="AK13" s="42" t="str">
        <f t="shared" si="9"/>
        <v>ALPASTOR</v>
      </c>
      <c r="AL13" s="43"/>
      <c r="AN13" s="43">
        <f t="shared" si="10"/>
        <v>0</v>
      </c>
      <c r="AO13" s="42" t="str">
        <f t="shared" si="11"/>
        <v>ALPASTOR</v>
      </c>
      <c r="AP13" s="43"/>
      <c r="AR13" s="46"/>
      <c r="AS13" s="43"/>
      <c r="AU13" s="42" t="str">
        <f t="shared" si="12"/>
        <v>ALPASTOR</v>
      </c>
      <c r="AV13" s="43"/>
      <c r="AX13" s="43">
        <f t="shared" si="13"/>
        <v>0</v>
      </c>
      <c r="AY13" s="42" t="str">
        <f t="shared" si="14"/>
        <v>ALPASTOR</v>
      </c>
      <c r="AZ13" s="43"/>
      <c r="BB13" s="46"/>
      <c r="BC13" s="43"/>
      <c r="BE13" s="42" t="str">
        <f t="shared" si="15"/>
        <v>ALPASTOR</v>
      </c>
      <c r="BF13" s="43"/>
      <c r="BH13" s="43">
        <f t="shared" si="16"/>
        <v>0</v>
      </c>
      <c r="BI13" s="42" t="str">
        <f t="shared" si="17"/>
        <v>ALPASTOR</v>
      </c>
      <c r="BJ13" s="43"/>
      <c r="BL13" s="46"/>
      <c r="BM13" s="43"/>
      <c r="BO13" s="42" t="str">
        <f t="shared" si="18"/>
        <v>ALPASTOR</v>
      </c>
      <c r="BP13" s="43"/>
      <c r="BR13" s="43">
        <f t="shared" si="19"/>
        <v>0</v>
      </c>
      <c r="BS13" s="42" t="str">
        <f t="shared" si="20"/>
        <v>ALPASTOR</v>
      </c>
      <c r="BT13" s="43"/>
      <c r="BV13" s="46"/>
      <c r="BW13" s="43"/>
      <c r="BY13" s="42" t="str">
        <f t="shared" si="21"/>
        <v>ALPASTOR</v>
      </c>
      <c r="BZ13" s="43"/>
      <c r="CB13" s="43">
        <f t="shared" si="22"/>
        <v>0</v>
      </c>
      <c r="CC13" s="42" t="str">
        <f t="shared" si="23"/>
        <v>ALPASTOR</v>
      </c>
      <c r="CD13" s="43"/>
      <c r="CF13" s="46"/>
      <c r="CG13" s="43"/>
      <c r="CI13" s="42" t="str">
        <f t="shared" si="24"/>
        <v>ALPASTOR</v>
      </c>
      <c r="CJ13" s="43"/>
      <c r="CL13" s="43">
        <f t="shared" si="25"/>
        <v>0</v>
      </c>
      <c r="CM13" s="42" t="str">
        <f t="shared" si="26"/>
        <v>ALPASTOR</v>
      </c>
      <c r="CN13" s="43"/>
      <c r="CP13" s="42"/>
      <c r="CQ13" s="43"/>
      <c r="CS13" s="42" t="str">
        <f t="shared" si="27"/>
        <v>ALPASTOR</v>
      </c>
      <c r="CT13" s="43"/>
      <c r="CV13" s="43">
        <f t="shared" si="28"/>
        <v>0</v>
      </c>
      <c r="CW13" s="42" t="str">
        <f t="shared" si="29"/>
        <v>ALPASTOR</v>
      </c>
      <c r="CX13" s="43"/>
      <c r="CZ13" s="46"/>
      <c r="DA13" s="43"/>
      <c r="DC13" s="42" t="str">
        <f t="shared" si="30"/>
        <v>ALPASTOR</v>
      </c>
      <c r="DD13" s="43"/>
      <c r="DF13" s="43">
        <f t="shared" si="31"/>
        <v>0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/>
      <c r="EX13" s="42" t="str">
        <f t="shared" si="47"/>
        <v>ALPASTOR</v>
      </c>
      <c r="EY13" s="43"/>
      <c r="FA13" s="42" t="str">
        <f t="shared" si="48"/>
        <v>ALPASTOR</v>
      </c>
      <c r="FB13" s="43"/>
      <c r="FD13" s="43">
        <f t="shared" si="49"/>
        <v>0</v>
      </c>
      <c r="FE13" s="42" t="str">
        <f t="shared" si="50"/>
        <v>ALPASTOR</v>
      </c>
      <c r="FF13" s="43"/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0</v>
      </c>
      <c r="FO13" s="42" t="str">
        <f t="shared" si="54"/>
        <v>ALPASTOR</v>
      </c>
      <c r="FP13" s="43"/>
      <c r="FR13" s="42" t="str">
        <f t="shared" si="55"/>
        <v>ALPASTOR</v>
      </c>
      <c r="FS13" s="43"/>
      <c r="FU13" s="42" t="str">
        <f t="shared" si="56"/>
        <v>ALPASTOR</v>
      </c>
      <c r="FV13" s="43"/>
      <c r="FX13" s="43">
        <f t="shared" si="57"/>
        <v>0</v>
      </c>
      <c r="FY13" s="42" t="str">
        <f t="shared" si="58"/>
        <v>ALPASTOR</v>
      </c>
      <c r="FZ13" s="43"/>
      <c r="GB13" s="42" t="str">
        <f t="shared" si="59"/>
        <v>ALPASTOR</v>
      </c>
      <c r="GC13" s="43"/>
      <c r="GE13" s="42" t="str">
        <f t="shared" si="60"/>
        <v>ALPASTOR</v>
      </c>
      <c r="GF13" s="43"/>
      <c r="GH13" s="43">
        <f t="shared" si="61"/>
        <v>0</v>
      </c>
      <c r="GI13" s="42" t="str">
        <f t="shared" si="62"/>
        <v>ALPASTOR</v>
      </c>
      <c r="GJ13" s="43"/>
      <c r="GL13" s="42" t="str">
        <f t="shared" si="63"/>
        <v>ALPASTOR</v>
      </c>
      <c r="GM13" s="43"/>
      <c r="GO13" s="42" t="str">
        <f t="shared" si="64"/>
        <v>ALPASTOR</v>
      </c>
      <c r="GP13" s="43"/>
      <c r="GR13" s="43">
        <f t="shared" si="65"/>
        <v>0</v>
      </c>
      <c r="GS13" s="42" t="str">
        <f t="shared" si="66"/>
        <v>ALPASTOR</v>
      </c>
      <c r="GT13" s="43"/>
      <c r="GV13" s="42" t="str">
        <f t="shared" si="67"/>
        <v>ALPASTOR</v>
      </c>
      <c r="GW13" s="43"/>
      <c r="GY13" s="42" t="str">
        <f t="shared" si="68"/>
        <v>ALPASTOR</v>
      </c>
      <c r="GZ13" s="43"/>
      <c r="HB13" s="43">
        <f t="shared" si="69"/>
        <v>0</v>
      </c>
      <c r="HC13" s="42" t="str">
        <f t="shared" si="70"/>
        <v>ALPASTOR</v>
      </c>
      <c r="HD13" s="43">
        <f t="shared" si="71"/>
        <v>0</v>
      </c>
      <c r="HF13" s="42" t="str">
        <f t="shared" si="72"/>
        <v>ALPASTOR</v>
      </c>
      <c r="HG13" s="43">
        <f t="shared" si="73"/>
        <v>0</v>
      </c>
      <c r="HI13" s="42" t="str">
        <f t="shared" si="74"/>
        <v>ALPASTOR</v>
      </c>
      <c r="HJ13" s="43">
        <f t="shared" si="75"/>
        <v>0</v>
      </c>
      <c r="HL13" s="43">
        <f t="shared" si="76"/>
        <v>0</v>
      </c>
      <c r="HM13" s="42" t="str">
        <f t="shared" si="77"/>
        <v>ALPASTOR</v>
      </c>
      <c r="HN13" s="57">
        <f t="shared" si="78"/>
        <v>0</v>
      </c>
      <c r="HO13" s="44">
        <f t="shared" si="79"/>
        <v>0</v>
      </c>
      <c r="HP13" s="57">
        <f t="shared" si="80"/>
        <v>0</v>
      </c>
      <c r="HQ13" s="44">
        <f t="shared" si="81"/>
        <v>0</v>
      </c>
      <c r="HR13" s="57">
        <f t="shared" si="82"/>
        <v>0</v>
      </c>
      <c r="HS13" s="44">
        <f t="shared" si="83"/>
        <v>0</v>
      </c>
      <c r="HT13" s="57">
        <f t="shared" si="84"/>
        <v>0</v>
      </c>
      <c r="HU13" s="44">
        <f t="shared" si="85"/>
        <v>0</v>
      </c>
      <c r="HV13" s="57">
        <f t="shared" si="86"/>
        <v>0</v>
      </c>
      <c r="HW13" s="44">
        <f t="shared" si="87"/>
        <v>0</v>
      </c>
      <c r="HX13" s="57">
        <f t="shared" si="88"/>
        <v>0</v>
      </c>
      <c r="HY13" s="44">
        <f t="shared" si="89"/>
        <v>0</v>
      </c>
      <c r="HZ13" s="42" t="str">
        <f t="shared" si="90"/>
        <v>ALPASTOR</v>
      </c>
      <c r="IA13" s="57">
        <f t="shared" si="91"/>
        <v>0</v>
      </c>
      <c r="IB13" s="44">
        <f t="shared" si="92"/>
        <v>0</v>
      </c>
      <c r="IC13" s="57">
        <f t="shared" si="93"/>
        <v>0</v>
      </c>
      <c r="ID13" s="44">
        <f t="shared" si="94"/>
        <v>0</v>
      </c>
      <c r="IE13" s="57">
        <f t="shared" si="95"/>
        <v>0</v>
      </c>
      <c r="IF13" s="44">
        <f t="shared" si="96"/>
        <v>0</v>
      </c>
      <c r="IG13" s="57">
        <f t="shared" si="97"/>
        <v>0</v>
      </c>
      <c r="IH13" s="44">
        <f t="shared" si="98"/>
        <v>0</v>
      </c>
      <c r="II13" s="57">
        <f t="shared" si="99"/>
        <v>0</v>
      </c>
      <c r="IJ13" s="44"/>
      <c r="IK13" s="57"/>
      <c r="IL13" s="44">
        <f t="shared" si="100"/>
        <v>0</v>
      </c>
      <c r="IM13" s="42" t="str">
        <f t="shared" si="101"/>
        <v>ALPASTOR</v>
      </c>
      <c r="IN13" s="43">
        <f t="shared" si="102"/>
        <v>0</v>
      </c>
      <c r="IP13" s="42" t="str">
        <f t="shared" si="103"/>
        <v>ALPASTOR</v>
      </c>
      <c r="IQ13" s="43">
        <f t="shared" si="104"/>
        <v>0</v>
      </c>
      <c r="IS13" s="42" t="str">
        <f t="shared" si="105"/>
        <v>ALPASTOR</v>
      </c>
      <c r="IT13" s="43">
        <f t="shared" si="106"/>
        <v>0</v>
      </c>
      <c r="IV13" s="43"/>
      <c r="IW13" s="42" t="str">
        <f t="shared" si="107"/>
        <v>ALPASTOR</v>
      </c>
      <c r="IX13" s="43">
        <f t="shared" si="108"/>
        <v>0</v>
      </c>
      <c r="IZ13" s="42" t="str">
        <f t="shared" si="109"/>
        <v>ALPASTOR</v>
      </c>
      <c r="JA13" s="43">
        <f t="shared" si="110"/>
        <v>0</v>
      </c>
      <c r="JC13" s="42" t="str">
        <f t="shared" si="111"/>
        <v>ALPASTOR</v>
      </c>
      <c r="JD13" s="43">
        <f t="shared" si="112"/>
        <v>0</v>
      </c>
      <c r="JF13" s="43"/>
      <c r="JG13" s="42" t="str">
        <f t="shared" si="113"/>
        <v>ALPASTOR</v>
      </c>
      <c r="JH13" s="43">
        <f t="shared" si="114"/>
        <v>0</v>
      </c>
      <c r="JJ13" s="42" t="str">
        <f t="shared" si="115"/>
        <v>ALPASTOR</v>
      </c>
      <c r="JK13" s="43">
        <f t="shared" si="116"/>
        <v>0</v>
      </c>
      <c r="JM13" s="42" t="str">
        <f t="shared" si="117"/>
        <v>ALPASTOR</v>
      </c>
      <c r="JN13" s="43">
        <f t="shared" si="118"/>
        <v>0</v>
      </c>
      <c r="JP13" s="44">
        <f t="shared" si="119"/>
        <v>0</v>
      </c>
      <c r="JQ13" s="42" t="str">
        <f t="shared" si="120"/>
        <v>ALPASTOR</v>
      </c>
      <c r="JR13" s="43">
        <f t="shared" si="121"/>
        <v>0</v>
      </c>
      <c r="JT13" s="42" t="str">
        <f t="shared" si="122"/>
        <v>ALPASTOR</v>
      </c>
      <c r="JU13" s="43">
        <f t="shared" si="123"/>
        <v>0</v>
      </c>
      <c r="JW13" s="42" t="str">
        <f t="shared" si="124"/>
        <v>ALPASTOR</v>
      </c>
      <c r="JX13" s="43">
        <f t="shared" si="125"/>
        <v>0</v>
      </c>
      <c r="JZ13" s="44">
        <f t="shared" si="126"/>
        <v>0</v>
      </c>
    </row>
    <row r="14" spans="1:286" s="7" customFormat="1" ht="54" customHeight="1" x14ac:dyDescent="0.65">
      <c r="A14" s="46" t="s">
        <v>44</v>
      </c>
      <c r="B14" s="43"/>
      <c r="D14" s="46"/>
      <c r="E14" s="43"/>
      <c r="G14" s="42" t="str">
        <f t="shared" si="0"/>
        <v>CARNE ASADA</v>
      </c>
      <c r="H14" s="43"/>
      <c r="J14" s="43">
        <f t="shared" si="1"/>
        <v>0</v>
      </c>
      <c r="K14" s="42" t="str">
        <f t="shared" si="2"/>
        <v>CARNE ASADA</v>
      </c>
      <c r="L14" s="43"/>
      <c r="N14" s="47"/>
      <c r="O14" s="43"/>
      <c r="Q14" s="42" t="str">
        <f t="shared" si="3"/>
        <v>CARNE ASADA</v>
      </c>
      <c r="R14" s="43"/>
      <c r="T14" s="43">
        <f t="shared" si="4"/>
        <v>0</v>
      </c>
      <c r="U14" s="42" t="str">
        <f t="shared" si="5"/>
        <v>CARNE ASADA</v>
      </c>
      <c r="V14" s="43"/>
      <c r="X14" s="46"/>
      <c r="Y14" s="43"/>
      <c r="AA14" s="42" t="str">
        <f t="shared" si="6"/>
        <v>CARNE ASADA</v>
      </c>
      <c r="AB14" s="43"/>
      <c r="AD14" s="43">
        <f t="shared" si="7"/>
        <v>0</v>
      </c>
      <c r="AE14" s="42" t="str">
        <f t="shared" si="8"/>
        <v>CARNE ASADA</v>
      </c>
      <c r="AF14" s="43"/>
      <c r="AH14" s="47"/>
      <c r="AI14" s="43"/>
      <c r="AK14" s="42" t="str">
        <f t="shared" si="9"/>
        <v>CARNE ASADA</v>
      </c>
      <c r="AL14" s="43"/>
      <c r="AN14" s="43">
        <f t="shared" si="10"/>
        <v>0</v>
      </c>
      <c r="AO14" s="42" t="str">
        <f t="shared" si="11"/>
        <v>CARNE ASADA</v>
      </c>
      <c r="AP14" s="43"/>
      <c r="AR14" s="46"/>
      <c r="AS14" s="43"/>
      <c r="AU14" s="42" t="str">
        <f t="shared" si="12"/>
        <v>CARNE ASADA</v>
      </c>
      <c r="AV14" s="43"/>
      <c r="AX14" s="43">
        <f t="shared" si="13"/>
        <v>0</v>
      </c>
      <c r="AY14" s="42" t="str">
        <f t="shared" si="14"/>
        <v>CARNE ASADA</v>
      </c>
      <c r="AZ14" s="43"/>
      <c r="BB14" s="47"/>
      <c r="BC14" s="43"/>
      <c r="BE14" s="42" t="str">
        <f t="shared" si="15"/>
        <v>CARNE ASADA</v>
      </c>
      <c r="BF14" s="43"/>
      <c r="BH14" s="43">
        <f t="shared" si="16"/>
        <v>0</v>
      </c>
      <c r="BI14" s="42" t="str">
        <f t="shared" si="17"/>
        <v>CARNE ASADA</v>
      </c>
      <c r="BJ14" s="43"/>
      <c r="BL14" s="46"/>
      <c r="BM14" s="43"/>
      <c r="BO14" s="42" t="str">
        <f t="shared" si="18"/>
        <v>CARNE ASADA</v>
      </c>
      <c r="BP14" s="43"/>
      <c r="BR14" s="43">
        <f t="shared" si="19"/>
        <v>0</v>
      </c>
      <c r="BS14" s="42" t="str">
        <f t="shared" si="20"/>
        <v>CARNE ASADA</v>
      </c>
      <c r="BT14" s="43"/>
      <c r="BV14" s="47"/>
      <c r="BW14" s="43"/>
      <c r="BY14" s="42" t="str">
        <f t="shared" si="21"/>
        <v>CARNE ASADA</v>
      </c>
      <c r="BZ14" s="43"/>
      <c r="CB14" s="43">
        <f t="shared" si="22"/>
        <v>0</v>
      </c>
      <c r="CC14" s="42" t="str">
        <f t="shared" si="23"/>
        <v>CARNE ASADA</v>
      </c>
      <c r="CD14" s="43"/>
      <c r="CF14" s="46"/>
      <c r="CG14" s="43"/>
      <c r="CI14" s="42" t="str">
        <f t="shared" si="24"/>
        <v>CARNE ASADA</v>
      </c>
      <c r="CJ14" s="43"/>
      <c r="CL14" s="43">
        <f t="shared" si="25"/>
        <v>0</v>
      </c>
      <c r="CM14" s="42" t="str">
        <f t="shared" si="26"/>
        <v>CARNE ASADA</v>
      </c>
      <c r="CN14" s="43"/>
      <c r="CP14" s="42"/>
      <c r="CQ14" s="43"/>
      <c r="CS14" s="42" t="str">
        <f t="shared" si="27"/>
        <v>CARNE ASADA</v>
      </c>
      <c r="CT14" s="43"/>
      <c r="CV14" s="43">
        <f t="shared" si="28"/>
        <v>0</v>
      </c>
      <c r="CW14" s="42" t="str">
        <f t="shared" si="29"/>
        <v>CARNE ASADA</v>
      </c>
      <c r="CX14" s="43"/>
      <c r="CZ14" s="47"/>
      <c r="DA14" s="43"/>
      <c r="DC14" s="42" t="str">
        <f t="shared" si="30"/>
        <v>CARNE ASADA</v>
      </c>
      <c r="DD14" s="43"/>
      <c r="DF14" s="43">
        <f t="shared" si="31"/>
        <v>0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/>
      <c r="FD14" s="43">
        <f t="shared" si="49"/>
        <v>0</v>
      </c>
      <c r="FE14" s="42" t="str">
        <f t="shared" si="50"/>
        <v>CARNE ASADA</v>
      </c>
      <c r="FF14" s="43"/>
      <c r="FH14" s="42" t="str">
        <f t="shared" si="51"/>
        <v>CARNE ASADA</v>
      </c>
      <c r="FI14" s="43"/>
      <c r="FK14" s="42" t="str">
        <f t="shared" si="52"/>
        <v>CARNE ASADA</v>
      </c>
      <c r="FL14" s="43"/>
      <c r="FN14" s="43">
        <f t="shared" si="53"/>
        <v>0</v>
      </c>
      <c r="FO14" s="42" t="str">
        <f t="shared" si="54"/>
        <v>CARNE ASADA</v>
      </c>
      <c r="FP14" s="43"/>
      <c r="FR14" s="42" t="str">
        <f t="shared" si="55"/>
        <v>CARNE ASADA</v>
      </c>
      <c r="FS14" s="43"/>
      <c r="FU14" s="42" t="str">
        <f t="shared" si="56"/>
        <v>CARNE ASADA</v>
      </c>
      <c r="FV14" s="43"/>
      <c r="FX14" s="43">
        <f t="shared" si="57"/>
        <v>0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/>
      <c r="GL14" s="42" t="str">
        <f t="shared" si="63"/>
        <v>CARNE ASADA</v>
      </c>
      <c r="GM14" s="43"/>
      <c r="GO14" s="42" t="str">
        <f t="shared" si="64"/>
        <v>CARNE ASADA</v>
      </c>
      <c r="GP14" s="43"/>
      <c r="GR14" s="43">
        <f t="shared" si="65"/>
        <v>0</v>
      </c>
      <c r="GS14" s="42" t="str">
        <f t="shared" si="66"/>
        <v>CARNE ASADA</v>
      </c>
      <c r="GT14" s="43"/>
      <c r="GV14" s="42" t="str">
        <f t="shared" si="67"/>
        <v>CARNE ASADA</v>
      </c>
      <c r="GW14" s="43"/>
      <c r="GY14" s="42" t="str">
        <f t="shared" si="68"/>
        <v>CARNE ASADA</v>
      </c>
      <c r="GZ14" s="43"/>
      <c r="HB14" s="43">
        <f t="shared" si="69"/>
        <v>0</v>
      </c>
      <c r="HC14" s="42" t="str">
        <f t="shared" si="70"/>
        <v>CARNE ASADA</v>
      </c>
      <c r="HD14" s="43">
        <f t="shared" si="71"/>
        <v>0</v>
      </c>
      <c r="HF14" s="42" t="str">
        <f t="shared" si="72"/>
        <v>CARNE ASADA</v>
      </c>
      <c r="HG14" s="43">
        <f t="shared" si="73"/>
        <v>0</v>
      </c>
      <c r="HI14" s="42" t="str">
        <f t="shared" si="74"/>
        <v>CARNE ASADA</v>
      </c>
      <c r="HJ14" s="43">
        <f t="shared" si="75"/>
        <v>0</v>
      </c>
      <c r="HL14" s="43">
        <f t="shared" si="76"/>
        <v>0</v>
      </c>
      <c r="HM14" s="42" t="str">
        <f t="shared" si="77"/>
        <v>CARNE ASADA</v>
      </c>
      <c r="HN14" s="57">
        <f t="shared" si="78"/>
        <v>0</v>
      </c>
      <c r="HO14" s="44">
        <f t="shared" si="79"/>
        <v>0</v>
      </c>
      <c r="HP14" s="57">
        <f t="shared" si="80"/>
        <v>0</v>
      </c>
      <c r="HQ14" s="44">
        <f t="shared" si="81"/>
        <v>0</v>
      </c>
      <c r="HR14" s="57">
        <f t="shared" si="82"/>
        <v>0</v>
      </c>
      <c r="HS14" s="44">
        <f t="shared" si="83"/>
        <v>0</v>
      </c>
      <c r="HT14" s="57">
        <f t="shared" si="84"/>
        <v>0</v>
      </c>
      <c r="HU14" s="44">
        <f t="shared" si="85"/>
        <v>0</v>
      </c>
      <c r="HV14" s="57">
        <f t="shared" si="86"/>
        <v>0</v>
      </c>
      <c r="HW14" s="44">
        <f t="shared" si="87"/>
        <v>0</v>
      </c>
      <c r="HX14" s="57">
        <f t="shared" si="88"/>
        <v>0</v>
      </c>
      <c r="HY14" s="44">
        <f t="shared" si="89"/>
        <v>0</v>
      </c>
      <c r="HZ14" s="42" t="str">
        <f t="shared" si="90"/>
        <v>CARNE ASADA</v>
      </c>
      <c r="IA14" s="57">
        <f t="shared" si="91"/>
        <v>0</v>
      </c>
      <c r="IB14" s="44">
        <f t="shared" si="92"/>
        <v>0</v>
      </c>
      <c r="IC14" s="57">
        <f t="shared" si="93"/>
        <v>0</v>
      </c>
      <c r="ID14" s="44">
        <f t="shared" si="94"/>
        <v>0</v>
      </c>
      <c r="IE14" s="57">
        <f t="shared" si="95"/>
        <v>0</v>
      </c>
      <c r="IF14" s="44">
        <f t="shared" si="96"/>
        <v>0</v>
      </c>
      <c r="IG14" s="57">
        <f t="shared" si="97"/>
        <v>0</v>
      </c>
      <c r="IH14" s="44">
        <f t="shared" si="98"/>
        <v>0</v>
      </c>
      <c r="II14" s="57">
        <f t="shared" si="99"/>
        <v>0</v>
      </c>
      <c r="IJ14" s="44"/>
      <c r="IK14" s="57"/>
      <c r="IL14" s="44">
        <f t="shared" si="100"/>
        <v>0</v>
      </c>
      <c r="IM14" s="42" t="str">
        <f t="shared" si="101"/>
        <v>CARNE ASADA</v>
      </c>
      <c r="IN14" s="43">
        <f t="shared" si="102"/>
        <v>0</v>
      </c>
      <c r="IP14" s="42" t="str">
        <f t="shared" si="103"/>
        <v>CARNE ASADA</v>
      </c>
      <c r="IQ14" s="43">
        <f t="shared" si="104"/>
        <v>0</v>
      </c>
      <c r="IS14" s="42" t="str">
        <f t="shared" si="105"/>
        <v>CARNE ASADA</v>
      </c>
      <c r="IT14" s="43">
        <f t="shared" si="106"/>
        <v>0</v>
      </c>
      <c r="IV14" s="43"/>
      <c r="IW14" s="42" t="str">
        <f t="shared" si="107"/>
        <v>CARNE ASADA</v>
      </c>
      <c r="IX14" s="43">
        <f t="shared" si="108"/>
        <v>0</v>
      </c>
      <c r="IZ14" s="42" t="str">
        <f t="shared" si="109"/>
        <v>CARNE ASADA</v>
      </c>
      <c r="JA14" s="43">
        <f t="shared" si="110"/>
        <v>0</v>
      </c>
      <c r="JC14" s="42" t="str">
        <f t="shared" si="111"/>
        <v>CARNE ASADA</v>
      </c>
      <c r="JD14" s="43">
        <f t="shared" si="112"/>
        <v>0</v>
      </c>
      <c r="JF14" s="43"/>
      <c r="JG14" s="42" t="str">
        <f t="shared" si="113"/>
        <v>CARNE ASADA</v>
      </c>
      <c r="JH14" s="43">
        <f t="shared" si="114"/>
        <v>0</v>
      </c>
      <c r="JJ14" s="42" t="str">
        <f t="shared" si="115"/>
        <v>CARNE ASADA</v>
      </c>
      <c r="JK14" s="43">
        <f t="shared" si="116"/>
        <v>0</v>
      </c>
      <c r="JM14" s="42" t="str">
        <f t="shared" si="117"/>
        <v>CARNE ASADA</v>
      </c>
      <c r="JN14" s="43">
        <f t="shared" si="118"/>
        <v>0</v>
      </c>
      <c r="JP14" s="44">
        <f t="shared" si="119"/>
        <v>0</v>
      </c>
      <c r="JQ14" s="42" t="str">
        <f t="shared" si="120"/>
        <v>CARNE ASADA</v>
      </c>
      <c r="JR14" s="43">
        <f t="shared" si="121"/>
        <v>0</v>
      </c>
      <c r="JT14" s="42" t="str">
        <f t="shared" si="122"/>
        <v>CARNE ASADA</v>
      </c>
      <c r="JU14" s="43">
        <f t="shared" si="123"/>
        <v>0</v>
      </c>
      <c r="JW14" s="42" t="str">
        <f t="shared" si="124"/>
        <v>CARNE ASADA</v>
      </c>
      <c r="JX14" s="43">
        <f t="shared" si="125"/>
        <v>0</v>
      </c>
      <c r="JZ14" s="44">
        <f t="shared" si="126"/>
        <v>0</v>
      </c>
    </row>
    <row r="15" spans="1:286" s="7" customFormat="1" ht="54" customHeight="1" x14ac:dyDescent="0.65">
      <c r="A15" s="46" t="s">
        <v>45</v>
      </c>
      <c r="B15" s="43"/>
      <c r="D15" s="46"/>
      <c r="E15" s="43"/>
      <c r="G15" s="42" t="str">
        <f t="shared" si="0"/>
        <v>FAJITAS</v>
      </c>
      <c r="H15" s="43"/>
      <c r="J15" s="43">
        <f t="shared" si="1"/>
        <v>0</v>
      </c>
      <c r="K15" s="42" t="str">
        <f t="shared" si="2"/>
        <v>FAJITAS</v>
      </c>
      <c r="L15" s="43"/>
      <c r="N15" s="46"/>
      <c r="O15" s="43"/>
      <c r="Q15" s="42" t="str">
        <f t="shared" si="3"/>
        <v>FAJITAS</v>
      </c>
      <c r="R15" s="43"/>
      <c r="T15" s="43">
        <f t="shared" si="4"/>
        <v>0</v>
      </c>
      <c r="U15" s="42" t="str">
        <f t="shared" si="5"/>
        <v>FAJITAS</v>
      </c>
      <c r="V15" s="43"/>
      <c r="X15" s="46"/>
      <c r="Y15" s="43"/>
      <c r="AA15" s="42" t="str">
        <f t="shared" si="6"/>
        <v>FAJITAS</v>
      </c>
      <c r="AB15" s="43"/>
      <c r="AD15" s="43">
        <f t="shared" si="7"/>
        <v>0</v>
      </c>
      <c r="AE15" s="42" t="str">
        <f t="shared" si="8"/>
        <v>FAJITAS</v>
      </c>
      <c r="AF15" s="43"/>
      <c r="AH15" s="46"/>
      <c r="AI15" s="43"/>
      <c r="AK15" s="42" t="str">
        <f t="shared" si="9"/>
        <v>FAJITAS</v>
      </c>
      <c r="AL15" s="43"/>
      <c r="AN15" s="43">
        <f t="shared" si="10"/>
        <v>0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/>
      <c r="AX15" s="43">
        <f t="shared" si="13"/>
        <v>0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/>
      <c r="BL15" s="46"/>
      <c r="BM15" s="43"/>
      <c r="BO15" s="42" t="str">
        <f t="shared" si="18"/>
        <v>FAJITAS</v>
      </c>
      <c r="BP15" s="43"/>
      <c r="BR15" s="43">
        <f t="shared" si="19"/>
        <v>0</v>
      </c>
      <c r="BS15" s="42" t="str">
        <f t="shared" si="20"/>
        <v>FAJITAS</v>
      </c>
      <c r="BT15" s="43"/>
      <c r="BV15" s="47"/>
      <c r="BW15" s="43"/>
      <c r="BY15" s="42" t="str">
        <f t="shared" si="21"/>
        <v>FAJITAS</v>
      </c>
      <c r="BZ15" s="43"/>
      <c r="CB15" s="43">
        <f t="shared" si="22"/>
        <v>0</v>
      </c>
      <c r="CC15" s="42" t="str">
        <f t="shared" si="23"/>
        <v>FAJITAS</v>
      </c>
      <c r="CD15" s="43"/>
      <c r="CF15" s="46"/>
      <c r="CG15" s="43"/>
      <c r="CI15" s="42" t="str">
        <f t="shared" si="24"/>
        <v>FAJITAS</v>
      </c>
      <c r="CJ15" s="43"/>
      <c r="CL15" s="43">
        <f t="shared" si="25"/>
        <v>0</v>
      </c>
      <c r="CM15" s="42" t="str">
        <f t="shared" si="26"/>
        <v>FAJITAS</v>
      </c>
      <c r="CN15" s="43"/>
      <c r="CP15" s="42"/>
      <c r="CQ15" s="43"/>
      <c r="CS15" s="42" t="str">
        <f t="shared" si="27"/>
        <v>FAJITAS</v>
      </c>
      <c r="CT15" s="43"/>
      <c r="CV15" s="43">
        <f t="shared" si="28"/>
        <v>0</v>
      </c>
      <c r="CW15" s="42" t="str">
        <f t="shared" si="29"/>
        <v>FAJITAS</v>
      </c>
      <c r="CX15" s="43"/>
      <c r="CZ15" s="47"/>
      <c r="DA15" s="43"/>
      <c r="DC15" s="42" t="str">
        <f t="shared" si="30"/>
        <v>FAJITAS</v>
      </c>
      <c r="DD15" s="43"/>
      <c r="DF15" s="43">
        <f t="shared" si="31"/>
        <v>0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65"/>
        <v>0</v>
      </c>
      <c r="GS15" s="42" t="str">
        <f t="shared" si="66"/>
        <v>FAJITAS</v>
      </c>
      <c r="GT15" s="43"/>
      <c r="GV15" s="42" t="str">
        <f t="shared" si="67"/>
        <v>FAJITAS</v>
      </c>
      <c r="GW15" s="43"/>
      <c r="GY15" s="42" t="str">
        <f t="shared" si="68"/>
        <v>FAJITAS</v>
      </c>
      <c r="GZ15" s="43"/>
      <c r="HB15" s="43">
        <f t="shared" si="69"/>
        <v>0</v>
      </c>
      <c r="HC15" s="42" t="str">
        <f t="shared" si="70"/>
        <v>FAJITAS</v>
      </c>
      <c r="HD15" s="43">
        <f t="shared" si="71"/>
        <v>0</v>
      </c>
      <c r="HF15" s="42" t="str">
        <f t="shared" si="72"/>
        <v>FAJITAS</v>
      </c>
      <c r="HG15" s="43">
        <f t="shared" si="73"/>
        <v>0</v>
      </c>
      <c r="HI15" s="42" t="str">
        <f t="shared" si="74"/>
        <v>FAJITAS</v>
      </c>
      <c r="HJ15" s="43">
        <f t="shared" si="75"/>
        <v>0</v>
      </c>
      <c r="HL15" s="43">
        <f t="shared" si="76"/>
        <v>0</v>
      </c>
      <c r="HM15" s="42" t="str">
        <f t="shared" si="77"/>
        <v>FAJITAS</v>
      </c>
      <c r="HN15" s="57">
        <f t="shared" si="78"/>
        <v>0</v>
      </c>
      <c r="HO15" s="44">
        <f t="shared" si="79"/>
        <v>0</v>
      </c>
      <c r="HP15" s="57">
        <f t="shared" si="80"/>
        <v>0</v>
      </c>
      <c r="HQ15" s="44">
        <f t="shared" si="81"/>
        <v>0</v>
      </c>
      <c r="HR15" s="57">
        <f t="shared" si="82"/>
        <v>0</v>
      </c>
      <c r="HS15" s="44">
        <f t="shared" si="83"/>
        <v>0</v>
      </c>
      <c r="HT15" s="57">
        <f t="shared" si="84"/>
        <v>0</v>
      </c>
      <c r="HU15" s="44">
        <f t="shared" si="85"/>
        <v>0</v>
      </c>
      <c r="HV15" s="57">
        <f t="shared" si="86"/>
        <v>0</v>
      </c>
      <c r="HW15" s="44">
        <f t="shared" si="87"/>
        <v>0</v>
      </c>
      <c r="HX15" s="57">
        <f t="shared" si="88"/>
        <v>0</v>
      </c>
      <c r="HY15" s="44">
        <f t="shared" si="89"/>
        <v>0</v>
      </c>
      <c r="HZ15" s="42" t="str">
        <f t="shared" si="90"/>
        <v>FAJITAS</v>
      </c>
      <c r="IA15" s="57">
        <f t="shared" si="91"/>
        <v>0</v>
      </c>
      <c r="IB15" s="44">
        <f t="shared" si="92"/>
        <v>0</v>
      </c>
      <c r="IC15" s="57">
        <f t="shared" si="93"/>
        <v>0</v>
      </c>
      <c r="ID15" s="44">
        <f t="shared" si="94"/>
        <v>0</v>
      </c>
      <c r="IE15" s="57">
        <f t="shared" si="95"/>
        <v>0</v>
      </c>
      <c r="IF15" s="44">
        <f t="shared" si="96"/>
        <v>0</v>
      </c>
      <c r="IG15" s="57">
        <f t="shared" si="97"/>
        <v>0</v>
      </c>
      <c r="IH15" s="44">
        <f t="shared" si="98"/>
        <v>0</v>
      </c>
      <c r="II15" s="57">
        <f t="shared" si="99"/>
        <v>0</v>
      </c>
      <c r="IJ15" s="44"/>
      <c r="IK15" s="57"/>
      <c r="IL15" s="44">
        <f t="shared" si="100"/>
        <v>0</v>
      </c>
      <c r="IM15" s="42" t="str">
        <f t="shared" si="101"/>
        <v>FAJITAS</v>
      </c>
      <c r="IN15" s="43">
        <f t="shared" si="102"/>
        <v>0</v>
      </c>
      <c r="IP15" s="42" t="str">
        <f t="shared" si="103"/>
        <v>FAJITAS</v>
      </c>
      <c r="IQ15" s="43">
        <f t="shared" si="104"/>
        <v>0</v>
      </c>
      <c r="IS15" s="42" t="str">
        <f t="shared" si="105"/>
        <v>FAJITAS</v>
      </c>
      <c r="IT15" s="43">
        <f t="shared" si="106"/>
        <v>0</v>
      </c>
      <c r="IV15" s="43"/>
      <c r="IW15" s="42" t="str">
        <f t="shared" si="107"/>
        <v>FAJITAS</v>
      </c>
      <c r="IX15" s="43">
        <f t="shared" si="108"/>
        <v>0</v>
      </c>
      <c r="IZ15" s="42" t="str">
        <f t="shared" si="109"/>
        <v>FAJITAS</v>
      </c>
      <c r="JA15" s="43">
        <f t="shared" si="110"/>
        <v>0</v>
      </c>
      <c r="JC15" s="42" t="str">
        <f t="shared" si="111"/>
        <v>FAJITAS</v>
      </c>
      <c r="JD15" s="43">
        <f t="shared" si="112"/>
        <v>0</v>
      </c>
      <c r="JF15" s="43"/>
      <c r="JG15" s="42" t="str">
        <f t="shared" si="113"/>
        <v>FAJITAS</v>
      </c>
      <c r="JH15" s="43">
        <f t="shared" si="114"/>
        <v>0</v>
      </c>
      <c r="JJ15" s="42" t="str">
        <f t="shared" si="115"/>
        <v>FAJITAS</v>
      </c>
      <c r="JK15" s="43">
        <f t="shared" si="116"/>
        <v>0</v>
      </c>
      <c r="JM15" s="42" t="str">
        <f t="shared" si="117"/>
        <v>FAJITAS</v>
      </c>
      <c r="JN15" s="43">
        <f t="shared" si="118"/>
        <v>0</v>
      </c>
      <c r="JP15" s="44">
        <f t="shared" si="119"/>
        <v>0</v>
      </c>
      <c r="JQ15" s="42" t="str">
        <f t="shared" si="120"/>
        <v>FAJITAS</v>
      </c>
      <c r="JR15" s="43">
        <f t="shared" si="121"/>
        <v>0</v>
      </c>
      <c r="JT15" s="42" t="str">
        <f t="shared" si="122"/>
        <v>FAJITAS</v>
      </c>
      <c r="JU15" s="43">
        <f t="shared" si="123"/>
        <v>0</v>
      </c>
      <c r="JW15" s="42" t="str">
        <f t="shared" si="124"/>
        <v>FAJITAS</v>
      </c>
      <c r="JX15" s="43">
        <f t="shared" si="125"/>
        <v>0</v>
      </c>
      <c r="JZ15" s="44">
        <f t="shared" si="126"/>
        <v>0</v>
      </c>
    </row>
    <row r="16" spans="1:286" s="7" customFormat="1" ht="54" customHeight="1" x14ac:dyDescent="0.65">
      <c r="A16" s="46" t="s">
        <v>46</v>
      </c>
      <c r="B16" s="43"/>
      <c r="D16" s="46"/>
      <c r="E16" s="43"/>
      <c r="G16" s="42" t="str">
        <f t="shared" si="0"/>
        <v>MILANESA</v>
      </c>
      <c r="H16" s="43"/>
      <c r="J16" s="43">
        <f t="shared" si="1"/>
        <v>0</v>
      </c>
      <c r="K16" s="42" t="str">
        <f t="shared" si="2"/>
        <v>MILANESA</v>
      </c>
      <c r="L16" s="43"/>
      <c r="N16" s="46"/>
      <c r="O16" s="43"/>
      <c r="Q16" s="42" t="str">
        <f t="shared" si="3"/>
        <v>MILANESA</v>
      </c>
      <c r="R16" s="43"/>
      <c r="T16" s="43">
        <f t="shared" si="4"/>
        <v>0</v>
      </c>
      <c r="U16" s="42" t="str">
        <f t="shared" si="5"/>
        <v>MILANESA</v>
      </c>
      <c r="V16" s="43"/>
      <c r="X16" s="46"/>
      <c r="Y16" s="43"/>
      <c r="AA16" s="42" t="str">
        <f t="shared" si="6"/>
        <v>MILANESA</v>
      </c>
      <c r="AB16" s="43"/>
      <c r="AD16" s="43">
        <f t="shared" si="7"/>
        <v>0</v>
      </c>
      <c r="AE16" s="42" t="str">
        <f t="shared" si="8"/>
        <v>MILANESA</v>
      </c>
      <c r="AF16" s="43"/>
      <c r="AH16" s="46"/>
      <c r="AI16" s="43"/>
      <c r="AK16" s="42" t="str">
        <f t="shared" si="9"/>
        <v>MILANESA</v>
      </c>
      <c r="AL16" s="43"/>
      <c r="AN16" s="43">
        <f t="shared" si="10"/>
        <v>0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/>
      <c r="AX16" s="43">
        <f t="shared" si="13"/>
        <v>0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/>
      <c r="BH16" s="43">
        <f t="shared" si="16"/>
        <v>0</v>
      </c>
      <c r="BI16" s="42" t="str">
        <f t="shared" si="17"/>
        <v>MILANESA</v>
      </c>
      <c r="BJ16" s="43"/>
      <c r="BL16" s="46"/>
      <c r="BM16" s="43"/>
      <c r="BO16" s="42" t="str">
        <f t="shared" si="18"/>
        <v>MILANESA</v>
      </c>
      <c r="BP16" s="43"/>
      <c r="BR16" s="43">
        <f t="shared" si="19"/>
        <v>0</v>
      </c>
      <c r="BS16" s="42" t="str">
        <f t="shared" si="20"/>
        <v>MILANESA</v>
      </c>
      <c r="BT16" s="43"/>
      <c r="BV16" s="46"/>
      <c r="BW16" s="43"/>
      <c r="BY16" s="42" t="str">
        <f t="shared" si="21"/>
        <v>MILANESA</v>
      </c>
      <c r="BZ16" s="43"/>
      <c r="CB16" s="43">
        <f t="shared" si="22"/>
        <v>0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/>
      <c r="CL16" s="43">
        <f t="shared" si="25"/>
        <v>0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/>
      <c r="CZ16" s="46"/>
      <c r="DA16" s="43"/>
      <c r="DC16" s="42" t="str">
        <f t="shared" si="30"/>
        <v>MILANESA</v>
      </c>
      <c r="DD16" s="43"/>
      <c r="DF16" s="43">
        <f t="shared" si="31"/>
        <v>0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/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0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/>
      <c r="FR16" s="42" t="str">
        <f t="shared" si="55"/>
        <v>MILANESA</v>
      </c>
      <c r="FS16" s="43"/>
      <c r="FU16" s="42" t="str">
        <f t="shared" si="56"/>
        <v>MILANESA</v>
      </c>
      <c r="FV16" s="43"/>
      <c r="FX16" s="43">
        <f t="shared" si="57"/>
        <v>0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/>
      <c r="GO16" s="42" t="str">
        <f t="shared" si="64"/>
        <v>MILANESA</v>
      </c>
      <c r="GP16" s="43"/>
      <c r="GR16" s="43">
        <f t="shared" si="65"/>
        <v>0</v>
      </c>
      <c r="GS16" s="42" t="str">
        <f t="shared" si="66"/>
        <v>MILANESA</v>
      </c>
      <c r="GT16" s="43"/>
      <c r="GV16" s="42" t="str">
        <f t="shared" si="67"/>
        <v>MILANESA</v>
      </c>
      <c r="GW16" s="43"/>
      <c r="GY16" s="42" t="str">
        <f t="shared" si="68"/>
        <v>MILANESA</v>
      </c>
      <c r="GZ16" s="43"/>
      <c r="HB16" s="43">
        <f t="shared" si="69"/>
        <v>0</v>
      </c>
      <c r="HC16" s="42" t="str">
        <f t="shared" si="70"/>
        <v>MILANESA</v>
      </c>
      <c r="HD16" s="43">
        <f t="shared" si="71"/>
        <v>0</v>
      </c>
      <c r="HF16" s="42" t="str">
        <f t="shared" si="72"/>
        <v>MILANESA</v>
      </c>
      <c r="HG16" s="43">
        <f t="shared" si="73"/>
        <v>0</v>
      </c>
      <c r="HI16" s="42" t="str">
        <f t="shared" si="74"/>
        <v>MILANESA</v>
      </c>
      <c r="HJ16" s="43">
        <f t="shared" si="75"/>
        <v>0</v>
      </c>
      <c r="HL16" s="43">
        <f t="shared" si="76"/>
        <v>0</v>
      </c>
      <c r="HM16" s="42" t="str">
        <f t="shared" si="77"/>
        <v>MILANESA</v>
      </c>
      <c r="HN16" s="57">
        <f t="shared" si="78"/>
        <v>0</v>
      </c>
      <c r="HO16" s="44">
        <f t="shared" si="79"/>
        <v>0</v>
      </c>
      <c r="HP16" s="57">
        <f t="shared" si="80"/>
        <v>0</v>
      </c>
      <c r="HQ16" s="44">
        <f t="shared" si="81"/>
        <v>0</v>
      </c>
      <c r="HR16" s="57">
        <f t="shared" si="82"/>
        <v>0</v>
      </c>
      <c r="HS16" s="44">
        <f t="shared" si="83"/>
        <v>0</v>
      </c>
      <c r="HT16" s="57">
        <f t="shared" si="84"/>
        <v>0</v>
      </c>
      <c r="HU16" s="44">
        <f t="shared" si="85"/>
        <v>0</v>
      </c>
      <c r="HV16" s="57">
        <f t="shared" si="86"/>
        <v>0</v>
      </c>
      <c r="HW16" s="44">
        <f t="shared" si="87"/>
        <v>0</v>
      </c>
      <c r="HX16" s="57">
        <f t="shared" si="88"/>
        <v>0</v>
      </c>
      <c r="HY16" s="44">
        <f t="shared" si="89"/>
        <v>0</v>
      </c>
      <c r="HZ16" s="42" t="str">
        <f t="shared" si="90"/>
        <v>MILANESA</v>
      </c>
      <c r="IA16" s="57">
        <f t="shared" si="91"/>
        <v>0</v>
      </c>
      <c r="IB16" s="44">
        <f t="shared" si="92"/>
        <v>0</v>
      </c>
      <c r="IC16" s="57">
        <f t="shared" si="93"/>
        <v>0</v>
      </c>
      <c r="ID16" s="44">
        <f t="shared" si="94"/>
        <v>0</v>
      </c>
      <c r="IE16" s="57">
        <f t="shared" si="95"/>
        <v>0</v>
      </c>
      <c r="IF16" s="44">
        <f t="shared" si="96"/>
        <v>0</v>
      </c>
      <c r="IG16" s="57">
        <f t="shared" si="97"/>
        <v>0</v>
      </c>
      <c r="IH16" s="44">
        <f t="shared" si="98"/>
        <v>0</v>
      </c>
      <c r="II16" s="57">
        <f t="shared" si="99"/>
        <v>0</v>
      </c>
      <c r="IJ16" s="44"/>
      <c r="IK16" s="57"/>
      <c r="IL16" s="44">
        <f t="shared" si="100"/>
        <v>0</v>
      </c>
      <c r="IM16" s="42" t="str">
        <f t="shared" si="101"/>
        <v>MILANESA</v>
      </c>
      <c r="IN16" s="43">
        <f t="shared" si="102"/>
        <v>0</v>
      </c>
      <c r="IP16" s="42" t="str">
        <f t="shared" si="103"/>
        <v>MILANESA</v>
      </c>
      <c r="IQ16" s="43">
        <f t="shared" si="104"/>
        <v>0</v>
      </c>
      <c r="IS16" s="42" t="str">
        <f t="shared" si="105"/>
        <v>MILANESA</v>
      </c>
      <c r="IT16" s="43">
        <f t="shared" si="106"/>
        <v>0</v>
      </c>
      <c r="IV16" s="43"/>
      <c r="IW16" s="42" t="str">
        <f t="shared" si="107"/>
        <v>MILANESA</v>
      </c>
      <c r="IX16" s="43">
        <f t="shared" si="108"/>
        <v>0</v>
      </c>
      <c r="IZ16" s="42" t="str">
        <f t="shared" si="109"/>
        <v>MILANESA</v>
      </c>
      <c r="JA16" s="43">
        <f t="shared" si="110"/>
        <v>0</v>
      </c>
      <c r="JC16" s="42" t="str">
        <f t="shared" si="111"/>
        <v>MILANESA</v>
      </c>
      <c r="JD16" s="43">
        <f t="shared" si="112"/>
        <v>0</v>
      </c>
      <c r="JF16" s="43"/>
      <c r="JG16" s="42" t="str">
        <f t="shared" si="113"/>
        <v>MILANESA</v>
      </c>
      <c r="JH16" s="43">
        <f t="shared" si="114"/>
        <v>0</v>
      </c>
      <c r="JJ16" s="42" t="str">
        <f t="shared" si="115"/>
        <v>MILANESA</v>
      </c>
      <c r="JK16" s="43">
        <f t="shared" si="116"/>
        <v>0</v>
      </c>
      <c r="JM16" s="42" t="str">
        <f t="shared" si="117"/>
        <v>MILANESA</v>
      </c>
      <c r="JN16" s="43">
        <f t="shared" si="118"/>
        <v>0</v>
      </c>
      <c r="JP16" s="44">
        <f t="shared" si="119"/>
        <v>0</v>
      </c>
      <c r="JQ16" s="42" t="str">
        <f t="shared" si="120"/>
        <v>MILANESA</v>
      </c>
      <c r="JR16" s="43">
        <f t="shared" si="121"/>
        <v>0</v>
      </c>
      <c r="JT16" s="42" t="str">
        <f t="shared" si="122"/>
        <v>MILANESA</v>
      </c>
      <c r="JU16" s="43">
        <f t="shared" si="123"/>
        <v>0</v>
      </c>
      <c r="JW16" s="42" t="str">
        <f t="shared" si="124"/>
        <v>MILANESA</v>
      </c>
      <c r="JX16" s="43">
        <f t="shared" si="125"/>
        <v>0</v>
      </c>
      <c r="JZ16" s="44">
        <f t="shared" si="126"/>
        <v>0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/>
      <c r="T17" s="43">
        <f t="shared" si="4"/>
        <v>0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/>
      <c r="AR17" s="46"/>
      <c r="AS17" s="43"/>
      <c r="AU17" s="42" t="str">
        <f t="shared" si="12"/>
        <v>TAMAL ROJO</v>
      </c>
      <c r="AV17" s="43"/>
      <c r="AX17" s="43">
        <f t="shared" si="13"/>
        <v>0</v>
      </c>
      <c r="AY17" s="42" t="str">
        <f t="shared" si="14"/>
        <v>TAMAL ROJO</v>
      </c>
      <c r="AZ17" s="43"/>
      <c r="BB17" s="46"/>
      <c r="BC17" s="43"/>
      <c r="BE17" s="42" t="str">
        <f t="shared" si="15"/>
        <v>TAMAL ROJO</v>
      </c>
      <c r="BF17" s="43"/>
      <c r="BH17" s="43">
        <f t="shared" si="16"/>
        <v>0</v>
      </c>
      <c r="BI17" s="42" t="str">
        <f t="shared" si="17"/>
        <v>TAMAL ROJO</v>
      </c>
      <c r="BJ17" s="43"/>
      <c r="BL17" s="46"/>
      <c r="BM17" s="43"/>
      <c r="BO17" s="42" t="str">
        <f t="shared" si="18"/>
        <v>TAMAL ROJO</v>
      </c>
      <c r="BP17" s="43"/>
      <c r="BR17" s="43">
        <f t="shared" si="19"/>
        <v>0</v>
      </c>
      <c r="BS17" s="42" t="str">
        <f t="shared" si="20"/>
        <v>TAMAL ROJO</v>
      </c>
      <c r="BT17" s="43"/>
      <c r="BV17" s="46"/>
      <c r="BW17" s="43"/>
      <c r="BY17" s="42" t="str">
        <f t="shared" si="21"/>
        <v>TAMAL ROJO</v>
      </c>
      <c r="BZ17" s="43"/>
      <c r="CB17" s="43">
        <f t="shared" si="22"/>
        <v>0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/>
      <c r="CP17" s="42"/>
      <c r="CQ17" s="43"/>
      <c r="CS17" s="42" t="str">
        <f t="shared" si="27"/>
        <v>TAMAL ROJO</v>
      </c>
      <c r="CT17" s="43"/>
      <c r="CV17" s="43">
        <f t="shared" si="28"/>
        <v>0</v>
      </c>
      <c r="CW17" s="42" t="str">
        <f t="shared" si="29"/>
        <v>TAMAL ROJO</v>
      </c>
      <c r="CX17" s="43"/>
      <c r="CZ17" s="42"/>
      <c r="DA17" s="43"/>
      <c r="DC17" s="42" t="str">
        <f t="shared" ref="DC17:DC29" si="127">A17</f>
        <v>TAMAL ROJO</v>
      </c>
      <c r="DD17" s="43"/>
      <c r="DF17" s="43">
        <f t="shared" si="31"/>
        <v>0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65"/>
        <v>0</v>
      </c>
      <c r="GS17" s="42" t="str">
        <f t="shared" si="66"/>
        <v>TAMAL ROJO</v>
      </c>
      <c r="GT17" s="43"/>
      <c r="GV17" s="42" t="str">
        <f t="shared" si="67"/>
        <v>TAMAL ROJO</v>
      </c>
      <c r="GW17" s="43"/>
      <c r="GY17" s="42" t="str">
        <f t="shared" si="68"/>
        <v>TAMAL ROJO</v>
      </c>
      <c r="GZ17" s="43"/>
      <c r="HB17" s="43">
        <f t="shared" si="69"/>
        <v>0</v>
      </c>
      <c r="HC17" s="42" t="str">
        <f t="shared" si="70"/>
        <v>TAMAL ROJO</v>
      </c>
      <c r="HD17" s="43">
        <f t="shared" si="71"/>
        <v>0</v>
      </c>
      <c r="HF17" s="42" t="str">
        <f t="shared" si="72"/>
        <v>TAMAL ROJO</v>
      </c>
      <c r="HG17" s="43">
        <f t="shared" si="73"/>
        <v>0</v>
      </c>
      <c r="HI17" s="42" t="str">
        <f t="shared" si="74"/>
        <v>TAMAL ROJO</v>
      </c>
      <c r="HJ17" s="43">
        <f t="shared" si="75"/>
        <v>0</v>
      </c>
      <c r="HL17" s="43">
        <f t="shared" si="76"/>
        <v>0</v>
      </c>
      <c r="HM17" s="42" t="str">
        <f t="shared" si="77"/>
        <v>TAMAL ROJO</v>
      </c>
      <c r="HN17" s="57">
        <f t="shared" si="78"/>
        <v>0</v>
      </c>
      <c r="HO17" s="44">
        <f t="shared" si="79"/>
        <v>0</v>
      </c>
      <c r="HP17" s="57">
        <f t="shared" si="80"/>
        <v>0</v>
      </c>
      <c r="HQ17" s="44">
        <f t="shared" si="81"/>
        <v>0</v>
      </c>
      <c r="HR17" s="57">
        <f t="shared" si="82"/>
        <v>0</v>
      </c>
      <c r="HS17" s="44">
        <f t="shared" si="83"/>
        <v>0</v>
      </c>
      <c r="HT17" s="57">
        <f t="shared" si="84"/>
        <v>0</v>
      </c>
      <c r="HU17" s="44">
        <f t="shared" si="85"/>
        <v>0</v>
      </c>
      <c r="HV17" s="57">
        <f t="shared" si="86"/>
        <v>0</v>
      </c>
      <c r="HW17" s="44">
        <f t="shared" si="87"/>
        <v>0</v>
      </c>
      <c r="HX17" s="57">
        <f t="shared" si="88"/>
        <v>0</v>
      </c>
      <c r="HY17" s="44">
        <f t="shared" si="89"/>
        <v>0</v>
      </c>
      <c r="HZ17" s="42" t="str">
        <f t="shared" si="90"/>
        <v>TAMAL ROJO</v>
      </c>
      <c r="IA17" s="57">
        <f t="shared" si="91"/>
        <v>0</v>
      </c>
      <c r="IB17" s="44">
        <f t="shared" si="92"/>
        <v>0</v>
      </c>
      <c r="IC17" s="57">
        <f t="shared" si="93"/>
        <v>0</v>
      </c>
      <c r="ID17" s="44">
        <f t="shared" si="94"/>
        <v>0</v>
      </c>
      <c r="IE17" s="57">
        <f t="shared" si="95"/>
        <v>0</v>
      </c>
      <c r="IF17" s="44">
        <f t="shared" si="96"/>
        <v>0</v>
      </c>
      <c r="IG17" s="57">
        <f t="shared" si="97"/>
        <v>0</v>
      </c>
      <c r="IH17" s="44">
        <f t="shared" si="98"/>
        <v>0</v>
      </c>
      <c r="II17" s="57">
        <f t="shared" si="99"/>
        <v>0</v>
      </c>
      <c r="IJ17" s="44"/>
      <c r="IK17" s="57"/>
      <c r="IL17" s="44">
        <f t="shared" si="100"/>
        <v>0</v>
      </c>
      <c r="IM17" s="42" t="str">
        <f t="shared" si="101"/>
        <v>TAMAL ROJO</v>
      </c>
      <c r="IN17" s="43">
        <f t="shared" si="102"/>
        <v>0</v>
      </c>
      <c r="IP17" s="42" t="str">
        <f t="shared" si="103"/>
        <v>TAMAL ROJO</v>
      </c>
      <c r="IQ17" s="43">
        <f t="shared" si="104"/>
        <v>0</v>
      </c>
      <c r="IS17" s="42" t="str">
        <f t="shared" si="105"/>
        <v>TAMAL ROJO</v>
      </c>
      <c r="IT17" s="43">
        <f t="shared" si="106"/>
        <v>0</v>
      </c>
      <c r="IV17" s="43"/>
      <c r="IW17" s="42" t="str">
        <f t="shared" si="107"/>
        <v>TAMAL ROJO</v>
      </c>
      <c r="IX17" s="43">
        <f t="shared" si="108"/>
        <v>0</v>
      </c>
      <c r="IZ17" s="42" t="str">
        <f t="shared" si="109"/>
        <v>TAMAL ROJO</v>
      </c>
      <c r="JA17" s="43">
        <f t="shared" si="110"/>
        <v>0</v>
      </c>
      <c r="JC17" s="42" t="str">
        <f t="shared" si="111"/>
        <v>TAMAL ROJO</v>
      </c>
      <c r="JD17" s="43">
        <f t="shared" si="112"/>
        <v>0</v>
      </c>
      <c r="JF17" s="43"/>
      <c r="JG17" s="42" t="str">
        <f t="shared" si="113"/>
        <v>TAMAL ROJO</v>
      </c>
      <c r="JH17" s="43">
        <f t="shared" si="114"/>
        <v>0</v>
      </c>
      <c r="JJ17" s="42" t="str">
        <f t="shared" si="115"/>
        <v>TAMAL ROJO</v>
      </c>
      <c r="JK17" s="43">
        <f t="shared" si="116"/>
        <v>0</v>
      </c>
      <c r="JM17" s="42" t="str">
        <f t="shared" si="117"/>
        <v>TAMAL ROJO</v>
      </c>
      <c r="JN17" s="43">
        <f t="shared" si="118"/>
        <v>0</v>
      </c>
      <c r="JP17" s="44">
        <f t="shared" si="119"/>
        <v>0</v>
      </c>
      <c r="JQ17" s="42" t="str">
        <f t="shared" si="120"/>
        <v>TAMAL ROJO</v>
      </c>
      <c r="JR17" s="43">
        <f t="shared" si="121"/>
        <v>0</v>
      </c>
      <c r="JT17" s="42" t="str">
        <f t="shared" si="122"/>
        <v>TAMAL ROJO</v>
      </c>
      <c r="JU17" s="43">
        <f t="shared" si="123"/>
        <v>0</v>
      </c>
      <c r="JW17" s="42" t="str">
        <f t="shared" si="124"/>
        <v>TAMAL ROJO</v>
      </c>
      <c r="JX17" s="43">
        <f t="shared" si="125"/>
        <v>0</v>
      </c>
      <c r="JZ17" s="44">
        <f t="shared" si="126"/>
        <v>0</v>
      </c>
    </row>
    <row r="18" spans="1:286" s="7" customFormat="1" ht="54" customHeight="1" x14ac:dyDescent="0.65">
      <c r="A18" s="46" t="s">
        <v>48</v>
      </c>
      <c r="B18" s="43"/>
      <c r="D18" s="46"/>
      <c r="E18" s="43"/>
      <c r="G18" s="42" t="str">
        <f t="shared" si="0"/>
        <v>CHILE RELLENO</v>
      </c>
      <c r="H18" s="43"/>
      <c r="J18" s="43">
        <f t="shared" si="1"/>
        <v>0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/>
      <c r="T18" s="43">
        <f t="shared" si="4"/>
        <v>0</v>
      </c>
      <c r="U18" s="42" t="str">
        <f t="shared" si="5"/>
        <v>CHILE RELLENO</v>
      </c>
      <c r="V18" s="43"/>
      <c r="X18" s="46"/>
      <c r="Y18" s="43"/>
      <c r="AA18" s="42" t="str">
        <f t="shared" si="6"/>
        <v>CHILE RELLENO</v>
      </c>
      <c r="AB18" s="43"/>
      <c r="AD18" s="43">
        <f t="shared" si="7"/>
        <v>0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/>
      <c r="AR18" s="46"/>
      <c r="AS18" s="43"/>
      <c r="AU18" s="42" t="str">
        <f t="shared" si="12"/>
        <v>CHILE RELLENO</v>
      </c>
      <c r="AV18" s="43"/>
      <c r="AX18" s="43">
        <f t="shared" si="13"/>
        <v>0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/>
      <c r="BL18" s="46"/>
      <c r="BM18" s="43"/>
      <c r="BO18" s="42" t="str">
        <f t="shared" si="18"/>
        <v>CHILE RELLENO</v>
      </c>
      <c r="BP18" s="43"/>
      <c r="BR18" s="43">
        <f t="shared" si="19"/>
        <v>0</v>
      </c>
      <c r="BS18" s="42" t="str">
        <f t="shared" si="20"/>
        <v>CHILE RELLENO</v>
      </c>
      <c r="BT18" s="43"/>
      <c r="BV18" s="46"/>
      <c r="BW18" s="43"/>
      <c r="BY18" s="42" t="str">
        <f t="shared" si="21"/>
        <v>CHILE RELLENO</v>
      </c>
      <c r="BZ18" s="43"/>
      <c r="CB18" s="43">
        <f t="shared" si="22"/>
        <v>0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7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/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0</v>
      </c>
      <c r="FE18" s="42" t="str">
        <f t="shared" si="50"/>
        <v>CHILE RELLENO</v>
      </c>
      <c r="FF18" s="43"/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0</v>
      </c>
      <c r="FO18" s="42" t="str">
        <f t="shared" si="54"/>
        <v>CHILE RELLENO</v>
      </c>
      <c r="FP18" s="43"/>
      <c r="FR18" s="42" t="str">
        <f t="shared" si="55"/>
        <v>CHILE RELLENO</v>
      </c>
      <c r="FS18" s="43"/>
      <c r="FU18" s="42" t="str">
        <f t="shared" si="56"/>
        <v>CHILE RELLENO</v>
      </c>
      <c r="FV18" s="43"/>
      <c r="FX18" s="43">
        <f t="shared" si="57"/>
        <v>0</v>
      </c>
      <c r="FY18" s="42" t="str">
        <f t="shared" si="58"/>
        <v>CHILE RELLENO</v>
      </c>
      <c r="FZ18" s="43"/>
      <c r="GB18" s="42" t="str">
        <f t="shared" si="59"/>
        <v>CHILE RELLENO</v>
      </c>
      <c r="GC18" s="43"/>
      <c r="GE18" s="42" t="str">
        <f t="shared" si="60"/>
        <v>CHILE RELLENO</v>
      </c>
      <c r="GF18" s="43"/>
      <c r="GH18" s="43">
        <f t="shared" si="61"/>
        <v>0</v>
      </c>
      <c r="GI18" s="42" t="str">
        <f t="shared" si="62"/>
        <v>CHILE RELLENO</v>
      </c>
      <c r="GJ18" s="43"/>
      <c r="GL18" s="42" t="str">
        <f t="shared" si="63"/>
        <v>CHILE RELLENO</v>
      </c>
      <c r="GM18" s="43"/>
      <c r="GO18" s="42" t="str">
        <f t="shared" si="64"/>
        <v>CHILE RELLENO</v>
      </c>
      <c r="GP18" s="43"/>
      <c r="GR18" s="43">
        <f t="shared" si="65"/>
        <v>0</v>
      </c>
      <c r="GS18" s="42" t="str">
        <f t="shared" si="66"/>
        <v>CHILE RELLENO</v>
      </c>
      <c r="GT18" s="43"/>
      <c r="GV18" s="42" t="str">
        <f t="shared" si="67"/>
        <v>CHILE RELLENO</v>
      </c>
      <c r="GW18" s="43"/>
      <c r="GY18" s="42" t="str">
        <f t="shared" si="68"/>
        <v>CHILE RELLENO</v>
      </c>
      <c r="GZ18" s="43"/>
      <c r="HB18" s="43">
        <f t="shared" si="69"/>
        <v>0</v>
      </c>
      <c r="HC18" s="42" t="str">
        <f t="shared" si="70"/>
        <v>CHILE RELLENO</v>
      </c>
      <c r="HD18" s="43">
        <f t="shared" si="71"/>
        <v>0</v>
      </c>
      <c r="HF18" s="42" t="str">
        <f t="shared" si="72"/>
        <v>CHILE RELLENO</v>
      </c>
      <c r="HG18" s="43">
        <f t="shared" si="73"/>
        <v>0</v>
      </c>
      <c r="HI18" s="42" t="str">
        <f t="shared" si="74"/>
        <v>CHILE RELLENO</v>
      </c>
      <c r="HJ18" s="43">
        <f t="shared" si="75"/>
        <v>0</v>
      </c>
      <c r="HL18" s="43">
        <f t="shared" si="76"/>
        <v>0</v>
      </c>
      <c r="HM18" s="42" t="str">
        <f t="shared" si="77"/>
        <v>CHILE RELLENO</v>
      </c>
      <c r="HN18" s="57">
        <f t="shared" si="78"/>
        <v>0</v>
      </c>
      <c r="HO18" s="44">
        <f t="shared" si="79"/>
        <v>0</v>
      </c>
      <c r="HP18" s="57">
        <f t="shared" si="80"/>
        <v>0</v>
      </c>
      <c r="HQ18" s="44">
        <f t="shared" si="81"/>
        <v>0</v>
      </c>
      <c r="HR18" s="57">
        <f t="shared" si="82"/>
        <v>0</v>
      </c>
      <c r="HS18" s="44">
        <f t="shared" si="83"/>
        <v>0</v>
      </c>
      <c r="HT18" s="57">
        <f t="shared" si="84"/>
        <v>0</v>
      </c>
      <c r="HU18" s="44">
        <f t="shared" si="85"/>
        <v>0</v>
      </c>
      <c r="HV18" s="57">
        <f t="shared" si="86"/>
        <v>0</v>
      </c>
      <c r="HW18" s="44">
        <f t="shared" si="87"/>
        <v>0</v>
      </c>
      <c r="HX18" s="57">
        <f t="shared" si="88"/>
        <v>0</v>
      </c>
      <c r="HY18" s="44">
        <f t="shared" si="89"/>
        <v>0</v>
      </c>
      <c r="HZ18" s="42" t="str">
        <f t="shared" si="90"/>
        <v>CHILE RELLENO</v>
      </c>
      <c r="IA18" s="57">
        <f t="shared" si="91"/>
        <v>0</v>
      </c>
      <c r="IB18" s="44">
        <f t="shared" si="92"/>
        <v>0</v>
      </c>
      <c r="IC18" s="57">
        <f t="shared" si="93"/>
        <v>0</v>
      </c>
      <c r="ID18" s="44">
        <f t="shared" si="94"/>
        <v>0</v>
      </c>
      <c r="IE18" s="57">
        <f t="shared" si="95"/>
        <v>0</v>
      </c>
      <c r="IF18" s="44">
        <f t="shared" si="96"/>
        <v>0</v>
      </c>
      <c r="IG18" s="57">
        <f t="shared" si="97"/>
        <v>0</v>
      </c>
      <c r="IH18" s="44">
        <f t="shared" si="98"/>
        <v>0</v>
      </c>
      <c r="II18" s="57">
        <f t="shared" si="99"/>
        <v>0</v>
      </c>
      <c r="IJ18" s="44"/>
      <c r="IK18" s="57"/>
      <c r="IL18" s="44">
        <f t="shared" si="100"/>
        <v>0</v>
      </c>
      <c r="IM18" s="42" t="str">
        <f t="shared" si="101"/>
        <v>CHILE RELLENO</v>
      </c>
      <c r="IN18" s="43">
        <f t="shared" si="102"/>
        <v>0</v>
      </c>
      <c r="IP18" s="42" t="str">
        <f t="shared" si="103"/>
        <v>CHILE RELLENO</v>
      </c>
      <c r="IQ18" s="43">
        <f t="shared" si="104"/>
        <v>0</v>
      </c>
      <c r="IS18" s="42" t="str">
        <f t="shared" si="105"/>
        <v>CHILE RELLENO</v>
      </c>
      <c r="IT18" s="43">
        <f t="shared" si="106"/>
        <v>0</v>
      </c>
      <c r="IV18" s="43"/>
      <c r="IW18" s="42" t="str">
        <f t="shared" si="107"/>
        <v>CHILE RELLENO</v>
      </c>
      <c r="IX18" s="43">
        <f t="shared" si="108"/>
        <v>0</v>
      </c>
      <c r="IZ18" s="42" t="str">
        <f t="shared" si="109"/>
        <v>CHILE RELLENO</v>
      </c>
      <c r="JA18" s="43">
        <f t="shared" si="110"/>
        <v>0</v>
      </c>
      <c r="JC18" s="42" t="str">
        <f t="shared" si="111"/>
        <v>CHILE RELLENO</v>
      </c>
      <c r="JD18" s="43">
        <f t="shared" si="112"/>
        <v>0</v>
      </c>
      <c r="JF18" s="43"/>
      <c r="JG18" s="42" t="str">
        <f t="shared" si="113"/>
        <v>CHILE RELLENO</v>
      </c>
      <c r="JH18" s="43">
        <f t="shared" si="114"/>
        <v>0</v>
      </c>
      <c r="JJ18" s="42" t="str">
        <f t="shared" si="115"/>
        <v>CHILE RELLENO</v>
      </c>
      <c r="JK18" s="43">
        <f t="shared" si="116"/>
        <v>0</v>
      </c>
      <c r="JM18" s="42" t="str">
        <f t="shared" si="117"/>
        <v>CHILE RELLENO</v>
      </c>
      <c r="JN18" s="43">
        <f t="shared" si="118"/>
        <v>0</v>
      </c>
      <c r="JP18" s="44">
        <f t="shared" si="119"/>
        <v>0</v>
      </c>
      <c r="JQ18" s="42" t="str">
        <f t="shared" si="120"/>
        <v>CHILE RELLENO</v>
      </c>
      <c r="JR18" s="43">
        <f t="shared" si="121"/>
        <v>0</v>
      </c>
      <c r="JT18" s="42" t="str">
        <f t="shared" si="122"/>
        <v>CHILE RELLENO</v>
      </c>
      <c r="JU18" s="43">
        <f t="shared" si="123"/>
        <v>0</v>
      </c>
      <c r="JW18" s="42" t="str">
        <f t="shared" si="124"/>
        <v>CHILE RELLENO</v>
      </c>
      <c r="JX18" s="43">
        <f t="shared" si="125"/>
        <v>0</v>
      </c>
      <c r="JZ18" s="44">
        <f t="shared" si="126"/>
        <v>0</v>
      </c>
    </row>
    <row r="19" spans="1:286" s="7" customFormat="1" ht="54" customHeight="1" x14ac:dyDescent="0.65">
      <c r="A19" s="46" t="s">
        <v>49</v>
      </c>
      <c r="B19" s="43"/>
      <c r="D19" s="46"/>
      <c r="E19" s="43"/>
      <c r="G19" s="42" t="str">
        <f t="shared" si="0"/>
        <v>TACO DORADO</v>
      </c>
      <c r="H19" s="43"/>
      <c r="J19" s="43">
        <f t="shared" si="1"/>
        <v>0</v>
      </c>
      <c r="K19" s="42" t="str">
        <f t="shared" si="2"/>
        <v>TACO DORADO</v>
      </c>
      <c r="L19" s="43"/>
      <c r="N19" s="46"/>
      <c r="O19" s="43"/>
      <c r="Q19" s="42" t="str">
        <f t="shared" si="3"/>
        <v>TACO DORADO</v>
      </c>
      <c r="R19" s="43"/>
      <c r="T19" s="43">
        <f t="shared" si="4"/>
        <v>0</v>
      </c>
      <c r="U19" s="42" t="str">
        <f t="shared" si="5"/>
        <v>TACO DORADO</v>
      </c>
      <c r="V19" s="43"/>
      <c r="X19" s="46"/>
      <c r="Y19" s="43"/>
      <c r="AA19" s="42" t="str">
        <f t="shared" si="6"/>
        <v>TACO DORADO</v>
      </c>
      <c r="AB19" s="43"/>
      <c r="AD19" s="43">
        <f t="shared" si="7"/>
        <v>0</v>
      </c>
      <c r="AE19" s="42" t="str">
        <f t="shared" si="8"/>
        <v>TACO DORADO</v>
      </c>
      <c r="AF19" s="43"/>
      <c r="AH19" s="46"/>
      <c r="AI19" s="43"/>
      <c r="AK19" s="42" t="str">
        <f t="shared" si="9"/>
        <v>TACO DORADO</v>
      </c>
      <c r="AL19" s="43"/>
      <c r="AN19" s="43">
        <f t="shared" si="10"/>
        <v>0</v>
      </c>
      <c r="AO19" s="42" t="str">
        <f t="shared" si="11"/>
        <v>TACO DORADO</v>
      </c>
      <c r="AP19" s="43"/>
      <c r="AR19" s="46"/>
      <c r="AS19" s="43"/>
      <c r="AU19" s="42" t="str">
        <f t="shared" si="12"/>
        <v>TACO DORADO</v>
      </c>
      <c r="AV19" s="43"/>
      <c r="AX19" s="43">
        <f t="shared" si="13"/>
        <v>0</v>
      </c>
      <c r="AY19" s="42" t="str">
        <f t="shared" si="14"/>
        <v>TACO DORADO</v>
      </c>
      <c r="AZ19" s="43"/>
      <c r="BB19" s="46"/>
      <c r="BC19" s="43"/>
      <c r="BE19" s="42" t="str">
        <f t="shared" si="15"/>
        <v>TACO DORADO</v>
      </c>
      <c r="BF19" s="43"/>
      <c r="BH19" s="43">
        <f t="shared" si="16"/>
        <v>0</v>
      </c>
      <c r="BI19" s="42" t="str">
        <f t="shared" si="17"/>
        <v>TACO DORADO</v>
      </c>
      <c r="BJ19" s="43"/>
      <c r="BL19" s="46"/>
      <c r="BM19" s="43"/>
      <c r="BO19" s="42" t="str">
        <f t="shared" si="18"/>
        <v>TACO DORADO</v>
      </c>
      <c r="BP19" s="43"/>
      <c r="BR19" s="43">
        <f t="shared" si="19"/>
        <v>0</v>
      </c>
      <c r="BS19" s="42" t="str">
        <f t="shared" si="20"/>
        <v>TACO DORADO</v>
      </c>
      <c r="BT19" s="43"/>
      <c r="BV19" s="46"/>
      <c r="BW19" s="43"/>
      <c r="BY19" s="42" t="str">
        <f t="shared" si="21"/>
        <v>TACO DORADO</v>
      </c>
      <c r="BZ19" s="43"/>
      <c r="CB19" s="43">
        <f t="shared" si="22"/>
        <v>0</v>
      </c>
      <c r="CC19" s="42" t="str">
        <f t="shared" si="23"/>
        <v>TACO DORADO</v>
      </c>
      <c r="CD19" s="43"/>
      <c r="CF19" s="46"/>
      <c r="CG19" s="43"/>
      <c r="CI19" s="42" t="str">
        <f t="shared" si="24"/>
        <v>TACO DORADO</v>
      </c>
      <c r="CJ19" s="43"/>
      <c r="CL19" s="43">
        <f t="shared" si="25"/>
        <v>0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/>
      <c r="CV19" s="43">
        <f t="shared" si="28"/>
        <v>0</v>
      </c>
      <c r="CW19" s="42" t="str">
        <f t="shared" si="29"/>
        <v>TACO DORADO</v>
      </c>
      <c r="CX19" s="43"/>
      <c r="CZ19" s="42"/>
      <c r="DA19" s="43"/>
      <c r="DC19" s="42" t="str">
        <f t="shared" si="127"/>
        <v>TACO DORADO</v>
      </c>
      <c r="DD19" s="43"/>
      <c r="DF19" s="43">
        <f t="shared" si="31"/>
        <v>0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65"/>
        <v>0</v>
      </c>
      <c r="GS19" s="42" t="str">
        <f t="shared" si="66"/>
        <v>TACO DORADO</v>
      </c>
      <c r="GT19" s="43"/>
      <c r="GV19" s="42" t="str">
        <f t="shared" si="67"/>
        <v>TACO DORADO</v>
      </c>
      <c r="GW19" s="43"/>
      <c r="GY19" s="42" t="str">
        <f t="shared" si="68"/>
        <v>TACO DORADO</v>
      </c>
      <c r="GZ19" s="43"/>
      <c r="HB19" s="43">
        <f t="shared" si="69"/>
        <v>0</v>
      </c>
      <c r="HC19" s="42" t="str">
        <f t="shared" si="70"/>
        <v>TACO DORADO</v>
      </c>
      <c r="HD19" s="43">
        <f t="shared" si="71"/>
        <v>0</v>
      </c>
      <c r="HF19" s="42" t="str">
        <f t="shared" si="72"/>
        <v>TACO DORADO</v>
      </c>
      <c r="HG19" s="43">
        <f t="shared" si="73"/>
        <v>0</v>
      </c>
      <c r="HI19" s="42" t="str">
        <f t="shared" si="74"/>
        <v>TACO DORADO</v>
      </c>
      <c r="HJ19" s="43">
        <f t="shared" si="75"/>
        <v>0</v>
      </c>
      <c r="HL19" s="43">
        <f t="shared" si="76"/>
        <v>0</v>
      </c>
      <c r="HM19" s="42" t="str">
        <f t="shared" si="77"/>
        <v>TACO DORADO</v>
      </c>
      <c r="HN19" s="57">
        <f t="shared" si="78"/>
        <v>0</v>
      </c>
      <c r="HO19" s="44">
        <f t="shared" si="79"/>
        <v>0</v>
      </c>
      <c r="HP19" s="57">
        <f t="shared" si="80"/>
        <v>0</v>
      </c>
      <c r="HQ19" s="44">
        <f t="shared" si="81"/>
        <v>0</v>
      </c>
      <c r="HR19" s="57">
        <f t="shared" si="82"/>
        <v>0</v>
      </c>
      <c r="HS19" s="44">
        <f t="shared" si="83"/>
        <v>0</v>
      </c>
      <c r="HT19" s="57">
        <f t="shared" si="84"/>
        <v>0</v>
      </c>
      <c r="HU19" s="44">
        <f t="shared" si="85"/>
        <v>0</v>
      </c>
      <c r="HV19" s="57">
        <f t="shared" si="86"/>
        <v>0</v>
      </c>
      <c r="HW19" s="44">
        <f t="shared" si="87"/>
        <v>0</v>
      </c>
      <c r="HX19" s="57">
        <f t="shared" si="88"/>
        <v>0</v>
      </c>
      <c r="HY19" s="44">
        <f t="shared" si="89"/>
        <v>0</v>
      </c>
      <c r="HZ19" s="42" t="str">
        <f t="shared" si="90"/>
        <v>TACO DORADO</v>
      </c>
      <c r="IA19" s="57">
        <f t="shared" si="91"/>
        <v>0</v>
      </c>
      <c r="IB19" s="44">
        <f t="shared" si="92"/>
        <v>0</v>
      </c>
      <c r="IC19" s="57">
        <f t="shared" si="93"/>
        <v>0</v>
      </c>
      <c r="ID19" s="44">
        <f t="shared" si="94"/>
        <v>0</v>
      </c>
      <c r="IE19" s="57">
        <f t="shared" si="95"/>
        <v>0</v>
      </c>
      <c r="IF19" s="44">
        <f t="shared" si="96"/>
        <v>0</v>
      </c>
      <c r="IG19" s="57">
        <f t="shared" si="97"/>
        <v>0</v>
      </c>
      <c r="IH19" s="44">
        <f t="shared" si="98"/>
        <v>0</v>
      </c>
      <c r="II19" s="57">
        <f t="shared" si="99"/>
        <v>0</v>
      </c>
      <c r="IJ19" s="44"/>
      <c r="IK19" s="57"/>
      <c r="IL19" s="44">
        <f t="shared" si="100"/>
        <v>0</v>
      </c>
      <c r="IM19" s="42" t="str">
        <f t="shared" si="101"/>
        <v>TACO DORADO</v>
      </c>
      <c r="IN19" s="43">
        <f t="shared" si="102"/>
        <v>0</v>
      </c>
      <c r="IP19" s="42" t="str">
        <f t="shared" si="103"/>
        <v>TACO DORADO</v>
      </c>
      <c r="IQ19" s="43">
        <f t="shared" si="104"/>
        <v>0</v>
      </c>
      <c r="IS19" s="42" t="str">
        <f t="shared" si="105"/>
        <v>TACO DORADO</v>
      </c>
      <c r="IT19" s="43">
        <f t="shared" si="106"/>
        <v>0</v>
      </c>
      <c r="IV19" s="43"/>
      <c r="IW19" s="42" t="str">
        <f t="shared" si="107"/>
        <v>TACO DORADO</v>
      </c>
      <c r="IX19" s="43">
        <f t="shared" si="108"/>
        <v>0</v>
      </c>
      <c r="IZ19" s="42" t="str">
        <f t="shared" si="109"/>
        <v>TACO DORADO</v>
      </c>
      <c r="JA19" s="43">
        <f t="shared" si="110"/>
        <v>0</v>
      </c>
      <c r="JC19" s="42" t="str">
        <f t="shared" si="111"/>
        <v>TACO DORADO</v>
      </c>
      <c r="JD19" s="43">
        <f t="shared" si="112"/>
        <v>0</v>
      </c>
      <c r="JF19" s="43"/>
      <c r="JG19" s="42" t="str">
        <f t="shared" si="113"/>
        <v>TACO DORADO</v>
      </c>
      <c r="JH19" s="43">
        <f t="shared" si="114"/>
        <v>0</v>
      </c>
      <c r="JJ19" s="42" t="str">
        <f t="shared" si="115"/>
        <v>TACO DORADO</v>
      </c>
      <c r="JK19" s="43">
        <f t="shared" si="116"/>
        <v>0</v>
      </c>
      <c r="JM19" s="42" t="str">
        <f t="shared" si="117"/>
        <v>TACO DORADO</v>
      </c>
      <c r="JN19" s="43">
        <f t="shared" si="118"/>
        <v>0</v>
      </c>
      <c r="JP19" s="44">
        <f t="shared" si="119"/>
        <v>0</v>
      </c>
      <c r="JQ19" s="42" t="str">
        <f t="shared" si="120"/>
        <v>TACO DORADO</v>
      </c>
      <c r="JR19" s="43">
        <f t="shared" si="121"/>
        <v>0</v>
      </c>
      <c r="JT19" s="42" t="str">
        <f t="shared" si="122"/>
        <v>TACO DORADO</v>
      </c>
      <c r="JU19" s="43">
        <f t="shared" si="123"/>
        <v>0</v>
      </c>
      <c r="JW19" s="42" t="str">
        <f t="shared" si="124"/>
        <v>TACO DORADO</v>
      </c>
      <c r="JX19" s="43">
        <f t="shared" si="125"/>
        <v>0</v>
      </c>
      <c r="JZ19" s="44">
        <f t="shared" si="126"/>
        <v>0</v>
      </c>
    </row>
    <row r="20" spans="1:286" s="7" customFormat="1" ht="54" customHeight="1" x14ac:dyDescent="0.65">
      <c r="A20" s="46" t="s">
        <v>50</v>
      </c>
      <c r="B20" s="43"/>
      <c r="D20" s="46"/>
      <c r="E20" s="43"/>
      <c r="G20" s="42" t="str">
        <f t="shared" si="0"/>
        <v>ADOBO PICADILLO</v>
      </c>
      <c r="H20" s="43"/>
      <c r="J20" s="43">
        <f t="shared" si="1"/>
        <v>0</v>
      </c>
      <c r="K20" s="42" t="str">
        <f t="shared" si="2"/>
        <v>ADOBO PICADILLO</v>
      </c>
      <c r="L20" s="43"/>
      <c r="N20" s="46"/>
      <c r="O20" s="43"/>
      <c r="Q20" s="42" t="str">
        <f t="shared" si="3"/>
        <v>ADOBO PICADILLO</v>
      </c>
      <c r="R20" s="43"/>
      <c r="T20" s="43">
        <f t="shared" si="4"/>
        <v>0</v>
      </c>
      <c r="U20" s="42" t="str">
        <f t="shared" si="5"/>
        <v>ADOBO PICADILLO</v>
      </c>
      <c r="V20" s="43"/>
      <c r="X20" s="46"/>
      <c r="Y20" s="43"/>
      <c r="AA20" s="42" t="str">
        <f t="shared" si="6"/>
        <v>ADOBO PICADILLO</v>
      </c>
      <c r="AB20" s="43"/>
      <c r="AD20" s="43">
        <f t="shared" si="7"/>
        <v>0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/>
      <c r="AR20" s="46"/>
      <c r="AS20" s="43"/>
      <c r="AU20" s="42" t="str">
        <f t="shared" si="12"/>
        <v>ADOBO PICADILLO</v>
      </c>
      <c r="AV20" s="43"/>
      <c r="AX20" s="43">
        <f t="shared" si="13"/>
        <v>0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/>
      <c r="BH20" s="43">
        <f t="shared" si="16"/>
        <v>0</v>
      </c>
      <c r="BI20" s="42" t="str">
        <f t="shared" si="17"/>
        <v>ADOBO PICADILLO</v>
      </c>
      <c r="BJ20" s="43"/>
      <c r="BL20" s="46"/>
      <c r="BM20" s="43"/>
      <c r="BO20" s="42" t="str">
        <f t="shared" si="18"/>
        <v>ADOBO PICADILLO</v>
      </c>
      <c r="BP20" s="43"/>
      <c r="BR20" s="43">
        <f t="shared" si="19"/>
        <v>0</v>
      </c>
      <c r="BS20" s="42" t="str">
        <f t="shared" si="20"/>
        <v>ADOBO PICADILLO</v>
      </c>
      <c r="BT20" s="43"/>
      <c r="BV20" s="46"/>
      <c r="BW20" s="43"/>
      <c r="BY20" s="42" t="str">
        <f t="shared" si="21"/>
        <v>ADOBO PICADILLO</v>
      </c>
      <c r="BZ20" s="43"/>
      <c r="CB20" s="43">
        <f t="shared" si="22"/>
        <v>0</v>
      </c>
      <c r="CC20" s="42" t="str">
        <f t="shared" si="23"/>
        <v>ADOBO PICADILLO</v>
      </c>
      <c r="CD20" s="43"/>
      <c r="CF20" s="46"/>
      <c r="CG20" s="43"/>
      <c r="CI20" s="42" t="str">
        <f t="shared" si="24"/>
        <v>ADOBO PICADILLO</v>
      </c>
      <c r="CJ20" s="43"/>
      <c r="CL20" s="43">
        <f t="shared" si="25"/>
        <v>0</v>
      </c>
      <c r="CM20" s="42" t="str">
        <f t="shared" si="26"/>
        <v>ADOBO PICADILLO</v>
      </c>
      <c r="CN20" s="43"/>
      <c r="CP20" s="42"/>
      <c r="CQ20" s="43"/>
      <c r="CS20" s="42" t="str">
        <f t="shared" si="27"/>
        <v>ADOBO PICADILLO</v>
      </c>
      <c r="CT20" s="43"/>
      <c r="CV20" s="43">
        <f t="shared" si="28"/>
        <v>0</v>
      </c>
      <c r="CW20" s="42" t="str">
        <f t="shared" si="29"/>
        <v>ADOBO PICADILLO</v>
      </c>
      <c r="CX20" s="43"/>
      <c r="CZ20" s="42"/>
      <c r="DA20" s="43"/>
      <c r="DC20" s="42" t="str">
        <f t="shared" si="127"/>
        <v>ADOBO PICADILLO</v>
      </c>
      <c r="DD20" s="43"/>
      <c r="DF20" s="43">
        <f t="shared" si="31"/>
        <v>0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 t="str">
        <f t="shared" si="58"/>
        <v>ADOBO PICADILLO</v>
      </c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65"/>
        <v>0</v>
      </c>
      <c r="GS20" s="42" t="str">
        <f t="shared" si="66"/>
        <v>ADOBO PICADILLO</v>
      </c>
      <c r="GT20" s="43"/>
      <c r="GV20" s="42" t="str">
        <f t="shared" si="67"/>
        <v>ADOBO PICADILLO</v>
      </c>
      <c r="GW20" s="43"/>
      <c r="GY20" s="42" t="str">
        <f t="shared" si="68"/>
        <v>ADOBO PICADILLO</v>
      </c>
      <c r="GZ20" s="43"/>
      <c r="HB20" s="43">
        <f t="shared" si="69"/>
        <v>0</v>
      </c>
      <c r="HC20" s="42" t="str">
        <f t="shared" si="70"/>
        <v>ADOBO PICADILLO</v>
      </c>
      <c r="HD20" s="43">
        <f t="shared" si="71"/>
        <v>0</v>
      </c>
      <c r="HF20" s="42" t="str">
        <f t="shared" si="72"/>
        <v>ADOBO PICADILLO</v>
      </c>
      <c r="HG20" s="43">
        <f t="shared" si="73"/>
        <v>0</v>
      </c>
      <c r="HI20" s="42" t="str">
        <f t="shared" si="74"/>
        <v>ADOBO PICADILLO</v>
      </c>
      <c r="HJ20" s="43">
        <f t="shared" si="75"/>
        <v>0</v>
      </c>
      <c r="HL20" s="43">
        <f t="shared" si="76"/>
        <v>0</v>
      </c>
      <c r="HM20" s="42" t="str">
        <f t="shared" si="77"/>
        <v>ADOBO PICADILLO</v>
      </c>
      <c r="HN20" s="57">
        <f t="shared" si="78"/>
        <v>0</v>
      </c>
      <c r="HO20" s="44">
        <f t="shared" si="79"/>
        <v>0</v>
      </c>
      <c r="HP20" s="57">
        <f t="shared" si="80"/>
        <v>0</v>
      </c>
      <c r="HQ20" s="44">
        <f t="shared" si="81"/>
        <v>0</v>
      </c>
      <c r="HR20" s="57">
        <f t="shared" si="82"/>
        <v>0</v>
      </c>
      <c r="HS20" s="44">
        <f t="shared" si="83"/>
        <v>0</v>
      </c>
      <c r="HT20" s="57">
        <f t="shared" si="84"/>
        <v>0</v>
      </c>
      <c r="HU20" s="44">
        <f t="shared" si="85"/>
        <v>0</v>
      </c>
      <c r="HV20" s="57">
        <f t="shared" si="86"/>
        <v>0</v>
      </c>
      <c r="HW20" s="44">
        <f t="shared" si="87"/>
        <v>0</v>
      </c>
      <c r="HX20" s="57">
        <f t="shared" si="88"/>
        <v>0</v>
      </c>
      <c r="HY20" s="44">
        <f t="shared" si="89"/>
        <v>0</v>
      </c>
      <c r="HZ20" s="42" t="str">
        <f t="shared" si="90"/>
        <v>ADOBO PICADILLO</v>
      </c>
      <c r="IA20" s="57">
        <f t="shared" si="91"/>
        <v>0</v>
      </c>
      <c r="IB20" s="44">
        <f t="shared" si="92"/>
        <v>0</v>
      </c>
      <c r="IC20" s="57">
        <f t="shared" si="93"/>
        <v>0</v>
      </c>
      <c r="ID20" s="44">
        <f t="shared" si="94"/>
        <v>0</v>
      </c>
      <c r="IE20" s="57">
        <f t="shared" si="95"/>
        <v>0</v>
      </c>
      <c r="IF20" s="44">
        <f t="shared" si="96"/>
        <v>0</v>
      </c>
      <c r="IG20" s="57">
        <f t="shared" si="97"/>
        <v>0</v>
      </c>
      <c r="IH20" s="44">
        <f t="shared" si="98"/>
        <v>0</v>
      </c>
      <c r="II20" s="57">
        <f t="shared" si="99"/>
        <v>0</v>
      </c>
      <c r="IJ20" s="44"/>
      <c r="IK20" s="57"/>
      <c r="IL20" s="44">
        <f t="shared" si="100"/>
        <v>0</v>
      </c>
      <c r="IM20" s="42" t="str">
        <f t="shared" si="101"/>
        <v>ADOBO PICADILLO</v>
      </c>
      <c r="IN20" s="43">
        <f t="shared" si="102"/>
        <v>0</v>
      </c>
      <c r="IP20" s="42" t="str">
        <f t="shared" si="103"/>
        <v>ADOBO PICADILLO</v>
      </c>
      <c r="IQ20" s="43">
        <f t="shared" si="104"/>
        <v>0</v>
      </c>
      <c r="IS20" s="42" t="str">
        <f t="shared" si="105"/>
        <v>ADOBO PICADILLO</v>
      </c>
      <c r="IT20" s="43">
        <f t="shared" si="106"/>
        <v>0</v>
      </c>
      <c r="IV20" s="43"/>
      <c r="IW20" s="42" t="str">
        <f t="shared" si="107"/>
        <v>ADOBO PICADILLO</v>
      </c>
      <c r="IX20" s="43">
        <f t="shared" si="108"/>
        <v>0</v>
      </c>
      <c r="IZ20" s="42" t="str">
        <f t="shared" si="109"/>
        <v>ADOBO PICADILLO</v>
      </c>
      <c r="JA20" s="43">
        <f t="shared" si="110"/>
        <v>0</v>
      </c>
      <c r="JC20" s="42" t="str">
        <f t="shared" si="111"/>
        <v>ADOBO PICADILLO</v>
      </c>
      <c r="JD20" s="43">
        <f t="shared" si="112"/>
        <v>0</v>
      </c>
      <c r="JF20" s="43"/>
      <c r="JG20" s="42" t="str">
        <f t="shared" si="113"/>
        <v>ADOBO PICADILLO</v>
      </c>
      <c r="JH20" s="43">
        <f t="shared" si="114"/>
        <v>0</v>
      </c>
      <c r="JJ20" s="42" t="str">
        <f t="shared" si="115"/>
        <v>ADOBO PICADILLO</v>
      </c>
      <c r="JK20" s="43">
        <f t="shared" si="116"/>
        <v>0</v>
      </c>
      <c r="JM20" s="42" t="str">
        <f t="shared" si="117"/>
        <v>ADOBO PICADILLO</v>
      </c>
      <c r="JN20" s="43">
        <f t="shared" si="118"/>
        <v>0</v>
      </c>
      <c r="JP20" s="44">
        <f t="shared" si="119"/>
        <v>0</v>
      </c>
      <c r="JQ20" s="42" t="str">
        <f t="shared" si="120"/>
        <v>ADOBO PICADILLO</v>
      </c>
      <c r="JR20" s="43">
        <f t="shared" si="121"/>
        <v>0</v>
      </c>
      <c r="JT20" s="42" t="str">
        <f t="shared" si="122"/>
        <v>ADOBO PICADILLO</v>
      </c>
      <c r="JU20" s="43">
        <f t="shared" si="123"/>
        <v>0</v>
      </c>
      <c r="JW20" s="42" t="str">
        <f t="shared" si="124"/>
        <v>ADOBO PICADILLO</v>
      </c>
      <c r="JX20" s="43">
        <f t="shared" si="125"/>
        <v>0</v>
      </c>
      <c r="JZ20" s="44">
        <f t="shared" si="126"/>
        <v>0</v>
      </c>
    </row>
    <row r="21" spans="1:286" s="7" customFormat="1" ht="54" customHeight="1" x14ac:dyDescent="0.65">
      <c r="A21" s="46" t="s">
        <v>51</v>
      </c>
      <c r="B21" s="43"/>
      <c r="D21" s="46"/>
      <c r="E21" s="43"/>
      <c r="G21" s="42" t="str">
        <f t="shared" si="0"/>
        <v>CARNITAS</v>
      </c>
      <c r="H21" s="43"/>
      <c r="J21" s="43">
        <f t="shared" si="1"/>
        <v>0</v>
      </c>
      <c r="K21" s="42" t="str">
        <f t="shared" si="2"/>
        <v>CARNITAS</v>
      </c>
      <c r="L21" s="43"/>
      <c r="N21" s="46"/>
      <c r="O21" s="43"/>
      <c r="Q21" s="42" t="str">
        <f t="shared" si="3"/>
        <v>CARNITAS</v>
      </c>
      <c r="R21" s="43"/>
      <c r="T21" s="43">
        <f t="shared" si="4"/>
        <v>0</v>
      </c>
      <c r="U21" s="42" t="str">
        <f t="shared" si="5"/>
        <v>CARNITAS</v>
      </c>
      <c r="V21" s="43"/>
      <c r="X21" s="46"/>
      <c r="Y21" s="43"/>
      <c r="AA21" s="42" t="str">
        <f t="shared" si="6"/>
        <v>CARNITAS</v>
      </c>
      <c r="AB21" s="43"/>
      <c r="AD21" s="43">
        <f t="shared" si="7"/>
        <v>0</v>
      </c>
      <c r="AE21" s="42" t="str">
        <f t="shared" si="8"/>
        <v>CARNITAS</v>
      </c>
      <c r="AF21" s="43"/>
      <c r="AH21" s="46"/>
      <c r="AI21" s="43"/>
      <c r="AK21" s="42" t="str">
        <f t="shared" si="9"/>
        <v>CARNITAS</v>
      </c>
      <c r="AL21" s="43"/>
      <c r="AN21" s="43">
        <f t="shared" si="10"/>
        <v>0</v>
      </c>
      <c r="AO21" s="42" t="str">
        <f t="shared" si="11"/>
        <v>CARNITAS</v>
      </c>
      <c r="AP21" s="43"/>
      <c r="AR21" s="46"/>
      <c r="AS21" s="43"/>
      <c r="AU21" s="42" t="str">
        <f t="shared" si="12"/>
        <v>CARNITAS</v>
      </c>
      <c r="AV21" s="43"/>
      <c r="AX21" s="43">
        <f t="shared" si="13"/>
        <v>0</v>
      </c>
      <c r="AY21" s="42" t="str">
        <f t="shared" si="14"/>
        <v>CARNITAS</v>
      </c>
      <c r="AZ21" s="43"/>
      <c r="BB21" s="46"/>
      <c r="BC21" s="43"/>
      <c r="BE21" s="42" t="str">
        <f t="shared" si="15"/>
        <v>CARNITAS</v>
      </c>
      <c r="BF21" s="43"/>
      <c r="BH21" s="43">
        <f t="shared" si="16"/>
        <v>0</v>
      </c>
      <c r="BI21" s="42" t="str">
        <f t="shared" si="17"/>
        <v>CARNITAS</v>
      </c>
      <c r="BJ21" s="43"/>
      <c r="BL21" s="46"/>
      <c r="BM21" s="43"/>
      <c r="BO21" s="42" t="str">
        <f t="shared" si="18"/>
        <v>CARNITAS</v>
      </c>
      <c r="BP21" s="43"/>
      <c r="BR21" s="43">
        <f t="shared" si="19"/>
        <v>0</v>
      </c>
      <c r="BS21" s="42" t="str">
        <f t="shared" si="20"/>
        <v>CARNITAS</v>
      </c>
      <c r="BT21" s="43"/>
      <c r="BV21" s="46"/>
      <c r="BW21" s="43"/>
      <c r="BY21" s="42" t="str">
        <f t="shared" si="21"/>
        <v>CARNITAS</v>
      </c>
      <c r="BZ21" s="43"/>
      <c r="CB21" s="43">
        <f t="shared" si="22"/>
        <v>0</v>
      </c>
      <c r="CC21" s="42" t="str">
        <f t="shared" si="23"/>
        <v>CARNITAS</v>
      </c>
      <c r="CD21" s="43"/>
      <c r="CF21" s="46"/>
      <c r="CG21" s="43"/>
      <c r="CI21" s="42" t="str">
        <f t="shared" si="24"/>
        <v>CARNITAS</v>
      </c>
      <c r="CJ21" s="43"/>
      <c r="CL21" s="43">
        <f t="shared" si="25"/>
        <v>0</v>
      </c>
      <c r="CM21" s="42" t="str">
        <f t="shared" si="26"/>
        <v>CARNITAS</v>
      </c>
      <c r="CN21" s="43"/>
      <c r="CP21" s="42"/>
      <c r="CQ21" s="43"/>
      <c r="CS21" s="42" t="str">
        <f t="shared" si="27"/>
        <v>CARNITAS</v>
      </c>
      <c r="CT21" s="43"/>
      <c r="CV21" s="43">
        <f t="shared" si="28"/>
        <v>0</v>
      </c>
      <c r="CW21" s="42" t="str">
        <f t="shared" si="29"/>
        <v>CARNITAS</v>
      </c>
      <c r="CX21" s="43"/>
      <c r="CZ21" s="42"/>
      <c r="DA21" s="43"/>
      <c r="DC21" s="42" t="str">
        <f t="shared" si="127"/>
        <v>CARNITAS</v>
      </c>
      <c r="DD21" s="43"/>
      <c r="DF21" s="43">
        <f t="shared" si="31"/>
        <v>0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tr">
        <f t="shared" si="58"/>
        <v>CARNITAS</v>
      </c>
      <c r="FZ21" s="43"/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0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65"/>
        <v>0</v>
      </c>
      <c r="GS21" s="42" t="str">
        <f t="shared" si="66"/>
        <v>CARNITAS</v>
      </c>
      <c r="GT21" s="43"/>
      <c r="GV21" s="42" t="str">
        <f t="shared" si="67"/>
        <v>CARNITAS</v>
      </c>
      <c r="GW21" s="43"/>
      <c r="GY21" s="42" t="str">
        <f t="shared" si="68"/>
        <v>CARNITAS</v>
      </c>
      <c r="GZ21" s="43"/>
      <c r="HB21" s="43">
        <f t="shared" si="69"/>
        <v>0</v>
      </c>
      <c r="HC21" s="42" t="str">
        <f t="shared" si="70"/>
        <v>CARNITAS</v>
      </c>
      <c r="HD21" s="43">
        <f t="shared" si="71"/>
        <v>0</v>
      </c>
      <c r="HF21" s="42" t="str">
        <f t="shared" si="72"/>
        <v>CARNITAS</v>
      </c>
      <c r="HG21" s="43">
        <f t="shared" si="73"/>
        <v>0</v>
      </c>
      <c r="HI21" s="42" t="str">
        <f t="shared" si="74"/>
        <v>CARNITAS</v>
      </c>
      <c r="HJ21" s="43">
        <f t="shared" si="75"/>
        <v>0</v>
      </c>
      <c r="HL21" s="43">
        <f t="shared" si="76"/>
        <v>0</v>
      </c>
      <c r="HM21" s="42" t="str">
        <f t="shared" si="77"/>
        <v>CARNITAS</v>
      </c>
      <c r="HN21" s="57">
        <f t="shared" si="78"/>
        <v>0</v>
      </c>
      <c r="HO21" s="44">
        <f t="shared" si="79"/>
        <v>0</v>
      </c>
      <c r="HP21" s="57">
        <f t="shared" si="80"/>
        <v>0</v>
      </c>
      <c r="HQ21" s="44">
        <f t="shared" si="81"/>
        <v>0</v>
      </c>
      <c r="HR21" s="57">
        <f t="shared" si="82"/>
        <v>0</v>
      </c>
      <c r="HS21" s="44">
        <f t="shared" si="83"/>
        <v>0</v>
      </c>
      <c r="HT21" s="57">
        <f t="shared" si="84"/>
        <v>0</v>
      </c>
      <c r="HU21" s="44">
        <f t="shared" si="85"/>
        <v>0</v>
      </c>
      <c r="HV21" s="57">
        <f t="shared" si="86"/>
        <v>0</v>
      </c>
      <c r="HW21" s="44">
        <f t="shared" si="87"/>
        <v>0</v>
      </c>
      <c r="HX21" s="57">
        <f t="shared" si="88"/>
        <v>0</v>
      </c>
      <c r="HY21" s="44">
        <f t="shared" si="89"/>
        <v>0</v>
      </c>
      <c r="HZ21" s="42" t="str">
        <f t="shared" si="90"/>
        <v>CARNITAS</v>
      </c>
      <c r="IA21" s="57">
        <f t="shared" si="91"/>
        <v>0</v>
      </c>
      <c r="IB21" s="44">
        <f t="shared" si="92"/>
        <v>0</v>
      </c>
      <c r="IC21" s="57">
        <f t="shared" si="93"/>
        <v>0</v>
      </c>
      <c r="ID21" s="44">
        <f t="shared" si="94"/>
        <v>0</v>
      </c>
      <c r="IE21" s="57">
        <f t="shared" si="95"/>
        <v>0</v>
      </c>
      <c r="IF21" s="44">
        <f t="shared" si="96"/>
        <v>0</v>
      </c>
      <c r="IG21" s="57">
        <f t="shared" si="97"/>
        <v>0</v>
      </c>
      <c r="IH21" s="44">
        <f t="shared" si="98"/>
        <v>0</v>
      </c>
      <c r="II21" s="57">
        <f t="shared" si="99"/>
        <v>0</v>
      </c>
      <c r="IJ21" s="44"/>
      <c r="IK21" s="57"/>
      <c r="IL21" s="44">
        <f t="shared" si="100"/>
        <v>0</v>
      </c>
      <c r="IM21" s="42" t="str">
        <f t="shared" si="101"/>
        <v>CARNITAS</v>
      </c>
      <c r="IN21" s="43">
        <f t="shared" si="102"/>
        <v>0</v>
      </c>
      <c r="IP21" s="42" t="str">
        <f t="shared" si="103"/>
        <v>CARNITAS</v>
      </c>
      <c r="IQ21" s="43">
        <f t="shared" si="104"/>
        <v>0</v>
      </c>
      <c r="IS21" s="42" t="str">
        <f t="shared" si="105"/>
        <v>CARNITAS</v>
      </c>
      <c r="IT21" s="43">
        <f t="shared" si="106"/>
        <v>0</v>
      </c>
      <c r="IV21" s="43"/>
      <c r="IW21" s="42" t="str">
        <f t="shared" si="107"/>
        <v>CARNITAS</v>
      </c>
      <c r="IX21" s="43">
        <f t="shared" si="108"/>
        <v>0</v>
      </c>
      <c r="IZ21" s="42" t="str">
        <f t="shared" si="109"/>
        <v>CARNITAS</v>
      </c>
      <c r="JA21" s="43">
        <f t="shared" si="110"/>
        <v>0</v>
      </c>
      <c r="JC21" s="42" t="str">
        <f t="shared" si="111"/>
        <v>CARNITAS</v>
      </c>
      <c r="JD21" s="43">
        <f t="shared" si="112"/>
        <v>0</v>
      </c>
      <c r="JF21" s="43"/>
      <c r="JG21" s="42" t="str">
        <f t="shared" si="113"/>
        <v>CARNITAS</v>
      </c>
      <c r="JH21" s="43">
        <f t="shared" si="114"/>
        <v>0</v>
      </c>
      <c r="JJ21" s="42" t="str">
        <f t="shared" si="115"/>
        <v>CARNITAS</v>
      </c>
      <c r="JK21" s="43">
        <f t="shared" si="116"/>
        <v>0</v>
      </c>
      <c r="JM21" s="42" t="str">
        <f t="shared" si="117"/>
        <v>CARNITAS</v>
      </c>
      <c r="JN21" s="43">
        <f t="shared" si="118"/>
        <v>0</v>
      </c>
      <c r="JP21" s="44">
        <f t="shared" si="119"/>
        <v>0</v>
      </c>
      <c r="JQ21" s="42" t="str">
        <f t="shared" si="120"/>
        <v>CARNITAS</v>
      </c>
      <c r="JR21" s="43">
        <f t="shared" si="121"/>
        <v>0</v>
      </c>
      <c r="JT21" s="42" t="str">
        <f t="shared" si="122"/>
        <v>CARNITAS</v>
      </c>
      <c r="JU21" s="43">
        <f t="shared" si="123"/>
        <v>0</v>
      </c>
      <c r="JW21" s="42" t="str">
        <f t="shared" si="124"/>
        <v>CARNITAS</v>
      </c>
      <c r="JX21" s="43">
        <f t="shared" si="125"/>
        <v>0</v>
      </c>
      <c r="JZ21" s="44">
        <f t="shared" si="126"/>
        <v>0</v>
      </c>
    </row>
    <row r="22" spans="1:286" s="7" customFormat="1" ht="54" customHeight="1" x14ac:dyDescent="0.65">
      <c r="A22" s="46" t="s">
        <v>52</v>
      </c>
      <c r="B22" s="43"/>
      <c r="D22" s="46"/>
      <c r="E22" s="43"/>
      <c r="G22" s="42" t="str">
        <f t="shared" si="0"/>
        <v>CATERING</v>
      </c>
      <c r="H22" s="43"/>
      <c r="J22" s="43">
        <f t="shared" si="1"/>
        <v>0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/>
      <c r="BV22" s="46"/>
      <c r="BW22" s="43"/>
      <c r="BY22" s="42" t="str">
        <f t="shared" si="21"/>
        <v>CATERING</v>
      </c>
      <c r="BZ22" s="43"/>
      <c r="CB22" s="43">
        <f t="shared" si="22"/>
        <v>0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/>
      <c r="CZ22" s="42"/>
      <c r="DA22" s="43"/>
      <c r="DC22" s="42" t="str">
        <f t="shared" si="127"/>
        <v>CATERING</v>
      </c>
      <c r="DD22" s="43"/>
      <c r="DF22" s="43">
        <f t="shared" si="31"/>
        <v>0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tr">
        <f t="shared" si="58"/>
        <v>CATERING</v>
      </c>
      <c r="FZ22" s="43"/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0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65"/>
        <v>0</v>
      </c>
      <c r="GS22" s="42" t="str">
        <f t="shared" si="66"/>
        <v>CATERING</v>
      </c>
      <c r="GT22" s="43"/>
      <c r="GV22" s="42" t="str">
        <f t="shared" si="67"/>
        <v>CATERING</v>
      </c>
      <c r="GW22" s="43"/>
      <c r="GY22" s="42" t="str">
        <f t="shared" si="68"/>
        <v>CATERING</v>
      </c>
      <c r="GZ22" s="43"/>
      <c r="HB22" s="43">
        <f t="shared" si="69"/>
        <v>0</v>
      </c>
      <c r="HC22" s="42" t="str">
        <f t="shared" si="70"/>
        <v>CATERING</v>
      </c>
      <c r="HD22" s="43">
        <f t="shared" si="71"/>
        <v>0</v>
      </c>
      <c r="HF22" s="42" t="str">
        <f t="shared" si="72"/>
        <v>CATERING</v>
      </c>
      <c r="HG22" s="43">
        <f t="shared" si="73"/>
        <v>0</v>
      </c>
      <c r="HI22" s="42" t="str">
        <f t="shared" si="74"/>
        <v>CATERING</v>
      </c>
      <c r="HJ22" s="43">
        <f t="shared" si="75"/>
        <v>0</v>
      </c>
      <c r="HL22" s="43">
        <f t="shared" si="76"/>
        <v>0</v>
      </c>
      <c r="HM22" s="42" t="str">
        <f t="shared" si="77"/>
        <v>CATERING</v>
      </c>
      <c r="HN22" s="57">
        <f t="shared" si="78"/>
        <v>0</v>
      </c>
      <c r="HO22" s="44">
        <f t="shared" si="79"/>
        <v>0</v>
      </c>
      <c r="HP22" s="57">
        <f t="shared" si="80"/>
        <v>0</v>
      </c>
      <c r="HQ22" s="44">
        <f t="shared" si="81"/>
        <v>0</v>
      </c>
      <c r="HR22" s="57">
        <f t="shared" si="82"/>
        <v>0</v>
      </c>
      <c r="HS22" s="44">
        <f t="shared" si="83"/>
        <v>0</v>
      </c>
      <c r="HT22" s="57">
        <f t="shared" si="84"/>
        <v>0</v>
      </c>
      <c r="HU22" s="44">
        <f t="shared" si="85"/>
        <v>0</v>
      </c>
      <c r="HV22" s="57">
        <f t="shared" si="86"/>
        <v>0</v>
      </c>
      <c r="HW22" s="44">
        <f t="shared" si="87"/>
        <v>0</v>
      </c>
      <c r="HX22" s="57">
        <f t="shared" si="88"/>
        <v>0</v>
      </c>
      <c r="HY22" s="44">
        <f t="shared" si="89"/>
        <v>0</v>
      </c>
      <c r="HZ22" s="42" t="str">
        <f t="shared" si="90"/>
        <v>CATERING</v>
      </c>
      <c r="IA22" s="57">
        <f t="shared" si="91"/>
        <v>0</v>
      </c>
      <c r="IB22" s="44">
        <f t="shared" si="92"/>
        <v>0</v>
      </c>
      <c r="IC22" s="57">
        <f t="shared" si="93"/>
        <v>0</v>
      </c>
      <c r="ID22" s="44">
        <f t="shared" si="94"/>
        <v>0</v>
      </c>
      <c r="IE22" s="57">
        <f t="shared" si="95"/>
        <v>0</v>
      </c>
      <c r="IF22" s="44">
        <f t="shared" si="96"/>
        <v>0</v>
      </c>
      <c r="IG22" s="57">
        <f t="shared" si="97"/>
        <v>0</v>
      </c>
      <c r="IH22" s="44">
        <f t="shared" si="98"/>
        <v>0</v>
      </c>
      <c r="II22" s="57">
        <f t="shared" si="99"/>
        <v>0</v>
      </c>
      <c r="IJ22" s="44"/>
      <c r="IK22" s="57"/>
      <c r="IL22" s="44">
        <f t="shared" si="100"/>
        <v>0</v>
      </c>
      <c r="IM22" s="42" t="str">
        <f t="shared" si="101"/>
        <v>CATERING</v>
      </c>
      <c r="IN22" s="43">
        <f t="shared" si="102"/>
        <v>0</v>
      </c>
      <c r="IP22" s="42" t="str">
        <f t="shared" si="103"/>
        <v>CATERING</v>
      </c>
      <c r="IQ22" s="43">
        <f t="shared" si="104"/>
        <v>0</v>
      </c>
      <c r="IS22" s="42" t="str">
        <f t="shared" si="105"/>
        <v>CATERING</v>
      </c>
      <c r="IT22" s="43">
        <f t="shared" si="106"/>
        <v>0</v>
      </c>
      <c r="IV22" s="43"/>
      <c r="IW22" s="42" t="str">
        <f t="shared" si="107"/>
        <v>CATERING</v>
      </c>
      <c r="IX22" s="43">
        <f t="shared" si="108"/>
        <v>0</v>
      </c>
      <c r="IZ22" s="42" t="str">
        <f t="shared" si="109"/>
        <v>CATERING</v>
      </c>
      <c r="JA22" s="43">
        <f t="shared" si="110"/>
        <v>0</v>
      </c>
      <c r="JC22" s="42" t="str">
        <f t="shared" si="111"/>
        <v>CATERING</v>
      </c>
      <c r="JD22" s="43">
        <f t="shared" si="112"/>
        <v>0</v>
      </c>
      <c r="JF22" s="43"/>
      <c r="JG22" s="42" t="str">
        <f t="shared" si="113"/>
        <v>CATERING</v>
      </c>
      <c r="JH22" s="43">
        <f t="shared" si="114"/>
        <v>0</v>
      </c>
      <c r="JJ22" s="42" t="str">
        <f t="shared" si="115"/>
        <v>CATERING</v>
      </c>
      <c r="JK22" s="43">
        <f t="shared" si="116"/>
        <v>0</v>
      </c>
      <c r="JM22" s="42" t="str">
        <f t="shared" si="117"/>
        <v>CATERING</v>
      </c>
      <c r="JN22" s="43">
        <f t="shared" si="118"/>
        <v>0</v>
      </c>
      <c r="JP22" s="44">
        <f t="shared" si="119"/>
        <v>0</v>
      </c>
      <c r="JQ22" s="42" t="str">
        <f t="shared" si="120"/>
        <v>CATERING</v>
      </c>
      <c r="JR22" s="43">
        <f t="shared" si="121"/>
        <v>0</v>
      </c>
      <c r="JT22" s="42" t="str">
        <f t="shared" si="122"/>
        <v>CATERING</v>
      </c>
      <c r="JU22" s="43">
        <f t="shared" si="123"/>
        <v>0</v>
      </c>
      <c r="JW22" s="42" t="str">
        <f t="shared" si="124"/>
        <v>CATERING</v>
      </c>
      <c r="JX22" s="43">
        <f t="shared" si="125"/>
        <v>0</v>
      </c>
      <c r="JZ22" s="44">
        <f t="shared" si="126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7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/>
      <c r="FR23" s="42" t="str">
        <f t="shared" si="55"/>
        <v>FOIL 12X1000</v>
      </c>
      <c r="FS23" s="43"/>
      <c r="FU23" s="42" t="str">
        <f t="shared" si="56"/>
        <v>FOIL 12X1000</v>
      </c>
      <c r="FV23" s="43"/>
      <c r="FX23" s="43">
        <f t="shared" si="57"/>
        <v>0</v>
      </c>
      <c r="FY23" s="42" t="str">
        <f t="shared" si="58"/>
        <v>FOIL 12X1000</v>
      </c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65"/>
        <v>0</v>
      </c>
      <c r="GS23" s="42" t="str">
        <f t="shared" si="66"/>
        <v>FOIL 12X1000</v>
      </c>
      <c r="GT23" s="43"/>
      <c r="GV23" s="42" t="str">
        <f t="shared" si="67"/>
        <v>FOIL 12X1000</v>
      </c>
      <c r="GW23" s="43"/>
      <c r="GY23" s="42" t="str">
        <f t="shared" si="68"/>
        <v>FOIL 12X1000</v>
      </c>
      <c r="GZ23" s="43"/>
      <c r="HB23" s="43">
        <f t="shared" si="69"/>
        <v>0</v>
      </c>
      <c r="HC23" s="42" t="str">
        <f t="shared" si="70"/>
        <v>FOIL 12X1000</v>
      </c>
      <c r="HD23" s="43">
        <f t="shared" si="71"/>
        <v>0</v>
      </c>
      <c r="HF23" s="42" t="str">
        <f t="shared" si="72"/>
        <v>FOIL 12X1000</v>
      </c>
      <c r="HG23" s="43">
        <f t="shared" si="73"/>
        <v>0</v>
      </c>
      <c r="HI23" s="42" t="str">
        <f t="shared" si="74"/>
        <v>FOIL 12X1000</v>
      </c>
      <c r="HJ23" s="43">
        <f t="shared" si="75"/>
        <v>0</v>
      </c>
      <c r="HL23" s="43">
        <f t="shared" si="76"/>
        <v>0</v>
      </c>
      <c r="HM23" s="42" t="str">
        <f t="shared" si="77"/>
        <v>FOIL 12X1000</v>
      </c>
      <c r="HN23" s="57">
        <f t="shared" si="78"/>
        <v>0</v>
      </c>
      <c r="HO23" s="44">
        <f t="shared" si="79"/>
        <v>0</v>
      </c>
      <c r="HP23" s="57">
        <f t="shared" si="80"/>
        <v>0</v>
      </c>
      <c r="HQ23" s="44">
        <f t="shared" si="81"/>
        <v>0</v>
      </c>
      <c r="HR23" s="57">
        <f t="shared" si="82"/>
        <v>0</v>
      </c>
      <c r="HS23" s="44">
        <f t="shared" si="83"/>
        <v>0</v>
      </c>
      <c r="HT23" s="57">
        <f t="shared" si="84"/>
        <v>0</v>
      </c>
      <c r="HU23" s="44">
        <f t="shared" si="85"/>
        <v>0</v>
      </c>
      <c r="HV23" s="57">
        <f t="shared" si="86"/>
        <v>0</v>
      </c>
      <c r="HW23" s="44">
        <f t="shared" si="87"/>
        <v>0</v>
      </c>
      <c r="HX23" s="57">
        <f t="shared" si="88"/>
        <v>0</v>
      </c>
      <c r="HY23" s="44">
        <f t="shared" si="89"/>
        <v>0</v>
      </c>
      <c r="HZ23" s="42" t="str">
        <f t="shared" si="90"/>
        <v>FOIL 12X1000</v>
      </c>
      <c r="IA23" s="57">
        <f t="shared" si="91"/>
        <v>0</v>
      </c>
      <c r="IB23" s="44">
        <f t="shared" si="92"/>
        <v>0</v>
      </c>
      <c r="IC23" s="57">
        <f t="shared" si="93"/>
        <v>0</v>
      </c>
      <c r="ID23" s="44">
        <f t="shared" si="94"/>
        <v>0</v>
      </c>
      <c r="IE23" s="57">
        <f t="shared" si="95"/>
        <v>0</v>
      </c>
      <c r="IF23" s="44">
        <f t="shared" si="96"/>
        <v>0</v>
      </c>
      <c r="IG23" s="57">
        <f t="shared" si="97"/>
        <v>0</v>
      </c>
      <c r="IH23" s="44">
        <f t="shared" si="98"/>
        <v>0</v>
      </c>
      <c r="II23" s="57">
        <f t="shared" si="99"/>
        <v>0</v>
      </c>
      <c r="IJ23" s="44"/>
      <c r="IK23" s="57"/>
      <c r="IL23" s="44">
        <f t="shared" si="100"/>
        <v>0</v>
      </c>
      <c r="IM23" s="42" t="str">
        <f t="shared" si="101"/>
        <v>FOIL 12X1000</v>
      </c>
      <c r="IN23" s="43">
        <f t="shared" si="102"/>
        <v>0</v>
      </c>
      <c r="IP23" s="42" t="str">
        <f t="shared" si="103"/>
        <v>FOIL 12X1000</v>
      </c>
      <c r="IQ23" s="43">
        <f t="shared" si="104"/>
        <v>0</v>
      </c>
      <c r="IS23" s="42" t="str">
        <f t="shared" si="105"/>
        <v>FOIL 12X1000</v>
      </c>
      <c r="IT23" s="43">
        <f t="shared" si="106"/>
        <v>0</v>
      </c>
      <c r="IV23" s="43"/>
      <c r="IW23" s="42" t="str">
        <f t="shared" si="107"/>
        <v>FOIL 12X1000</v>
      </c>
      <c r="IX23" s="43">
        <f t="shared" si="108"/>
        <v>0</v>
      </c>
      <c r="IZ23" s="42" t="str">
        <f t="shared" si="109"/>
        <v>FOIL 12X1000</v>
      </c>
      <c r="JA23" s="43">
        <f t="shared" si="110"/>
        <v>0</v>
      </c>
      <c r="JC23" s="42" t="str">
        <f t="shared" si="111"/>
        <v>FOIL 12X1000</v>
      </c>
      <c r="JD23" s="43">
        <f t="shared" si="112"/>
        <v>0</v>
      </c>
      <c r="JF23" s="43"/>
      <c r="JG23" s="42" t="str">
        <f t="shared" si="113"/>
        <v>FOIL 12X1000</v>
      </c>
      <c r="JH23" s="43">
        <f t="shared" si="114"/>
        <v>0</v>
      </c>
      <c r="JJ23" s="42" t="str">
        <f t="shared" si="115"/>
        <v>FOIL 12X1000</v>
      </c>
      <c r="JK23" s="43">
        <f t="shared" si="116"/>
        <v>0</v>
      </c>
      <c r="JM23" s="42" t="str">
        <f t="shared" si="117"/>
        <v>FOIL 12X1000</v>
      </c>
      <c r="JN23" s="43">
        <f t="shared" si="118"/>
        <v>0</v>
      </c>
      <c r="JP23" s="44">
        <f t="shared" si="119"/>
        <v>0</v>
      </c>
      <c r="JQ23" s="42" t="str">
        <f t="shared" si="120"/>
        <v>FOIL 12X1000</v>
      </c>
      <c r="JR23" s="43">
        <f t="shared" si="121"/>
        <v>0</v>
      </c>
      <c r="JT23" s="42" t="str">
        <f t="shared" si="122"/>
        <v>FOIL 12X1000</v>
      </c>
      <c r="JU23" s="43">
        <f t="shared" si="123"/>
        <v>0</v>
      </c>
      <c r="JW23" s="42" t="str">
        <f t="shared" si="124"/>
        <v>FOIL 12X1000</v>
      </c>
      <c r="JX23" s="43">
        <f t="shared" si="125"/>
        <v>0</v>
      </c>
      <c r="JZ23" s="44">
        <f t="shared" si="126"/>
        <v>0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7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/>
      <c r="FR24" s="42" t="str">
        <f t="shared" si="55"/>
        <v>THREE COMP CONT</v>
      </c>
      <c r="FS24" s="43"/>
      <c r="FU24" s="42" t="str">
        <f t="shared" si="56"/>
        <v>THREE COMP CONT</v>
      </c>
      <c r="FV24" s="43"/>
      <c r="FX24" s="43">
        <f t="shared" si="57"/>
        <v>0</v>
      </c>
      <c r="FY24" s="42" t="str">
        <f t="shared" si="58"/>
        <v>THREE COMP CONT</v>
      </c>
      <c r="FZ24" s="43"/>
      <c r="GB24" s="42" t="str">
        <f t="shared" si="59"/>
        <v>THREE COMP CONT</v>
      </c>
      <c r="GC24" s="43"/>
      <c r="GE24" s="42" t="str">
        <f t="shared" si="60"/>
        <v>THREE COMP CONT</v>
      </c>
      <c r="GF24" s="43"/>
      <c r="GH24" s="43">
        <f t="shared" si="61"/>
        <v>0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65"/>
        <v>0</v>
      </c>
      <c r="GS24" s="42" t="str">
        <f t="shared" si="66"/>
        <v>THREE COMP CONT</v>
      </c>
      <c r="GT24" s="43"/>
      <c r="GV24" s="42" t="str">
        <f t="shared" si="67"/>
        <v>THREE COMP CONT</v>
      </c>
      <c r="GW24" s="43"/>
      <c r="GY24" s="42" t="str">
        <f t="shared" si="68"/>
        <v>THREE COMP CONT</v>
      </c>
      <c r="GZ24" s="43"/>
      <c r="HB24" s="43">
        <f t="shared" si="69"/>
        <v>0</v>
      </c>
      <c r="HC24" s="42" t="str">
        <f t="shared" si="70"/>
        <v>THREE COMP CONT</v>
      </c>
      <c r="HD24" s="43">
        <f t="shared" si="71"/>
        <v>0</v>
      </c>
      <c r="HF24" s="42" t="str">
        <f t="shared" si="72"/>
        <v>THREE COMP CONT</v>
      </c>
      <c r="HG24" s="43">
        <f t="shared" si="73"/>
        <v>0</v>
      </c>
      <c r="HI24" s="42" t="str">
        <f t="shared" si="74"/>
        <v>THREE COMP CONT</v>
      </c>
      <c r="HJ24" s="43">
        <f t="shared" si="75"/>
        <v>0</v>
      </c>
      <c r="HL24" s="43">
        <f t="shared" si="76"/>
        <v>0</v>
      </c>
      <c r="HM24" s="42" t="str">
        <f t="shared" si="77"/>
        <v>THREE COMP CONT</v>
      </c>
      <c r="HN24" s="57">
        <f t="shared" si="78"/>
        <v>0</v>
      </c>
      <c r="HO24" s="44">
        <f t="shared" si="79"/>
        <v>0</v>
      </c>
      <c r="HP24" s="57">
        <f t="shared" si="80"/>
        <v>0</v>
      </c>
      <c r="HQ24" s="44">
        <f t="shared" si="81"/>
        <v>0</v>
      </c>
      <c r="HR24" s="57">
        <f t="shared" si="82"/>
        <v>0</v>
      </c>
      <c r="HS24" s="44">
        <f t="shared" si="83"/>
        <v>0</v>
      </c>
      <c r="HT24" s="57">
        <f t="shared" si="84"/>
        <v>0</v>
      </c>
      <c r="HU24" s="44">
        <f t="shared" si="85"/>
        <v>0</v>
      </c>
      <c r="HV24" s="57">
        <f t="shared" si="86"/>
        <v>0</v>
      </c>
      <c r="HW24" s="44">
        <f t="shared" si="87"/>
        <v>0</v>
      </c>
      <c r="HX24" s="57">
        <f t="shared" si="88"/>
        <v>0</v>
      </c>
      <c r="HY24" s="44">
        <f t="shared" si="89"/>
        <v>0</v>
      </c>
      <c r="HZ24" s="42" t="str">
        <f t="shared" si="90"/>
        <v>THREE COMP CONT</v>
      </c>
      <c r="IA24" s="57">
        <f t="shared" si="91"/>
        <v>0</v>
      </c>
      <c r="IB24" s="44">
        <f t="shared" si="92"/>
        <v>0</v>
      </c>
      <c r="IC24" s="57">
        <f t="shared" si="93"/>
        <v>0</v>
      </c>
      <c r="ID24" s="44">
        <f t="shared" si="94"/>
        <v>0</v>
      </c>
      <c r="IE24" s="57">
        <f t="shared" si="95"/>
        <v>0</v>
      </c>
      <c r="IF24" s="44">
        <f t="shared" si="96"/>
        <v>0</v>
      </c>
      <c r="IG24" s="57">
        <f t="shared" si="97"/>
        <v>0</v>
      </c>
      <c r="IH24" s="44">
        <f t="shared" si="98"/>
        <v>0</v>
      </c>
      <c r="II24" s="57">
        <f t="shared" si="99"/>
        <v>0</v>
      </c>
      <c r="IJ24" s="44"/>
      <c r="IK24" s="57"/>
      <c r="IL24" s="44">
        <f t="shared" si="100"/>
        <v>0</v>
      </c>
      <c r="IM24" s="42" t="str">
        <f t="shared" si="101"/>
        <v>THREE COMP CONT</v>
      </c>
      <c r="IN24" s="43">
        <f t="shared" si="102"/>
        <v>0</v>
      </c>
      <c r="IP24" s="42" t="str">
        <f t="shared" si="103"/>
        <v>THREE COMP CONT</v>
      </c>
      <c r="IQ24" s="43">
        <f t="shared" si="104"/>
        <v>0</v>
      </c>
      <c r="IS24" s="42" t="str">
        <f t="shared" si="105"/>
        <v>THREE COMP CONT</v>
      </c>
      <c r="IT24" s="43">
        <f t="shared" si="106"/>
        <v>0</v>
      </c>
      <c r="IV24" s="43"/>
      <c r="IW24" s="42" t="str">
        <f t="shared" si="107"/>
        <v>THREE COMP CONT</v>
      </c>
      <c r="IX24" s="43">
        <f t="shared" si="108"/>
        <v>0</v>
      </c>
      <c r="IZ24" s="42" t="str">
        <f t="shared" si="109"/>
        <v>THREE COMP CONT</v>
      </c>
      <c r="JA24" s="43">
        <f t="shared" si="110"/>
        <v>0</v>
      </c>
      <c r="JC24" s="42" t="str">
        <f t="shared" si="111"/>
        <v>THREE COMP CONT</v>
      </c>
      <c r="JD24" s="43">
        <f t="shared" si="112"/>
        <v>0</v>
      </c>
      <c r="JF24" s="43"/>
      <c r="JG24" s="42" t="str">
        <f t="shared" si="113"/>
        <v>THREE COMP CONT</v>
      </c>
      <c r="JH24" s="43">
        <f t="shared" si="114"/>
        <v>0</v>
      </c>
      <c r="JJ24" s="42" t="str">
        <f t="shared" si="115"/>
        <v>THREE COMP CONT</v>
      </c>
      <c r="JK24" s="43">
        <f t="shared" si="116"/>
        <v>0</v>
      </c>
      <c r="JM24" s="42" t="str">
        <f t="shared" si="117"/>
        <v>THREE COMP CONT</v>
      </c>
      <c r="JN24" s="43">
        <f t="shared" si="118"/>
        <v>0</v>
      </c>
      <c r="JP24" s="44">
        <f t="shared" si="119"/>
        <v>0</v>
      </c>
      <c r="JQ24" s="42" t="str">
        <f t="shared" si="120"/>
        <v>THREE COMP CONT</v>
      </c>
      <c r="JR24" s="43">
        <f t="shared" si="121"/>
        <v>0</v>
      </c>
      <c r="JT24" s="42" t="str">
        <f t="shared" si="122"/>
        <v>THREE COMP CONT</v>
      </c>
      <c r="JU24" s="43">
        <f t="shared" si="123"/>
        <v>0</v>
      </c>
      <c r="JW24" s="42" t="str">
        <f t="shared" si="124"/>
        <v>THREE COMP CONT</v>
      </c>
      <c r="JX24" s="43">
        <f t="shared" si="125"/>
        <v>0</v>
      </c>
      <c r="JZ24" s="44">
        <f t="shared" si="126"/>
        <v>0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7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/>
      <c r="FR25" s="42" t="str">
        <f t="shared" si="55"/>
        <v>ONE COMP CONT</v>
      </c>
      <c r="FS25" s="43"/>
      <c r="FU25" s="42" t="str">
        <f t="shared" si="56"/>
        <v>ONE COMP CONT</v>
      </c>
      <c r="FV25" s="43"/>
      <c r="FX25" s="43">
        <f t="shared" si="57"/>
        <v>0</v>
      </c>
      <c r="FY25" s="42" t="str">
        <f t="shared" si="58"/>
        <v>ONE COMP CONT</v>
      </c>
      <c r="FZ25" s="43"/>
      <c r="GB25" s="42" t="str">
        <f t="shared" si="59"/>
        <v>ONE COMP CONT</v>
      </c>
      <c r="GC25" s="43"/>
      <c r="GE25" s="42" t="str">
        <f t="shared" si="60"/>
        <v>ONE COMP CONT</v>
      </c>
      <c r="GF25" s="43"/>
      <c r="GH25" s="43">
        <f t="shared" si="61"/>
        <v>0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65"/>
        <v>0</v>
      </c>
      <c r="GS25" s="42" t="str">
        <f t="shared" si="66"/>
        <v>ONE COMP CONT</v>
      </c>
      <c r="GT25" s="43"/>
      <c r="GV25" s="42" t="str">
        <f t="shared" si="67"/>
        <v>ONE COMP CONT</v>
      </c>
      <c r="GW25" s="43"/>
      <c r="GY25" s="42" t="str">
        <f t="shared" si="68"/>
        <v>ONE COMP CONT</v>
      </c>
      <c r="GZ25" s="43"/>
      <c r="HB25" s="43">
        <f t="shared" si="69"/>
        <v>0</v>
      </c>
      <c r="HC25" s="42" t="str">
        <f t="shared" si="70"/>
        <v>ONE COMP CONT</v>
      </c>
      <c r="HD25" s="43">
        <f t="shared" si="71"/>
        <v>0</v>
      </c>
      <c r="HF25" s="42" t="str">
        <f t="shared" si="72"/>
        <v>ONE COMP CONT</v>
      </c>
      <c r="HG25" s="43">
        <f t="shared" si="73"/>
        <v>0</v>
      </c>
      <c r="HI25" s="42" t="str">
        <f t="shared" si="74"/>
        <v>ONE COMP CONT</v>
      </c>
      <c r="HJ25" s="43">
        <f t="shared" si="75"/>
        <v>0</v>
      </c>
      <c r="HL25" s="43">
        <f t="shared" si="76"/>
        <v>0</v>
      </c>
      <c r="HM25" s="42" t="str">
        <f t="shared" si="77"/>
        <v>ONE COMP CONT</v>
      </c>
      <c r="HN25" s="57">
        <f t="shared" si="78"/>
        <v>0</v>
      </c>
      <c r="HO25" s="44">
        <f t="shared" si="79"/>
        <v>0</v>
      </c>
      <c r="HP25" s="57">
        <f t="shared" si="80"/>
        <v>0</v>
      </c>
      <c r="HQ25" s="44">
        <f t="shared" si="81"/>
        <v>0</v>
      </c>
      <c r="HR25" s="57">
        <f t="shared" si="82"/>
        <v>0</v>
      </c>
      <c r="HS25" s="44">
        <f t="shared" si="83"/>
        <v>0</v>
      </c>
      <c r="HT25" s="57">
        <f t="shared" si="84"/>
        <v>0</v>
      </c>
      <c r="HU25" s="44">
        <f t="shared" si="85"/>
        <v>0</v>
      </c>
      <c r="HV25" s="57">
        <f t="shared" si="86"/>
        <v>0</v>
      </c>
      <c r="HW25" s="44">
        <f t="shared" si="87"/>
        <v>0</v>
      </c>
      <c r="HX25" s="57">
        <f t="shared" si="88"/>
        <v>0</v>
      </c>
      <c r="HY25" s="44">
        <f t="shared" si="89"/>
        <v>0</v>
      </c>
      <c r="HZ25" s="42" t="str">
        <f t="shared" si="90"/>
        <v>ONE COMP CONT</v>
      </c>
      <c r="IA25" s="57">
        <f t="shared" si="91"/>
        <v>0</v>
      </c>
      <c r="IB25" s="44">
        <f t="shared" si="92"/>
        <v>0</v>
      </c>
      <c r="IC25" s="57">
        <f t="shared" si="93"/>
        <v>0</v>
      </c>
      <c r="ID25" s="44">
        <f t="shared" si="94"/>
        <v>0</v>
      </c>
      <c r="IE25" s="57">
        <f t="shared" si="95"/>
        <v>0</v>
      </c>
      <c r="IF25" s="44">
        <f t="shared" si="96"/>
        <v>0</v>
      </c>
      <c r="IG25" s="57">
        <f t="shared" si="97"/>
        <v>0</v>
      </c>
      <c r="IH25" s="44">
        <f t="shared" si="98"/>
        <v>0</v>
      </c>
      <c r="II25" s="57">
        <f t="shared" si="99"/>
        <v>0</v>
      </c>
      <c r="IJ25" s="44"/>
      <c r="IK25" s="57"/>
      <c r="IL25" s="44">
        <f t="shared" si="100"/>
        <v>0</v>
      </c>
      <c r="IM25" s="42" t="str">
        <f t="shared" si="101"/>
        <v>ONE COMP CONT</v>
      </c>
      <c r="IN25" s="43">
        <f t="shared" si="102"/>
        <v>0</v>
      </c>
      <c r="IP25" s="42" t="str">
        <f t="shared" si="103"/>
        <v>ONE COMP CONT</v>
      </c>
      <c r="IQ25" s="43">
        <f t="shared" si="104"/>
        <v>0</v>
      </c>
      <c r="IS25" s="42" t="str">
        <f t="shared" si="105"/>
        <v>ONE COMP CONT</v>
      </c>
      <c r="IT25" s="43">
        <f t="shared" si="106"/>
        <v>0</v>
      </c>
      <c r="IV25" s="43"/>
      <c r="IW25" s="42" t="str">
        <f t="shared" si="107"/>
        <v>ONE COMP CONT</v>
      </c>
      <c r="IX25" s="43">
        <f t="shared" si="108"/>
        <v>0</v>
      </c>
      <c r="IZ25" s="42" t="str">
        <f t="shared" si="109"/>
        <v>ONE COMP CONT</v>
      </c>
      <c r="JA25" s="43">
        <f t="shared" si="110"/>
        <v>0</v>
      </c>
      <c r="JC25" s="42" t="str">
        <f t="shared" si="111"/>
        <v>ONE COMP CONT</v>
      </c>
      <c r="JD25" s="43">
        <f t="shared" si="112"/>
        <v>0</v>
      </c>
      <c r="JF25" s="43"/>
      <c r="JG25" s="42" t="str">
        <f t="shared" si="113"/>
        <v>ONE COMP CONT</v>
      </c>
      <c r="JH25" s="43">
        <f t="shared" si="114"/>
        <v>0</v>
      </c>
      <c r="JJ25" s="42" t="str">
        <f t="shared" si="115"/>
        <v>ONE COMP CONT</v>
      </c>
      <c r="JK25" s="43">
        <f t="shared" si="116"/>
        <v>0</v>
      </c>
      <c r="JM25" s="42" t="str">
        <f t="shared" si="117"/>
        <v>ONE COMP CONT</v>
      </c>
      <c r="JN25" s="43">
        <f t="shared" si="118"/>
        <v>0</v>
      </c>
      <c r="JP25" s="44">
        <f t="shared" si="119"/>
        <v>0</v>
      </c>
      <c r="JQ25" s="42" t="str">
        <f t="shared" si="120"/>
        <v>ONE COMP CONT</v>
      </c>
      <c r="JR25" s="43">
        <f t="shared" si="121"/>
        <v>0</v>
      </c>
      <c r="JT25" s="42" t="str">
        <f t="shared" si="122"/>
        <v>ONE COMP CONT</v>
      </c>
      <c r="JU25" s="43">
        <f t="shared" si="123"/>
        <v>0</v>
      </c>
      <c r="JW25" s="42" t="str">
        <f t="shared" si="124"/>
        <v>ONE COMP CONT</v>
      </c>
      <c r="JX25" s="43">
        <f t="shared" si="125"/>
        <v>0</v>
      </c>
      <c r="JZ25" s="44">
        <f t="shared" si="126"/>
        <v>0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7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/>
      <c r="FR26" s="42" t="str">
        <f t="shared" si="55"/>
        <v>SUIZO CONT</v>
      </c>
      <c r="FS26" s="43"/>
      <c r="FU26" s="42" t="str">
        <f t="shared" si="56"/>
        <v>SUIZO CONT</v>
      </c>
      <c r="FV26" s="43"/>
      <c r="FX26" s="43">
        <f t="shared" si="57"/>
        <v>0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65"/>
        <v>0</v>
      </c>
      <c r="GS26" s="42" t="str">
        <f t="shared" si="66"/>
        <v>SUIZO CONT</v>
      </c>
      <c r="GT26" s="43"/>
      <c r="GV26" s="42" t="str">
        <f t="shared" si="67"/>
        <v>SUIZO CONT</v>
      </c>
      <c r="GW26" s="43"/>
      <c r="GY26" s="42" t="str">
        <f t="shared" si="68"/>
        <v>SUIZO CONT</v>
      </c>
      <c r="GZ26" s="43"/>
      <c r="HB26" s="43">
        <f t="shared" si="69"/>
        <v>0</v>
      </c>
      <c r="HC26" s="42" t="str">
        <f t="shared" si="70"/>
        <v>SUIZO CONT</v>
      </c>
      <c r="HD26" s="43">
        <f t="shared" si="71"/>
        <v>0</v>
      </c>
      <c r="HF26" s="42" t="str">
        <f t="shared" si="72"/>
        <v>SUIZO CONT</v>
      </c>
      <c r="HG26" s="43">
        <f t="shared" si="73"/>
        <v>0</v>
      </c>
      <c r="HI26" s="42" t="str">
        <f t="shared" si="74"/>
        <v>SUIZO CONT</v>
      </c>
      <c r="HJ26" s="43">
        <f t="shared" si="75"/>
        <v>0</v>
      </c>
      <c r="HL26" s="43">
        <f t="shared" si="76"/>
        <v>0</v>
      </c>
      <c r="HM26" s="42" t="str">
        <f t="shared" si="77"/>
        <v>SUIZO CONT</v>
      </c>
      <c r="HN26" s="57">
        <f t="shared" si="78"/>
        <v>0</v>
      </c>
      <c r="HO26" s="44">
        <f t="shared" si="79"/>
        <v>0</v>
      </c>
      <c r="HP26" s="57">
        <f t="shared" si="80"/>
        <v>0</v>
      </c>
      <c r="HQ26" s="44">
        <f t="shared" si="81"/>
        <v>0</v>
      </c>
      <c r="HR26" s="57">
        <f t="shared" si="82"/>
        <v>0</v>
      </c>
      <c r="HS26" s="44">
        <f t="shared" si="83"/>
        <v>0</v>
      </c>
      <c r="HT26" s="57">
        <f t="shared" si="84"/>
        <v>0</v>
      </c>
      <c r="HU26" s="44">
        <f t="shared" si="85"/>
        <v>0</v>
      </c>
      <c r="HV26" s="57">
        <f t="shared" si="86"/>
        <v>0</v>
      </c>
      <c r="HW26" s="44">
        <f t="shared" si="87"/>
        <v>0</v>
      </c>
      <c r="HX26" s="57">
        <f t="shared" si="88"/>
        <v>0</v>
      </c>
      <c r="HY26" s="44">
        <f t="shared" si="89"/>
        <v>0</v>
      </c>
      <c r="HZ26" s="42" t="str">
        <f t="shared" si="90"/>
        <v>SUIZO CONT</v>
      </c>
      <c r="IA26" s="57">
        <f t="shared" si="91"/>
        <v>0</v>
      </c>
      <c r="IB26" s="44">
        <f t="shared" si="92"/>
        <v>0</v>
      </c>
      <c r="IC26" s="57">
        <f t="shared" si="93"/>
        <v>0</v>
      </c>
      <c r="ID26" s="44">
        <f t="shared" si="94"/>
        <v>0</v>
      </c>
      <c r="IE26" s="57">
        <f t="shared" si="95"/>
        <v>0</v>
      </c>
      <c r="IF26" s="44">
        <f t="shared" si="96"/>
        <v>0</v>
      </c>
      <c r="IG26" s="57">
        <f t="shared" si="97"/>
        <v>0</v>
      </c>
      <c r="IH26" s="44">
        <f t="shared" si="98"/>
        <v>0</v>
      </c>
      <c r="II26" s="57">
        <f t="shared" si="99"/>
        <v>0</v>
      </c>
      <c r="IJ26" s="44"/>
      <c r="IK26" s="57"/>
      <c r="IL26" s="44">
        <f t="shared" si="100"/>
        <v>0</v>
      </c>
      <c r="IM26" s="42" t="str">
        <f t="shared" si="101"/>
        <v>SUIZO CONT</v>
      </c>
      <c r="IN26" s="43">
        <f t="shared" si="102"/>
        <v>0</v>
      </c>
      <c r="IP26" s="42" t="str">
        <f t="shared" si="103"/>
        <v>SUIZO CONT</v>
      </c>
      <c r="IQ26" s="43">
        <f t="shared" si="104"/>
        <v>0</v>
      </c>
      <c r="IS26" s="42" t="str">
        <f t="shared" si="105"/>
        <v>SUIZO CONT</v>
      </c>
      <c r="IT26" s="43">
        <f t="shared" si="106"/>
        <v>0</v>
      </c>
      <c r="IV26" s="43"/>
      <c r="IW26" s="42" t="str">
        <f t="shared" si="107"/>
        <v>SUIZO CONT</v>
      </c>
      <c r="IX26" s="43">
        <f t="shared" si="108"/>
        <v>0</v>
      </c>
      <c r="IZ26" s="42" t="str">
        <f t="shared" si="109"/>
        <v>SUIZO CONT</v>
      </c>
      <c r="JA26" s="43">
        <f t="shared" si="110"/>
        <v>0</v>
      </c>
      <c r="JC26" s="42" t="str">
        <f t="shared" si="111"/>
        <v>SUIZO CONT</v>
      </c>
      <c r="JD26" s="43">
        <f t="shared" si="112"/>
        <v>0</v>
      </c>
      <c r="JF26" s="43"/>
      <c r="JG26" s="42" t="str">
        <f t="shared" si="113"/>
        <v>SUIZO CONT</v>
      </c>
      <c r="JH26" s="43">
        <f t="shared" si="114"/>
        <v>0</v>
      </c>
      <c r="JJ26" s="42" t="str">
        <f t="shared" si="115"/>
        <v>SUIZO CONT</v>
      </c>
      <c r="JK26" s="43">
        <f t="shared" si="116"/>
        <v>0</v>
      </c>
      <c r="JM26" s="42" t="str">
        <f t="shared" si="117"/>
        <v>SUIZO CONT</v>
      </c>
      <c r="JN26" s="43">
        <f t="shared" si="118"/>
        <v>0</v>
      </c>
      <c r="JP26" s="44">
        <f t="shared" si="119"/>
        <v>0</v>
      </c>
      <c r="JQ26" s="42" t="str">
        <f t="shared" si="120"/>
        <v>SUIZO CONT</v>
      </c>
      <c r="JR26" s="43">
        <f t="shared" si="121"/>
        <v>0</v>
      </c>
      <c r="JT26" s="42" t="str">
        <f t="shared" si="122"/>
        <v>SUIZO CONT</v>
      </c>
      <c r="JU26" s="43">
        <f t="shared" si="123"/>
        <v>0</v>
      </c>
      <c r="JW26" s="42" t="str">
        <f t="shared" si="124"/>
        <v>SUIZO CONT</v>
      </c>
      <c r="JX26" s="43">
        <f t="shared" si="125"/>
        <v>0</v>
      </c>
      <c r="JZ26" s="44">
        <f t="shared" si="126"/>
        <v>0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7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/>
      <c r="GH27" s="43">
        <f t="shared" si="61"/>
        <v>0</v>
      </c>
      <c r="GI27" s="42" t="str">
        <f t="shared" si="62"/>
        <v>THERMAL PAPER</v>
      </c>
      <c r="GJ27" s="43"/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65"/>
        <v>0</v>
      </c>
      <c r="GS27" s="42" t="str">
        <f t="shared" si="66"/>
        <v>THERMAL PAPER</v>
      </c>
      <c r="GT27" s="43"/>
      <c r="GV27" s="42" t="str">
        <f t="shared" si="67"/>
        <v>THERMAL PAPER</v>
      </c>
      <c r="GW27" s="43"/>
      <c r="GY27" s="42" t="str">
        <f t="shared" si="68"/>
        <v>THERMAL PAPER</v>
      </c>
      <c r="GZ27" s="43"/>
      <c r="HB27" s="43">
        <f t="shared" si="69"/>
        <v>0</v>
      </c>
      <c r="HC27" s="42" t="str">
        <f t="shared" si="70"/>
        <v>THERMAL PAPER</v>
      </c>
      <c r="HD27" s="43">
        <f t="shared" si="71"/>
        <v>0</v>
      </c>
      <c r="HF27" s="42" t="str">
        <f t="shared" si="72"/>
        <v>THERMAL PAPER</v>
      </c>
      <c r="HG27" s="43">
        <f t="shared" si="73"/>
        <v>0</v>
      </c>
      <c r="HI27" s="42" t="str">
        <f t="shared" si="74"/>
        <v>THERMAL PAPER</v>
      </c>
      <c r="HJ27" s="43">
        <f t="shared" si="75"/>
        <v>0</v>
      </c>
      <c r="HL27" s="43">
        <f t="shared" si="76"/>
        <v>0</v>
      </c>
      <c r="HM27" s="42" t="str">
        <f t="shared" si="77"/>
        <v>THERMAL PAPER</v>
      </c>
      <c r="HN27" s="57">
        <f t="shared" si="78"/>
        <v>0</v>
      </c>
      <c r="HO27" s="44">
        <f t="shared" si="79"/>
        <v>0</v>
      </c>
      <c r="HP27" s="57">
        <f t="shared" si="80"/>
        <v>0</v>
      </c>
      <c r="HQ27" s="44">
        <f t="shared" si="81"/>
        <v>0</v>
      </c>
      <c r="HR27" s="57">
        <f t="shared" si="82"/>
        <v>0</v>
      </c>
      <c r="HS27" s="44">
        <f t="shared" si="83"/>
        <v>0</v>
      </c>
      <c r="HT27" s="57">
        <f t="shared" si="84"/>
        <v>0</v>
      </c>
      <c r="HU27" s="44">
        <f t="shared" si="85"/>
        <v>0</v>
      </c>
      <c r="HV27" s="57">
        <f t="shared" si="86"/>
        <v>0</v>
      </c>
      <c r="HW27" s="44">
        <f t="shared" si="87"/>
        <v>0</v>
      </c>
      <c r="HX27" s="57">
        <f t="shared" si="88"/>
        <v>0</v>
      </c>
      <c r="HY27" s="44">
        <f t="shared" si="89"/>
        <v>0</v>
      </c>
      <c r="HZ27" s="42" t="str">
        <f t="shared" si="90"/>
        <v>THERMAL PAPER</v>
      </c>
      <c r="IA27" s="57">
        <f t="shared" si="91"/>
        <v>0</v>
      </c>
      <c r="IB27" s="44">
        <f t="shared" si="92"/>
        <v>0</v>
      </c>
      <c r="IC27" s="57">
        <f t="shared" si="93"/>
        <v>0</v>
      </c>
      <c r="ID27" s="44">
        <f t="shared" si="94"/>
        <v>0</v>
      </c>
      <c r="IE27" s="57">
        <f t="shared" si="95"/>
        <v>0</v>
      </c>
      <c r="IF27" s="44">
        <f t="shared" si="96"/>
        <v>0</v>
      </c>
      <c r="IG27" s="57">
        <f t="shared" si="97"/>
        <v>0</v>
      </c>
      <c r="IH27" s="44">
        <f t="shared" si="98"/>
        <v>0</v>
      </c>
      <c r="II27" s="57">
        <f t="shared" si="99"/>
        <v>0</v>
      </c>
      <c r="IJ27" s="44"/>
      <c r="IK27" s="57"/>
      <c r="IL27" s="44">
        <f t="shared" si="100"/>
        <v>0</v>
      </c>
      <c r="IM27" s="42" t="str">
        <f t="shared" si="101"/>
        <v>THERMAL PAPER</v>
      </c>
      <c r="IN27" s="43">
        <f t="shared" si="102"/>
        <v>0</v>
      </c>
      <c r="IP27" s="42" t="str">
        <f t="shared" si="103"/>
        <v>THERMAL PAPER</v>
      </c>
      <c r="IQ27" s="43">
        <f t="shared" si="104"/>
        <v>0</v>
      </c>
      <c r="IS27" s="42" t="str">
        <f t="shared" si="105"/>
        <v>THERMAL PAPER</v>
      </c>
      <c r="IT27" s="43">
        <f t="shared" si="106"/>
        <v>0</v>
      </c>
      <c r="IV27" s="43"/>
      <c r="IW27" s="42" t="str">
        <f t="shared" si="107"/>
        <v>THERMAL PAPER</v>
      </c>
      <c r="IX27" s="43">
        <f t="shared" si="108"/>
        <v>0</v>
      </c>
      <c r="IZ27" s="42" t="str">
        <f t="shared" si="109"/>
        <v>THERMAL PAPER</v>
      </c>
      <c r="JA27" s="43">
        <f t="shared" si="110"/>
        <v>0</v>
      </c>
      <c r="JC27" s="42" t="str">
        <f t="shared" si="111"/>
        <v>THERMAL PAPER</v>
      </c>
      <c r="JD27" s="43">
        <f t="shared" si="112"/>
        <v>0</v>
      </c>
      <c r="JF27" s="43"/>
      <c r="JG27" s="42" t="str">
        <f t="shared" si="113"/>
        <v>THERMAL PAPER</v>
      </c>
      <c r="JH27" s="43">
        <f t="shared" si="114"/>
        <v>0</v>
      </c>
      <c r="JJ27" s="42" t="str">
        <f t="shared" si="115"/>
        <v>THERMAL PAPER</v>
      </c>
      <c r="JK27" s="43">
        <f t="shared" si="116"/>
        <v>0</v>
      </c>
      <c r="JM27" s="42" t="str">
        <f t="shared" si="117"/>
        <v>THERMAL PAPER</v>
      </c>
      <c r="JN27" s="43">
        <f t="shared" si="118"/>
        <v>0</v>
      </c>
      <c r="JP27" s="44">
        <f t="shared" si="119"/>
        <v>0</v>
      </c>
      <c r="JQ27" s="42" t="str">
        <f t="shared" si="120"/>
        <v>THERMAL PAPER</v>
      </c>
      <c r="JR27" s="43">
        <f t="shared" si="121"/>
        <v>0</v>
      </c>
      <c r="JT27" s="42" t="str">
        <f t="shared" si="122"/>
        <v>THERMAL PAPER</v>
      </c>
      <c r="JU27" s="43">
        <f t="shared" si="123"/>
        <v>0</v>
      </c>
      <c r="JW27" s="42" t="str">
        <f t="shared" si="124"/>
        <v>THERMAL PAPER</v>
      </c>
      <c r="JX27" s="43">
        <f t="shared" si="125"/>
        <v>0</v>
      </c>
      <c r="JZ27" s="44">
        <f t="shared" si="126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7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/>
      <c r="FR28" s="42" t="str">
        <f t="shared" si="55"/>
        <v>COCO LOPEZ</v>
      </c>
      <c r="FS28" s="43"/>
      <c r="FU28" s="42" t="str">
        <f t="shared" si="56"/>
        <v>COCO LOPEZ</v>
      </c>
      <c r="FV28" s="43"/>
      <c r="FX28" s="43">
        <f t="shared" si="57"/>
        <v>0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65"/>
        <v>0</v>
      </c>
      <c r="GS28" s="42" t="str">
        <f t="shared" si="66"/>
        <v>COCO LOPEZ</v>
      </c>
      <c r="GT28" s="43"/>
      <c r="GV28" s="42" t="str">
        <f t="shared" si="67"/>
        <v>COCO LOPEZ</v>
      </c>
      <c r="GW28" s="43"/>
      <c r="GY28" s="42" t="str">
        <f t="shared" si="68"/>
        <v>COCO LOPEZ</v>
      </c>
      <c r="GZ28" s="43"/>
      <c r="HB28" s="43">
        <f t="shared" si="69"/>
        <v>0</v>
      </c>
      <c r="HC28" s="42" t="str">
        <f t="shared" si="70"/>
        <v>COCO LOPEZ</v>
      </c>
      <c r="HD28" s="43">
        <f t="shared" si="71"/>
        <v>0</v>
      </c>
      <c r="HF28" s="42" t="str">
        <f t="shared" si="72"/>
        <v>COCO LOPEZ</v>
      </c>
      <c r="HG28" s="43">
        <f t="shared" si="73"/>
        <v>0</v>
      </c>
      <c r="HI28" s="42" t="str">
        <f t="shared" si="74"/>
        <v>COCO LOPEZ</v>
      </c>
      <c r="HJ28" s="43">
        <f t="shared" si="75"/>
        <v>0</v>
      </c>
      <c r="HL28" s="43">
        <f t="shared" si="76"/>
        <v>0</v>
      </c>
      <c r="HM28" s="42" t="str">
        <f t="shared" si="77"/>
        <v>COCO LOPEZ</v>
      </c>
      <c r="HN28" s="57">
        <f t="shared" si="78"/>
        <v>0</v>
      </c>
      <c r="HO28" s="44">
        <f t="shared" si="79"/>
        <v>0</v>
      </c>
      <c r="HP28" s="57">
        <f t="shared" si="80"/>
        <v>0</v>
      </c>
      <c r="HQ28" s="44">
        <f t="shared" si="81"/>
        <v>0</v>
      </c>
      <c r="HR28" s="57">
        <f t="shared" si="82"/>
        <v>0</v>
      </c>
      <c r="HS28" s="44">
        <f t="shared" si="83"/>
        <v>0</v>
      </c>
      <c r="HT28" s="57">
        <f t="shared" si="84"/>
        <v>0</v>
      </c>
      <c r="HU28" s="44">
        <f t="shared" si="85"/>
        <v>0</v>
      </c>
      <c r="HV28" s="57">
        <f t="shared" si="86"/>
        <v>0</v>
      </c>
      <c r="HW28" s="44">
        <f t="shared" si="87"/>
        <v>0</v>
      </c>
      <c r="HX28" s="57">
        <f t="shared" si="88"/>
        <v>0</v>
      </c>
      <c r="HY28" s="44">
        <f t="shared" si="89"/>
        <v>0</v>
      </c>
      <c r="HZ28" s="42" t="str">
        <f t="shared" si="90"/>
        <v>COCO LOPEZ</v>
      </c>
      <c r="IA28" s="57">
        <f t="shared" si="91"/>
        <v>0</v>
      </c>
      <c r="IB28" s="44">
        <f t="shared" si="92"/>
        <v>0</v>
      </c>
      <c r="IC28" s="57">
        <f t="shared" si="93"/>
        <v>0</v>
      </c>
      <c r="ID28" s="44">
        <f t="shared" si="94"/>
        <v>0</v>
      </c>
      <c r="IE28" s="57">
        <f t="shared" si="95"/>
        <v>0</v>
      </c>
      <c r="IF28" s="44">
        <f t="shared" si="96"/>
        <v>0</v>
      </c>
      <c r="IG28" s="57">
        <f t="shared" si="97"/>
        <v>0</v>
      </c>
      <c r="IH28" s="44">
        <f t="shared" si="98"/>
        <v>0</v>
      </c>
      <c r="II28" s="57">
        <f t="shared" si="99"/>
        <v>0</v>
      </c>
      <c r="IJ28" s="44"/>
      <c r="IK28" s="57"/>
      <c r="IL28" s="44">
        <f t="shared" si="100"/>
        <v>0</v>
      </c>
      <c r="IM28" s="42" t="str">
        <f t="shared" si="101"/>
        <v>COCO LOPEZ</v>
      </c>
      <c r="IN28" s="43">
        <f t="shared" si="102"/>
        <v>0</v>
      </c>
      <c r="IP28" s="42" t="str">
        <f t="shared" si="103"/>
        <v>COCO LOPEZ</v>
      </c>
      <c r="IQ28" s="43">
        <f t="shared" si="104"/>
        <v>0</v>
      </c>
      <c r="IS28" s="42" t="str">
        <f t="shared" si="105"/>
        <v>COCO LOPEZ</v>
      </c>
      <c r="IT28" s="43">
        <f t="shared" si="106"/>
        <v>0</v>
      </c>
      <c r="IV28" s="43"/>
      <c r="IW28" s="42" t="str">
        <f t="shared" si="107"/>
        <v>COCO LOPEZ</v>
      </c>
      <c r="IX28" s="43">
        <f t="shared" si="108"/>
        <v>0</v>
      </c>
      <c r="IZ28" s="42" t="str">
        <f t="shared" si="109"/>
        <v>COCO LOPEZ</v>
      </c>
      <c r="JA28" s="43">
        <f t="shared" si="110"/>
        <v>0</v>
      </c>
      <c r="JC28" s="42" t="str">
        <f t="shared" si="111"/>
        <v>COCO LOPEZ</v>
      </c>
      <c r="JD28" s="43">
        <f t="shared" si="112"/>
        <v>0</v>
      </c>
      <c r="JF28" s="43"/>
      <c r="JG28" s="42" t="str">
        <f t="shared" si="113"/>
        <v>COCO LOPEZ</v>
      </c>
      <c r="JH28" s="43">
        <f t="shared" si="114"/>
        <v>0</v>
      </c>
      <c r="JJ28" s="42" t="str">
        <f t="shared" si="115"/>
        <v>COCO LOPEZ</v>
      </c>
      <c r="JK28" s="43">
        <f t="shared" si="116"/>
        <v>0</v>
      </c>
      <c r="JM28" s="42" t="str">
        <f t="shared" si="117"/>
        <v>COCO LOPEZ</v>
      </c>
      <c r="JN28" s="43">
        <f t="shared" si="118"/>
        <v>0</v>
      </c>
      <c r="JP28" s="44">
        <f t="shared" si="119"/>
        <v>0</v>
      </c>
      <c r="JQ28" s="42" t="str">
        <f t="shared" si="120"/>
        <v>COCO LOPEZ</v>
      </c>
      <c r="JR28" s="43">
        <f t="shared" si="121"/>
        <v>0</v>
      </c>
      <c r="JT28" s="42" t="str">
        <f t="shared" si="122"/>
        <v>COCO LOPEZ</v>
      </c>
      <c r="JU28" s="43">
        <f t="shared" si="123"/>
        <v>0</v>
      </c>
      <c r="JW28" s="42" t="str">
        <f t="shared" si="124"/>
        <v>COCO LOPEZ</v>
      </c>
      <c r="JX28" s="43">
        <f t="shared" si="125"/>
        <v>0</v>
      </c>
      <c r="JZ28" s="44">
        <f t="shared" si="126"/>
        <v>0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7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/>
      <c r="FR29" s="24" t="str">
        <f t="shared" si="55"/>
        <v>TAPATIOS TACO M</v>
      </c>
      <c r="FS29" s="23"/>
      <c r="FU29" s="24" t="str">
        <f t="shared" si="56"/>
        <v>TAPATIOS TACO M</v>
      </c>
      <c r="FV29" s="23"/>
      <c r="FX29" s="23">
        <f t="shared" si="57"/>
        <v>0</v>
      </c>
      <c r="FY29" s="24" t="str">
        <f t="shared" si="58"/>
        <v>TAPATIOS TACO M</v>
      </c>
      <c r="FZ29" s="23"/>
      <c r="GB29" s="24" t="str">
        <f t="shared" si="59"/>
        <v>TAPATIOS TACO M</v>
      </c>
      <c r="GC29" s="23"/>
      <c r="GE29" s="24" t="str">
        <f t="shared" si="60"/>
        <v>TAPATIOS TACO M</v>
      </c>
      <c r="GF29" s="23"/>
      <c r="GH29" s="23">
        <f t="shared" si="61"/>
        <v>0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65"/>
        <v>0</v>
      </c>
      <c r="GS29" s="24" t="str">
        <f t="shared" si="66"/>
        <v>TAPATIOS TACO M</v>
      </c>
      <c r="GT29" s="23"/>
      <c r="GV29" s="24" t="str">
        <f t="shared" si="67"/>
        <v>TAPATIOS TACO M</v>
      </c>
      <c r="GW29" s="23"/>
      <c r="GY29" s="24" t="str">
        <f t="shared" si="68"/>
        <v>TAPATIOS TACO M</v>
      </c>
      <c r="GZ29" s="23"/>
      <c r="HB29" s="23">
        <f t="shared" si="69"/>
        <v>0</v>
      </c>
      <c r="HC29" s="24" t="str">
        <f t="shared" si="70"/>
        <v>TAPATIOS TACO M</v>
      </c>
      <c r="HD29" s="43">
        <f t="shared" si="71"/>
        <v>0</v>
      </c>
      <c r="HF29" s="24" t="str">
        <f t="shared" si="72"/>
        <v>TAPATIOS TACO M</v>
      </c>
      <c r="HG29" s="43">
        <f t="shared" si="73"/>
        <v>0</v>
      </c>
      <c r="HI29" s="24" t="str">
        <f t="shared" si="74"/>
        <v>TAPATIOS TACO M</v>
      </c>
      <c r="HJ29" s="43">
        <f t="shared" si="75"/>
        <v>0</v>
      </c>
      <c r="HL29" s="23">
        <f t="shared" si="76"/>
        <v>0</v>
      </c>
      <c r="HM29" s="24" t="str">
        <f t="shared" si="77"/>
        <v>TAPATIOS TACO M</v>
      </c>
      <c r="HN29" s="56">
        <f t="shared" si="78"/>
        <v>0</v>
      </c>
      <c r="HO29" s="25">
        <f t="shared" si="79"/>
        <v>0</v>
      </c>
      <c r="HP29" s="56">
        <f t="shared" si="80"/>
        <v>0</v>
      </c>
      <c r="HQ29" s="25">
        <f t="shared" si="81"/>
        <v>0</v>
      </c>
      <c r="HR29" s="56">
        <f t="shared" si="82"/>
        <v>0</v>
      </c>
      <c r="HS29" s="25">
        <f t="shared" si="83"/>
        <v>0</v>
      </c>
      <c r="HT29" s="56">
        <f t="shared" si="84"/>
        <v>0</v>
      </c>
      <c r="HU29" s="25">
        <f t="shared" si="85"/>
        <v>0</v>
      </c>
      <c r="HV29" s="56">
        <f t="shared" si="86"/>
        <v>0</v>
      </c>
      <c r="HW29" s="25">
        <f t="shared" si="87"/>
        <v>0</v>
      </c>
      <c r="HX29" s="56">
        <f t="shared" si="88"/>
        <v>0</v>
      </c>
      <c r="HY29" s="25">
        <f t="shared" si="89"/>
        <v>0</v>
      </c>
      <c r="HZ29" s="24" t="str">
        <f t="shared" si="90"/>
        <v>TAPATIOS TACO M</v>
      </c>
      <c r="IA29" s="56">
        <f t="shared" si="91"/>
        <v>0</v>
      </c>
      <c r="IB29" s="25">
        <f t="shared" si="92"/>
        <v>0</v>
      </c>
      <c r="IC29" s="56">
        <f t="shared" si="93"/>
        <v>0</v>
      </c>
      <c r="ID29" s="25">
        <f t="shared" si="94"/>
        <v>0</v>
      </c>
      <c r="IE29" s="56">
        <f t="shared" si="95"/>
        <v>0</v>
      </c>
      <c r="IF29" s="25">
        <f t="shared" si="96"/>
        <v>0</v>
      </c>
      <c r="IG29" s="56">
        <f t="shared" si="97"/>
        <v>0</v>
      </c>
      <c r="IH29" s="25">
        <f t="shared" si="98"/>
        <v>0</v>
      </c>
      <c r="II29" s="56">
        <f t="shared" si="99"/>
        <v>0</v>
      </c>
      <c r="IJ29" s="23"/>
      <c r="IK29" s="55"/>
      <c r="IL29" s="23">
        <f t="shared" si="100"/>
        <v>0</v>
      </c>
      <c r="IM29" s="24" t="str">
        <f t="shared" si="101"/>
        <v>TAPATIOS TACO M</v>
      </c>
      <c r="IN29" s="43">
        <f t="shared" si="102"/>
        <v>0</v>
      </c>
      <c r="IP29" s="24" t="str">
        <f t="shared" si="103"/>
        <v>TAPATIOS TACO M</v>
      </c>
      <c r="IQ29" s="43">
        <f t="shared" si="104"/>
        <v>0</v>
      </c>
      <c r="IS29" s="24" t="str">
        <f t="shared" si="105"/>
        <v>TAPATIOS TACO M</v>
      </c>
      <c r="IT29" s="43">
        <f t="shared" si="106"/>
        <v>0</v>
      </c>
      <c r="IV29" s="23"/>
      <c r="IW29" s="24" t="str">
        <f t="shared" si="107"/>
        <v>TAPATIOS TACO M</v>
      </c>
      <c r="IX29" s="43">
        <f t="shared" si="108"/>
        <v>0</v>
      </c>
      <c r="IZ29" s="24" t="str">
        <f t="shared" si="109"/>
        <v>TAPATIOS TACO M</v>
      </c>
      <c r="JA29" s="23">
        <f t="shared" si="110"/>
        <v>0</v>
      </c>
      <c r="JC29" s="24" t="str">
        <f t="shared" si="111"/>
        <v>TAPATIOS TACO M</v>
      </c>
      <c r="JD29" s="43">
        <f t="shared" si="112"/>
        <v>0</v>
      </c>
      <c r="JF29" s="23"/>
      <c r="JG29" s="24" t="str">
        <f t="shared" si="113"/>
        <v>TAPATIOS TACO M</v>
      </c>
      <c r="JH29" s="23">
        <f t="shared" si="114"/>
        <v>0</v>
      </c>
      <c r="JJ29" s="24" t="str">
        <f t="shared" si="115"/>
        <v>TAPATIOS TACO M</v>
      </c>
      <c r="JK29" s="23">
        <f t="shared" si="116"/>
        <v>0</v>
      </c>
      <c r="JM29" s="24" t="str">
        <f t="shared" si="117"/>
        <v>TAPATIOS TACO M</v>
      </c>
      <c r="JN29" s="23">
        <f t="shared" si="118"/>
        <v>0</v>
      </c>
      <c r="JP29" s="25">
        <f t="shared" si="119"/>
        <v>0</v>
      </c>
      <c r="JQ29" s="24" t="str">
        <f t="shared" si="120"/>
        <v>TAPATIOS TACO M</v>
      </c>
      <c r="JR29" s="23">
        <f t="shared" si="121"/>
        <v>0</v>
      </c>
      <c r="JT29" s="24" t="str">
        <f t="shared" si="122"/>
        <v>TAPATIOS TACO M</v>
      </c>
      <c r="JU29" s="23">
        <f t="shared" si="123"/>
        <v>0</v>
      </c>
      <c r="JV29" s="26"/>
      <c r="JW29" s="24" t="str">
        <f t="shared" si="124"/>
        <v>TAPATIOS TACO M</v>
      </c>
      <c r="JX29" s="23">
        <f t="shared" si="125"/>
        <v>0</v>
      </c>
      <c r="JZ29" s="23">
        <f t="shared" si="126"/>
        <v>0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54"/>
      <c r="HO30" s="28"/>
      <c r="HP30" s="54"/>
      <c r="HQ30" s="28"/>
      <c r="HR30" s="54"/>
      <c r="HS30" s="28"/>
      <c r="HT30" s="54"/>
      <c r="HU30" s="28"/>
      <c r="HV30" s="54"/>
      <c r="HW30" s="28"/>
      <c r="HX30" s="54"/>
      <c r="HY30" s="28"/>
      <c r="HZ30" s="27"/>
      <c r="IA30" s="54"/>
      <c r="IB30" s="28"/>
      <c r="IC30" s="54"/>
      <c r="ID30" s="28"/>
      <c r="IE30" s="54"/>
      <c r="IF30" s="28"/>
      <c r="IG30" s="54"/>
      <c r="IH30" s="28"/>
      <c r="II30" s="54"/>
      <c r="IJ30" s="28"/>
      <c r="IK30" s="54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0</v>
      </c>
      <c r="C31" s="7"/>
      <c r="D31" s="29" t="s">
        <v>19</v>
      </c>
      <c r="E31" s="30">
        <f>SUM(E11:E30)</f>
        <v>0</v>
      </c>
      <c r="F31" s="7"/>
      <c r="G31" s="29" t="s">
        <v>19</v>
      </c>
      <c r="H31" s="30">
        <f>SUM(H11:H30)</f>
        <v>0</v>
      </c>
      <c r="I31" s="7"/>
      <c r="J31" s="31">
        <f>SUM(J11:J30)</f>
        <v>0</v>
      </c>
      <c r="K31" s="29" t="s">
        <v>19</v>
      </c>
      <c r="L31" s="30">
        <f>SUM(L11:L30)</f>
        <v>0</v>
      </c>
      <c r="M31" s="32"/>
      <c r="N31" s="29" t="s">
        <v>19</v>
      </c>
      <c r="O31" s="30">
        <f>SUM(O11:O30)</f>
        <v>0</v>
      </c>
      <c r="P31" s="32"/>
      <c r="Q31" s="29" t="s">
        <v>19</v>
      </c>
      <c r="R31" s="30">
        <f>SUM(R11:R30)</f>
        <v>0</v>
      </c>
      <c r="S31" s="32"/>
      <c r="T31" s="31">
        <f>SUM(T11:T30)</f>
        <v>0</v>
      </c>
      <c r="U31" s="29" t="s">
        <v>19</v>
      </c>
      <c r="V31" s="30">
        <f>SUM(V11:V30)</f>
        <v>0</v>
      </c>
      <c r="W31" s="32"/>
      <c r="X31" s="29" t="s">
        <v>19</v>
      </c>
      <c r="Y31" s="30">
        <f>SUM(Y11:Y30)</f>
        <v>0</v>
      </c>
      <c r="Z31" s="32"/>
      <c r="AA31" s="29" t="s">
        <v>19</v>
      </c>
      <c r="AB31" s="30">
        <f>SUM(AB11:AB30)</f>
        <v>0</v>
      </c>
      <c r="AC31" s="32"/>
      <c r="AD31" s="31">
        <f>SUM(AD11:AD30)</f>
        <v>0</v>
      </c>
      <c r="AE31" s="29" t="s">
        <v>19</v>
      </c>
      <c r="AF31" s="30">
        <f>SUM(AF11:AF30)</f>
        <v>0</v>
      </c>
      <c r="AG31" s="32"/>
      <c r="AH31" s="29" t="s">
        <v>19</v>
      </c>
      <c r="AI31" s="30">
        <f>SUM(AI11:AI30)</f>
        <v>0</v>
      </c>
      <c r="AJ31" s="32"/>
      <c r="AK31" s="29" t="s">
        <v>19</v>
      </c>
      <c r="AL31" s="30">
        <f>SUM(AL11:AL30)</f>
        <v>0</v>
      </c>
      <c r="AM31" s="32"/>
      <c r="AN31" s="31">
        <f>SUM(AN11:AN30)</f>
        <v>0</v>
      </c>
      <c r="AO31" s="29" t="s">
        <v>19</v>
      </c>
      <c r="AP31" s="30">
        <f>SUM(AP11:AP30)</f>
        <v>0</v>
      </c>
      <c r="AQ31" s="32"/>
      <c r="AR31" s="29" t="s">
        <v>19</v>
      </c>
      <c r="AS31" s="30">
        <f>SUM(AS11:AS30)</f>
        <v>0</v>
      </c>
      <c r="AT31" s="32"/>
      <c r="AU31" s="29" t="s">
        <v>19</v>
      </c>
      <c r="AV31" s="30">
        <f>SUM(AV11:AV30)</f>
        <v>0</v>
      </c>
      <c r="AW31" s="32"/>
      <c r="AX31" s="31">
        <f>SUM(AX11:AX30)</f>
        <v>0</v>
      </c>
      <c r="AY31" s="29" t="s">
        <v>19</v>
      </c>
      <c r="AZ31" s="30">
        <f>SUM(AZ11:AZ30)</f>
        <v>0</v>
      </c>
      <c r="BA31" s="32"/>
      <c r="BB31" s="29" t="s">
        <v>19</v>
      </c>
      <c r="BC31" s="30">
        <f>SUM(BC11:BC30)</f>
        <v>0</v>
      </c>
      <c r="BD31" s="32"/>
      <c r="BE31" s="29" t="s">
        <v>19</v>
      </c>
      <c r="BF31" s="30">
        <f>SUM(BF11:BF30)</f>
        <v>0</v>
      </c>
      <c r="BG31" s="32"/>
      <c r="BH31" s="31">
        <f>SUM(BH11:BH30)</f>
        <v>0</v>
      </c>
      <c r="BI31" s="29" t="s">
        <v>19</v>
      </c>
      <c r="BJ31" s="30">
        <f>SUM(BJ11:BJ30)</f>
        <v>0</v>
      </c>
      <c r="BK31" s="32"/>
      <c r="BL31" s="29" t="s">
        <v>19</v>
      </c>
      <c r="BM31" s="30">
        <f>SUM(BM11:BM30)</f>
        <v>0</v>
      </c>
      <c r="BN31" s="32"/>
      <c r="BO31" s="29" t="s">
        <v>19</v>
      </c>
      <c r="BP31" s="30">
        <f>SUM(BP11:BP30)</f>
        <v>0</v>
      </c>
      <c r="BQ31" s="32"/>
      <c r="BR31" s="31">
        <f>SUM(BR11:BR30)</f>
        <v>0</v>
      </c>
      <c r="BS31" s="29" t="s">
        <v>19</v>
      </c>
      <c r="BT31" s="30">
        <f>SUM(BT11:BT30)</f>
        <v>0</v>
      </c>
      <c r="BU31" s="32"/>
      <c r="BV31" s="29" t="s">
        <v>19</v>
      </c>
      <c r="BW31" s="30">
        <f>SUM(BW11:BW30)</f>
        <v>0</v>
      </c>
      <c r="BX31" s="32"/>
      <c r="BY31" s="29" t="s">
        <v>19</v>
      </c>
      <c r="BZ31" s="30">
        <f>SUM(BZ11:BZ30)</f>
        <v>0</v>
      </c>
      <c r="CA31" s="32"/>
      <c r="CB31" s="31">
        <f>SUM(CB11:CB30)</f>
        <v>0</v>
      </c>
      <c r="CC31" s="29" t="s">
        <v>19</v>
      </c>
      <c r="CD31" s="30">
        <f>SUM(CD11:CD30)</f>
        <v>0</v>
      </c>
      <c r="CE31" s="32"/>
      <c r="CF31" s="29" t="s">
        <v>19</v>
      </c>
      <c r="CG31" s="30">
        <f>SUM(CG11:CG30)</f>
        <v>0</v>
      </c>
      <c r="CH31" s="32"/>
      <c r="CI31" s="29" t="s">
        <v>19</v>
      </c>
      <c r="CJ31" s="30">
        <f>SUM(CJ11:CJ30)</f>
        <v>0</v>
      </c>
      <c r="CK31" s="32"/>
      <c r="CL31" s="31">
        <f>SUM(CL11:CL30)</f>
        <v>0</v>
      </c>
      <c r="CM31" s="29" t="s">
        <v>19</v>
      </c>
      <c r="CN31" s="30">
        <f>SUM(CN11:CN30)</f>
        <v>0</v>
      </c>
      <c r="CO31" s="32"/>
      <c r="CP31" s="29" t="s">
        <v>19</v>
      </c>
      <c r="CQ31" s="30">
        <f>SUM(CQ11:CQ30)</f>
        <v>0</v>
      </c>
      <c r="CR31" s="32"/>
      <c r="CS31" s="29" t="s">
        <v>19</v>
      </c>
      <c r="CT31" s="30">
        <f>SUM(CT11:CT30)</f>
        <v>0</v>
      </c>
      <c r="CU31" s="32"/>
      <c r="CV31" s="31">
        <f>SUM(CV11:CV30)</f>
        <v>0</v>
      </c>
      <c r="CW31" s="29" t="s">
        <v>19</v>
      </c>
      <c r="CX31" s="30">
        <f>SUM(CX11:CX30)</f>
        <v>0</v>
      </c>
      <c r="CY31" s="32"/>
      <c r="CZ31" s="29" t="s">
        <v>19</v>
      </c>
      <c r="DA31" s="30">
        <f>SUM(DA11:DA30)</f>
        <v>0</v>
      </c>
      <c r="DB31" s="32"/>
      <c r="DC31" s="29" t="s">
        <v>19</v>
      </c>
      <c r="DD31" s="30">
        <f>SUM(DD11:DD30)</f>
        <v>0</v>
      </c>
      <c r="DE31" s="32"/>
      <c r="DF31" s="31">
        <f>SUM(DF11:DF30)</f>
        <v>0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>SUM(DK11:DK30)</f>
        <v>0</v>
      </c>
      <c r="DL31" s="32"/>
      <c r="DM31" s="29" t="s">
        <v>19</v>
      </c>
      <c r="DN31" s="30">
        <f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>SUM(DU11:DU30)</f>
        <v>0</v>
      </c>
      <c r="DV31" s="32"/>
      <c r="DW31" s="29" t="s">
        <v>19</v>
      </c>
      <c r="DX31" s="30">
        <f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>SUM(EE11:EE30)</f>
        <v>0</v>
      </c>
      <c r="EF31" s="32"/>
      <c r="EG31" s="29" t="s">
        <v>19</v>
      </c>
      <c r="EH31" s="30">
        <f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>SUM(EO11:EO30)</f>
        <v>0</v>
      </c>
      <c r="EP31" s="32"/>
      <c r="EQ31" s="29" t="s">
        <v>19</v>
      </c>
      <c r="ER31" s="30">
        <f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0</v>
      </c>
      <c r="EW31" s="32"/>
      <c r="EX31" s="29" t="s">
        <v>19</v>
      </c>
      <c r="EY31" s="30">
        <f>SUM(EY11:EY30)</f>
        <v>0</v>
      </c>
      <c r="EZ31" s="32"/>
      <c r="FA31" s="29" t="s">
        <v>19</v>
      </c>
      <c r="FB31" s="30">
        <f>SUM(FB11:FB30)</f>
        <v>0</v>
      </c>
      <c r="FC31" s="32"/>
      <c r="FD31" s="31">
        <f>SUM(FD11:FD30)</f>
        <v>0</v>
      </c>
      <c r="FE31" s="29" t="s">
        <v>19</v>
      </c>
      <c r="FF31" s="30">
        <f>SUM(FF11:FF30)</f>
        <v>0</v>
      </c>
      <c r="FG31" s="32"/>
      <c r="FH31" s="29" t="s">
        <v>19</v>
      </c>
      <c r="FI31" s="30">
        <f>SUM(FI11:FI30)</f>
        <v>0</v>
      </c>
      <c r="FJ31" s="32"/>
      <c r="FK31" s="29" t="s">
        <v>19</v>
      </c>
      <c r="FL31" s="30">
        <f>SUM(FL11:FL30)</f>
        <v>0</v>
      </c>
      <c r="FM31" s="32"/>
      <c r="FN31" s="31">
        <f>SUM(FN11:FN30)</f>
        <v>0</v>
      </c>
      <c r="FO31" s="29" t="s">
        <v>19</v>
      </c>
      <c r="FP31" s="30">
        <f>SUM(FP11:FP30)</f>
        <v>0</v>
      </c>
      <c r="FQ31" s="32"/>
      <c r="FR31" s="29" t="s">
        <v>19</v>
      </c>
      <c r="FS31" s="30">
        <f>SUM(FS11:FS30)</f>
        <v>0</v>
      </c>
      <c r="FT31" s="32"/>
      <c r="FU31" s="29" t="s">
        <v>19</v>
      </c>
      <c r="FV31" s="30">
        <f>SUM(FV11:FV30)</f>
        <v>0</v>
      </c>
      <c r="FW31" s="32"/>
      <c r="FX31" s="31">
        <f>SUM(FX11:FX30)</f>
        <v>0</v>
      </c>
      <c r="FY31" s="29" t="s">
        <v>19</v>
      </c>
      <c r="FZ31" s="30">
        <f>SUM(FZ11:FZ30)</f>
        <v>0</v>
      </c>
      <c r="GA31" s="32"/>
      <c r="GB31" s="29" t="s">
        <v>19</v>
      </c>
      <c r="GC31" s="30">
        <f>SUM(GC11:GC30)</f>
        <v>0</v>
      </c>
      <c r="GD31" s="32"/>
      <c r="GE31" s="29" t="s">
        <v>19</v>
      </c>
      <c r="GF31" s="30">
        <f>SUM(GF11:GF30)</f>
        <v>0</v>
      </c>
      <c r="GG31" s="32"/>
      <c r="GH31" s="31">
        <f>SUM(GH11:GH30)</f>
        <v>0</v>
      </c>
      <c r="GI31" s="29" t="s">
        <v>19</v>
      </c>
      <c r="GJ31" s="30">
        <f>SUM(GJ11:GJ30)</f>
        <v>0</v>
      </c>
      <c r="GK31" s="32"/>
      <c r="GL31" s="29" t="s">
        <v>19</v>
      </c>
      <c r="GM31" s="30">
        <f>SUM(GM11:GM30)</f>
        <v>0</v>
      </c>
      <c r="GN31" s="32"/>
      <c r="GO31" s="29" t="s">
        <v>19</v>
      </c>
      <c r="GP31" s="30">
        <f>SUM(GP11:GP30)</f>
        <v>0</v>
      </c>
      <c r="GQ31" s="32"/>
      <c r="GR31" s="31">
        <f>SUM(GR11:GR30)</f>
        <v>0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>SUM(GW11:GW30)</f>
        <v>0</v>
      </c>
      <c r="GX31" s="32"/>
      <c r="GY31" s="29" t="s">
        <v>19</v>
      </c>
      <c r="GZ31" s="30">
        <f>SUM(GZ11:GZ30)</f>
        <v>0</v>
      </c>
      <c r="HA31" s="32"/>
      <c r="HB31" s="31">
        <f>SUM(HB11:HB30)</f>
        <v>0</v>
      </c>
      <c r="HC31" s="29" t="s">
        <v>19</v>
      </c>
      <c r="HD31" s="30">
        <f>SUM(HD11:HD30)</f>
        <v>0</v>
      </c>
      <c r="HE31" s="32"/>
      <c r="HF31" s="29" t="s">
        <v>19</v>
      </c>
      <c r="HG31" s="30">
        <f>SUM(HG11:HG30)</f>
        <v>0</v>
      </c>
      <c r="HH31" s="32"/>
      <c r="HI31" s="29" t="s">
        <v>19</v>
      </c>
      <c r="HJ31" s="30">
        <f>SUM(HJ11:HJ30)</f>
        <v>0</v>
      </c>
      <c r="HK31" s="32"/>
      <c r="HL31" s="31">
        <f>SUM(HL11:HL30)</f>
        <v>0</v>
      </c>
      <c r="HM31" s="32" t="s">
        <v>19</v>
      </c>
      <c r="HN31" s="53">
        <f>J31</f>
        <v>0</v>
      </c>
      <c r="HO31" s="32">
        <f>T31</f>
        <v>0</v>
      </c>
      <c r="HP31" s="53">
        <f>AD31</f>
        <v>0</v>
      </c>
      <c r="HQ31" s="32">
        <f>AN31</f>
        <v>0</v>
      </c>
      <c r="HR31" s="53">
        <f>AX31</f>
        <v>0</v>
      </c>
      <c r="HS31" s="32">
        <f>BH31</f>
        <v>0</v>
      </c>
      <c r="HT31" s="53">
        <f>BR31</f>
        <v>0</v>
      </c>
      <c r="HU31" s="32">
        <f>CB31</f>
        <v>0</v>
      </c>
      <c r="HV31" s="53">
        <f>CL31</f>
        <v>0</v>
      </c>
      <c r="HW31" s="32">
        <f>CV31</f>
        <v>0</v>
      </c>
      <c r="HX31" s="53">
        <f>DF31</f>
        <v>0</v>
      </c>
      <c r="HY31" s="32">
        <f>DP31</f>
        <v>0</v>
      </c>
      <c r="HZ31" s="33" t="s">
        <v>19</v>
      </c>
      <c r="IA31" s="53">
        <f>DZ31</f>
        <v>0</v>
      </c>
      <c r="IB31" s="32">
        <f>ES31</f>
        <v>0</v>
      </c>
      <c r="IC31" s="53">
        <f>FC31</f>
        <v>0</v>
      </c>
      <c r="ID31" s="32">
        <f>FM31</f>
        <v>0</v>
      </c>
      <c r="IE31" s="53"/>
      <c r="IF31" s="32"/>
      <c r="IG31" s="53"/>
      <c r="IH31" s="32"/>
      <c r="II31" s="53"/>
      <c r="IJ31" s="32"/>
      <c r="IK31" s="53"/>
      <c r="IL31" s="32">
        <f>SUM(HN31:HY31)+SUM(IA31:IK31)</f>
        <v>0</v>
      </c>
      <c r="IM31" s="29" t="s">
        <v>19</v>
      </c>
      <c r="IN31" s="30">
        <f>SUM(IN11:IN30)</f>
        <v>0</v>
      </c>
      <c r="IO31" s="32"/>
      <c r="IP31" s="29" t="s">
        <v>19</v>
      </c>
      <c r="IQ31" s="30">
        <f>SUM(IQ11:IQ30)</f>
        <v>0</v>
      </c>
      <c r="IR31" s="32"/>
      <c r="IS31" s="29" t="s">
        <v>19</v>
      </c>
      <c r="IT31" s="30">
        <f>SUM(IT11:IT30)</f>
        <v>0</v>
      </c>
      <c r="IU31" s="32"/>
      <c r="IV31" s="31">
        <f>SUM(IV11:IV30)</f>
        <v>0</v>
      </c>
      <c r="IW31" s="29" t="s">
        <v>19</v>
      </c>
      <c r="IX31" s="30">
        <f>SUM(IX11:IX30)</f>
        <v>0</v>
      </c>
      <c r="IY31" s="32"/>
      <c r="IZ31" s="29" t="s">
        <v>19</v>
      </c>
      <c r="JA31" s="30">
        <f>SUM(JA11:JA30)</f>
        <v>0</v>
      </c>
      <c r="JB31" s="32"/>
      <c r="JC31" s="29" t="s">
        <v>19</v>
      </c>
      <c r="JD31" s="30">
        <f>SUM(JD11:JD30)</f>
        <v>0</v>
      </c>
      <c r="JE31" s="32"/>
      <c r="JF31" s="31">
        <f>SUM(JF11:JF30)</f>
        <v>0</v>
      </c>
      <c r="JG31" s="29" t="s">
        <v>19</v>
      </c>
      <c r="JH31" s="30">
        <f>SUM(JH11:JH30)</f>
        <v>0</v>
      </c>
      <c r="JI31" s="32"/>
      <c r="JJ31" s="29" t="s">
        <v>19</v>
      </c>
      <c r="JK31" s="30">
        <f>SUM(JK11:JK30)</f>
        <v>0</v>
      </c>
      <c r="JL31" s="32"/>
      <c r="JM31" s="29" t="s">
        <v>19</v>
      </c>
      <c r="JN31" s="30">
        <f>SUM(JN11:JN30)</f>
        <v>0</v>
      </c>
      <c r="JO31" s="32"/>
      <c r="JP31" s="31">
        <f>SUM(JP11:JP30)</f>
        <v>0</v>
      </c>
      <c r="JQ31" s="29" t="s">
        <v>19</v>
      </c>
      <c r="JR31" s="30">
        <f>SUM(JR11:JR30)</f>
        <v>0</v>
      </c>
      <c r="JS31" s="32"/>
      <c r="JT31" s="29" t="s">
        <v>19</v>
      </c>
      <c r="JU31" s="30">
        <f>SUM(JU11:JU30)</f>
        <v>0</v>
      </c>
      <c r="JV31" s="32"/>
      <c r="JW31" s="29" t="s">
        <v>19</v>
      </c>
      <c r="JX31" s="30">
        <f>SUM(JX11:JX30)</f>
        <v>0</v>
      </c>
      <c r="JY31" s="32"/>
      <c r="JZ31" s="31">
        <f>SUM(JZ11:JZ30)</f>
        <v>0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JG30:JH30"/>
    <mergeCell ref="JJ30:JK30"/>
    <mergeCell ref="JM30:JN30"/>
    <mergeCell ref="JQ30:JR30"/>
    <mergeCell ref="JT30:JU30"/>
    <mergeCell ref="JW30:JX30"/>
    <mergeCell ref="IM30:IN30"/>
    <mergeCell ref="IP30:IQ30"/>
    <mergeCell ref="IS30:IT30"/>
    <mergeCell ref="IW30:IX30"/>
    <mergeCell ref="IZ30:JA30"/>
    <mergeCell ref="JC30:JD30"/>
    <mergeCell ref="GS30:GT30"/>
    <mergeCell ref="GV30:GW30"/>
    <mergeCell ref="GY30:GZ30"/>
    <mergeCell ref="HC30:HD30"/>
    <mergeCell ref="HF30:HG30"/>
    <mergeCell ref="HI30:HJ30"/>
    <mergeCell ref="FY30:FZ30"/>
    <mergeCell ref="GB30:GC30"/>
    <mergeCell ref="GE30:GF30"/>
    <mergeCell ref="GI30:GJ30"/>
    <mergeCell ref="GL30:GM30"/>
    <mergeCell ref="GO30:GP30"/>
    <mergeCell ref="FE30:FF30"/>
    <mergeCell ref="FH30:FI30"/>
    <mergeCell ref="FK30:FL30"/>
    <mergeCell ref="FO30:FP30"/>
    <mergeCell ref="FR30:FS30"/>
    <mergeCell ref="FU30:FV30"/>
    <mergeCell ref="EK30:EL30"/>
    <mergeCell ref="EN30:EO30"/>
    <mergeCell ref="EQ30:ER30"/>
    <mergeCell ref="EU30:EV30"/>
    <mergeCell ref="EX30:EY30"/>
    <mergeCell ref="FA30:FB30"/>
    <mergeCell ref="DQ30:DR30"/>
    <mergeCell ref="DT30:DU30"/>
    <mergeCell ref="DW30:DX30"/>
    <mergeCell ref="EA30:EB30"/>
    <mergeCell ref="ED30:EE30"/>
    <mergeCell ref="EG30:EH30"/>
    <mergeCell ref="CW30:CX30"/>
    <mergeCell ref="CZ30:DA30"/>
    <mergeCell ref="DC30:DD30"/>
    <mergeCell ref="DG30:DH30"/>
    <mergeCell ref="DJ30:DK30"/>
    <mergeCell ref="DM30:DN30"/>
    <mergeCell ref="CC30:CD30"/>
    <mergeCell ref="CF30:CG30"/>
    <mergeCell ref="CI30:CJ30"/>
    <mergeCell ref="CM30:CN30"/>
    <mergeCell ref="CP30:CQ30"/>
    <mergeCell ref="CS30:CT30"/>
    <mergeCell ref="BI30:BJ30"/>
    <mergeCell ref="BL30:BM30"/>
    <mergeCell ref="BO30:BP30"/>
    <mergeCell ref="BS30:BT30"/>
    <mergeCell ref="BV30:BW30"/>
    <mergeCell ref="BY30:BZ30"/>
    <mergeCell ref="AO30:AP30"/>
    <mergeCell ref="AR30:AS30"/>
    <mergeCell ref="AU30:AV30"/>
    <mergeCell ref="AY30:AZ30"/>
    <mergeCell ref="BB30:BC30"/>
    <mergeCell ref="BE30:BF30"/>
    <mergeCell ref="U30:V30"/>
    <mergeCell ref="X30:Y30"/>
    <mergeCell ref="AA30:AB30"/>
    <mergeCell ref="AE30:AF30"/>
    <mergeCell ref="AH30:AI30"/>
    <mergeCell ref="AK30:AL30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IS9:IT9"/>
    <mergeCell ref="IW9:IX9"/>
    <mergeCell ref="IZ9:JA9"/>
    <mergeCell ref="JC9:JD9"/>
    <mergeCell ref="JG9:JH9"/>
    <mergeCell ref="JJ9:JK9"/>
    <mergeCell ref="GY9:GZ9"/>
    <mergeCell ref="HC9:HD9"/>
    <mergeCell ref="HF9:HG9"/>
    <mergeCell ref="HI9:HJ9"/>
    <mergeCell ref="IM9:IN9"/>
    <mergeCell ref="IP9:IQ9"/>
    <mergeCell ref="GE9:GF9"/>
    <mergeCell ref="GI9:GJ9"/>
    <mergeCell ref="GL9:GM9"/>
    <mergeCell ref="GO9:GP9"/>
    <mergeCell ref="GS9:GT9"/>
    <mergeCell ref="GV9:GW9"/>
    <mergeCell ref="FK9:FL9"/>
    <mergeCell ref="FO9:FP9"/>
    <mergeCell ref="FR9:FS9"/>
    <mergeCell ref="FU9:FV9"/>
    <mergeCell ref="FY9:FZ9"/>
    <mergeCell ref="GB9:GC9"/>
    <mergeCell ref="EQ9:ER9"/>
    <mergeCell ref="EU9:EV9"/>
    <mergeCell ref="EX9:EY9"/>
    <mergeCell ref="FA9:FB9"/>
    <mergeCell ref="FE9:FF9"/>
    <mergeCell ref="FH9:FI9"/>
    <mergeCell ref="DW9:DX9"/>
    <mergeCell ref="EA9:EB9"/>
    <mergeCell ref="ED9:EE9"/>
    <mergeCell ref="EG9:EH9"/>
    <mergeCell ref="EK9:EL9"/>
    <mergeCell ref="EN9:EO9"/>
    <mergeCell ref="DC9:DD9"/>
    <mergeCell ref="DG9:DH9"/>
    <mergeCell ref="DJ9:DK9"/>
    <mergeCell ref="DM9:DN9"/>
    <mergeCell ref="DQ9:DR9"/>
    <mergeCell ref="DT9:DU9"/>
    <mergeCell ref="CI9:CJ9"/>
    <mergeCell ref="CM9:CN9"/>
    <mergeCell ref="CP9:CQ9"/>
    <mergeCell ref="CS9:CT9"/>
    <mergeCell ref="CW9:CX9"/>
    <mergeCell ref="CZ9:DA9"/>
    <mergeCell ref="BO9:BP9"/>
    <mergeCell ref="BS9:BT9"/>
    <mergeCell ref="BV9:BW9"/>
    <mergeCell ref="BY9:BZ9"/>
    <mergeCell ref="CC9:CD9"/>
    <mergeCell ref="CF9:CG9"/>
    <mergeCell ref="AU9:AV9"/>
    <mergeCell ref="AY9:AZ9"/>
    <mergeCell ref="BB9:BC9"/>
    <mergeCell ref="BE9:BF9"/>
    <mergeCell ref="BI9:BJ9"/>
    <mergeCell ref="BL9:BM9"/>
    <mergeCell ref="AA9:AB9"/>
    <mergeCell ref="AE9:AF9"/>
    <mergeCell ref="AH9:AI9"/>
    <mergeCell ref="AK9:AL9"/>
    <mergeCell ref="AO9:AP9"/>
    <mergeCell ref="AR9:AS9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IZ8:JA8"/>
    <mergeCell ref="JC8:JD8"/>
    <mergeCell ref="JG8:JH8"/>
    <mergeCell ref="JJ8:JK8"/>
    <mergeCell ref="JM8:JN8"/>
    <mergeCell ref="JQ8:JR8"/>
    <mergeCell ref="HM8:HY8"/>
    <mergeCell ref="HZ8:IL8"/>
    <mergeCell ref="IM8:IN8"/>
    <mergeCell ref="IP8:IQ8"/>
    <mergeCell ref="IS8:IT8"/>
    <mergeCell ref="IW8:IX8"/>
    <mergeCell ref="GS8:GT8"/>
    <mergeCell ref="GV8:GW8"/>
    <mergeCell ref="GY8:GZ8"/>
    <mergeCell ref="HC8:HD8"/>
    <mergeCell ref="HF8:HG8"/>
    <mergeCell ref="HI8:HJ8"/>
    <mergeCell ref="FY8:FZ8"/>
    <mergeCell ref="GB8:GC8"/>
    <mergeCell ref="GE8:GF8"/>
    <mergeCell ref="GI8:GJ8"/>
    <mergeCell ref="GL8:GM8"/>
    <mergeCell ref="GO8:GP8"/>
    <mergeCell ref="FE8:FF8"/>
    <mergeCell ref="FH8:FI8"/>
    <mergeCell ref="FK8:FL8"/>
    <mergeCell ref="FO8:FP8"/>
    <mergeCell ref="FR8:FS8"/>
    <mergeCell ref="FU8:FV8"/>
    <mergeCell ref="EK8:EL8"/>
    <mergeCell ref="EN8:EO8"/>
    <mergeCell ref="EQ8:ER8"/>
    <mergeCell ref="EU8:EV8"/>
    <mergeCell ref="EX8:EY8"/>
    <mergeCell ref="FA8:FB8"/>
    <mergeCell ref="DQ8:DR8"/>
    <mergeCell ref="DT8:DU8"/>
    <mergeCell ref="DW8:DX8"/>
    <mergeCell ref="EA8:EB8"/>
    <mergeCell ref="ED8:EE8"/>
    <mergeCell ref="EG8:EH8"/>
    <mergeCell ref="DC8:DD8"/>
    <mergeCell ref="DG8:DH8"/>
    <mergeCell ref="DJ8:DK8"/>
    <mergeCell ref="DM8:DN8"/>
    <mergeCell ref="CC8:CD8"/>
    <mergeCell ref="CF8:CG8"/>
    <mergeCell ref="CI8:CJ8"/>
    <mergeCell ref="CM8:CN8"/>
    <mergeCell ref="CP8:CQ8"/>
    <mergeCell ref="CS8:CT8"/>
    <mergeCell ref="U8:V8"/>
    <mergeCell ref="X8:Y8"/>
    <mergeCell ref="AA8:AB8"/>
    <mergeCell ref="AE8:AF8"/>
    <mergeCell ref="AH8:AI8"/>
    <mergeCell ref="AK8:AL8"/>
    <mergeCell ref="IM7:IV7"/>
    <mergeCell ref="IW7:JF7"/>
    <mergeCell ref="JG7:JP7"/>
    <mergeCell ref="DG7:DP7"/>
    <mergeCell ref="BI8:BJ8"/>
    <mergeCell ref="BL8:BM8"/>
    <mergeCell ref="BO8:BP8"/>
    <mergeCell ref="BS8:BT8"/>
    <mergeCell ref="BV8:BW8"/>
    <mergeCell ref="BY8:BZ8"/>
    <mergeCell ref="AO8:AP8"/>
    <mergeCell ref="AR8:AS8"/>
    <mergeCell ref="AU8:AV8"/>
    <mergeCell ref="AY8:AZ8"/>
    <mergeCell ref="BB8:BC8"/>
    <mergeCell ref="BE8:BF8"/>
    <mergeCell ref="CW8:CX8"/>
    <mergeCell ref="CZ8:DA8"/>
    <mergeCell ref="JQ7:JZ7"/>
    <mergeCell ref="A8:B8"/>
    <mergeCell ref="D8:E8"/>
    <mergeCell ref="G8:H8"/>
    <mergeCell ref="K8:L8"/>
    <mergeCell ref="N8:O8"/>
    <mergeCell ref="Q8:R8"/>
    <mergeCell ref="FY7:GH7"/>
    <mergeCell ref="GI7:GR7"/>
    <mergeCell ref="GS7:HB7"/>
    <mergeCell ref="HC7:HL7"/>
    <mergeCell ref="HM7:HY7"/>
    <mergeCell ref="HZ7:IL7"/>
    <mergeCell ref="DQ7:DZ7"/>
    <mergeCell ref="EA7:EJ7"/>
    <mergeCell ref="EK7:ET7"/>
    <mergeCell ref="EU7:FD7"/>
    <mergeCell ref="FE7:FN7"/>
    <mergeCell ref="FO7:FX7"/>
    <mergeCell ref="BI7:BR7"/>
    <mergeCell ref="BS7:CB7"/>
    <mergeCell ref="CC7:CL7"/>
    <mergeCell ref="CM7:CV7"/>
    <mergeCell ref="CW7:DF7"/>
    <mergeCell ref="A7:J7"/>
    <mergeCell ref="K7:T7"/>
    <mergeCell ref="U7:AD7"/>
    <mergeCell ref="AE7:AN7"/>
    <mergeCell ref="AO7:AX7"/>
    <mergeCell ref="AY7:BH7"/>
    <mergeCell ref="JG6:JH6"/>
    <mergeCell ref="JJ6:JK6"/>
    <mergeCell ref="JM6:JN6"/>
    <mergeCell ref="GS6:GT6"/>
    <mergeCell ref="GV6:GW6"/>
    <mergeCell ref="GY6:GZ6"/>
    <mergeCell ref="HC6:HD6"/>
    <mergeCell ref="HF6:HG6"/>
    <mergeCell ref="HI6:HJ6"/>
    <mergeCell ref="FY6:FZ6"/>
    <mergeCell ref="GB6:GC6"/>
    <mergeCell ref="GE6:GF6"/>
    <mergeCell ref="GI6:GJ6"/>
    <mergeCell ref="GL6:GM6"/>
    <mergeCell ref="GO6:GP6"/>
    <mergeCell ref="FE6:FF6"/>
    <mergeCell ref="FH6:FI6"/>
    <mergeCell ref="FK6:FL6"/>
    <mergeCell ref="JQ6:JR6"/>
    <mergeCell ref="JT6:JU6"/>
    <mergeCell ref="JW6:JX6"/>
    <mergeCell ref="IM6:IN6"/>
    <mergeCell ref="IP6:IQ6"/>
    <mergeCell ref="IS6:IT6"/>
    <mergeCell ref="IW6:IX6"/>
    <mergeCell ref="IZ6:JA6"/>
    <mergeCell ref="JC6:JD6"/>
    <mergeCell ref="FO6:FP6"/>
    <mergeCell ref="FR6:FS6"/>
    <mergeCell ref="FU6:FV6"/>
    <mergeCell ref="EK6:EL6"/>
    <mergeCell ref="EN6:EO6"/>
    <mergeCell ref="EQ6:ER6"/>
    <mergeCell ref="EU6:EV6"/>
    <mergeCell ref="EX6:EY6"/>
    <mergeCell ref="FA6:FB6"/>
    <mergeCell ref="DQ6:DR6"/>
    <mergeCell ref="DT6:DU6"/>
    <mergeCell ref="DW6:DX6"/>
    <mergeCell ref="EA6:EB6"/>
    <mergeCell ref="ED6:EE6"/>
    <mergeCell ref="EG6:EH6"/>
    <mergeCell ref="CW6:CX6"/>
    <mergeCell ref="CZ6:DA6"/>
    <mergeCell ref="DC6:DD6"/>
    <mergeCell ref="DG6:DH6"/>
    <mergeCell ref="DJ6:DK6"/>
    <mergeCell ref="DM6:DN6"/>
    <mergeCell ref="CC6:CD6"/>
    <mergeCell ref="CF6:CG6"/>
    <mergeCell ref="CI6:CJ6"/>
    <mergeCell ref="CM6:CN6"/>
    <mergeCell ref="CP6:CQ6"/>
    <mergeCell ref="CS6:CT6"/>
    <mergeCell ref="BI6:BJ6"/>
    <mergeCell ref="BL6:BM6"/>
    <mergeCell ref="BO6:BP6"/>
    <mergeCell ref="BS6:BT6"/>
    <mergeCell ref="BV6:BW6"/>
    <mergeCell ref="BY6:BZ6"/>
    <mergeCell ref="AO6:AP6"/>
    <mergeCell ref="AR6:AS6"/>
    <mergeCell ref="AU6:AV6"/>
    <mergeCell ref="AY6:AZ6"/>
    <mergeCell ref="BB6:BC6"/>
    <mergeCell ref="BE6:BF6"/>
    <mergeCell ref="U6:V6"/>
    <mergeCell ref="X6:Y6"/>
    <mergeCell ref="AA6:AB6"/>
    <mergeCell ref="AE6:AF6"/>
    <mergeCell ref="AH6:AI6"/>
    <mergeCell ref="AK6:AL6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FY5:FZ5"/>
    <mergeCell ref="GI5:GJ5"/>
    <mergeCell ref="GS5:GT5"/>
    <mergeCell ref="HC5:HD5"/>
    <mergeCell ref="HM5:HN5"/>
    <mergeCell ref="HZ5:IA5"/>
    <mergeCell ref="DQ5:DR5"/>
    <mergeCell ref="EA5:EB5"/>
    <mergeCell ref="EK5:EL5"/>
    <mergeCell ref="EU5:EV5"/>
    <mergeCell ref="FE5:FF5"/>
    <mergeCell ref="FO5:FP5"/>
    <mergeCell ref="BI5:BJ5"/>
    <mergeCell ref="BS5:BT5"/>
    <mergeCell ref="CC5:CD5"/>
    <mergeCell ref="CM5:CN5"/>
    <mergeCell ref="CW5:CX5"/>
    <mergeCell ref="DG5:DH5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FY4:FZ4"/>
    <mergeCell ref="GI4:GJ4"/>
    <mergeCell ref="GS4:GT4"/>
    <mergeCell ref="HC4:HD4"/>
    <mergeCell ref="HM4:HN4"/>
    <mergeCell ref="HZ4:IA4"/>
    <mergeCell ref="DQ4:DR4"/>
    <mergeCell ref="EA4:EB4"/>
    <mergeCell ref="EK4:EL4"/>
    <mergeCell ref="EU4:EV4"/>
    <mergeCell ref="FE4:FF4"/>
    <mergeCell ref="FO4:FP4"/>
    <mergeCell ref="BI4:BJ4"/>
    <mergeCell ref="BS4:BT4"/>
    <mergeCell ref="CC4:CD4"/>
    <mergeCell ref="CM4:CN4"/>
    <mergeCell ref="CW4:CX4"/>
    <mergeCell ref="DG4:DH4"/>
    <mergeCell ref="IM3:IN3"/>
    <mergeCell ref="CM3:CN3"/>
    <mergeCell ref="CW3:CX3"/>
    <mergeCell ref="DG3:DH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FY3:FZ3"/>
    <mergeCell ref="GI3:GJ3"/>
    <mergeCell ref="GS3:GT3"/>
    <mergeCell ref="HC3:HD3"/>
    <mergeCell ref="HM3:HN3"/>
    <mergeCell ref="HZ3:IA3"/>
    <mergeCell ref="DQ3:DR3"/>
    <mergeCell ref="EA3:EB3"/>
    <mergeCell ref="EK3:EL3"/>
    <mergeCell ref="EU3:EV3"/>
    <mergeCell ref="FE3:FF3"/>
    <mergeCell ref="FO3:FP3"/>
    <mergeCell ref="BI3:BJ3"/>
    <mergeCell ref="BS3:BT3"/>
    <mergeCell ref="CC3:CD3"/>
    <mergeCell ref="A3:B3"/>
    <mergeCell ref="K3:L3"/>
    <mergeCell ref="U3:V3"/>
    <mergeCell ref="AE3:AF3"/>
    <mergeCell ref="AO3:AP3"/>
    <mergeCell ref="AY3:AZ3"/>
    <mergeCell ref="JG2:JH2"/>
    <mergeCell ref="JJ2:JK2"/>
    <mergeCell ref="JM2:JN2"/>
    <mergeCell ref="GS2:GT2"/>
    <mergeCell ref="GV2:GW2"/>
    <mergeCell ref="GY2:GZ2"/>
    <mergeCell ref="HC2:HD2"/>
    <mergeCell ref="HF2:HG2"/>
    <mergeCell ref="HI2:HJ2"/>
    <mergeCell ref="FY2:FZ2"/>
    <mergeCell ref="GB2:GC2"/>
    <mergeCell ref="GE2:GF2"/>
    <mergeCell ref="GI2:GJ2"/>
    <mergeCell ref="GL2:GM2"/>
    <mergeCell ref="GO2:GP2"/>
    <mergeCell ref="FE2:FF2"/>
    <mergeCell ref="FH2:FI2"/>
    <mergeCell ref="FK2:FL2"/>
    <mergeCell ref="JQ2:JR2"/>
    <mergeCell ref="JT2:JU2"/>
    <mergeCell ref="JW2:JX2"/>
    <mergeCell ref="IM2:IN2"/>
    <mergeCell ref="IP2:IQ2"/>
    <mergeCell ref="IS2:IT2"/>
    <mergeCell ref="IW2:IX2"/>
    <mergeCell ref="IZ2:JA2"/>
    <mergeCell ref="JC2:JD2"/>
    <mergeCell ref="FO2:FP2"/>
    <mergeCell ref="FR2:FS2"/>
    <mergeCell ref="FU2:FV2"/>
    <mergeCell ref="EK2:EL2"/>
    <mergeCell ref="EN2:EO2"/>
    <mergeCell ref="EQ2:ER2"/>
    <mergeCell ref="EU2:EV2"/>
    <mergeCell ref="EX2:EY2"/>
    <mergeCell ref="FA2:FB2"/>
    <mergeCell ref="DQ2:DR2"/>
    <mergeCell ref="DT2:DU2"/>
    <mergeCell ref="DW2:DX2"/>
    <mergeCell ref="EA2:EB2"/>
    <mergeCell ref="ED2:EE2"/>
    <mergeCell ref="EG2:EH2"/>
    <mergeCell ref="CW2:CX2"/>
    <mergeCell ref="CZ2:DA2"/>
    <mergeCell ref="DC2:DD2"/>
    <mergeCell ref="DG2:DH2"/>
    <mergeCell ref="DJ2:DK2"/>
    <mergeCell ref="DM2:DN2"/>
    <mergeCell ref="CC2:CD2"/>
    <mergeCell ref="CF2:CG2"/>
    <mergeCell ref="CI2:CJ2"/>
    <mergeCell ref="CM2:CN2"/>
    <mergeCell ref="CP2:CQ2"/>
    <mergeCell ref="CS2:CT2"/>
    <mergeCell ref="BI2:BJ2"/>
    <mergeCell ref="BL2:BM2"/>
    <mergeCell ref="BO2:BP2"/>
    <mergeCell ref="BS2:BT2"/>
    <mergeCell ref="BV2:BW2"/>
    <mergeCell ref="BY2:BZ2"/>
    <mergeCell ref="AO2:AP2"/>
    <mergeCell ref="AR2:AS2"/>
    <mergeCell ref="AU2:AV2"/>
    <mergeCell ref="AY2:AZ2"/>
    <mergeCell ref="BB2:BC2"/>
    <mergeCell ref="BE2:BF2"/>
    <mergeCell ref="U2:V2"/>
    <mergeCell ref="X2:Y2"/>
    <mergeCell ref="AA2:AB2"/>
    <mergeCell ref="AE2:AF2"/>
    <mergeCell ref="AH2:AI2"/>
    <mergeCell ref="AK2:AL2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FY1:FZ1"/>
    <mergeCell ref="GI1:GJ1"/>
    <mergeCell ref="GS1:GT1"/>
    <mergeCell ref="HC1:HD1"/>
    <mergeCell ref="HM1:HN1"/>
    <mergeCell ref="HZ1:IA1"/>
    <mergeCell ref="DQ1:DR1"/>
    <mergeCell ref="EA1:EB1"/>
    <mergeCell ref="EK1:EL1"/>
    <mergeCell ref="EU1:EV1"/>
    <mergeCell ref="FE1:FF1"/>
    <mergeCell ref="FO1:FP1"/>
    <mergeCell ref="BI1:BJ1"/>
    <mergeCell ref="BS1:BT1"/>
    <mergeCell ref="CC1:CD1"/>
    <mergeCell ref="CM1:CN1"/>
    <mergeCell ref="CW1:CX1"/>
    <mergeCell ref="DG1:DH1"/>
    <mergeCell ref="A1:B1"/>
    <mergeCell ref="K1:L1"/>
    <mergeCell ref="U1:V1"/>
    <mergeCell ref="AE1:AF1"/>
    <mergeCell ref="AO1:AP1"/>
    <mergeCell ref="AY1:AZ1"/>
  </mergeCells>
  <pageMargins left="0.7" right="0.7" top="0.75" bottom="0.75" header="0.3" footer="0.3"/>
  <pageSetup scale="41" fitToWidth="0" pageOrder="overThenDown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5339-D2E8-49C0-954D-9F6FBAF70D16}">
  <dimension ref="A1:JZ38"/>
  <sheetViews>
    <sheetView tabSelected="1" view="pageBreakPreview" topLeftCell="FW1" zoomScale="28" zoomScaleNormal="50" zoomScaleSheetLayoutView="28" workbookViewId="0">
      <selection activeCell="FS27" sqref="FS27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79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46221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46221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1">
        <v>46218</v>
      </c>
      <c r="B9" s="71"/>
      <c r="D9" s="70"/>
      <c r="E9" s="70"/>
      <c r="G9" s="70">
        <f>A9+3</f>
        <v>46221</v>
      </c>
      <c r="H9" s="70"/>
      <c r="K9" s="71">
        <f>A9</f>
        <v>46218</v>
      </c>
      <c r="L9" s="71"/>
      <c r="N9" s="70"/>
      <c r="O9" s="70"/>
      <c r="Q9" s="70">
        <f>G9</f>
        <v>46221</v>
      </c>
      <c r="R9" s="70"/>
      <c r="U9" s="71">
        <f>A9</f>
        <v>46218</v>
      </c>
      <c r="V9" s="71"/>
      <c r="X9" s="70"/>
      <c r="Y9" s="70"/>
      <c r="AA9" s="70">
        <f>G9</f>
        <v>46221</v>
      </c>
      <c r="AB9" s="70"/>
      <c r="AE9" s="71">
        <f>A9</f>
        <v>46218</v>
      </c>
      <c r="AF9" s="71"/>
      <c r="AH9" s="70"/>
      <c r="AI9" s="70"/>
      <c r="AK9" s="70">
        <f>G9</f>
        <v>46221</v>
      </c>
      <c r="AL9" s="70"/>
      <c r="AO9" s="71">
        <f>A9</f>
        <v>46218</v>
      </c>
      <c r="AP9" s="71"/>
      <c r="AR9" s="70"/>
      <c r="AS9" s="70"/>
      <c r="AU9" s="70">
        <f>G9</f>
        <v>46221</v>
      </c>
      <c r="AV9" s="70"/>
      <c r="AY9" s="71">
        <f>A9</f>
        <v>46218</v>
      </c>
      <c r="AZ9" s="71"/>
      <c r="BB9" s="70"/>
      <c r="BC9" s="70"/>
      <c r="BE9" s="70">
        <f>G9</f>
        <v>46221</v>
      </c>
      <c r="BF9" s="70"/>
      <c r="BI9" s="71">
        <f>A9</f>
        <v>46218</v>
      </c>
      <c r="BJ9" s="71"/>
      <c r="BL9" s="70"/>
      <c r="BM9" s="70"/>
      <c r="BO9" s="70">
        <f>G9</f>
        <v>46221</v>
      </c>
      <c r="BP9" s="70"/>
      <c r="BS9" s="71">
        <f>A9</f>
        <v>46218</v>
      </c>
      <c r="BT9" s="71"/>
      <c r="BV9" s="70"/>
      <c r="BW9" s="70"/>
      <c r="BY9" s="70">
        <f>G9</f>
        <v>46221</v>
      </c>
      <c r="BZ9" s="70"/>
      <c r="CC9" s="71">
        <f>A9</f>
        <v>46218</v>
      </c>
      <c r="CD9" s="71"/>
      <c r="CF9" s="70"/>
      <c r="CG9" s="70"/>
      <c r="CI9" s="70">
        <f>G9</f>
        <v>46221</v>
      </c>
      <c r="CJ9" s="70"/>
      <c r="CM9" s="71">
        <f>A9</f>
        <v>46218</v>
      </c>
      <c r="CN9" s="71"/>
      <c r="CP9" s="70"/>
      <c r="CQ9" s="70"/>
      <c r="CS9" s="70">
        <f>G9</f>
        <v>46221</v>
      </c>
      <c r="CT9" s="70"/>
      <c r="CW9" s="71">
        <f>A9</f>
        <v>46218</v>
      </c>
      <c r="CX9" s="71"/>
      <c r="CZ9" s="70"/>
      <c r="DA9" s="70"/>
      <c r="DC9" s="70">
        <f>G9</f>
        <v>46221</v>
      </c>
      <c r="DD9" s="70"/>
      <c r="DG9" s="71">
        <f>A9</f>
        <v>46218</v>
      </c>
      <c r="DH9" s="71"/>
      <c r="DJ9" s="70"/>
      <c r="DK9" s="70"/>
      <c r="DM9" s="70">
        <f>G9</f>
        <v>46221</v>
      </c>
      <c r="DN9" s="70"/>
      <c r="DQ9" s="71">
        <f>A9</f>
        <v>46218</v>
      </c>
      <c r="DR9" s="71"/>
      <c r="DT9" s="70"/>
      <c r="DU9" s="70"/>
      <c r="DW9" s="70">
        <f>G9</f>
        <v>46221</v>
      </c>
      <c r="DX9" s="70"/>
      <c r="EA9" s="71">
        <f>U9</f>
        <v>46218</v>
      </c>
      <c r="EB9" s="71"/>
      <c r="ED9" s="70"/>
      <c r="EE9" s="70"/>
      <c r="EG9" s="70">
        <f>G9</f>
        <v>46221</v>
      </c>
      <c r="EH9" s="70"/>
      <c r="EK9" s="71">
        <f>A9</f>
        <v>46218</v>
      </c>
      <c r="EL9" s="71"/>
      <c r="EN9" s="70"/>
      <c r="EO9" s="70"/>
      <c r="EQ9" s="70">
        <f>G9</f>
        <v>46221</v>
      </c>
      <c r="ER9" s="70"/>
      <c r="EU9" s="71">
        <f>A9</f>
        <v>46218</v>
      </c>
      <c r="EV9" s="71"/>
      <c r="EX9" s="70"/>
      <c r="EY9" s="70"/>
      <c r="FA9" s="70">
        <f>G9</f>
        <v>46221</v>
      </c>
      <c r="FB9" s="70"/>
      <c r="FE9" s="71">
        <f>A9</f>
        <v>46218</v>
      </c>
      <c r="FF9" s="71"/>
      <c r="FH9" s="70"/>
      <c r="FI9" s="70"/>
      <c r="FK9" s="70">
        <f>G9</f>
        <v>46221</v>
      </c>
      <c r="FL9" s="70"/>
      <c r="FO9" s="71">
        <f>A9-2</f>
        <v>46216</v>
      </c>
      <c r="FP9" s="71"/>
      <c r="FR9" s="70">
        <f>A9+1</f>
        <v>46219</v>
      </c>
      <c r="FS9" s="70"/>
      <c r="FU9" s="70">
        <f>G9</f>
        <v>46221</v>
      </c>
      <c r="FV9" s="70"/>
      <c r="FY9" s="71">
        <f>A9-2</f>
        <v>46216</v>
      </c>
      <c r="FZ9" s="71"/>
      <c r="GB9" s="70">
        <f>A9+1</f>
        <v>46219</v>
      </c>
      <c r="GC9" s="70"/>
      <c r="GE9" s="70">
        <f>G9</f>
        <v>46221</v>
      </c>
      <c r="GF9" s="70"/>
      <c r="GI9" s="71">
        <f>A9-2</f>
        <v>46216</v>
      </c>
      <c r="GJ9" s="71"/>
      <c r="GL9" s="70">
        <f>A9+1</f>
        <v>46219</v>
      </c>
      <c r="GM9" s="70"/>
      <c r="GO9" s="70">
        <f>G9</f>
        <v>46221</v>
      </c>
      <c r="GP9" s="70"/>
      <c r="GS9" s="71">
        <f>A9-2</f>
        <v>46216</v>
      </c>
      <c r="GT9" s="71"/>
      <c r="GV9" s="70">
        <f>A9+1</f>
        <v>46219</v>
      </c>
      <c r="GW9" s="70"/>
      <c r="GY9" s="70">
        <f>G9</f>
        <v>46221</v>
      </c>
      <c r="GZ9" s="70"/>
      <c r="HC9" s="71">
        <f>A9</f>
        <v>46218</v>
      </c>
      <c r="HD9" s="71"/>
      <c r="HF9" s="70"/>
      <c r="HG9" s="70"/>
      <c r="HI9" s="70">
        <f>G9</f>
        <v>46221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1">
        <f>A9</f>
        <v>46218</v>
      </c>
      <c r="IN9" s="71"/>
      <c r="IP9" s="70"/>
      <c r="IQ9" s="70"/>
      <c r="IS9" s="70">
        <f>IM9+3</f>
        <v>46221</v>
      </c>
      <c r="IT9" s="70"/>
      <c r="IW9" s="71">
        <f>A9</f>
        <v>46218</v>
      </c>
      <c r="IX9" s="71"/>
      <c r="IZ9" s="70"/>
      <c r="JA9" s="70"/>
      <c r="JC9" s="70">
        <f>IW9+3</f>
        <v>46221</v>
      </c>
      <c r="JD9" s="70"/>
      <c r="JG9" s="71">
        <f>A9-2</f>
        <v>46216</v>
      </c>
      <c r="JH9" s="71"/>
      <c r="JJ9" s="70"/>
      <c r="JK9" s="70"/>
      <c r="JM9" s="70"/>
      <c r="JN9" s="70"/>
      <c r="JQ9" s="71">
        <f>A9+1</f>
        <v>46219</v>
      </c>
      <c r="JR9" s="71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55" t="s">
        <v>30</v>
      </c>
      <c r="HO10" s="23" t="s">
        <v>31</v>
      </c>
      <c r="HP10" s="55" t="s">
        <v>32</v>
      </c>
      <c r="HQ10" s="23" t="s">
        <v>33</v>
      </c>
      <c r="HR10" s="55" t="s">
        <v>34</v>
      </c>
      <c r="HS10" s="23" t="s">
        <v>35</v>
      </c>
      <c r="HT10" s="55" t="s">
        <v>36</v>
      </c>
      <c r="HU10" s="23" t="s">
        <v>37</v>
      </c>
      <c r="HV10" s="55" t="s">
        <v>38</v>
      </c>
      <c r="HW10" s="23" t="s">
        <v>39</v>
      </c>
      <c r="HX10" s="55" t="s">
        <v>40</v>
      </c>
      <c r="HY10" s="23" t="s">
        <v>70</v>
      </c>
      <c r="HZ10" s="22" t="s">
        <v>28</v>
      </c>
      <c r="IA10" s="55" t="s">
        <v>71</v>
      </c>
      <c r="IB10" s="23" t="s">
        <v>72</v>
      </c>
      <c r="IC10" s="55" t="s">
        <v>73</v>
      </c>
      <c r="ID10" s="23" t="s">
        <v>61</v>
      </c>
      <c r="IE10" s="55" t="s">
        <v>62</v>
      </c>
      <c r="IF10" s="23" t="s">
        <v>63</v>
      </c>
      <c r="IG10" s="55" t="s">
        <v>74</v>
      </c>
      <c r="IH10" s="23" t="s">
        <v>75</v>
      </c>
      <c r="II10" s="55" t="s">
        <v>76</v>
      </c>
      <c r="IJ10" s="23"/>
      <c r="IK10" s="55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>
        <v>8</v>
      </c>
      <c r="D11" s="42"/>
      <c r="E11" s="43"/>
      <c r="G11" s="42" t="str">
        <f t="shared" ref="G11:G29" si="0">A11</f>
        <v>STEAK TACO</v>
      </c>
      <c r="H11" s="43"/>
      <c r="J11" s="44">
        <f t="shared" ref="J11:J29" si="1">B11+E11+H11</f>
        <v>8</v>
      </c>
      <c r="K11" s="42" t="str">
        <f t="shared" ref="K11:K29" si="2">A11</f>
        <v>STEAK TACO</v>
      </c>
      <c r="L11" s="43">
        <v>19</v>
      </c>
      <c r="N11" s="42"/>
      <c r="O11" s="43"/>
      <c r="Q11" s="42" t="str">
        <f t="shared" ref="Q11:Q29" si="3">A11</f>
        <v>STEAK TACO</v>
      </c>
      <c r="R11" s="43"/>
      <c r="T11" s="44">
        <f t="shared" ref="T11:T29" si="4">L11+O11+R11</f>
        <v>19</v>
      </c>
      <c r="U11" s="42" t="str">
        <f t="shared" ref="U11:U29" si="5">A11</f>
        <v>STEAK TACO</v>
      </c>
      <c r="V11" s="43">
        <v>10</v>
      </c>
      <c r="X11" s="42"/>
      <c r="Y11" s="43"/>
      <c r="AA11" s="42" t="str">
        <f t="shared" ref="AA11:AA29" si="6">A11</f>
        <v>STEAK TACO</v>
      </c>
      <c r="AB11" s="43"/>
      <c r="AD11" s="44">
        <f t="shared" ref="AD11:AD29" si="7">V11+Y11+AB11</f>
        <v>10</v>
      </c>
      <c r="AE11" s="42" t="str">
        <f t="shared" ref="AE11:AE29" si="8">A11</f>
        <v>STEAK TACO</v>
      </c>
      <c r="AF11" s="43">
        <v>14</v>
      </c>
      <c r="AH11" s="42"/>
      <c r="AI11" s="43"/>
      <c r="AK11" s="42" t="str">
        <f t="shared" ref="AK11:AK29" si="9">A11</f>
        <v>STEAK TACO</v>
      </c>
      <c r="AL11" s="43"/>
      <c r="AN11" s="44">
        <f t="shared" ref="AN11:AN29" si="10">AF11+AI11+AL11</f>
        <v>14</v>
      </c>
      <c r="AO11" s="42" t="str">
        <f t="shared" ref="AO11:AO29" si="11">A11</f>
        <v>STEAK TACO</v>
      </c>
      <c r="AP11" s="43">
        <v>8</v>
      </c>
      <c r="AR11" s="42"/>
      <c r="AS11" s="43"/>
      <c r="AU11" s="42" t="str">
        <f t="shared" ref="AU11:AU29" si="12">A11</f>
        <v>STEAK TACO</v>
      </c>
      <c r="AV11" s="43"/>
      <c r="AX11" s="44">
        <f t="shared" ref="AX11:AX29" si="13">AP11+AS11+AV11</f>
        <v>8</v>
      </c>
      <c r="AY11" s="42" t="str">
        <f t="shared" ref="AY11:AY29" si="14">A11</f>
        <v>STEAK TACO</v>
      </c>
      <c r="AZ11" s="43">
        <v>7</v>
      </c>
      <c r="BB11" s="42"/>
      <c r="BC11" s="43"/>
      <c r="BE11" s="42" t="str">
        <f t="shared" ref="BE11:BE29" si="15">A11</f>
        <v>STEAK TACO</v>
      </c>
      <c r="BF11" s="43"/>
      <c r="BH11" s="44">
        <f t="shared" ref="BH11:BH29" si="16">AZ11+BC11+BF11</f>
        <v>7</v>
      </c>
      <c r="BI11" s="42" t="str">
        <f t="shared" ref="BI11:BI29" si="17">A11</f>
        <v>STEAK TACO</v>
      </c>
      <c r="BJ11" s="43">
        <v>10</v>
      </c>
      <c r="BL11" s="42"/>
      <c r="BM11" s="43"/>
      <c r="BO11" s="42" t="str">
        <f t="shared" ref="BO11:BO29" si="18">A11</f>
        <v>STEAK TACO</v>
      </c>
      <c r="BP11" s="43"/>
      <c r="BR11" s="44">
        <f t="shared" ref="BR11:BR29" si="19">BJ11+BM11+BP11</f>
        <v>10</v>
      </c>
      <c r="BS11" s="42" t="str">
        <f t="shared" ref="BS11:BS29" si="20">A11</f>
        <v>STEAK TACO</v>
      </c>
      <c r="BT11" s="43">
        <v>16</v>
      </c>
      <c r="BV11" s="42"/>
      <c r="BW11" s="43"/>
      <c r="BY11" s="42" t="str">
        <f t="shared" ref="BY11:BY29" si="21">A11</f>
        <v>STEAK TACO</v>
      </c>
      <c r="BZ11" s="43"/>
      <c r="CB11" s="44">
        <f t="shared" ref="CB11:CB29" si="22">BT11+BW11+BZ11</f>
        <v>16</v>
      </c>
      <c r="CC11" s="42" t="str">
        <f t="shared" ref="CC11:CC29" si="23">A11</f>
        <v>STEAK TACO</v>
      </c>
      <c r="CD11" s="43">
        <v>8</v>
      </c>
      <c r="CF11" s="42"/>
      <c r="CG11" s="43"/>
      <c r="CI11" s="42" t="str">
        <f t="shared" ref="CI11:CI29" si="24">A11</f>
        <v>STEAK TACO</v>
      </c>
      <c r="CJ11" s="43"/>
      <c r="CL11" s="44">
        <f t="shared" ref="CL11:CL29" si="25">CD11+CG11+CJ11</f>
        <v>8</v>
      </c>
      <c r="CM11" s="42" t="str">
        <f t="shared" ref="CM11:CM29" si="26">A11</f>
        <v>STEAK TACO</v>
      </c>
      <c r="CN11" s="43">
        <v>5</v>
      </c>
      <c r="CP11" s="42"/>
      <c r="CQ11" s="43"/>
      <c r="CS11" s="42" t="str">
        <f t="shared" ref="CS11:CS29" si="27">A11</f>
        <v>STEAK TACO</v>
      </c>
      <c r="CT11" s="43"/>
      <c r="CV11" s="44">
        <f t="shared" ref="CV11:CV29" si="28">CN11+CQ11+CT11</f>
        <v>5</v>
      </c>
      <c r="CW11" s="42" t="str">
        <f t="shared" ref="CW11:CW29" si="29">A11</f>
        <v>STEAK TACO</v>
      </c>
      <c r="CX11" s="43">
        <v>8</v>
      </c>
      <c r="CZ11" s="42"/>
      <c r="DA11" s="43"/>
      <c r="DC11" s="42" t="str">
        <f t="shared" ref="DC11:DC16" si="30">AE11</f>
        <v>STEAK TACO</v>
      </c>
      <c r="DD11" s="43"/>
      <c r="DF11" s="44">
        <f t="shared" ref="DF11:DF29" si="31">CX11+DA11+DD11</f>
        <v>8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>
        <v>6</v>
      </c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/>
      <c r="FD11" s="44">
        <f t="shared" ref="FD11:FD29" si="49">EV11+EY11+FB11</f>
        <v>6</v>
      </c>
      <c r="FE11" s="42" t="str">
        <f t="shared" ref="FE11:FE29" si="50">A11</f>
        <v>STEAK TACO</v>
      </c>
      <c r="FF11" s="43">
        <v>3</v>
      </c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/>
      <c r="FN11" s="44">
        <f t="shared" ref="FN11:FN29" si="53">FF11+FI11+FL11</f>
        <v>3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 t="shared" ref="GR11:GR29" si="65">GJ11+GM11+GP11</f>
        <v>0</v>
      </c>
      <c r="GS11" s="42" t="str">
        <f t="shared" ref="GS11:GS29" si="66">AO11</f>
        <v>STEAK TACO</v>
      </c>
      <c r="GT11" s="43"/>
      <c r="GV11" s="42" t="str">
        <f t="shared" ref="GV11:GV29" si="67">AO11</f>
        <v>STEAK TACO</v>
      </c>
      <c r="GW11" s="43"/>
      <c r="GY11" s="42" t="str">
        <f t="shared" ref="GY11:GY29" si="68">AO11</f>
        <v>STEAK TACO</v>
      </c>
      <c r="GZ11" s="43"/>
      <c r="HB11" s="44">
        <f t="shared" ref="HB11:HB29" si="69">GT11+GW11+GZ11</f>
        <v>0</v>
      </c>
      <c r="HC11" s="42" t="str">
        <f t="shared" ref="HC11:HC29" si="70">A11</f>
        <v>STEAK TACO</v>
      </c>
      <c r="HD11" s="43">
        <f t="shared" ref="HD11:HD29" si="71">B11+L11+V11+AF11+AP11+AZ11+BJ11+BT11+CD11+CN11+CX11+DH11+DR11+EB11+EL11+EV11+FF11</f>
        <v>122</v>
      </c>
      <c r="HF11" s="42" t="str">
        <f t="shared" ref="HF11:HF29" si="72">A11</f>
        <v>STEAK TACO</v>
      </c>
      <c r="HG11" s="43">
        <f t="shared" ref="HG11:HG29" si="73">E11+O11+Y11+AI11+AS11+BC11+BM11+BW11+CG11+CQ11+DA11+DK11+DU11+EE11+EO11+EY11+FI11</f>
        <v>0</v>
      </c>
      <c r="HI11" s="42" t="str">
        <f t="shared" ref="HI11:HI29" si="74">A11</f>
        <v>STEAK TACO</v>
      </c>
      <c r="HJ11" s="43">
        <f t="shared" ref="HJ11:HJ29" si="75">H11+R11+AB11+AL11+AV11+BF11+BP11+BZ11+CJ11+CT11+DD11+DN11+DX11+EH11+ER11+FB11+FL11</f>
        <v>0</v>
      </c>
      <c r="HL11" s="43">
        <f t="shared" ref="HL11:HL29" si="76">J11+T11+AD11+AN11+AX11+BH11+BR11+CB11+CL11+CV11+DF11+DP11+DZ11+EJ11+ET11+FD11+FN11+FX11+GH11+GR11+HB11</f>
        <v>122</v>
      </c>
      <c r="HM11" s="42" t="str">
        <f t="shared" ref="HM11:HM29" si="77">A11</f>
        <v>STEAK TACO</v>
      </c>
      <c r="HN11" s="57">
        <f t="shared" ref="HN11:HN29" si="78">J11</f>
        <v>8</v>
      </c>
      <c r="HO11" s="44">
        <f t="shared" ref="HO11:HO29" si="79">T11</f>
        <v>19</v>
      </c>
      <c r="HP11" s="57">
        <f t="shared" ref="HP11:HP29" si="80">AD11</f>
        <v>10</v>
      </c>
      <c r="HQ11" s="44">
        <f t="shared" ref="HQ11:HQ29" si="81">AN11</f>
        <v>14</v>
      </c>
      <c r="HR11" s="57">
        <f t="shared" ref="HR11:HR29" si="82">AX11</f>
        <v>8</v>
      </c>
      <c r="HS11" s="44">
        <f t="shared" ref="HS11:HS29" si="83">BH11</f>
        <v>7</v>
      </c>
      <c r="HT11" s="57">
        <f t="shared" ref="HT11:HT29" si="84">BR11</f>
        <v>10</v>
      </c>
      <c r="HU11" s="44">
        <f t="shared" ref="HU11:HU29" si="85">CB11</f>
        <v>16</v>
      </c>
      <c r="HV11" s="57">
        <f t="shared" ref="HV11:HV29" si="86">CL11</f>
        <v>8</v>
      </c>
      <c r="HW11" s="44">
        <f t="shared" ref="HW11:HW29" si="87">CV11</f>
        <v>5</v>
      </c>
      <c r="HX11" s="57">
        <f t="shared" ref="HX11:HX29" si="88">DF11</f>
        <v>8</v>
      </c>
      <c r="HY11" s="44">
        <f t="shared" ref="HY11:HY29" si="89">DP11</f>
        <v>0</v>
      </c>
      <c r="HZ11" s="42" t="str">
        <f t="shared" ref="HZ11:HZ29" si="90">A11</f>
        <v>STEAK TACO</v>
      </c>
      <c r="IA11" s="57">
        <f t="shared" ref="IA11:IA29" si="91">DZ11</f>
        <v>0</v>
      </c>
      <c r="IB11" s="44">
        <f t="shared" ref="IB11:IB29" si="92">EJ11</f>
        <v>0</v>
      </c>
      <c r="IC11" s="57">
        <f t="shared" ref="IC11:IC29" si="93">ET11</f>
        <v>0</v>
      </c>
      <c r="ID11" s="44">
        <f t="shared" ref="ID11:ID29" si="94">FD11</f>
        <v>6</v>
      </c>
      <c r="IE11" s="57">
        <f t="shared" ref="IE11:IE29" si="95">FN11</f>
        <v>3</v>
      </c>
      <c r="IF11" s="44">
        <f t="shared" ref="IF11:IF29" si="96">FX11</f>
        <v>0</v>
      </c>
      <c r="IG11" s="57">
        <f t="shared" ref="IG11:IG29" si="97">GH11</f>
        <v>0</v>
      </c>
      <c r="IH11" s="44">
        <f t="shared" ref="IH11:IH29" si="98">GR11</f>
        <v>0</v>
      </c>
      <c r="II11" s="57">
        <f t="shared" ref="II11:II29" si="99">HB11</f>
        <v>0</v>
      </c>
      <c r="IJ11" s="44"/>
      <c r="IK11" s="57"/>
      <c r="IL11" s="44">
        <f t="shared" ref="IL11:IL29" si="100">SUM(HN11:HY11)+SUM(IA11:IK11)</f>
        <v>122</v>
      </c>
      <c r="IM11" s="42" t="str">
        <f t="shared" ref="IM11:IM29" si="101">A11</f>
        <v>STEAK TACO</v>
      </c>
      <c r="IN11" s="43">
        <f t="shared" ref="IN11:IN29" si="102">B11+L11+V11+AF11+AZ11+BJ11+CD11+EL11+EV11+FF11</f>
        <v>85</v>
      </c>
      <c r="IP11" s="42" t="str">
        <f t="shared" ref="IP11:IP29" si="103">A11</f>
        <v>STEAK TACO</v>
      </c>
      <c r="IQ11" s="43">
        <f t="shared" ref="IQ11:IQ29" si="104">E11+O11+Y11+AI11+BC11+BM11+CG11+EO11+EY11+FI11</f>
        <v>0</v>
      </c>
      <c r="IS11" s="42" t="str">
        <f t="shared" ref="IS11:IS29" si="105">A11</f>
        <v>STEAK TACO</v>
      </c>
      <c r="IT11" s="43">
        <f t="shared" ref="IT11:IT29" si="106">H11+R11+AB11+AL11+BF11+BP11+CJ11+ER11+FB11+FL11</f>
        <v>0</v>
      </c>
      <c r="IV11" s="44"/>
      <c r="IW11" s="42" t="str">
        <f t="shared" ref="IW11:IW29" si="107">A11</f>
        <v>STEAK TACO</v>
      </c>
      <c r="IX11" s="43">
        <f>AP11+BT11+CN11+CX11</f>
        <v>37</v>
      </c>
      <c r="IZ11" s="42" t="str">
        <f t="shared" ref="IZ11:IZ29" si="108">A11</f>
        <v>STEAK TACO</v>
      </c>
      <c r="JA11" s="43">
        <f t="shared" ref="JA11:JA29" si="109">AS11+BW11+CQ11+DA11+DK11+DU11</f>
        <v>0</v>
      </c>
      <c r="JC11" s="42" t="str">
        <f t="shared" ref="JC11:JC29" si="110">A11</f>
        <v>STEAK TACO</v>
      </c>
      <c r="JD11" s="43">
        <f t="shared" ref="JD11:JD29" si="111">AV11+BZ11</f>
        <v>0</v>
      </c>
      <c r="JF11" s="44"/>
      <c r="JG11" s="42" t="str">
        <f t="shared" ref="JG11:JG29" si="112">K11</f>
        <v>STEAK TACO</v>
      </c>
      <c r="JH11" s="43">
        <f t="shared" ref="JH11:JH29" si="113">FP11</f>
        <v>0</v>
      </c>
      <c r="JJ11" s="42" t="str">
        <f t="shared" ref="JJ11:JJ29" si="114">K11</f>
        <v>STEAK TACO</v>
      </c>
      <c r="JK11" s="43">
        <f t="shared" ref="JK11:JK29" si="115">FZ11</f>
        <v>0</v>
      </c>
      <c r="JM11" s="42" t="str">
        <f t="shared" ref="JM11:JM29" si="116">K11</f>
        <v>STEAK TACO</v>
      </c>
      <c r="JN11" s="43">
        <f t="shared" ref="JN11:JN29" si="117">GJ11</f>
        <v>0</v>
      </c>
      <c r="JP11" s="44">
        <f t="shared" ref="JP11:JP29" si="118">JH11+JK11+JN11</f>
        <v>0</v>
      </c>
      <c r="JQ11" s="42" t="str">
        <f t="shared" ref="JQ11:JQ29" si="119">U11</f>
        <v>STEAK TACO</v>
      </c>
      <c r="JR11" s="43">
        <f t="shared" ref="JR11:JR29" si="120">FS11</f>
        <v>0</v>
      </c>
      <c r="JT11" s="42" t="str">
        <f t="shared" ref="JT11:JT29" si="121">K11</f>
        <v>STEAK TACO</v>
      </c>
      <c r="JU11" s="43">
        <f t="shared" ref="JU11:JU29" si="122">GC11</f>
        <v>0</v>
      </c>
      <c r="JW11" s="42" t="str">
        <f t="shared" ref="JW11:JW29" si="123">U11</f>
        <v>STEAK TACO</v>
      </c>
      <c r="JX11" s="43">
        <f t="shared" ref="JX11:JX29" si="124">GM11</f>
        <v>0</v>
      </c>
      <c r="JZ11" s="44">
        <f t="shared" ref="JZ11:JZ29" si="125">JR11+JU11+JX11</f>
        <v>0</v>
      </c>
    </row>
    <row r="12" spans="1:286" s="7" customFormat="1" ht="54" customHeight="1" x14ac:dyDescent="0.65">
      <c r="A12" s="46" t="s">
        <v>42</v>
      </c>
      <c r="B12" s="43">
        <v>2</v>
      </c>
      <c r="D12" s="46"/>
      <c r="E12" s="43"/>
      <c r="G12" s="42" t="str">
        <f t="shared" si="0"/>
        <v>CHICKEN</v>
      </c>
      <c r="H12" s="43"/>
      <c r="J12" s="43">
        <f t="shared" si="1"/>
        <v>2</v>
      </c>
      <c r="K12" s="42" t="str">
        <f t="shared" si="2"/>
        <v>CHICKEN</v>
      </c>
      <c r="L12" s="43">
        <v>9</v>
      </c>
      <c r="N12" s="46"/>
      <c r="O12" s="43"/>
      <c r="Q12" s="42" t="str">
        <f t="shared" si="3"/>
        <v>CHICKEN</v>
      </c>
      <c r="R12" s="43"/>
      <c r="T12" s="43">
        <f t="shared" si="4"/>
        <v>9</v>
      </c>
      <c r="U12" s="42" t="str">
        <f t="shared" si="5"/>
        <v>CHICKEN</v>
      </c>
      <c r="V12" s="43">
        <v>6</v>
      </c>
      <c r="X12" s="46"/>
      <c r="Y12" s="43"/>
      <c r="AA12" s="42" t="str">
        <f t="shared" si="6"/>
        <v>CHICKEN</v>
      </c>
      <c r="AB12" s="43"/>
      <c r="AD12" s="43">
        <f t="shared" si="7"/>
        <v>6</v>
      </c>
      <c r="AE12" s="42" t="str">
        <f t="shared" si="8"/>
        <v>CHICKEN</v>
      </c>
      <c r="AF12" s="43">
        <v>7</v>
      </c>
      <c r="AH12" s="46"/>
      <c r="AI12" s="43"/>
      <c r="AK12" s="42" t="str">
        <f t="shared" si="9"/>
        <v>CHICKEN</v>
      </c>
      <c r="AL12" s="43"/>
      <c r="AN12" s="43">
        <f t="shared" si="10"/>
        <v>7</v>
      </c>
      <c r="AO12" s="42" t="str">
        <f t="shared" si="11"/>
        <v>CHICKEN</v>
      </c>
      <c r="AP12" s="43">
        <v>3</v>
      </c>
      <c r="AR12" s="46"/>
      <c r="AS12" s="43"/>
      <c r="AU12" s="42" t="str">
        <f t="shared" si="12"/>
        <v>CHICKEN</v>
      </c>
      <c r="AV12" s="43"/>
      <c r="AX12" s="43">
        <f t="shared" si="13"/>
        <v>3</v>
      </c>
      <c r="AY12" s="42" t="str">
        <f t="shared" si="14"/>
        <v>CHICKEN</v>
      </c>
      <c r="AZ12" s="43">
        <v>3</v>
      </c>
      <c r="BB12" s="46"/>
      <c r="BC12" s="43"/>
      <c r="BE12" s="42" t="str">
        <f t="shared" si="15"/>
        <v>CHICKEN</v>
      </c>
      <c r="BF12" s="43"/>
      <c r="BH12" s="43">
        <f t="shared" si="16"/>
        <v>3</v>
      </c>
      <c r="BI12" s="42" t="str">
        <f t="shared" si="17"/>
        <v>CHICKEN</v>
      </c>
      <c r="BJ12" s="43">
        <v>5</v>
      </c>
      <c r="BL12" s="46"/>
      <c r="BM12" s="43"/>
      <c r="BO12" s="42" t="str">
        <f t="shared" si="18"/>
        <v>CHICKEN</v>
      </c>
      <c r="BP12" s="43"/>
      <c r="BR12" s="43">
        <f t="shared" si="19"/>
        <v>5</v>
      </c>
      <c r="BS12" s="42" t="str">
        <f t="shared" si="20"/>
        <v>CHICKEN</v>
      </c>
      <c r="BT12" s="43">
        <v>4</v>
      </c>
      <c r="BV12" s="46"/>
      <c r="BW12" s="43"/>
      <c r="BY12" s="42" t="str">
        <f t="shared" si="21"/>
        <v>CHICKEN</v>
      </c>
      <c r="BZ12" s="43"/>
      <c r="CB12" s="43">
        <f t="shared" si="22"/>
        <v>4</v>
      </c>
      <c r="CC12" s="42" t="str">
        <f t="shared" si="23"/>
        <v>CHICKEN</v>
      </c>
      <c r="CD12" s="43">
        <v>6</v>
      </c>
      <c r="CF12" s="46"/>
      <c r="CG12" s="43"/>
      <c r="CI12" s="42" t="str">
        <f t="shared" si="24"/>
        <v>CHICKEN</v>
      </c>
      <c r="CJ12" s="43"/>
      <c r="CL12" s="43">
        <f t="shared" si="25"/>
        <v>6</v>
      </c>
      <c r="CM12" s="42" t="str">
        <f t="shared" si="26"/>
        <v>CHICKEN</v>
      </c>
      <c r="CN12" s="43">
        <v>2</v>
      </c>
      <c r="CP12" s="42"/>
      <c r="CQ12" s="43"/>
      <c r="CS12" s="42" t="str">
        <f t="shared" si="27"/>
        <v>CHICKEN</v>
      </c>
      <c r="CT12" s="43"/>
      <c r="CV12" s="43">
        <f t="shared" si="28"/>
        <v>2</v>
      </c>
      <c r="CW12" s="42" t="str">
        <f t="shared" si="29"/>
        <v>CHICKEN</v>
      </c>
      <c r="CX12" s="43">
        <v>3</v>
      </c>
      <c r="CZ12" s="46"/>
      <c r="DA12" s="43"/>
      <c r="DC12" s="42" t="str">
        <f t="shared" si="30"/>
        <v>CHICKEN</v>
      </c>
      <c r="DD12" s="43"/>
      <c r="DF12" s="43">
        <f t="shared" si="31"/>
        <v>3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/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0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/>
      <c r="FN12" s="43">
        <f t="shared" si="53"/>
        <v>0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si="65"/>
        <v>0</v>
      </c>
      <c r="GS12" s="42" t="str">
        <f t="shared" si="66"/>
        <v>CHICKEN</v>
      </c>
      <c r="GT12" s="43"/>
      <c r="GV12" s="42" t="str">
        <f t="shared" si="67"/>
        <v>CHICKEN</v>
      </c>
      <c r="GW12" s="43"/>
      <c r="GY12" s="42" t="str">
        <f t="shared" si="68"/>
        <v>CHICKEN</v>
      </c>
      <c r="GZ12" s="43"/>
      <c r="HB12" s="43">
        <f t="shared" si="69"/>
        <v>0</v>
      </c>
      <c r="HC12" s="42" t="str">
        <f t="shared" si="70"/>
        <v>CHICKEN</v>
      </c>
      <c r="HD12" s="43">
        <f t="shared" si="71"/>
        <v>50</v>
      </c>
      <c r="HF12" s="42" t="str">
        <f t="shared" si="72"/>
        <v>CHICKEN</v>
      </c>
      <c r="HG12" s="43">
        <f t="shared" si="73"/>
        <v>0</v>
      </c>
      <c r="HI12" s="42" t="str">
        <f t="shared" si="74"/>
        <v>CHICKEN</v>
      </c>
      <c r="HJ12" s="43">
        <f t="shared" si="75"/>
        <v>0</v>
      </c>
      <c r="HL12" s="43">
        <f t="shared" si="76"/>
        <v>50</v>
      </c>
      <c r="HM12" s="42" t="str">
        <f t="shared" si="77"/>
        <v>CHICKEN</v>
      </c>
      <c r="HN12" s="57">
        <f t="shared" si="78"/>
        <v>2</v>
      </c>
      <c r="HO12" s="44">
        <f t="shared" si="79"/>
        <v>9</v>
      </c>
      <c r="HP12" s="57">
        <f t="shared" si="80"/>
        <v>6</v>
      </c>
      <c r="HQ12" s="44">
        <f t="shared" si="81"/>
        <v>7</v>
      </c>
      <c r="HR12" s="57">
        <f t="shared" si="82"/>
        <v>3</v>
      </c>
      <c r="HS12" s="44">
        <f t="shared" si="83"/>
        <v>3</v>
      </c>
      <c r="HT12" s="57">
        <f t="shared" si="84"/>
        <v>5</v>
      </c>
      <c r="HU12" s="44">
        <f t="shared" si="85"/>
        <v>4</v>
      </c>
      <c r="HV12" s="57">
        <f t="shared" si="86"/>
        <v>6</v>
      </c>
      <c r="HW12" s="44">
        <f t="shared" si="87"/>
        <v>2</v>
      </c>
      <c r="HX12" s="57">
        <f t="shared" si="88"/>
        <v>3</v>
      </c>
      <c r="HY12" s="44">
        <f t="shared" si="89"/>
        <v>0</v>
      </c>
      <c r="HZ12" s="42" t="str">
        <f t="shared" si="90"/>
        <v>CHICKEN</v>
      </c>
      <c r="IA12" s="57">
        <f t="shared" si="91"/>
        <v>0</v>
      </c>
      <c r="IB12" s="44">
        <f t="shared" si="92"/>
        <v>0</v>
      </c>
      <c r="IC12" s="57">
        <f t="shared" si="93"/>
        <v>0</v>
      </c>
      <c r="ID12" s="44">
        <f t="shared" si="94"/>
        <v>0</v>
      </c>
      <c r="IE12" s="57">
        <f t="shared" si="95"/>
        <v>0</v>
      </c>
      <c r="IF12" s="44">
        <f t="shared" si="96"/>
        <v>0</v>
      </c>
      <c r="IG12" s="57">
        <f t="shared" si="97"/>
        <v>0</v>
      </c>
      <c r="IH12" s="44">
        <f t="shared" si="98"/>
        <v>0</v>
      </c>
      <c r="II12" s="57">
        <f t="shared" si="99"/>
        <v>0</v>
      </c>
      <c r="IJ12" s="44"/>
      <c r="IK12" s="57"/>
      <c r="IL12" s="44">
        <f t="shared" si="100"/>
        <v>50</v>
      </c>
      <c r="IM12" s="42" t="str">
        <f t="shared" si="101"/>
        <v>CHICKEN</v>
      </c>
      <c r="IN12" s="43">
        <f t="shared" si="102"/>
        <v>38</v>
      </c>
      <c r="IP12" s="42" t="str">
        <f t="shared" si="103"/>
        <v>CHICKEN</v>
      </c>
      <c r="IQ12" s="43">
        <f t="shared" si="104"/>
        <v>0</v>
      </c>
      <c r="IS12" s="42" t="str">
        <f t="shared" si="105"/>
        <v>CHICKEN</v>
      </c>
      <c r="IT12" s="43">
        <f t="shared" si="106"/>
        <v>0</v>
      </c>
      <c r="IV12" s="43"/>
      <c r="IW12" s="42" t="str">
        <f t="shared" si="107"/>
        <v>CHICKEN</v>
      </c>
      <c r="IX12" s="43">
        <f t="shared" ref="IX12:IX29" si="126">AP12+BT12+CN12+CX12</f>
        <v>12</v>
      </c>
      <c r="IZ12" s="42" t="str">
        <f t="shared" si="108"/>
        <v>CHICKEN</v>
      </c>
      <c r="JA12" s="43">
        <f t="shared" si="109"/>
        <v>0</v>
      </c>
      <c r="JC12" s="42" t="str">
        <f t="shared" si="110"/>
        <v>CHICKEN</v>
      </c>
      <c r="JD12" s="43">
        <f t="shared" si="111"/>
        <v>0</v>
      </c>
      <c r="JF12" s="43"/>
      <c r="JG12" s="42" t="str">
        <f t="shared" si="112"/>
        <v>CHICKEN</v>
      </c>
      <c r="JH12" s="43">
        <f t="shared" si="113"/>
        <v>0</v>
      </c>
      <c r="JJ12" s="42" t="str">
        <f t="shared" si="114"/>
        <v>CHICKEN</v>
      </c>
      <c r="JK12" s="43">
        <f t="shared" si="115"/>
        <v>0</v>
      </c>
      <c r="JM12" s="42" t="str">
        <f t="shared" si="116"/>
        <v>CHICKEN</v>
      </c>
      <c r="JN12" s="43">
        <f t="shared" si="117"/>
        <v>0</v>
      </c>
      <c r="JP12" s="44">
        <f t="shared" si="118"/>
        <v>0</v>
      </c>
      <c r="JQ12" s="42" t="str">
        <f t="shared" si="119"/>
        <v>CHICKEN</v>
      </c>
      <c r="JR12" s="43">
        <f t="shared" si="120"/>
        <v>0</v>
      </c>
      <c r="JT12" s="42" t="str">
        <f t="shared" si="121"/>
        <v>CHICKEN</v>
      </c>
      <c r="JU12" s="43">
        <f t="shared" si="122"/>
        <v>0</v>
      </c>
      <c r="JW12" s="42" t="str">
        <f t="shared" si="123"/>
        <v>CHICKEN</v>
      </c>
      <c r="JX12" s="43">
        <f t="shared" si="124"/>
        <v>0</v>
      </c>
      <c r="JZ12" s="44">
        <f t="shared" si="125"/>
        <v>0</v>
      </c>
    </row>
    <row r="13" spans="1:286" s="7" customFormat="1" ht="54" customHeight="1" x14ac:dyDescent="0.65">
      <c r="A13" s="46" t="s">
        <v>43</v>
      </c>
      <c r="B13" s="43">
        <v>3</v>
      </c>
      <c r="D13" s="46"/>
      <c r="E13" s="43"/>
      <c r="G13" s="42" t="str">
        <f t="shared" si="0"/>
        <v>ALPASTOR</v>
      </c>
      <c r="H13" s="43"/>
      <c r="J13" s="43">
        <f t="shared" si="1"/>
        <v>3</v>
      </c>
      <c r="K13" s="42" t="str">
        <f t="shared" si="2"/>
        <v>ALPASTOR</v>
      </c>
      <c r="L13" s="43">
        <v>11</v>
      </c>
      <c r="N13" s="46"/>
      <c r="O13" s="43"/>
      <c r="Q13" s="42" t="str">
        <f t="shared" si="3"/>
        <v>ALPASTOR</v>
      </c>
      <c r="R13" s="43"/>
      <c r="T13" s="43">
        <f t="shared" si="4"/>
        <v>11</v>
      </c>
      <c r="U13" s="42" t="str">
        <f t="shared" si="5"/>
        <v>ALPASTOR</v>
      </c>
      <c r="V13" s="43">
        <v>7</v>
      </c>
      <c r="X13" s="46"/>
      <c r="Y13" s="43"/>
      <c r="AA13" s="42" t="str">
        <f t="shared" si="6"/>
        <v>ALPASTOR</v>
      </c>
      <c r="AB13" s="43"/>
      <c r="AD13" s="43">
        <f t="shared" si="7"/>
        <v>7</v>
      </c>
      <c r="AE13" s="42" t="str">
        <f t="shared" si="8"/>
        <v>ALPASTOR</v>
      </c>
      <c r="AF13" s="43">
        <v>9</v>
      </c>
      <c r="AH13" s="46"/>
      <c r="AI13" s="43"/>
      <c r="AK13" s="42" t="str">
        <f t="shared" si="9"/>
        <v>ALPASTOR</v>
      </c>
      <c r="AL13" s="43"/>
      <c r="AN13" s="43">
        <f t="shared" si="10"/>
        <v>9</v>
      </c>
      <c r="AO13" s="42" t="str">
        <f t="shared" si="11"/>
        <v>ALPASTOR</v>
      </c>
      <c r="AP13" s="43">
        <v>4</v>
      </c>
      <c r="AR13" s="46"/>
      <c r="AS13" s="43"/>
      <c r="AU13" s="42" t="str">
        <f t="shared" si="12"/>
        <v>ALPASTOR</v>
      </c>
      <c r="AV13" s="43"/>
      <c r="AX13" s="43">
        <f t="shared" si="13"/>
        <v>4</v>
      </c>
      <c r="AY13" s="42" t="str">
        <f t="shared" si="14"/>
        <v>ALPASTOR</v>
      </c>
      <c r="AZ13" s="43">
        <v>4</v>
      </c>
      <c r="BB13" s="46"/>
      <c r="BC13" s="43"/>
      <c r="BE13" s="42" t="str">
        <f t="shared" si="15"/>
        <v>ALPASTOR</v>
      </c>
      <c r="BF13" s="43"/>
      <c r="BH13" s="43">
        <f t="shared" si="16"/>
        <v>4</v>
      </c>
      <c r="BI13" s="42" t="str">
        <f t="shared" si="17"/>
        <v>ALPASTOR</v>
      </c>
      <c r="BJ13" s="43">
        <v>5</v>
      </c>
      <c r="BL13" s="46"/>
      <c r="BM13" s="43"/>
      <c r="BO13" s="42" t="str">
        <f t="shared" si="18"/>
        <v>ALPASTOR</v>
      </c>
      <c r="BP13" s="43"/>
      <c r="BR13" s="43">
        <f t="shared" si="19"/>
        <v>5</v>
      </c>
      <c r="BS13" s="42" t="str">
        <f t="shared" si="20"/>
        <v>ALPASTOR</v>
      </c>
      <c r="BT13" s="43">
        <v>5</v>
      </c>
      <c r="BV13" s="46"/>
      <c r="BW13" s="43"/>
      <c r="BY13" s="42" t="str">
        <f t="shared" si="21"/>
        <v>ALPASTOR</v>
      </c>
      <c r="BZ13" s="43"/>
      <c r="CB13" s="43">
        <f t="shared" si="22"/>
        <v>5</v>
      </c>
      <c r="CC13" s="42" t="str">
        <f t="shared" si="23"/>
        <v>ALPASTOR</v>
      </c>
      <c r="CD13" s="43">
        <v>6</v>
      </c>
      <c r="CF13" s="46"/>
      <c r="CG13" s="43"/>
      <c r="CI13" s="42" t="str">
        <f t="shared" si="24"/>
        <v>ALPASTOR</v>
      </c>
      <c r="CJ13" s="43"/>
      <c r="CL13" s="43">
        <f t="shared" si="25"/>
        <v>6</v>
      </c>
      <c r="CM13" s="42" t="str">
        <f t="shared" si="26"/>
        <v>ALPASTOR</v>
      </c>
      <c r="CN13" s="43">
        <v>3</v>
      </c>
      <c r="CP13" s="42"/>
      <c r="CQ13" s="43"/>
      <c r="CS13" s="42" t="str">
        <f t="shared" si="27"/>
        <v>ALPASTOR</v>
      </c>
      <c r="CT13" s="43"/>
      <c r="CV13" s="43">
        <f t="shared" si="28"/>
        <v>3</v>
      </c>
      <c r="CW13" s="42" t="str">
        <f t="shared" si="29"/>
        <v>ALPASTOR</v>
      </c>
      <c r="CX13" s="43">
        <v>4</v>
      </c>
      <c r="CZ13" s="46"/>
      <c r="DA13" s="43"/>
      <c r="DC13" s="42" t="str">
        <f t="shared" si="30"/>
        <v>ALPASTOR</v>
      </c>
      <c r="DD13" s="43"/>
      <c r="DF13" s="43">
        <f t="shared" si="31"/>
        <v>4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/>
      <c r="EX13" s="42" t="str">
        <f t="shared" si="47"/>
        <v>ALPASTOR</v>
      </c>
      <c r="EY13" s="43"/>
      <c r="FA13" s="42" t="str">
        <f t="shared" si="48"/>
        <v>ALPASTOR</v>
      </c>
      <c r="FB13" s="43"/>
      <c r="FD13" s="43">
        <f t="shared" si="49"/>
        <v>0</v>
      </c>
      <c r="FE13" s="42" t="str">
        <f t="shared" si="50"/>
        <v>ALPASTOR</v>
      </c>
      <c r="FF13" s="43"/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0</v>
      </c>
      <c r="FO13" s="42" t="str">
        <f t="shared" si="54"/>
        <v>ALPASTOR</v>
      </c>
      <c r="FP13" s="43">
        <v>6</v>
      </c>
      <c r="FR13" s="42" t="str">
        <f t="shared" si="55"/>
        <v>ALPASTOR</v>
      </c>
      <c r="FS13" s="43">
        <v>9</v>
      </c>
      <c r="FU13" s="42" t="str">
        <f t="shared" si="56"/>
        <v>ALPASTOR</v>
      </c>
      <c r="FV13" s="43"/>
      <c r="FX13" s="43">
        <f t="shared" si="57"/>
        <v>15</v>
      </c>
      <c r="FY13" s="42" t="str">
        <f t="shared" si="58"/>
        <v>ALPASTOR</v>
      </c>
      <c r="FZ13" s="43">
        <v>2</v>
      </c>
      <c r="GB13" s="42" t="str">
        <f t="shared" si="59"/>
        <v>ALPASTOR</v>
      </c>
      <c r="GC13" s="43">
        <v>4</v>
      </c>
      <c r="GE13" s="42" t="str">
        <f t="shared" si="60"/>
        <v>ALPASTOR</v>
      </c>
      <c r="GF13" s="43"/>
      <c r="GH13" s="43">
        <f t="shared" si="61"/>
        <v>6</v>
      </c>
      <c r="GI13" s="42" t="str">
        <f t="shared" si="62"/>
        <v>ALPASTOR</v>
      </c>
      <c r="GJ13" s="43">
        <v>3</v>
      </c>
      <c r="GL13" s="42" t="str">
        <f t="shared" si="63"/>
        <v>ALPASTOR</v>
      </c>
      <c r="GM13" s="43">
        <v>3</v>
      </c>
      <c r="GO13" s="42" t="str">
        <f t="shared" si="64"/>
        <v>ALPASTOR</v>
      </c>
      <c r="GP13" s="43"/>
      <c r="GR13" s="43">
        <f t="shared" si="65"/>
        <v>6</v>
      </c>
      <c r="GS13" s="42" t="str">
        <f t="shared" si="66"/>
        <v>ALPASTOR</v>
      </c>
      <c r="GT13" s="43"/>
      <c r="GV13" s="42" t="str">
        <f t="shared" si="67"/>
        <v>ALPASTOR</v>
      </c>
      <c r="GW13" s="43"/>
      <c r="GY13" s="42" t="str">
        <f t="shared" si="68"/>
        <v>ALPASTOR</v>
      </c>
      <c r="GZ13" s="43"/>
      <c r="HB13" s="43">
        <f t="shared" si="69"/>
        <v>0</v>
      </c>
      <c r="HC13" s="42" t="str">
        <f t="shared" si="70"/>
        <v>ALPASTOR</v>
      </c>
      <c r="HD13" s="43">
        <f t="shared" si="71"/>
        <v>61</v>
      </c>
      <c r="HF13" s="42" t="str">
        <f t="shared" si="72"/>
        <v>ALPASTOR</v>
      </c>
      <c r="HG13" s="43">
        <f t="shared" si="73"/>
        <v>0</v>
      </c>
      <c r="HI13" s="42" t="str">
        <f t="shared" si="74"/>
        <v>ALPASTOR</v>
      </c>
      <c r="HJ13" s="43">
        <f t="shared" si="75"/>
        <v>0</v>
      </c>
      <c r="HL13" s="43">
        <f t="shared" si="76"/>
        <v>88</v>
      </c>
      <c r="HM13" s="42" t="str">
        <f t="shared" si="77"/>
        <v>ALPASTOR</v>
      </c>
      <c r="HN13" s="57">
        <f t="shared" si="78"/>
        <v>3</v>
      </c>
      <c r="HO13" s="44">
        <f t="shared" si="79"/>
        <v>11</v>
      </c>
      <c r="HP13" s="57">
        <f t="shared" si="80"/>
        <v>7</v>
      </c>
      <c r="HQ13" s="44">
        <f t="shared" si="81"/>
        <v>9</v>
      </c>
      <c r="HR13" s="57">
        <f t="shared" si="82"/>
        <v>4</v>
      </c>
      <c r="HS13" s="44">
        <f t="shared" si="83"/>
        <v>4</v>
      </c>
      <c r="HT13" s="57">
        <f t="shared" si="84"/>
        <v>5</v>
      </c>
      <c r="HU13" s="44">
        <f t="shared" si="85"/>
        <v>5</v>
      </c>
      <c r="HV13" s="57">
        <f t="shared" si="86"/>
        <v>6</v>
      </c>
      <c r="HW13" s="44">
        <f t="shared" si="87"/>
        <v>3</v>
      </c>
      <c r="HX13" s="57">
        <f t="shared" si="88"/>
        <v>4</v>
      </c>
      <c r="HY13" s="44">
        <f t="shared" si="89"/>
        <v>0</v>
      </c>
      <c r="HZ13" s="42" t="str">
        <f t="shared" si="90"/>
        <v>ALPASTOR</v>
      </c>
      <c r="IA13" s="57">
        <f t="shared" si="91"/>
        <v>0</v>
      </c>
      <c r="IB13" s="44">
        <f t="shared" si="92"/>
        <v>0</v>
      </c>
      <c r="IC13" s="57">
        <f t="shared" si="93"/>
        <v>0</v>
      </c>
      <c r="ID13" s="44">
        <f t="shared" si="94"/>
        <v>0</v>
      </c>
      <c r="IE13" s="57">
        <f t="shared" si="95"/>
        <v>0</v>
      </c>
      <c r="IF13" s="44">
        <f t="shared" si="96"/>
        <v>15</v>
      </c>
      <c r="IG13" s="57">
        <f t="shared" si="97"/>
        <v>6</v>
      </c>
      <c r="IH13" s="44">
        <f t="shared" si="98"/>
        <v>6</v>
      </c>
      <c r="II13" s="57">
        <f t="shared" si="99"/>
        <v>0</v>
      </c>
      <c r="IJ13" s="44"/>
      <c r="IK13" s="57"/>
      <c r="IL13" s="44">
        <f t="shared" si="100"/>
        <v>88</v>
      </c>
      <c r="IM13" s="42" t="str">
        <f t="shared" si="101"/>
        <v>ALPASTOR</v>
      </c>
      <c r="IN13" s="43">
        <f t="shared" si="102"/>
        <v>45</v>
      </c>
      <c r="IP13" s="42" t="str">
        <f t="shared" si="103"/>
        <v>ALPASTOR</v>
      </c>
      <c r="IQ13" s="43">
        <f t="shared" si="104"/>
        <v>0</v>
      </c>
      <c r="IS13" s="42" t="str">
        <f t="shared" si="105"/>
        <v>ALPASTOR</v>
      </c>
      <c r="IT13" s="43">
        <f t="shared" si="106"/>
        <v>0</v>
      </c>
      <c r="IV13" s="43"/>
      <c r="IW13" s="42" t="str">
        <f t="shared" si="107"/>
        <v>ALPASTOR</v>
      </c>
      <c r="IX13" s="43">
        <f t="shared" si="126"/>
        <v>16</v>
      </c>
      <c r="IZ13" s="42" t="str">
        <f t="shared" si="108"/>
        <v>ALPASTOR</v>
      </c>
      <c r="JA13" s="43">
        <f t="shared" si="109"/>
        <v>0</v>
      </c>
      <c r="JC13" s="42" t="str">
        <f t="shared" si="110"/>
        <v>ALPASTOR</v>
      </c>
      <c r="JD13" s="43">
        <f t="shared" si="111"/>
        <v>0</v>
      </c>
      <c r="JF13" s="43"/>
      <c r="JG13" s="42" t="str">
        <f t="shared" si="112"/>
        <v>ALPASTOR</v>
      </c>
      <c r="JH13" s="43">
        <f t="shared" si="113"/>
        <v>6</v>
      </c>
      <c r="JJ13" s="42" t="str">
        <f t="shared" si="114"/>
        <v>ALPASTOR</v>
      </c>
      <c r="JK13" s="43">
        <f t="shared" si="115"/>
        <v>2</v>
      </c>
      <c r="JM13" s="42" t="str">
        <f t="shared" si="116"/>
        <v>ALPASTOR</v>
      </c>
      <c r="JN13" s="43">
        <f t="shared" si="117"/>
        <v>3</v>
      </c>
      <c r="JP13" s="44">
        <f t="shared" si="118"/>
        <v>11</v>
      </c>
      <c r="JQ13" s="42" t="str">
        <f t="shared" si="119"/>
        <v>ALPASTOR</v>
      </c>
      <c r="JR13" s="43">
        <f t="shared" si="120"/>
        <v>9</v>
      </c>
      <c r="JT13" s="42" t="str">
        <f t="shared" si="121"/>
        <v>ALPASTOR</v>
      </c>
      <c r="JU13" s="43">
        <f t="shared" si="122"/>
        <v>4</v>
      </c>
      <c r="JW13" s="42" t="str">
        <f t="shared" si="123"/>
        <v>ALPASTOR</v>
      </c>
      <c r="JX13" s="43">
        <f t="shared" si="124"/>
        <v>3</v>
      </c>
      <c r="JZ13" s="44">
        <f t="shared" si="125"/>
        <v>16</v>
      </c>
    </row>
    <row r="14" spans="1:286" s="7" customFormat="1" ht="54" customHeight="1" x14ac:dyDescent="0.65">
      <c r="A14" s="46" t="s">
        <v>44</v>
      </c>
      <c r="B14" s="43">
        <v>1</v>
      </c>
      <c r="D14" s="46"/>
      <c r="E14" s="43"/>
      <c r="G14" s="42" t="str">
        <f t="shared" si="0"/>
        <v>CARNE ASADA</v>
      </c>
      <c r="H14" s="43"/>
      <c r="J14" s="43">
        <f t="shared" si="1"/>
        <v>1</v>
      </c>
      <c r="K14" s="42" t="str">
        <f t="shared" si="2"/>
        <v>CARNE ASADA</v>
      </c>
      <c r="L14" s="43">
        <v>2</v>
      </c>
      <c r="N14" s="47"/>
      <c r="O14" s="43"/>
      <c r="Q14" s="42" t="str">
        <f t="shared" si="3"/>
        <v>CARNE ASADA</v>
      </c>
      <c r="R14" s="43"/>
      <c r="T14" s="43">
        <f t="shared" si="4"/>
        <v>2</v>
      </c>
      <c r="U14" s="42" t="str">
        <f t="shared" si="5"/>
        <v>CARNE ASADA</v>
      </c>
      <c r="V14" s="43">
        <v>1</v>
      </c>
      <c r="X14" s="46"/>
      <c r="Y14" s="43"/>
      <c r="AA14" s="42" t="str">
        <f t="shared" si="6"/>
        <v>CARNE ASADA</v>
      </c>
      <c r="AB14" s="43"/>
      <c r="AD14" s="43">
        <f t="shared" si="7"/>
        <v>1</v>
      </c>
      <c r="AE14" s="42" t="str">
        <f t="shared" si="8"/>
        <v>CARNE ASADA</v>
      </c>
      <c r="AF14" s="43">
        <v>1</v>
      </c>
      <c r="AH14" s="47"/>
      <c r="AI14" s="43">
        <v>1</v>
      </c>
      <c r="AK14" s="42" t="str">
        <f t="shared" si="9"/>
        <v>CARNE ASADA</v>
      </c>
      <c r="AL14" s="43"/>
      <c r="AN14" s="43">
        <f t="shared" si="10"/>
        <v>2</v>
      </c>
      <c r="AO14" s="42" t="str">
        <f t="shared" si="11"/>
        <v>CARNE ASADA</v>
      </c>
      <c r="AP14" s="43">
        <v>1</v>
      </c>
      <c r="AR14" s="46"/>
      <c r="AS14" s="43"/>
      <c r="AU14" s="42" t="str">
        <f t="shared" si="12"/>
        <v>CARNE ASADA</v>
      </c>
      <c r="AV14" s="43"/>
      <c r="AX14" s="43">
        <f t="shared" si="13"/>
        <v>1</v>
      </c>
      <c r="AY14" s="42" t="str">
        <f t="shared" si="14"/>
        <v>CARNE ASADA</v>
      </c>
      <c r="AZ14" s="43">
        <v>1</v>
      </c>
      <c r="BB14" s="47"/>
      <c r="BC14" s="43"/>
      <c r="BE14" s="42" t="str">
        <f t="shared" si="15"/>
        <v>CARNE ASADA</v>
      </c>
      <c r="BF14" s="43"/>
      <c r="BH14" s="43">
        <f t="shared" si="16"/>
        <v>1</v>
      </c>
      <c r="BI14" s="42" t="str">
        <f t="shared" si="17"/>
        <v>CARNE ASADA</v>
      </c>
      <c r="BJ14" s="43">
        <v>1</v>
      </c>
      <c r="BL14" s="46"/>
      <c r="BM14" s="43"/>
      <c r="BO14" s="42" t="str">
        <f t="shared" si="18"/>
        <v>CARNE ASADA</v>
      </c>
      <c r="BP14" s="43"/>
      <c r="BR14" s="43">
        <f t="shared" si="19"/>
        <v>1</v>
      </c>
      <c r="BS14" s="42" t="str">
        <f t="shared" si="20"/>
        <v>CARNE ASADA</v>
      </c>
      <c r="BT14" s="43">
        <v>1</v>
      </c>
      <c r="BV14" s="47"/>
      <c r="BW14" s="43">
        <v>1</v>
      </c>
      <c r="BY14" s="42" t="str">
        <f t="shared" si="21"/>
        <v>CARNE ASADA</v>
      </c>
      <c r="BZ14" s="43"/>
      <c r="CB14" s="43">
        <f t="shared" si="22"/>
        <v>2</v>
      </c>
      <c r="CC14" s="42" t="str">
        <f t="shared" si="23"/>
        <v>CARNE ASADA</v>
      </c>
      <c r="CD14" s="43">
        <v>1</v>
      </c>
      <c r="CF14" s="46"/>
      <c r="CG14" s="43"/>
      <c r="CI14" s="42" t="str">
        <f t="shared" si="24"/>
        <v>CARNE ASADA</v>
      </c>
      <c r="CJ14" s="43"/>
      <c r="CL14" s="43">
        <f t="shared" si="25"/>
        <v>1</v>
      </c>
      <c r="CM14" s="42" t="str">
        <f t="shared" si="26"/>
        <v>CARNE ASADA</v>
      </c>
      <c r="CN14" s="43">
        <v>1</v>
      </c>
      <c r="CP14" s="42"/>
      <c r="CQ14" s="43"/>
      <c r="CS14" s="42" t="str">
        <f t="shared" si="27"/>
        <v>CARNE ASADA</v>
      </c>
      <c r="CT14" s="43"/>
      <c r="CV14" s="43">
        <f t="shared" si="28"/>
        <v>1</v>
      </c>
      <c r="CW14" s="42" t="str">
        <f t="shared" si="29"/>
        <v>CARNE ASADA</v>
      </c>
      <c r="CX14" s="43">
        <v>1</v>
      </c>
      <c r="CZ14" s="47"/>
      <c r="DA14" s="43"/>
      <c r="DC14" s="42" t="str">
        <f t="shared" si="30"/>
        <v>CARNE ASADA</v>
      </c>
      <c r="DD14" s="43"/>
      <c r="DF14" s="43">
        <f t="shared" si="31"/>
        <v>1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/>
      <c r="FD14" s="43">
        <f t="shared" si="49"/>
        <v>0</v>
      </c>
      <c r="FE14" s="42" t="str">
        <f t="shared" si="50"/>
        <v>CARNE ASADA</v>
      </c>
      <c r="FF14" s="43">
        <v>1</v>
      </c>
      <c r="FH14" s="42" t="str">
        <f t="shared" si="51"/>
        <v>CARNE ASADA</v>
      </c>
      <c r="FI14" s="43"/>
      <c r="FK14" s="42" t="str">
        <f t="shared" si="52"/>
        <v>CARNE ASADA</v>
      </c>
      <c r="FL14" s="43"/>
      <c r="FN14" s="43">
        <f t="shared" si="53"/>
        <v>1</v>
      </c>
      <c r="FO14" s="42" t="str">
        <f t="shared" si="54"/>
        <v>CARNE ASADA</v>
      </c>
      <c r="FP14" s="43">
        <v>2</v>
      </c>
      <c r="FR14" s="42" t="str">
        <f t="shared" si="55"/>
        <v>CARNE ASADA</v>
      </c>
      <c r="FS14" s="43">
        <v>2</v>
      </c>
      <c r="FU14" s="42" t="str">
        <f t="shared" si="56"/>
        <v>CARNE ASADA</v>
      </c>
      <c r="FV14" s="43"/>
      <c r="FX14" s="43">
        <f t="shared" si="57"/>
        <v>4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/>
      <c r="GL14" s="42" t="str">
        <f t="shared" si="63"/>
        <v>CARNE ASADA</v>
      </c>
      <c r="GM14" s="43">
        <v>2</v>
      </c>
      <c r="GO14" s="42" t="str">
        <f t="shared" si="64"/>
        <v>CARNE ASADA</v>
      </c>
      <c r="GP14" s="43"/>
      <c r="GR14" s="43">
        <f t="shared" si="65"/>
        <v>2</v>
      </c>
      <c r="GS14" s="42" t="str">
        <f t="shared" si="66"/>
        <v>CARNE ASADA</v>
      </c>
      <c r="GT14" s="43"/>
      <c r="GV14" s="42" t="str">
        <f t="shared" si="67"/>
        <v>CARNE ASADA</v>
      </c>
      <c r="GW14" s="43"/>
      <c r="GY14" s="42" t="str">
        <f t="shared" si="68"/>
        <v>CARNE ASADA</v>
      </c>
      <c r="GZ14" s="43"/>
      <c r="HB14" s="43">
        <f t="shared" si="69"/>
        <v>0</v>
      </c>
      <c r="HC14" s="42" t="str">
        <f t="shared" si="70"/>
        <v>CARNE ASADA</v>
      </c>
      <c r="HD14" s="43">
        <f t="shared" si="71"/>
        <v>13</v>
      </c>
      <c r="HF14" s="42" t="str">
        <f t="shared" si="72"/>
        <v>CARNE ASADA</v>
      </c>
      <c r="HG14" s="43">
        <f t="shared" si="73"/>
        <v>2</v>
      </c>
      <c r="HI14" s="42" t="str">
        <f t="shared" si="74"/>
        <v>CARNE ASADA</v>
      </c>
      <c r="HJ14" s="43">
        <f t="shared" si="75"/>
        <v>0</v>
      </c>
      <c r="HL14" s="43">
        <f t="shared" si="76"/>
        <v>21</v>
      </c>
      <c r="HM14" s="42" t="str">
        <f t="shared" si="77"/>
        <v>CARNE ASADA</v>
      </c>
      <c r="HN14" s="57">
        <f t="shared" si="78"/>
        <v>1</v>
      </c>
      <c r="HO14" s="44">
        <f t="shared" si="79"/>
        <v>2</v>
      </c>
      <c r="HP14" s="57">
        <f t="shared" si="80"/>
        <v>1</v>
      </c>
      <c r="HQ14" s="44">
        <f t="shared" si="81"/>
        <v>2</v>
      </c>
      <c r="HR14" s="57">
        <f t="shared" si="82"/>
        <v>1</v>
      </c>
      <c r="HS14" s="44">
        <f t="shared" si="83"/>
        <v>1</v>
      </c>
      <c r="HT14" s="57">
        <f t="shared" si="84"/>
        <v>1</v>
      </c>
      <c r="HU14" s="44">
        <f t="shared" si="85"/>
        <v>2</v>
      </c>
      <c r="HV14" s="57">
        <f t="shared" si="86"/>
        <v>1</v>
      </c>
      <c r="HW14" s="44">
        <f t="shared" si="87"/>
        <v>1</v>
      </c>
      <c r="HX14" s="57">
        <f t="shared" si="88"/>
        <v>1</v>
      </c>
      <c r="HY14" s="44">
        <f t="shared" si="89"/>
        <v>0</v>
      </c>
      <c r="HZ14" s="42" t="str">
        <f t="shared" si="90"/>
        <v>CARNE ASADA</v>
      </c>
      <c r="IA14" s="57">
        <f t="shared" si="91"/>
        <v>0</v>
      </c>
      <c r="IB14" s="44">
        <f t="shared" si="92"/>
        <v>0</v>
      </c>
      <c r="IC14" s="57">
        <f t="shared" si="93"/>
        <v>0</v>
      </c>
      <c r="ID14" s="44">
        <f t="shared" si="94"/>
        <v>0</v>
      </c>
      <c r="IE14" s="57">
        <f t="shared" si="95"/>
        <v>1</v>
      </c>
      <c r="IF14" s="44">
        <f t="shared" si="96"/>
        <v>4</v>
      </c>
      <c r="IG14" s="57">
        <f t="shared" si="97"/>
        <v>0</v>
      </c>
      <c r="IH14" s="44">
        <f t="shared" si="98"/>
        <v>2</v>
      </c>
      <c r="II14" s="57">
        <f t="shared" si="99"/>
        <v>0</v>
      </c>
      <c r="IJ14" s="44"/>
      <c r="IK14" s="57"/>
      <c r="IL14" s="44">
        <f t="shared" si="100"/>
        <v>21</v>
      </c>
      <c r="IM14" s="42" t="str">
        <f t="shared" si="101"/>
        <v>CARNE ASADA</v>
      </c>
      <c r="IN14" s="43">
        <f t="shared" si="102"/>
        <v>9</v>
      </c>
      <c r="IP14" s="42" t="str">
        <f t="shared" si="103"/>
        <v>CARNE ASADA</v>
      </c>
      <c r="IQ14" s="43">
        <f t="shared" si="104"/>
        <v>1</v>
      </c>
      <c r="IS14" s="42" t="str">
        <f t="shared" si="105"/>
        <v>CARNE ASADA</v>
      </c>
      <c r="IT14" s="43">
        <f t="shared" si="106"/>
        <v>0</v>
      </c>
      <c r="IV14" s="43"/>
      <c r="IW14" s="42" t="str">
        <f t="shared" si="107"/>
        <v>CARNE ASADA</v>
      </c>
      <c r="IX14" s="43">
        <f t="shared" si="126"/>
        <v>4</v>
      </c>
      <c r="IZ14" s="42" t="str">
        <f t="shared" si="108"/>
        <v>CARNE ASADA</v>
      </c>
      <c r="JA14" s="43">
        <f t="shared" si="109"/>
        <v>1</v>
      </c>
      <c r="JC14" s="42" t="str">
        <f t="shared" si="110"/>
        <v>CARNE ASADA</v>
      </c>
      <c r="JD14" s="43">
        <f t="shared" si="111"/>
        <v>0</v>
      </c>
      <c r="JF14" s="43"/>
      <c r="JG14" s="42" t="str">
        <f t="shared" si="112"/>
        <v>CARNE ASADA</v>
      </c>
      <c r="JH14" s="43">
        <f t="shared" si="113"/>
        <v>2</v>
      </c>
      <c r="JJ14" s="42" t="str">
        <f t="shared" si="114"/>
        <v>CARNE ASADA</v>
      </c>
      <c r="JK14" s="43">
        <f t="shared" si="115"/>
        <v>0</v>
      </c>
      <c r="JM14" s="42" t="str">
        <f t="shared" si="116"/>
        <v>CARNE ASADA</v>
      </c>
      <c r="JN14" s="43">
        <f t="shared" si="117"/>
        <v>0</v>
      </c>
      <c r="JP14" s="44">
        <f t="shared" si="118"/>
        <v>2</v>
      </c>
      <c r="JQ14" s="42" t="str">
        <f t="shared" si="119"/>
        <v>CARNE ASADA</v>
      </c>
      <c r="JR14" s="43">
        <f t="shared" si="120"/>
        <v>2</v>
      </c>
      <c r="JT14" s="42" t="str">
        <f t="shared" si="121"/>
        <v>CARNE ASADA</v>
      </c>
      <c r="JU14" s="43">
        <f t="shared" si="122"/>
        <v>0</v>
      </c>
      <c r="JW14" s="42" t="str">
        <f t="shared" si="123"/>
        <v>CARNE ASADA</v>
      </c>
      <c r="JX14" s="43">
        <f t="shared" si="124"/>
        <v>2</v>
      </c>
      <c r="JZ14" s="44">
        <f t="shared" si="125"/>
        <v>4</v>
      </c>
    </row>
    <row r="15" spans="1:286" s="7" customFormat="1" ht="54" customHeight="1" x14ac:dyDescent="0.65">
      <c r="A15" s="46" t="s">
        <v>45</v>
      </c>
      <c r="B15" s="43">
        <v>1</v>
      </c>
      <c r="D15" s="46"/>
      <c r="E15" s="43"/>
      <c r="G15" s="42" t="str">
        <f t="shared" si="0"/>
        <v>FAJITAS</v>
      </c>
      <c r="H15" s="43"/>
      <c r="J15" s="43">
        <f t="shared" si="1"/>
        <v>1</v>
      </c>
      <c r="K15" s="42" t="str">
        <f t="shared" si="2"/>
        <v>FAJITAS</v>
      </c>
      <c r="L15" s="43">
        <v>1</v>
      </c>
      <c r="N15" s="46"/>
      <c r="O15" s="43"/>
      <c r="Q15" s="42" t="str">
        <f t="shared" si="3"/>
        <v>FAJITAS</v>
      </c>
      <c r="R15" s="43"/>
      <c r="T15" s="43">
        <f t="shared" si="4"/>
        <v>1</v>
      </c>
      <c r="U15" s="42" t="str">
        <f t="shared" si="5"/>
        <v>FAJITAS</v>
      </c>
      <c r="V15" s="43">
        <v>1</v>
      </c>
      <c r="X15" s="46"/>
      <c r="Y15" s="43"/>
      <c r="AA15" s="42" t="str">
        <f t="shared" si="6"/>
        <v>FAJITAS</v>
      </c>
      <c r="AB15" s="43"/>
      <c r="AD15" s="43">
        <f t="shared" si="7"/>
        <v>1</v>
      </c>
      <c r="AE15" s="42" t="str">
        <f t="shared" si="8"/>
        <v>FAJITAS</v>
      </c>
      <c r="AF15" s="43">
        <v>1</v>
      </c>
      <c r="AH15" s="46"/>
      <c r="AI15" s="43"/>
      <c r="AK15" s="42" t="str">
        <f t="shared" si="9"/>
        <v>FAJITAS</v>
      </c>
      <c r="AL15" s="43"/>
      <c r="AN15" s="43">
        <f t="shared" si="10"/>
        <v>1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/>
      <c r="AX15" s="43">
        <f t="shared" si="13"/>
        <v>0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>
        <v>1</v>
      </c>
      <c r="BL15" s="46"/>
      <c r="BM15" s="43"/>
      <c r="BO15" s="42" t="str">
        <f t="shared" si="18"/>
        <v>FAJITAS</v>
      </c>
      <c r="BP15" s="43"/>
      <c r="BR15" s="43">
        <f t="shared" si="19"/>
        <v>1</v>
      </c>
      <c r="BS15" s="42" t="str">
        <f t="shared" si="20"/>
        <v>FAJITAS</v>
      </c>
      <c r="BT15" s="43"/>
      <c r="BV15" s="47"/>
      <c r="BW15" s="43">
        <v>1</v>
      </c>
      <c r="BY15" s="42" t="str">
        <f t="shared" si="21"/>
        <v>FAJITAS</v>
      </c>
      <c r="BZ15" s="43"/>
      <c r="CB15" s="43">
        <f t="shared" si="22"/>
        <v>1</v>
      </c>
      <c r="CC15" s="42" t="str">
        <f t="shared" si="23"/>
        <v>FAJITAS</v>
      </c>
      <c r="CD15" s="43">
        <v>0.5</v>
      </c>
      <c r="CF15" s="46"/>
      <c r="CG15" s="43"/>
      <c r="CI15" s="42" t="str">
        <f t="shared" si="24"/>
        <v>FAJITAS</v>
      </c>
      <c r="CJ15" s="43"/>
      <c r="CL15" s="43">
        <f t="shared" si="25"/>
        <v>0.5</v>
      </c>
      <c r="CM15" s="42" t="str">
        <f t="shared" si="26"/>
        <v>FAJITAS</v>
      </c>
      <c r="CN15" s="43"/>
      <c r="CP15" s="42"/>
      <c r="CQ15" s="43"/>
      <c r="CS15" s="42" t="str">
        <f t="shared" si="27"/>
        <v>FAJITAS</v>
      </c>
      <c r="CT15" s="43"/>
      <c r="CV15" s="43">
        <f t="shared" si="28"/>
        <v>0</v>
      </c>
      <c r="CW15" s="42" t="str">
        <f t="shared" si="29"/>
        <v>FAJITAS</v>
      </c>
      <c r="CX15" s="43">
        <v>1</v>
      </c>
      <c r="CZ15" s="47"/>
      <c r="DA15" s="43"/>
      <c r="DC15" s="42" t="str">
        <f t="shared" si="30"/>
        <v>FAJITAS</v>
      </c>
      <c r="DD15" s="43"/>
      <c r="DF15" s="43">
        <f t="shared" si="31"/>
        <v>1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65"/>
        <v>0</v>
      </c>
      <c r="GS15" s="42" t="str">
        <f t="shared" si="66"/>
        <v>FAJITAS</v>
      </c>
      <c r="GT15" s="43"/>
      <c r="GV15" s="42" t="str">
        <f t="shared" si="67"/>
        <v>FAJITAS</v>
      </c>
      <c r="GW15" s="43"/>
      <c r="GY15" s="42" t="str">
        <f t="shared" si="68"/>
        <v>FAJITAS</v>
      </c>
      <c r="GZ15" s="43"/>
      <c r="HB15" s="43">
        <f t="shared" si="69"/>
        <v>0</v>
      </c>
      <c r="HC15" s="42" t="str">
        <f t="shared" si="70"/>
        <v>FAJITAS</v>
      </c>
      <c r="HD15" s="43">
        <f t="shared" si="71"/>
        <v>6.5</v>
      </c>
      <c r="HF15" s="42" t="str">
        <f t="shared" si="72"/>
        <v>FAJITAS</v>
      </c>
      <c r="HG15" s="43">
        <f t="shared" si="73"/>
        <v>1</v>
      </c>
      <c r="HI15" s="42" t="str">
        <f t="shared" si="74"/>
        <v>FAJITAS</v>
      </c>
      <c r="HJ15" s="43">
        <f t="shared" si="75"/>
        <v>0</v>
      </c>
      <c r="HL15" s="43">
        <f t="shared" si="76"/>
        <v>7.5</v>
      </c>
      <c r="HM15" s="42" t="str">
        <f t="shared" si="77"/>
        <v>FAJITAS</v>
      </c>
      <c r="HN15" s="57">
        <f t="shared" si="78"/>
        <v>1</v>
      </c>
      <c r="HO15" s="44">
        <f t="shared" si="79"/>
        <v>1</v>
      </c>
      <c r="HP15" s="57">
        <f t="shared" si="80"/>
        <v>1</v>
      </c>
      <c r="HQ15" s="44">
        <f t="shared" si="81"/>
        <v>1</v>
      </c>
      <c r="HR15" s="57">
        <f t="shared" si="82"/>
        <v>0</v>
      </c>
      <c r="HS15" s="44">
        <f t="shared" si="83"/>
        <v>0</v>
      </c>
      <c r="HT15" s="57">
        <f t="shared" si="84"/>
        <v>1</v>
      </c>
      <c r="HU15" s="44">
        <f t="shared" si="85"/>
        <v>1</v>
      </c>
      <c r="HV15" s="57">
        <f t="shared" si="86"/>
        <v>0.5</v>
      </c>
      <c r="HW15" s="44">
        <f t="shared" si="87"/>
        <v>0</v>
      </c>
      <c r="HX15" s="57">
        <f t="shared" si="88"/>
        <v>1</v>
      </c>
      <c r="HY15" s="44">
        <f t="shared" si="89"/>
        <v>0</v>
      </c>
      <c r="HZ15" s="42" t="str">
        <f t="shared" si="90"/>
        <v>FAJITAS</v>
      </c>
      <c r="IA15" s="57">
        <f t="shared" si="91"/>
        <v>0</v>
      </c>
      <c r="IB15" s="44">
        <f t="shared" si="92"/>
        <v>0</v>
      </c>
      <c r="IC15" s="57">
        <f t="shared" si="93"/>
        <v>0</v>
      </c>
      <c r="ID15" s="44">
        <f t="shared" si="94"/>
        <v>0</v>
      </c>
      <c r="IE15" s="57">
        <f t="shared" si="95"/>
        <v>0</v>
      </c>
      <c r="IF15" s="44">
        <f t="shared" si="96"/>
        <v>0</v>
      </c>
      <c r="IG15" s="57">
        <f t="shared" si="97"/>
        <v>0</v>
      </c>
      <c r="IH15" s="44">
        <f t="shared" si="98"/>
        <v>0</v>
      </c>
      <c r="II15" s="57">
        <f t="shared" si="99"/>
        <v>0</v>
      </c>
      <c r="IJ15" s="44"/>
      <c r="IK15" s="57"/>
      <c r="IL15" s="44">
        <f t="shared" si="100"/>
        <v>7.5</v>
      </c>
      <c r="IM15" s="42" t="str">
        <f t="shared" si="101"/>
        <v>FAJITAS</v>
      </c>
      <c r="IN15" s="43">
        <f t="shared" si="102"/>
        <v>5.5</v>
      </c>
      <c r="IP15" s="42" t="str">
        <f t="shared" si="103"/>
        <v>FAJITAS</v>
      </c>
      <c r="IQ15" s="43">
        <f t="shared" si="104"/>
        <v>0</v>
      </c>
      <c r="IS15" s="42" t="str">
        <f t="shared" si="105"/>
        <v>FAJITAS</v>
      </c>
      <c r="IT15" s="43">
        <f t="shared" si="106"/>
        <v>0</v>
      </c>
      <c r="IV15" s="43"/>
      <c r="IW15" s="42" t="str">
        <f t="shared" si="107"/>
        <v>FAJITAS</v>
      </c>
      <c r="IX15" s="43">
        <f t="shared" si="126"/>
        <v>1</v>
      </c>
      <c r="IZ15" s="42" t="str">
        <f t="shared" si="108"/>
        <v>FAJITAS</v>
      </c>
      <c r="JA15" s="43">
        <f t="shared" si="109"/>
        <v>1</v>
      </c>
      <c r="JC15" s="42" t="str">
        <f t="shared" si="110"/>
        <v>FAJITAS</v>
      </c>
      <c r="JD15" s="43">
        <f t="shared" si="111"/>
        <v>0</v>
      </c>
      <c r="JF15" s="43"/>
      <c r="JG15" s="42" t="str">
        <f t="shared" si="112"/>
        <v>FAJITAS</v>
      </c>
      <c r="JH15" s="43">
        <f t="shared" si="113"/>
        <v>0</v>
      </c>
      <c r="JJ15" s="42" t="str">
        <f t="shared" si="114"/>
        <v>FAJITAS</v>
      </c>
      <c r="JK15" s="43">
        <f t="shared" si="115"/>
        <v>0</v>
      </c>
      <c r="JM15" s="42" t="str">
        <f t="shared" si="116"/>
        <v>FAJITAS</v>
      </c>
      <c r="JN15" s="43">
        <f t="shared" si="117"/>
        <v>0</v>
      </c>
      <c r="JP15" s="44">
        <f t="shared" si="118"/>
        <v>0</v>
      </c>
      <c r="JQ15" s="42" t="str">
        <f t="shared" si="119"/>
        <v>FAJITAS</v>
      </c>
      <c r="JR15" s="43">
        <f t="shared" si="120"/>
        <v>0</v>
      </c>
      <c r="JT15" s="42" t="str">
        <f t="shared" si="121"/>
        <v>FAJITAS</v>
      </c>
      <c r="JU15" s="43">
        <f t="shared" si="122"/>
        <v>0</v>
      </c>
      <c r="JW15" s="42" t="str">
        <f t="shared" si="123"/>
        <v>FAJITAS</v>
      </c>
      <c r="JX15" s="43">
        <f t="shared" si="124"/>
        <v>0</v>
      </c>
      <c r="JZ15" s="44">
        <f t="shared" si="125"/>
        <v>0</v>
      </c>
    </row>
    <row r="16" spans="1:286" s="7" customFormat="1" ht="54" customHeight="1" x14ac:dyDescent="0.65">
      <c r="A16" s="46" t="s">
        <v>46</v>
      </c>
      <c r="B16" s="43"/>
      <c r="D16" s="46"/>
      <c r="E16" s="43"/>
      <c r="G16" s="42" t="str">
        <f t="shared" si="0"/>
        <v>MILANESA</v>
      </c>
      <c r="H16" s="43"/>
      <c r="J16" s="43">
        <f t="shared" si="1"/>
        <v>0</v>
      </c>
      <c r="K16" s="42" t="str">
        <f t="shared" si="2"/>
        <v>MILANESA</v>
      </c>
      <c r="L16" s="43"/>
      <c r="N16" s="46"/>
      <c r="O16" s="43"/>
      <c r="Q16" s="42" t="str">
        <f t="shared" si="3"/>
        <v>MILANESA</v>
      </c>
      <c r="R16" s="43"/>
      <c r="T16" s="43">
        <f t="shared" si="4"/>
        <v>0</v>
      </c>
      <c r="U16" s="42" t="str">
        <f t="shared" si="5"/>
        <v>MILANESA</v>
      </c>
      <c r="V16" s="43"/>
      <c r="X16" s="46"/>
      <c r="Y16" s="43"/>
      <c r="AA16" s="42" t="str">
        <f t="shared" si="6"/>
        <v>MILANESA</v>
      </c>
      <c r="AB16" s="43"/>
      <c r="AD16" s="43">
        <f t="shared" si="7"/>
        <v>0</v>
      </c>
      <c r="AE16" s="42" t="str">
        <f t="shared" si="8"/>
        <v>MILANESA</v>
      </c>
      <c r="AF16" s="43"/>
      <c r="AH16" s="46"/>
      <c r="AI16" s="43"/>
      <c r="AK16" s="42" t="str">
        <f t="shared" si="9"/>
        <v>MILANESA</v>
      </c>
      <c r="AL16" s="43"/>
      <c r="AN16" s="43">
        <f t="shared" si="10"/>
        <v>0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/>
      <c r="AX16" s="43">
        <f t="shared" si="13"/>
        <v>0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/>
      <c r="BH16" s="43">
        <f t="shared" si="16"/>
        <v>0</v>
      </c>
      <c r="BI16" s="42" t="str">
        <f t="shared" si="17"/>
        <v>MILANESA</v>
      </c>
      <c r="BJ16" s="43"/>
      <c r="BL16" s="46"/>
      <c r="BM16" s="43"/>
      <c r="BO16" s="42" t="str">
        <f t="shared" si="18"/>
        <v>MILANESA</v>
      </c>
      <c r="BP16" s="43"/>
      <c r="BR16" s="43">
        <f t="shared" si="19"/>
        <v>0</v>
      </c>
      <c r="BS16" s="42" t="str">
        <f t="shared" si="20"/>
        <v>MILANESA</v>
      </c>
      <c r="BT16" s="43"/>
      <c r="BV16" s="46"/>
      <c r="BW16" s="43"/>
      <c r="BY16" s="42" t="str">
        <f t="shared" si="21"/>
        <v>MILANESA</v>
      </c>
      <c r="BZ16" s="43"/>
      <c r="CB16" s="43">
        <f t="shared" si="22"/>
        <v>0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/>
      <c r="CL16" s="43">
        <f t="shared" si="25"/>
        <v>0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/>
      <c r="CZ16" s="46"/>
      <c r="DA16" s="43"/>
      <c r="DC16" s="42" t="str">
        <f t="shared" si="30"/>
        <v>MILANESA</v>
      </c>
      <c r="DD16" s="43"/>
      <c r="DF16" s="43">
        <f t="shared" si="31"/>
        <v>0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>
        <v>1</v>
      </c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1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/>
      <c r="FR16" s="42" t="str">
        <f t="shared" si="55"/>
        <v>MILANESA</v>
      </c>
      <c r="FS16" s="43">
        <v>1</v>
      </c>
      <c r="FU16" s="42" t="str">
        <f t="shared" si="56"/>
        <v>MILANESA</v>
      </c>
      <c r="FV16" s="43"/>
      <c r="FX16" s="43">
        <f t="shared" si="57"/>
        <v>1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/>
      <c r="GO16" s="42" t="str">
        <f t="shared" si="64"/>
        <v>MILANESA</v>
      </c>
      <c r="GP16" s="43"/>
      <c r="GR16" s="43">
        <f t="shared" si="65"/>
        <v>0</v>
      </c>
      <c r="GS16" s="42" t="str">
        <f t="shared" si="66"/>
        <v>MILANESA</v>
      </c>
      <c r="GT16" s="43"/>
      <c r="GV16" s="42" t="str">
        <f t="shared" si="67"/>
        <v>MILANESA</v>
      </c>
      <c r="GW16" s="43"/>
      <c r="GY16" s="42" t="str">
        <f t="shared" si="68"/>
        <v>MILANESA</v>
      </c>
      <c r="GZ16" s="43"/>
      <c r="HB16" s="43">
        <f t="shared" si="69"/>
        <v>0</v>
      </c>
      <c r="HC16" s="42" t="str">
        <f t="shared" si="70"/>
        <v>MILANESA</v>
      </c>
      <c r="HD16" s="43">
        <f t="shared" si="71"/>
        <v>1</v>
      </c>
      <c r="HF16" s="42" t="str">
        <f t="shared" si="72"/>
        <v>MILANESA</v>
      </c>
      <c r="HG16" s="43">
        <f t="shared" si="73"/>
        <v>0</v>
      </c>
      <c r="HI16" s="42" t="str">
        <f t="shared" si="74"/>
        <v>MILANESA</v>
      </c>
      <c r="HJ16" s="43">
        <f t="shared" si="75"/>
        <v>0</v>
      </c>
      <c r="HL16" s="43">
        <f t="shared" si="76"/>
        <v>2</v>
      </c>
      <c r="HM16" s="42" t="str">
        <f t="shared" si="77"/>
        <v>MILANESA</v>
      </c>
      <c r="HN16" s="57">
        <f t="shared" si="78"/>
        <v>0</v>
      </c>
      <c r="HO16" s="44">
        <f t="shared" si="79"/>
        <v>0</v>
      </c>
      <c r="HP16" s="57">
        <f t="shared" si="80"/>
        <v>0</v>
      </c>
      <c r="HQ16" s="44">
        <f t="shared" si="81"/>
        <v>0</v>
      </c>
      <c r="HR16" s="57">
        <f t="shared" si="82"/>
        <v>0</v>
      </c>
      <c r="HS16" s="44">
        <f t="shared" si="83"/>
        <v>0</v>
      </c>
      <c r="HT16" s="57">
        <f t="shared" si="84"/>
        <v>0</v>
      </c>
      <c r="HU16" s="44">
        <f t="shared" si="85"/>
        <v>0</v>
      </c>
      <c r="HV16" s="57">
        <f t="shared" si="86"/>
        <v>0</v>
      </c>
      <c r="HW16" s="44">
        <f t="shared" si="87"/>
        <v>0</v>
      </c>
      <c r="HX16" s="57">
        <f t="shared" si="88"/>
        <v>0</v>
      </c>
      <c r="HY16" s="44">
        <f t="shared" si="89"/>
        <v>0</v>
      </c>
      <c r="HZ16" s="42" t="str">
        <f t="shared" si="90"/>
        <v>MILANESA</v>
      </c>
      <c r="IA16" s="57">
        <f t="shared" si="91"/>
        <v>0</v>
      </c>
      <c r="IB16" s="44">
        <f t="shared" si="92"/>
        <v>0</v>
      </c>
      <c r="IC16" s="57">
        <f t="shared" si="93"/>
        <v>0</v>
      </c>
      <c r="ID16" s="44">
        <f t="shared" si="94"/>
        <v>1</v>
      </c>
      <c r="IE16" s="57">
        <f t="shared" si="95"/>
        <v>0</v>
      </c>
      <c r="IF16" s="44">
        <f t="shared" si="96"/>
        <v>1</v>
      </c>
      <c r="IG16" s="57">
        <f t="shared" si="97"/>
        <v>0</v>
      </c>
      <c r="IH16" s="44">
        <f t="shared" si="98"/>
        <v>0</v>
      </c>
      <c r="II16" s="57">
        <f t="shared" si="99"/>
        <v>0</v>
      </c>
      <c r="IJ16" s="44"/>
      <c r="IK16" s="57"/>
      <c r="IL16" s="44">
        <f t="shared" si="100"/>
        <v>2</v>
      </c>
      <c r="IM16" s="42" t="str">
        <f t="shared" si="101"/>
        <v>MILANESA</v>
      </c>
      <c r="IN16" s="43">
        <f t="shared" si="102"/>
        <v>1</v>
      </c>
      <c r="IP16" s="42" t="str">
        <f t="shared" si="103"/>
        <v>MILANESA</v>
      </c>
      <c r="IQ16" s="43">
        <f t="shared" si="104"/>
        <v>0</v>
      </c>
      <c r="IS16" s="42" t="str">
        <f t="shared" si="105"/>
        <v>MILANESA</v>
      </c>
      <c r="IT16" s="43">
        <f t="shared" si="106"/>
        <v>0</v>
      </c>
      <c r="IV16" s="43"/>
      <c r="IW16" s="42" t="str">
        <f t="shared" si="107"/>
        <v>MILANESA</v>
      </c>
      <c r="IX16" s="43">
        <f t="shared" si="126"/>
        <v>0</v>
      </c>
      <c r="IZ16" s="42" t="str">
        <f t="shared" si="108"/>
        <v>MILANESA</v>
      </c>
      <c r="JA16" s="43">
        <f t="shared" si="109"/>
        <v>0</v>
      </c>
      <c r="JC16" s="42" t="str">
        <f t="shared" si="110"/>
        <v>MILANESA</v>
      </c>
      <c r="JD16" s="43">
        <f t="shared" si="111"/>
        <v>0</v>
      </c>
      <c r="JF16" s="43"/>
      <c r="JG16" s="42" t="str">
        <f t="shared" si="112"/>
        <v>MILANESA</v>
      </c>
      <c r="JH16" s="43">
        <f t="shared" si="113"/>
        <v>0</v>
      </c>
      <c r="JJ16" s="42" t="str">
        <f t="shared" si="114"/>
        <v>MILANESA</v>
      </c>
      <c r="JK16" s="43">
        <f t="shared" si="115"/>
        <v>0</v>
      </c>
      <c r="JM16" s="42" t="str">
        <f t="shared" si="116"/>
        <v>MILANESA</v>
      </c>
      <c r="JN16" s="43">
        <f t="shared" si="117"/>
        <v>0</v>
      </c>
      <c r="JP16" s="44">
        <f t="shared" si="118"/>
        <v>0</v>
      </c>
      <c r="JQ16" s="42" t="str">
        <f t="shared" si="119"/>
        <v>MILANESA</v>
      </c>
      <c r="JR16" s="43">
        <f t="shared" si="120"/>
        <v>1</v>
      </c>
      <c r="JT16" s="42" t="str">
        <f t="shared" si="121"/>
        <v>MILANESA</v>
      </c>
      <c r="JU16" s="43">
        <f t="shared" si="122"/>
        <v>0</v>
      </c>
      <c r="JW16" s="42" t="str">
        <f t="shared" si="123"/>
        <v>MILANESA</v>
      </c>
      <c r="JX16" s="43">
        <f t="shared" si="124"/>
        <v>0</v>
      </c>
      <c r="JZ16" s="44">
        <f t="shared" si="125"/>
        <v>1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/>
      <c r="T17" s="43">
        <f t="shared" si="4"/>
        <v>0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>
        <v>1</v>
      </c>
      <c r="AR17" s="46"/>
      <c r="AS17" s="43"/>
      <c r="AU17" s="42" t="str">
        <f t="shared" si="12"/>
        <v>TAMAL ROJO</v>
      </c>
      <c r="AV17" s="43"/>
      <c r="AX17" s="43">
        <f t="shared" si="13"/>
        <v>1</v>
      </c>
      <c r="AY17" s="42" t="str">
        <f t="shared" si="14"/>
        <v>TAMAL ROJO</v>
      </c>
      <c r="AZ17" s="43">
        <v>1</v>
      </c>
      <c r="BB17" s="46"/>
      <c r="BC17" s="43"/>
      <c r="BE17" s="42" t="str">
        <f t="shared" si="15"/>
        <v>TAMAL ROJO</v>
      </c>
      <c r="BF17" s="43"/>
      <c r="BH17" s="43">
        <f t="shared" si="16"/>
        <v>1</v>
      </c>
      <c r="BI17" s="42" t="str">
        <f t="shared" si="17"/>
        <v>TAMAL ROJO</v>
      </c>
      <c r="BJ17" s="43"/>
      <c r="BL17" s="46"/>
      <c r="BM17" s="43"/>
      <c r="BO17" s="42" t="str">
        <f t="shared" si="18"/>
        <v>TAMAL ROJO</v>
      </c>
      <c r="BP17" s="43"/>
      <c r="BR17" s="43">
        <f t="shared" si="19"/>
        <v>0</v>
      </c>
      <c r="BS17" s="42" t="str">
        <f t="shared" si="20"/>
        <v>TAMAL ROJO</v>
      </c>
      <c r="BT17" s="43">
        <v>1</v>
      </c>
      <c r="BV17" s="46"/>
      <c r="BW17" s="43"/>
      <c r="BY17" s="42" t="str">
        <f t="shared" si="21"/>
        <v>TAMAL ROJO</v>
      </c>
      <c r="BZ17" s="43"/>
      <c r="CB17" s="43">
        <f t="shared" si="22"/>
        <v>1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/>
      <c r="CP17" s="42"/>
      <c r="CQ17" s="43"/>
      <c r="CS17" s="42" t="str">
        <f t="shared" si="27"/>
        <v>TAMAL ROJO</v>
      </c>
      <c r="CT17" s="43"/>
      <c r="CV17" s="43">
        <f t="shared" si="28"/>
        <v>0</v>
      </c>
      <c r="CW17" s="42" t="str">
        <f t="shared" si="29"/>
        <v>TAMAL ROJO</v>
      </c>
      <c r="CX17" s="43"/>
      <c r="CZ17" s="42"/>
      <c r="DA17" s="43"/>
      <c r="DC17" s="42" t="str">
        <f t="shared" ref="DC17:DC29" si="127">A17</f>
        <v>TAMAL ROJO</v>
      </c>
      <c r="DD17" s="43"/>
      <c r="DF17" s="43">
        <f t="shared" si="31"/>
        <v>0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65"/>
        <v>0</v>
      </c>
      <c r="GS17" s="42" t="str">
        <f t="shared" si="66"/>
        <v>TAMAL ROJO</v>
      </c>
      <c r="GT17" s="43"/>
      <c r="GV17" s="42" t="str">
        <f t="shared" si="67"/>
        <v>TAMAL ROJO</v>
      </c>
      <c r="GW17" s="43"/>
      <c r="GY17" s="42" t="str">
        <f t="shared" si="68"/>
        <v>TAMAL ROJO</v>
      </c>
      <c r="GZ17" s="43"/>
      <c r="HB17" s="43">
        <f t="shared" si="69"/>
        <v>0</v>
      </c>
      <c r="HC17" s="42" t="str">
        <f t="shared" si="70"/>
        <v>TAMAL ROJO</v>
      </c>
      <c r="HD17" s="43">
        <f t="shared" si="71"/>
        <v>3</v>
      </c>
      <c r="HF17" s="42" t="str">
        <f t="shared" si="72"/>
        <v>TAMAL ROJO</v>
      </c>
      <c r="HG17" s="43">
        <f t="shared" si="73"/>
        <v>0</v>
      </c>
      <c r="HI17" s="42" t="str">
        <f t="shared" si="74"/>
        <v>TAMAL ROJO</v>
      </c>
      <c r="HJ17" s="43">
        <f t="shared" si="75"/>
        <v>0</v>
      </c>
      <c r="HL17" s="43">
        <f t="shared" si="76"/>
        <v>3</v>
      </c>
      <c r="HM17" s="42" t="str">
        <f t="shared" si="77"/>
        <v>TAMAL ROJO</v>
      </c>
      <c r="HN17" s="57">
        <f t="shared" si="78"/>
        <v>0</v>
      </c>
      <c r="HO17" s="44">
        <f t="shared" si="79"/>
        <v>0</v>
      </c>
      <c r="HP17" s="57">
        <f t="shared" si="80"/>
        <v>0</v>
      </c>
      <c r="HQ17" s="44">
        <f t="shared" si="81"/>
        <v>0</v>
      </c>
      <c r="HR17" s="57">
        <f t="shared" si="82"/>
        <v>1</v>
      </c>
      <c r="HS17" s="44">
        <f t="shared" si="83"/>
        <v>1</v>
      </c>
      <c r="HT17" s="57">
        <f t="shared" si="84"/>
        <v>0</v>
      </c>
      <c r="HU17" s="44">
        <f t="shared" si="85"/>
        <v>1</v>
      </c>
      <c r="HV17" s="57">
        <f t="shared" si="86"/>
        <v>0</v>
      </c>
      <c r="HW17" s="44">
        <f t="shared" si="87"/>
        <v>0</v>
      </c>
      <c r="HX17" s="57">
        <f t="shared" si="88"/>
        <v>0</v>
      </c>
      <c r="HY17" s="44">
        <f t="shared" si="89"/>
        <v>0</v>
      </c>
      <c r="HZ17" s="42" t="str">
        <f t="shared" si="90"/>
        <v>TAMAL ROJO</v>
      </c>
      <c r="IA17" s="57">
        <f t="shared" si="91"/>
        <v>0</v>
      </c>
      <c r="IB17" s="44">
        <f t="shared" si="92"/>
        <v>0</v>
      </c>
      <c r="IC17" s="57">
        <f t="shared" si="93"/>
        <v>0</v>
      </c>
      <c r="ID17" s="44">
        <f t="shared" si="94"/>
        <v>0</v>
      </c>
      <c r="IE17" s="57">
        <f t="shared" si="95"/>
        <v>0</v>
      </c>
      <c r="IF17" s="44">
        <f t="shared" si="96"/>
        <v>0</v>
      </c>
      <c r="IG17" s="57">
        <f t="shared" si="97"/>
        <v>0</v>
      </c>
      <c r="IH17" s="44">
        <f t="shared" si="98"/>
        <v>0</v>
      </c>
      <c r="II17" s="57">
        <f t="shared" si="99"/>
        <v>0</v>
      </c>
      <c r="IJ17" s="44"/>
      <c r="IK17" s="57"/>
      <c r="IL17" s="44">
        <f t="shared" si="100"/>
        <v>3</v>
      </c>
      <c r="IM17" s="42" t="str">
        <f t="shared" si="101"/>
        <v>TAMAL ROJO</v>
      </c>
      <c r="IN17" s="43">
        <f t="shared" si="102"/>
        <v>1</v>
      </c>
      <c r="IP17" s="42" t="str">
        <f t="shared" si="103"/>
        <v>TAMAL ROJO</v>
      </c>
      <c r="IQ17" s="43">
        <f t="shared" si="104"/>
        <v>0</v>
      </c>
      <c r="IS17" s="42" t="str">
        <f t="shared" si="105"/>
        <v>TAMAL ROJO</v>
      </c>
      <c r="IT17" s="43">
        <f t="shared" si="106"/>
        <v>0</v>
      </c>
      <c r="IV17" s="43"/>
      <c r="IW17" s="42" t="str">
        <f t="shared" si="107"/>
        <v>TAMAL ROJO</v>
      </c>
      <c r="IX17" s="43">
        <f t="shared" si="126"/>
        <v>2</v>
      </c>
      <c r="IZ17" s="42" t="str">
        <f t="shared" si="108"/>
        <v>TAMAL ROJO</v>
      </c>
      <c r="JA17" s="43">
        <f t="shared" si="109"/>
        <v>0</v>
      </c>
      <c r="JC17" s="42" t="str">
        <f t="shared" si="110"/>
        <v>TAMAL ROJO</v>
      </c>
      <c r="JD17" s="43">
        <f t="shared" si="111"/>
        <v>0</v>
      </c>
      <c r="JF17" s="43"/>
      <c r="JG17" s="42" t="str">
        <f t="shared" si="112"/>
        <v>TAMAL ROJO</v>
      </c>
      <c r="JH17" s="43">
        <f t="shared" si="113"/>
        <v>0</v>
      </c>
      <c r="JJ17" s="42" t="str">
        <f t="shared" si="114"/>
        <v>TAMAL ROJO</v>
      </c>
      <c r="JK17" s="43">
        <f t="shared" si="115"/>
        <v>0</v>
      </c>
      <c r="JM17" s="42" t="str">
        <f t="shared" si="116"/>
        <v>TAMAL ROJO</v>
      </c>
      <c r="JN17" s="43">
        <f t="shared" si="117"/>
        <v>0</v>
      </c>
      <c r="JP17" s="44">
        <f t="shared" si="118"/>
        <v>0</v>
      </c>
      <c r="JQ17" s="42" t="str">
        <f t="shared" si="119"/>
        <v>TAMAL ROJO</v>
      </c>
      <c r="JR17" s="43">
        <f t="shared" si="120"/>
        <v>0</v>
      </c>
      <c r="JT17" s="42" t="str">
        <f t="shared" si="121"/>
        <v>TAMAL ROJO</v>
      </c>
      <c r="JU17" s="43">
        <f t="shared" si="122"/>
        <v>0</v>
      </c>
      <c r="JW17" s="42" t="str">
        <f t="shared" si="123"/>
        <v>TAMAL ROJO</v>
      </c>
      <c r="JX17" s="43">
        <f t="shared" si="124"/>
        <v>0</v>
      </c>
      <c r="JZ17" s="44">
        <f t="shared" si="125"/>
        <v>0</v>
      </c>
    </row>
    <row r="18" spans="1:286" s="7" customFormat="1" ht="54" customHeight="1" x14ac:dyDescent="0.65">
      <c r="A18" s="46" t="s">
        <v>48</v>
      </c>
      <c r="B18" s="43"/>
      <c r="D18" s="46"/>
      <c r="E18" s="43"/>
      <c r="G18" s="42" t="str">
        <f t="shared" si="0"/>
        <v>CHILE RELLENO</v>
      </c>
      <c r="H18" s="43"/>
      <c r="J18" s="43">
        <f t="shared" si="1"/>
        <v>0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/>
      <c r="T18" s="43">
        <f t="shared" si="4"/>
        <v>0</v>
      </c>
      <c r="U18" s="42" t="str">
        <f t="shared" si="5"/>
        <v>CHILE RELLENO</v>
      </c>
      <c r="V18" s="43"/>
      <c r="X18" s="46"/>
      <c r="Y18" s="43"/>
      <c r="AA18" s="42" t="str">
        <f t="shared" si="6"/>
        <v>CHILE RELLENO</v>
      </c>
      <c r="AB18" s="43"/>
      <c r="AD18" s="43">
        <f t="shared" si="7"/>
        <v>0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/>
      <c r="AR18" s="46"/>
      <c r="AS18" s="43"/>
      <c r="AU18" s="42" t="str">
        <f t="shared" si="12"/>
        <v>CHILE RELLENO</v>
      </c>
      <c r="AV18" s="43"/>
      <c r="AX18" s="43">
        <f t="shared" si="13"/>
        <v>0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>
        <v>1</v>
      </c>
      <c r="BL18" s="46"/>
      <c r="BM18" s="43"/>
      <c r="BO18" s="42" t="str">
        <f t="shared" si="18"/>
        <v>CHILE RELLENO</v>
      </c>
      <c r="BP18" s="43"/>
      <c r="BR18" s="43">
        <f t="shared" si="19"/>
        <v>1</v>
      </c>
      <c r="BS18" s="42" t="str">
        <f t="shared" si="20"/>
        <v>CHILE RELLENO</v>
      </c>
      <c r="BT18" s="43">
        <v>1</v>
      </c>
      <c r="BV18" s="46"/>
      <c r="BW18" s="43"/>
      <c r="BY18" s="42" t="str">
        <f t="shared" si="21"/>
        <v>CHILE RELLENO</v>
      </c>
      <c r="BZ18" s="43"/>
      <c r="CB18" s="43">
        <f t="shared" si="22"/>
        <v>1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7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>
        <v>1</v>
      </c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1</v>
      </c>
      <c r="FE18" s="42" t="str">
        <f t="shared" si="50"/>
        <v>CHILE RELLENO</v>
      </c>
      <c r="FF18" s="43"/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0</v>
      </c>
      <c r="FO18" s="42" t="str">
        <f t="shared" si="54"/>
        <v>CHILE RELLENO</v>
      </c>
      <c r="FP18" s="43">
        <v>2</v>
      </c>
      <c r="FR18" s="42" t="str">
        <f t="shared" si="55"/>
        <v>CHILE RELLENO</v>
      </c>
      <c r="FS18" s="43">
        <v>2</v>
      </c>
      <c r="FU18" s="42" t="str">
        <f t="shared" si="56"/>
        <v>CHILE RELLENO</v>
      </c>
      <c r="FV18" s="43"/>
      <c r="FX18" s="43">
        <f t="shared" si="57"/>
        <v>4</v>
      </c>
      <c r="FY18" s="42" t="str">
        <f t="shared" si="58"/>
        <v>CHILE RELLENO</v>
      </c>
      <c r="FZ18" s="43"/>
      <c r="GB18" s="42" t="str">
        <f t="shared" si="59"/>
        <v>CHILE RELLENO</v>
      </c>
      <c r="GC18" s="43">
        <v>1</v>
      </c>
      <c r="GE18" s="42" t="str">
        <f t="shared" si="60"/>
        <v>CHILE RELLENO</v>
      </c>
      <c r="GF18" s="43"/>
      <c r="GH18" s="43">
        <f t="shared" si="61"/>
        <v>1</v>
      </c>
      <c r="GI18" s="42" t="str">
        <f t="shared" si="62"/>
        <v>CHILE RELLENO</v>
      </c>
      <c r="GJ18" s="43">
        <v>1</v>
      </c>
      <c r="GL18" s="42" t="str">
        <f t="shared" si="63"/>
        <v>CHILE RELLENO</v>
      </c>
      <c r="GM18" s="43"/>
      <c r="GO18" s="42" t="str">
        <f t="shared" si="64"/>
        <v>CHILE RELLENO</v>
      </c>
      <c r="GP18" s="43"/>
      <c r="GR18" s="43">
        <f t="shared" si="65"/>
        <v>1</v>
      </c>
      <c r="GS18" s="42" t="str">
        <f t="shared" si="66"/>
        <v>CHILE RELLENO</v>
      </c>
      <c r="GT18" s="43"/>
      <c r="GV18" s="42" t="str">
        <f t="shared" si="67"/>
        <v>CHILE RELLENO</v>
      </c>
      <c r="GW18" s="43"/>
      <c r="GY18" s="42" t="str">
        <f t="shared" si="68"/>
        <v>CHILE RELLENO</v>
      </c>
      <c r="GZ18" s="43"/>
      <c r="HB18" s="43">
        <f t="shared" si="69"/>
        <v>0</v>
      </c>
      <c r="HC18" s="42" t="str">
        <f t="shared" si="70"/>
        <v>CHILE RELLENO</v>
      </c>
      <c r="HD18" s="43">
        <f t="shared" si="71"/>
        <v>3</v>
      </c>
      <c r="HF18" s="42" t="str">
        <f t="shared" si="72"/>
        <v>CHILE RELLENO</v>
      </c>
      <c r="HG18" s="43">
        <f t="shared" si="73"/>
        <v>0</v>
      </c>
      <c r="HI18" s="42" t="str">
        <f t="shared" si="74"/>
        <v>CHILE RELLENO</v>
      </c>
      <c r="HJ18" s="43">
        <f t="shared" si="75"/>
        <v>0</v>
      </c>
      <c r="HL18" s="43">
        <f t="shared" si="76"/>
        <v>9</v>
      </c>
      <c r="HM18" s="42" t="str">
        <f t="shared" si="77"/>
        <v>CHILE RELLENO</v>
      </c>
      <c r="HN18" s="57">
        <f t="shared" si="78"/>
        <v>0</v>
      </c>
      <c r="HO18" s="44">
        <f t="shared" si="79"/>
        <v>0</v>
      </c>
      <c r="HP18" s="57">
        <f t="shared" si="80"/>
        <v>0</v>
      </c>
      <c r="HQ18" s="44">
        <f t="shared" si="81"/>
        <v>0</v>
      </c>
      <c r="HR18" s="57">
        <f t="shared" si="82"/>
        <v>0</v>
      </c>
      <c r="HS18" s="44">
        <f t="shared" si="83"/>
        <v>0</v>
      </c>
      <c r="HT18" s="57">
        <f t="shared" si="84"/>
        <v>1</v>
      </c>
      <c r="HU18" s="44">
        <f t="shared" si="85"/>
        <v>1</v>
      </c>
      <c r="HV18" s="57">
        <f t="shared" si="86"/>
        <v>0</v>
      </c>
      <c r="HW18" s="44">
        <f t="shared" si="87"/>
        <v>0</v>
      </c>
      <c r="HX18" s="57">
        <f t="shared" si="88"/>
        <v>0</v>
      </c>
      <c r="HY18" s="44">
        <f t="shared" si="89"/>
        <v>0</v>
      </c>
      <c r="HZ18" s="42" t="str">
        <f t="shared" si="90"/>
        <v>CHILE RELLENO</v>
      </c>
      <c r="IA18" s="57">
        <f t="shared" si="91"/>
        <v>0</v>
      </c>
      <c r="IB18" s="44">
        <f t="shared" si="92"/>
        <v>0</v>
      </c>
      <c r="IC18" s="57">
        <f t="shared" si="93"/>
        <v>0</v>
      </c>
      <c r="ID18" s="44">
        <f t="shared" si="94"/>
        <v>1</v>
      </c>
      <c r="IE18" s="57">
        <f t="shared" si="95"/>
        <v>0</v>
      </c>
      <c r="IF18" s="44">
        <f t="shared" si="96"/>
        <v>4</v>
      </c>
      <c r="IG18" s="57">
        <f t="shared" si="97"/>
        <v>1</v>
      </c>
      <c r="IH18" s="44">
        <f t="shared" si="98"/>
        <v>1</v>
      </c>
      <c r="II18" s="57">
        <f t="shared" si="99"/>
        <v>0</v>
      </c>
      <c r="IJ18" s="44"/>
      <c r="IK18" s="57"/>
      <c r="IL18" s="44">
        <f t="shared" si="100"/>
        <v>9</v>
      </c>
      <c r="IM18" s="42" t="str">
        <f t="shared" si="101"/>
        <v>CHILE RELLENO</v>
      </c>
      <c r="IN18" s="43">
        <f t="shared" si="102"/>
        <v>2</v>
      </c>
      <c r="IP18" s="42" t="str">
        <f t="shared" si="103"/>
        <v>CHILE RELLENO</v>
      </c>
      <c r="IQ18" s="43">
        <f t="shared" si="104"/>
        <v>0</v>
      </c>
      <c r="IS18" s="42" t="str">
        <f t="shared" si="105"/>
        <v>CHILE RELLENO</v>
      </c>
      <c r="IT18" s="43">
        <f t="shared" si="106"/>
        <v>0</v>
      </c>
      <c r="IV18" s="43"/>
      <c r="IW18" s="42" t="str">
        <f t="shared" si="107"/>
        <v>CHILE RELLENO</v>
      </c>
      <c r="IX18" s="43">
        <f t="shared" si="126"/>
        <v>1</v>
      </c>
      <c r="IZ18" s="42" t="str">
        <f t="shared" si="108"/>
        <v>CHILE RELLENO</v>
      </c>
      <c r="JA18" s="43">
        <f t="shared" si="109"/>
        <v>0</v>
      </c>
      <c r="JC18" s="42" t="str">
        <f t="shared" si="110"/>
        <v>CHILE RELLENO</v>
      </c>
      <c r="JD18" s="43">
        <f t="shared" si="111"/>
        <v>0</v>
      </c>
      <c r="JF18" s="43"/>
      <c r="JG18" s="42" t="str">
        <f t="shared" si="112"/>
        <v>CHILE RELLENO</v>
      </c>
      <c r="JH18" s="43">
        <f t="shared" si="113"/>
        <v>2</v>
      </c>
      <c r="JJ18" s="42" t="str">
        <f t="shared" si="114"/>
        <v>CHILE RELLENO</v>
      </c>
      <c r="JK18" s="43">
        <f t="shared" si="115"/>
        <v>0</v>
      </c>
      <c r="JM18" s="42" t="str">
        <f t="shared" si="116"/>
        <v>CHILE RELLENO</v>
      </c>
      <c r="JN18" s="43">
        <f t="shared" si="117"/>
        <v>1</v>
      </c>
      <c r="JP18" s="44">
        <f t="shared" si="118"/>
        <v>3</v>
      </c>
      <c r="JQ18" s="42" t="str">
        <f t="shared" si="119"/>
        <v>CHILE RELLENO</v>
      </c>
      <c r="JR18" s="43">
        <f t="shared" si="120"/>
        <v>2</v>
      </c>
      <c r="JT18" s="42" t="str">
        <f t="shared" si="121"/>
        <v>CHILE RELLENO</v>
      </c>
      <c r="JU18" s="43">
        <f t="shared" si="122"/>
        <v>1</v>
      </c>
      <c r="JW18" s="42" t="str">
        <f t="shared" si="123"/>
        <v>CHILE RELLENO</v>
      </c>
      <c r="JX18" s="43">
        <f t="shared" si="124"/>
        <v>0</v>
      </c>
      <c r="JZ18" s="44">
        <f t="shared" si="125"/>
        <v>3</v>
      </c>
    </row>
    <row r="19" spans="1:286" s="7" customFormat="1" ht="54" customHeight="1" x14ac:dyDescent="0.65">
      <c r="A19" s="46" t="s">
        <v>49</v>
      </c>
      <c r="B19" s="43">
        <v>1</v>
      </c>
      <c r="D19" s="46"/>
      <c r="E19" s="43"/>
      <c r="G19" s="42" t="str">
        <f t="shared" si="0"/>
        <v>TACO DORADO</v>
      </c>
      <c r="H19" s="43"/>
      <c r="J19" s="43">
        <f t="shared" si="1"/>
        <v>1</v>
      </c>
      <c r="K19" s="42" t="str">
        <f t="shared" si="2"/>
        <v>TACO DORADO</v>
      </c>
      <c r="L19" s="43">
        <v>2</v>
      </c>
      <c r="N19" s="46"/>
      <c r="O19" s="43"/>
      <c r="Q19" s="42" t="str">
        <f t="shared" si="3"/>
        <v>TACO DORADO</v>
      </c>
      <c r="R19" s="43"/>
      <c r="T19" s="43">
        <f t="shared" si="4"/>
        <v>2</v>
      </c>
      <c r="U19" s="42" t="str">
        <f t="shared" si="5"/>
        <v>TACO DORADO</v>
      </c>
      <c r="V19" s="43">
        <v>1</v>
      </c>
      <c r="X19" s="46"/>
      <c r="Y19" s="43"/>
      <c r="AA19" s="42" t="str">
        <f t="shared" si="6"/>
        <v>TACO DORADO</v>
      </c>
      <c r="AB19" s="43"/>
      <c r="AD19" s="43">
        <f t="shared" si="7"/>
        <v>1</v>
      </c>
      <c r="AE19" s="42" t="str">
        <f t="shared" si="8"/>
        <v>TACO DORADO</v>
      </c>
      <c r="AF19" s="43">
        <v>1</v>
      </c>
      <c r="AH19" s="46"/>
      <c r="AI19" s="43"/>
      <c r="AK19" s="42" t="str">
        <f t="shared" si="9"/>
        <v>TACO DORADO</v>
      </c>
      <c r="AL19" s="43"/>
      <c r="AN19" s="43">
        <f t="shared" si="10"/>
        <v>1</v>
      </c>
      <c r="AO19" s="42" t="str">
        <f t="shared" si="11"/>
        <v>TACO DORADO</v>
      </c>
      <c r="AP19" s="43"/>
      <c r="AR19" s="46"/>
      <c r="AS19" s="43"/>
      <c r="AU19" s="42" t="str">
        <f t="shared" si="12"/>
        <v>TACO DORADO</v>
      </c>
      <c r="AV19" s="43"/>
      <c r="AX19" s="43">
        <f t="shared" si="13"/>
        <v>0</v>
      </c>
      <c r="AY19" s="42" t="str">
        <f t="shared" si="14"/>
        <v>TACO DORADO</v>
      </c>
      <c r="AZ19" s="43">
        <v>1</v>
      </c>
      <c r="BB19" s="46"/>
      <c r="BC19" s="43"/>
      <c r="BE19" s="42" t="str">
        <f t="shared" si="15"/>
        <v>TACO DORADO</v>
      </c>
      <c r="BF19" s="43"/>
      <c r="BH19" s="43">
        <f t="shared" si="16"/>
        <v>1</v>
      </c>
      <c r="BI19" s="42" t="str">
        <f t="shared" si="17"/>
        <v>TACO DORADO</v>
      </c>
      <c r="BJ19" s="43"/>
      <c r="BL19" s="46"/>
      <c r="BM19" s="43"/>
      <c r="BO19" s="42" t="str">
        <f t="shared" si="18"/>
        <v>TACO DORADO</v>
      </c>
      <c r="BP19" s="43"/>
      <c r="BR19" s="43">
        <f t="shared" si="19"/>
        <v>0</v>
      </c>
      <c r="BS19" s="42" t="str">
        <f t="shared" si="20"/>
        <v>TACO DORADO</v>
      </c>
      <c r="BT19" s="43">
        <v>1</v>
      </c>
      <c r="BV19" s="46"/>
      <c r="BW19" s="43"/>
      <c r="BY19" s="42" t="str">
        <f t="shared" si="21"/>
        <v>TACO DORADO</v>
      </c>
      <c r="BZ19" s="43"/>
      <c r="CB19" s="43">
        <f t="shared" si="22"/>
        <v>1</v>
      </c>
      <c r="CC19" s="42" t="str">
        <f t="shared" si="23"/>
        <v>TACO DORADO</v>
      </c>
      <c r="CD19" s="43"/>
      <c r="CF19" s="46"/>
      <c r="CG19" s="43"/>
      <c r="CI19" s="42" t="str">
        <f t="shared" si="24"/>
        <v>TACO DORADO</v>
      </c>
      <c r="CJ19" s="43"/>
      <c r="CL19" s="43">
        <f t="shared" si="25"/>
        <v>0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/>
      <c r="CV19" s="43">
        <f t="shared" si="28"/>
        <v>0</v>
      </c>
      <c r="CW19" s="42" t="str">
        <f t="shared" si="29"/>
        <v>TACO DORADO</v>
      </c>
      <c r="CX19" s="43"/>
      <c r="CZ19" s="42"/>
      <c r="DA19" s="43"/>
      <c r="DC19" s="42" t="str">
        <f t="shared" si="127"/>
        <v>TACO DORADO</v>
      </c>
      <c r="DD19" s="43"/>
      <c r="DF19" s="43">
        <f t="shared" si="31"/>
        <v>0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65"/>
        <v>0</v>
      </c>
      <c r="GS19" s="42" t="str">
        <f t="shared" si="66"/>
        <v>TACO DORADO</v>
      </c>
      <c r="GT19" s="43"/>
      <c r="GV19" s="42" t="str">
        <f t="shared" si="67"/>
        <v>TACO DORADO</v>
      </c>
      <c r="GW19" s="43"/>
      <c r="GY19" s="42" t="str">
        <f t="shared" si="68"/>
        <v>TACO DORADO</v>
      </c>
      <c r="GZ19" s="43"/>
      <c r="HB19" s="43">
        <f t="shared" si="69"/>
        <v>0</v>
      </c>
      <c r="HC19" s="42" t="str">
        <f t="shared" si="70"/>
        <v>TACO DORADO</v>
      </c>
      <c r="HD19" s="43">
        <f t="shared" si="71"/>
        <v>7</v>
      </c>
      <c r="HF19" s="42" t="str">
        <f t="shared" si="72"/>
        <v>TACO DORADO</v>
      </c>
      <c r="HG19" s="43">
        <f t="shared" si="73"/>
        <v>0</v>
      </c>
      <c r="HI19" s="42" t="str">
        <f t="shared" si="74"/>
        <v>TACO DORADO</v>
      </c>
      <c r="HJ19" s="43">
        <f t="shared" si="75"/>
        <v>0</v>
      </c>
      <c r="HL19" s="43">
        <f t="shared" si="76"/>
        <v>7</v>
      </c>
      <c r="HM19" s="42" t="str">
        <f t="shared" si="77"/>
        <v>TACO DORADO</v>
      </c>
      <c r="HN19" s="57">
        <f t="shared" si="78"/>
        <v>1</v>
      </c>
      <c r="HO19" s="44">
        <f t="shared" si="79"/>
        <v>2</v>
      </c>
      <c r="HP19" s="57">
        <f t="shared" si="80"/>
        <v>1</v>
      </c>
      <c r="HQ19" s="44">
        <f t="shared" si="81"/>
        <v>1</v>
      </c>
      <c r="HR19" s="57">
        <f t="shared" si="82"/>
        <v>0</v>
      </c>
      <c r="HS19" s="44">
        <f t="shared" si="83"/>
        <v>1</v>
      </c>
      <c r="HT19" s="57">
        <f t="shared" si="84"/>
        <v>0</v>
      </c>
      <c r="HU19" s="44">
        <f t="shared" si="85"/>
        <v>1</v>
      </c>
      <c r="HV19" s="57">
        <f t="shared" si="86"/>
        <v>0</v>
      </c>
      <c r="HW19" s="44">
        <f t="shared" si="87"/>
        <v>0</v>
      </c>
      <c r="HX19" s="57">
        <f t="shared" si="88"/>
        <v>0</v>
      </c>
      <c r="HY19" s="44">
        <f t="shared" si="89"/>
        <v>0</v>
      </c>
      <c r="HZ19" s="42" t="str">
        <f t="shared" si="90"/>
        <v>TACO DORADO</v>
      </c>
      <c r="IA19" s="57">
        <f t="shared" si="91"/>
        <v>0</v>
      </c>
      <c r="IB19" s="44">
        <f t="shared" si="92"/>
        <v>0</v>
      </c>
      <c r="IC19" s="57">
        <f t="shared" si="93"/>
        <v>0</v>
      </c>
      <c r="ID19" s="44">
        <f t="shared" si="94"/>
        <v>0</v>
      </c>
      <c r="IE19" s="57">
        <f t="shared" si="95"/>
        <v>0</v>
      </c>
      <c r="IF19" s="44">
        <f t="shared" si="96"/>
        <v>0</v>
      </c>
      <c r="IG19" s="57">
        <f t="shared" si="97"/>
        <v>0</v>
      </c>
      <c r="IH19" s="44">
        <f t="shared" si="98"/>
        <v>0</v>
      </c>
      <c r="II19" s="57">
        <f t="shared" si="99"/>
        <v>0</v>
      </c>
      <c r="IJ19" s="44"/>
      <c r="IK19" s="57"/>
      <c r="IL19" s="44">
        <f t="shared" si="100"/>
        <v>7</v>
      </c>
      <c r="IM19" s="42" t="str">
        <f t="shared" si="101"/>
        <v>TACO DORADO</v>
      </c>
      <c r="IN19" s="43">
        <f t="shared" si="102"/>
        <v>6</v>
      </c>
      <c r="IP19" s="42" t="str">
        <f t="shared" si="103"/>
        <v>TACO DORADO</v>
      </c>
      <c r="IQ19" s="43">
        <f t="shared" si="104"/>
        <v>0</v>
      </c>
      <c r="IS19" s="42" t="str">
        <f t="shared" si="105"/>
        <v>TACO DORADO</v>
      </c>
      <c r="IT19" s="43">
        <f t="shared" si="106"/>
        <v>0</v>
      </c>
      <c r="IV19" s="43"/>
      <c r="IW19" s="42" t="str">
        <f t="shared" si="107"/>
        <v>TACO DORADO</v>
      </c>
      <c r="IX19" s="43">
        <f t="shared" si="126"/>
        <v>1</v>
      </c>
      <c r="IZ19" s="42" t="str">
        <f t="shared" si="108"/>
        <v>TACO DORADO</v>
      </c>
      <c r="JA19" s="43">
        <f t="shared" si="109"/>
        <v>0</v>
      </c>
      <c r="JC19" s="42" t="str">
        <f t="shared" si="110"/>
        <v>TACO DORADO</v>
      </c>
      <c r="JD19" s="43">
        <f t="shared" si="111"/>
        <v>0</v>
      </c>
      <c r="JF19" s="43"/>
      <c r="JG19" s="42" t="str">
        <f t="shared" si="112"/>
        <v>TACO DORADO</v>
      </c>
      <c r="JH19" s="43">
        <f t="shared" si="113"/>
        <v>0</v>
      </c>
      <c r="JJ19" s="42" t="str">
        <f t="shared" si="114"/>
        <v>TACO DORADO</v>
      </c>
      <c r="JK19" s="43">
        <f t="shared" si="115"/>
        <v>0</v>
      </c>
      <c r="JM19" s="42" t="str">
        <f t="shared" si="116"/>
        <v>TACO DORADO</v>
      </c>
      <c r="JN19" s="43">
        <f t="shared" si="117"/>
        <v>0</v>
      </c>
      <c r="JP19" s="44">
        <f t="shared" si="118"/>
        <v>0</v>
      </c>
      <c r="JQ19" s="42" t="str">
        <f t="shared" si="119"/>
        <v>TACO DORADO</v>
      </c>
      <c r="JR19" s="43">
        <f t="shared" si="120"/>
        <v>0</v>
      </c>
      <c r="JT19" s="42" t="str">
        <f t="shared" si="121"/>
        <v>TACO DORADO</v>
      </c>
      <c r="JU19" s="43">
        <f t="shared" si="122"/>
        <v>0</v>
      </c>
      <c r="JW19" s="42" t="str">
        <f t="shared" si="123"/>
        <v>TACO DORADO</v>
      </c>
      <c r="JX19" s="43">
        <f t="shared" si="124"/>
        <v>0</v>
      </c>
      <c r="JZ19" s="44">
        <f t="shared" si="125"/>
        <v>0</v>
      </c>
    </row>
    <row r="20" spans="1:286" s="7" customFormat="1" ht="54" customHeight="1" x14ac:dyDescent="0.65">
      <c r="A20" s="46" t="s">
        <v>50</v>
      </c>
      <c r="B20" s="43">
        <v>1</v>
      </c>
      <c r="D20" s="46"/>
      <c r="E20" s="43"/>
      <c r="G20" s="42" t="str">
        <f t="shared" si="0"/>
        <v>ADOBO PICADILLO</v>
      </c>
      <c r="H20" s="43"/>
      <c r="J20" s="43">
        <f t="shared" si="1"/>
        <v>1</v>
      </c>
      <c r="K20" s="42" t="str">
        <f t="shared" si="2"/>
        <v>ADOBO PICADILLO</v>
      </c>
      <c r="L20" s="43">
        <v>1</v>
      </c>
      <c r="N20" s="46"/>
      <c r="O20" s="43"/>
      <c r="Q20" s="42" t="str">
        <f t="shared" si="3"/>
        <v>ADOBO PICADILLO</v>
      </c>
      <c r="R20" s="43"/>
      <c r="T20" s="43">
        <f t="shared" si="4"/>
        <v>1</v>
      </c>
      <c r="U20" s="42" t="str">
        <f t="shared" si="5"/>
        <v>ADOBO PICADILLO</v>
      </c>
      <c r="V20" s="43">
        <v>1</v>
      </c>
      <c r="X20" s="46"/>
      <c r="Y20" s="43"/>
      <c r="AA20" s="42" t="str">
        <f t="shared" si="6"/>
        <v>ADOBO PICADILLO</v>
      </c>
      <c r="AB20" s="43"/>
      <c r="AD20" s="43">
        <f t="shared" si="7"/>
        <v>1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/>
      <c r="AR20" s="46"/>
      <c r="AS20" s="43"/>
      <c r="AU20" s="42" t="str">
        <f t="shared" si="12"/>
        <v>ADOBO PICADILLO</v>
      </c>
      <c r="AV20" s="43"/>
      <c r="AX20" s="43">
        <f t="shared" si="13"/>
        <v>0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/>
      <c r="BH20" s="43">
        <f t="shared" si="16"/>
        <v>0</v>
      </c>
      <c r="BI20" s="42" t="str">
        <f t="shared" si="17"/>
        <v>ADOBO PICADILLO</v>
      </c>
      <c r="BJ20" s="43">
        <v>1</v>
      </c>
      <c r="BL20" s="46"/>
      <c r="BM20" s="43"/>
      <c r="BO20" s="42" t="str">
        <f t="shared" si="18"/>
        <v>ADOBO PICADILLO</v>
      </c>
      <c r="BP20" s="43"/>
      <c r="BR20" s="43">
        <f t="shared" si="19"/>
        <v>1</v>
      </c>
      <c r="BS20" s="42" t="str">
        <f t="shared" si="20"/>
        <v>ADOBO PICADILLO</v>
      </c>
      <c r="BT20" s="43"/>
      <c r="BV20" s="46"/>
      <c r="BW20" s="43"/>
      <c r="BY20" s="42" t="str">
        <f t="shared" si="21"/>
        <v>ADOBO PICADILLO</v>
      </c>
      <c r="BZ20" s="43"/>
      <c r="CB20" s="43">
        <f t="shared" si="22"/>
        <v>0</v>
      </c>
      <c r="CC20" s="42" t="str">
        <f t="shared" si="23"/>
        <v>ADOBO PICADILLO</v>
      </c>
      <c r="CD20" s="43"/>
      <c r="CF20" s="46"/>
      <c r="CG20" s="43"/>
      <c r="CI20" s="42" t="str">
        <f t="shared" si="24"/>
        <v>ADOBO PICADILLO</v>
      </c>
      <c r="CJ20" s="43"/>
      <c r="CL20" s="43">
        <f t="shared" si="25"/>
        <v>0</v>
      </c>
      <c r="CM20" s="42" t="str">
        <f t="shared" si="26"/>
        <v>ADOBO PICADILLO</v>
      </c>
      <c r="CN20" s="43">
        <v>1</v>
      </c>
      <c r="CP20" s="42"/>
      <c r="CQ20" s="43"/>
      <c r="CS20" s="42" t="str">
        <f t="shared" si="27"/>
        <v>ADOBO PICADILLO</v>
      </c>
      <c r="CT20" s="43"/>
      <c r="CV20" s="43">
        <f t="shared" si="28"/>
        <v>1</v>
      </c>
      <c r="CW20" s="42" t="str">
        <f t="shared" si="29"/>
        <v>ADOBO PICADILLO</v>
      </c>
      <c r="CX20" s="43"/>
      <c r="CZ20" s="42"/>
      <c r="DA20" s="43"/>
      <c r="DC20" s="42" t="str">
        <f t="shared" si="127"/>
        <v>ADOBO PICADILLO</v>
      </c>
      <c r="DD20" s="43"/>
      <c r="DF20" s="43">
        <f t="shared" si="31"/>
        <v>0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 t="str">
        <f t="shared" si="58"/>
        <v>ADOBO PICADILLO</v>
      </c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65"/>
        <v>0</v>
      </c>
      <c r="GS20" s="42" t="str">
        <f t="shared" si="66"/>
        <v>ADOBO PICADILLO</v>
      </c>
      <c r="GT20" s="43"/>
      <c r="GV20" s="42" t="str">
        <f t="shared" si="67"/>
        <v>ADOBO PICADILLO</v>
      </c>
      <c r="GW20" s="43"/>
      <c r="GY20" s="42" t="str">
        <f t="shared" si="68"/>
        <v>ADOBO PICADILLO</v>
      </c>
      <c r="GZ20" s="43"/>
      <c r="HB20" s="43">
        <f t="shared" si="69"/>
        <v>0</v>
      </c>
      <c r="HC20" s="42" t="str">
        <f t="shared" si="70"/>
        <v>ADOBO PICADILLO</v>
      </c>
      <c r="HD20" s="43">
        <f t="shared" si="71"/>
        <v>5</v>
      </c>
      <c r="HF20" s="42" t="str">
        <f t="shared" si="72"/>
        <v>ADOBO PICADILLO</v>
      </c>
      <c r="HG20" s="43">
        <f t="shared" si="73"/>
        <v>0</v>
      </c>
      <c r="HI20" s="42" t="str">
        <f t="shared" si="74"/>
        <v>ADOBO PICADILLO</v>
      </c>
      <c r="HJ20" s="43">
        <f t="shared" si="75"/>
        <v>0</v>
      </c>
      <c r="HL20" s="43">
        <f t="shared" si="76"/>
        <v>5</v>
      </c>
      <c r="HM20" s="42" t="str">
        <f t="shared" si="77"/>
        <v>ADOBO PICADILLO</v>
      </c>
      <c r="HN20" s="57">
        <f t="shared" si="78"/>
        <v>1</v>
      </c>
      <c r="HO20" s="44">
        <f t="shared" si="79"/>
        <v>1</v>
      </c>
      <c r="HP20" s="57">
        <f t="shared" si="80"/>
        <v>1</v>
      </c>
      <c r="HQ20" s="44">
        <f t="shared" si="81"/>
        <v>0</v>
      </c>
      <c r="HR20" s="57">
        <f t="shared" si="82"/>
        <v>0</v>
      </c>
      <c r="HS20" s="44">
        <f t="shared" si="83"/>
        <v>0</v>
      </c>
      <c r="HT20" s="57">
        <f t="shared" si="84"/>
        <v>1</v>
      </c>
      <c r="HU20" s="44">
        <f t="shared" si="85"/>
        <v>0</v>
      </c>
      <c r="HV20" s="57">
        <f t="shared" si="86"/>
        <v>0</v>
      </c>
      <c r="HW20" s="44">
        <f t="shared" si="87"/>
        <v>1</v>
      </c>
      <c r="HX20" s="57">
        <f t="shared" si="88"/>
        <v>0</v>
      </c>
      <c r="HY20" s="44">
        <f t="shared" si="89"/>
        <v>0</v>
      </c>
      <c r="HZ20" s="42" t="str">
        <f t="shared" si="90"/>
        <v>ADOBO PICADILLO</v>
      </c>
      <c r="IA20" s="57">
        <f t="shared" si="91"/>
        <v>0</v>
      </c>
      <c r="IB20" s="44">
        <f t="shared" si="92"/>
        <v>0</v>
      </c>
      <c r="IC20" s="57">
        <f t="shared" si="93"/>
        <v>0</v>
      </c>
      <c r="ID20" s="44">
        <f t="shared" si="94"/>
        <v>0</v>
      </c>
      <c r="IE20" s="57">
        <f t="shared" si="95"/>
        <v>0</v>
      </c>
      <c r="IF20" s="44">
        <f t="shared" si="96"/>
        <v>0</v>
      </c>
      <c r="IG20" s="57">
        <f t="shared" si="97"/>
        <v>0</v>
      </c>
      <c r="IH20" s="44">
        <f t="shared" si="98"/>
        <v>0</v>
      </c>
      <c r="II20" s="57">
        <f t="shared" si="99"/>
        <v>0</v>
      </c>
      <c r="IJ20" s="44"/>
      <c r="IK20" s="57"/>
      <c r="IL20" s="44">
        <f t="shared" si="100"/>
        <v>5</v>
      </c>
      <c r="IM20" s="42" t="str">
        <f t="shared" si="101"/>
        <v>ADOBO PICADILLO</v>
      </c>
      <c r="IN20" s="43">
        <f t="shared" si="102"/>
        <v>4</v>
      </c>
      <c r="IP20" s="42" t="str">
        <f t="shared" si="103"/>
        <v>ADOBO PICADILLO</v>
      </c>
      <c r="IQ20" s="43">
        <f t="shared" si="104"/>
        <v>0</v>
      </c>
      <c r="IS20" s="42" t="str">
        <f t="shared" si="105"/>
        <v>ADOBO PICADILLO</v>
      </c>
      <c r="IT20" s="43">
        <f t="shared" si="106"/>
        <v>0</v>
      </c>
      <c r="IV20" s="43"/>
      <c r="IW20" s="42" t="str">
        <f t="shared" si="107"/>
        <v>ADOBO PICADILLO</v>
      </c>
      <c r="IX20" s="43">
        <f t="shared" si="126"/>
        <v>1</v>
      </c>
      <c r="IZ20" s="42" t="str">
        <f t="shared" si="108"/>
        <v>ADOBO PICADILLO</v>
      </c>
      <c r="JA20" s="43">
        <f t="shared" si="109"/>
        <v>0</v>
      </c>
      <c r="JC20" s="42" t="str">
        <f t="shared" si="110"/>
        <v>ADOBO PICADILLO</v>
      </c>
      <c r="JD20" s="43">
        <f t="shared" si="111"/>
        <v>0</v>
      </c>
      <c r="JF20" s="43"/>
      <c r="JG20" s="42" t="str">
        <f t="shared" si="112"/>
        <v>ADOBO PICADILLO</v>
      </c>
      <c r="JH20" s="43">
        <f t="shared" si="113"/>
        <v>0</v>
      </c>
      <c r="JJ20" s="42" t="str">
        <f t="shared" si="114"/>
        <v>ADOBO PICADILLO</v>
      </c>
      <c r="JK20" s="43">
        <f t="shared" si="115"/>
        <v>0</v>
      </c>
      <c r="JM20" s="42" t="str">
        <f t="shared" si="116"/>
        <v>ADOBO PICADILLO</v>
      </c>
      <c r="JN20" s="43">
        <f t="shared" si="117"/>
        <v>0</v>
      </c>
      <c r="JP20" s="44">
        <f t="shared" si="118"/>
        <v>0</v>
      </c>
      <c r="JQ20" s="42" t="str">
        <f t="shared" si="119"/>
        <v>ADOBO PICADILLO</v>
      </c>
      <c r="JR20" s="43">
        <f t="shared" si="120"/>
        <v>0</v>
      </c>
      <c r="JT20" s="42" t="str">
        <f t="shared" si="121"/>
        <v>ADOBO PICADILLO</v>
      </c>
      <c r="JU20" s="43">
        <f t="shared" si="122"/>
        <v>0</v>
      </c>
      <c r="JW20" s="42" t="str">
        <f t="shared" si="123"/>
        <v>ADOBO PICADILLO</v>
      </c>
      <c r="JX20" s="43">
        <f t="shared" si="124"/>
        <v>0</v>
      </c>
      <c r="JZ20" s="44">
        <f t="shared" si="125"/>
        <v>0</v>
      </c>
    </row>
    <row r="21" spans="1:286" s="7" customFormat="1" ht="54" customHeight="1" x14ac:dyDescent="0.65">
      <c r="A21" s="46" t="s">
        <v>51</v>
      </c>
      <c r="B21" s="43">
        <v>2</v>
      </c>
      <c r="D21" s="46"/>
      <c r="E21" s="43"/>
      <c r="G21" s="42" t="str">
        <f t="shared" si="0"/>
        <v>CARNITAS</v>
      </c>
      <c r="H21" s="43"/>
      <c r="J21" s="43">
        <f t="shared" si="1"/>
        <v>2</v>
      </c>
      <c r="K21" s="42" t="str">
        <f t="shared" si="2"/>
        <v>CARNITAS</v>
      </c>
      <c r="L21" s="43">
        <v>2</v>
      </c>
      <c r="N21" s="46"/>
      <c r="O21" s="43"/>
      <c r="Q21" s="42" t="str">
        <f t="shared" si="3"/>
        <v>CARNITAS</v>
      </c>
      <c r="R21" s="43"/>
      <c r="T21" s="43">
        <f t="shared" si="4"/>
        <v>2</v>
      </c>
      <c r="U21" s="42" t="str">
        <f t="shared" si="5"/>
        <v>CARNITAS</v>
      </c>
      <c r="V21" s="43">
        <v>2</v>
      </c>
      <c r="X21" s="46"/>
      <c r="Y21" s="43"/>
      <c r="AA21" s="42" t="str">
        <f t="shared" si="6"/>
        <v>CARNITAS</v>
      </c>
      <c r="AB21" s="43"/>
      <c r="AD21" s="43">
        <f t="shared" si="7"/>
        <v>2</v>
      </c>
      <c r="AE21" s="42" t="str">
        <f t="shared" si="8"/>
        <v>CARNITAS</v>
      </c>
      <c r="AF21" s="43"/>
      <c r="AH21" s="46"/>
      <c r="AI21" s="43"/>
      <c r="AK21" s="42" t="str">
        <f t="shared" si="9"/>
        <v>CARNITAS</v>
      </c>
      <c r="AL21" s="43"/>
      <c r="AN21" s="43">
        <f t="shared" si="10"/>
        <v>0</v>
      </c>
      <c r="AO21" s="42" t="str">
        <f t="shared" si="11"/>
        <v>CARNITAS</v>
      </c>
      <c r="AP21" s="43">
        <v>2</v>
      </c>
      <c r="AR21" s="46"/>
      <c r="AS21" s="43"/>
      <c r="AU21" s="42" t="str">
        <f t="shared" si="12"/>
        <v>CARNITAS</v>
      </c>
      <c r="AV21" s="43"/>
      <c r="AX21" s="43">
        <f t="shared" si="13"/>
        <v>2</v>
      </c>
      <c r="AY21" s="42" t="str">
        <f t="shared" si="14"/>
        <v>CARNITAS</v>
      </c>
      <c r="AZ21" s="43"/>
      <c r="BB21" s="46"/>
      <c r="BC21" s="43"/>
      <c r="BE21" s="42" t="str">
        <f t="shared" si="15"/>
        <v>CARNITAS</v>
      </c>
      <c r="BF21" s="43"/>
      <c r="BH21" s="43">
        <f t="shared" si="16"/>
        <v>0</v>
      </c>
      <c r="BI21" s="42" t="str">
        <f t="shared" si="17"/>
        <v>CARNITAS</v>
      </c>
      <c r="BJ21" s="43">
        <v>2</v>
      </c>
      <c r="BL21" s="46"/>
      <c r="BM21" s="43"/>
      <c r="BO21" s="42" t="str">
        <f t="shared" si="18"/>
        <v>CARNITAS</v>
      </c>
      <c r="BP21" s="43"/>
      <c r="BR21" s="43">
        <f t="shared" si="19"/>
        <v>2</v>
      </c>
      <c r="BS21" s="42" t="str">
        <f t="shared" si="20"/>
        <v>CARNITAS</v>
      </c>
      <c r="BT21" s="43">
        <v>2</v>
      </c>
      <c r="BV21" s="46"/>
      <c r="BW21" s="43"/>
      <c r="BY21" s="42" t="str">
        <f t="shared" si="21"/>
        <v>CARNITAS</v>
      </c>
      <c r="BZ21" s="43"/>
      <c r="CB21" s="43">
        <f t="shared" si="22"/>
        <v>2</v>
      </c>
      <c r="CC21" s="42" t="str">
        <f t="shared" si="23"/>
        <v>CARNITAS</v>
      </c>
      <c r="CD21" s="43">
        <v>2</v>
      </c>
      <c r="CF21" s="46"/>
      <c r="CG21" s="43"/>
      <c r="CI21" s="42" t="str">
        <f t="shared" si="24"/>
        <v>CARNITAS</v>
      </c>
      <c r="CJ21" s="43"/>
      <c r="CL21" s="43">
        <f t="shared" si="25"/>
        <v>2</v>
      </c>
      <c r="CM21" s="42" t="str">
        <f t="shared" si="26"/>
        <v>CARNITAS</v>
      </c>
      <c r="CN21" s="43">
        <v>2</v>
      </c>
      <c r="CP21" s="42"/>
      <c r="CQ21" s="43"/>
      <c r="CS21" s="42" t="str">
        <f t="shared" si="27"/>
        <v>CARNITAS</v>
      </c>
      <c r="CT21" s="43"/>
      <c r="CV21" s="43">
        <f t="shared" si="28"/>
        <v>2</v>
      </c>
      <c r="CW21" s="42" t="str">
        <f t="shared" si="29"/>
        <v>CARNITAS</v>
      </c>
      <c r="CX21" s="43">
        <v>2</v>
      </c>
      <c r="CZ21" s="42"/>
      <c r="DA21" s="43"/>
      <c r="DC21" s="42" t="str">
        <f t="shared" si="127"/>
        <v>CARNITAS</v>
      </c>
      <c r="DD21" s="43"/>
      <c r="DF21" s="43">
        <f t="shared" si="31"/>
        <v>2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tr">
        <f t="shared" si="58"/>
        <v>CARNITAS</v>
      </c>
      <c r="FZ21" s="43"/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0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65"/>
        <v>0</v>
      </c>
      <c r="GS21" s="42" t="str">
        <f t="shared" si="66"/>
        <v>CARNITAS</v>
      </c>
      <c r="GT21" s="43"/>
      <c r="GV21" s="42" t="str">
        <f t="shared" si="67"/>
        <v>CARNITAS</v>
      </c>
      <c r="GW21" s="43"/>
      <c r="GY21" s="42" t="str">
        <f t="shared" si="68"/>
        <v>CARNITAS</v>
      </c>
      <c r="GZ21" s="43"/>
      <c r="HB21" s="43">
        <f t="shared" si="69"/>
        <v>0</v>
      </c>
      <c r="HC21" s="42" t="str">
        <f t="shared" si="70"/>
        <v>CARNITAS</v>
      </c>
      <c r="HD21" s="43">
        <f t="shared" si="71"/>
        <v>18</v>
      </c>
      <c r="HF21" s="42" t="str">
        <f t="shared" si="72"/>
        <v>CARNITAS</v>
      </c>
      <c r="HG21" s="43">
        <f t="shared" si="73"/>
        <v>0</v>
      </c>
      <c r="HI21" s="42" t="str">
        <f t="shared" si="74"/>
        <v>CARNITAS</v>
      </c>
      <c r="HJ21" s="43">
        <f t="shared" si="75"/>
        <v>0</v>
      </c>
      <c r="HL21" s="43">
        <f t="shared" si="76"/>
        <v>18</v>
      </c>
      <c r="HM21" s="42" t="str">
        <f t="shared" si="77"/>
        <v>CARNITAS</v>
      </c>
      <c r="HN21" s="57">
        <f t="shared" si="78"/>
        <v>2</v>
      </c>
      <c r="HO21" s="44">
        <f t="shared" si="79"/>
        <v>2</v>
      </c>
      <c r="HP21" s="57">
        <f t="shared" si="80"/>
        <v>2</v>
      </c>
      <c r="HQ21" s="44">
        <f t="shared" si="81"/>
        <v>0</v>
      </c>
      <c r="HR21" s="57">
        <f t="shared" si="82"/>
        <v>2</v>
      </c>
      <c r="HS21" s="44">
        <f t="shared" si="83"/>
        <v>0</v>
      </c>
      <c r="HT21" s="57">
        <f t="shared" si="84"/>
        <v>2</v>
      </c>
      <c r="HU21" s="44">
        <f t="shared" si="85"/>
        <v>2</v>
      </c>
      <c r="HV21" s="57">
        <f t="shared" si="86"/>
        <v>2</v>
      </c>
      <c r="HW21" s="44">
        <f t="shared" si="87"/>
        <v>2</v>
      </c>
      <c r="HX21" s="57">
        <f t="shared" si="88"/>
        <v>2</v>
      </c>
      <c r="HY21" s="44">
        <f t="shared" si="89"/>
        <v>0</v>
      </c>
      <c r="HZ21" s="42" t="str">
        <f t="shared" si="90"/>
        <v>CARNITAS</v>
      </c>
      <c r="IA21" s="57">
        <f t="shared" si="91"/>
        <v>0</v>
      </c>
      <c r="IB21" s="44">
        <f t="shared" si="92"/>
        <v>0</v>
      </c>
      <c r="IC21" s="57">
        <f t="shared" si="93"/>
        <v>0</v>
      </c>
      <c r="ID21" s="44">
        <f t="shared" si="94"/>
        <v>0</v>
      </c>
      <c r="IE21" s="57">
        <f t="shared" si="95"/>
        <v>0</v>
      </c>
      <c r="IF21" s="44">
        <f t="shared" si="96"/>
        <v>0</v>
      </c>
      <c r="IG21" s="57">
        <f t="shared" si="97"/>
        <v>0</v>
      </c>
      <c r="IH21" s="44">
        <f t="shared" si="98"/>
        <v>0</v>
      </c>
      <c r="II21" s="57">
        <f t="shared" si="99"/>
        <v>0</v>
      </c>
      <c r="IJ21" s="44"/>
      <c r="IK21" s="57"/>
      <c r="IL21" s="44">
        <f t="shared" si="100"/>
        <v>18</v>
      </c>
      <c r="IM21" s="42" t="str">
        <f t="shared" si="101"/>
        <v>CARNITAS</v>
      </c>
      <c r="IN21" s="43">
        <f t="shared" si="102"/>
        <v>10</v>
      </c>
      <c r="IP21" s="42" t="str">
        <f t="shared" si="103"/>
        <v>CARNITAS</v>
      </c>
      <c r="IQ21" s="43">
        <f t="shared" si="104"/>
        <v>0</v>
      </c>
      <c r="IS21" s="42" t="str">
        <f t="shared" si="105"/>
        <v>CARNITAS</v>
      </c>
      <c r="IT21" s="43">
        <f t="shared" si="106"/>
        <v>0</v>
      </c>
      <c r="IV21" s="43"/>
      <c r="IW21" s="42" t="str">
        <f t="shared" si="107"/>
        <v>CARNITAS</v>
      </c>
      <c r="IX21" s="43">
        <f t="shared" si="126"/>
        <v>8</v>
      </c>
      <c r="IZ21" s="42" t="str">
        <f t="shared" si="108"/>
        <v>CARNITAS</v>
      </c>
      <c r="JA21" s="43">
        <f t="shared" si="109"/>
        <v>0</v>
      </c>
      <c r="JC21" s="42" t="str">
        <f t="shared" si="110"/>
        <v>CARNITAS</v>
      </c>
      <c r="JD21" s="43">
        <f t="shared" si="111"/>
        <v>0</v>
      </c>
      <c r="JF21" s="43"/>
      <c r="JG21" s="42" t="str">
        <f t="shared" si="112"/>
        <v>CARNITAS</v>
      </c>
      <c r="JH21" s="43">
        <f t="shared" si="113"/>
        <v>0</v>
      </c>
      <c r="JJ21" s="42" t="str">
        <f t="shared" si="114"/>
        <v>CARNITAS</v>
      </c>
      <c r="JK21" s="43">
        <f t="shared" si="115"/>
        <v>0</v>
      </c>
      <c r="JM21" s="42" t="str">
        <f t="shared" si="116"/>
        <v>CARNITAS</v>
      </c>
      <c r="JN21" s="43">
        <f t="shared" si="117"/>
        <v>0</v>
      </c>
      <c r="JP21" s="44">
        <f t="shared" si="118"/>
        <v>0</v>
      </c>
      <c r="JQ21" s="42" t="str">
        <f t="shared" si="119"/>
        <v>CARNITAS</v>
      </c>
      <c r="JR21" s="43">
        <f t="shared" si="120"/>
        <v>0</v>
      </c>
      <c r="JT21" s="42" t="str">
        <f t="shared" si="121"/>
        <v>CARNITAS</v>
      </c>
      <c r="JU21" s="43">
        <f t="shared" si="122"/>
        <v>0</v>
      </c>
      <c r="JW21" s="42" t="str">
        <f t="shared" si="123"/>
        <v>CARNITAS</v>
      </c>
      <c r="JX21" s="43">
        <f t="shared" si="124"/>
        <v>0</v>
      </c>
      <c r="JZ21" s="44">
        <f t="shared" si="125"/>
        <v>0</v>
      </c>
    </row>
    <row r="22" spans="1:286" s="7" customFormat="1" ht="54" customHeight="1" x14ac:dyDescent="0.65">
      <c r="A22" s="46" t="s">
        <v>52</v>
      </c>
      <c r="B22" s="43"/>
      <c r="D22" s="46"/>
      <c r="E22" s="43"/>
      <c r="G22" s="42" t="str">
        <f t="shared" si="0"/>
        <v>CATERING</v>
      </c>
      <c r="H22" s="43"/>
      <c r="J22" s="43">
        <f t="shared" si="1"/>
        <v>0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>
        <v>1</v>
      </c>
      <c r="BV22" s="46"/>
      <c r="BW22" s="43"/>
      <c r="BY22" s="42" t="str">
        <f t="shared" si="21"/>
        <v>CATERING</v>
      </c>
      <c r="BZ22" s="43"/>
      <c r="CB22" s="43">
        <f t="shared" si="22"/>
        <v>1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/>
      <c r="CZ22" s="42"/>
      <c r="DA22" s="43"/>
      <c r="DC22" s="42" t="str">
        <f t="shared" si="127"/>
        <v>CATERING</v>
      </c>
      <c r="DD22" s="43"/>
      <c r="DF22" s="43">
        <f t="shared" si="31"/>
        <v>0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tr">
        <f t="shared" si="58"/>
        <v>CATERING</v>
      </c>
      <c r="FZ22" s="43"/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0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65"/>
        <v>0</v>
      </c>
      <c r="GS22" s="42" t="str">
        <f t="shared" si="66"/>
        <v>CATERING</v>
      </c>
      <c r="GT22" s="43"/>
      <c r="GV22" s="42" t="str">
        <f t="shared" si="67"/>
        <v>CATERING</v>
      </c>
      <c r="GW22" s="43"/>
      <c r="GY22" s="42" t="str">
        <f t="shared" si="68"/>
        <v>CATERING</v>
      </c>
      <c r="GZ22" s="43"/>
      <c r="HB22" s="43">
        <f t="shared" si="69"/>
        <v>0</v>
      </c>
      <c r="HC22" s="42" t="str">
        <f t="shared" si="70"/>
        <v>CATERING</v>
      </c>
      <c r="HD22" s="43">
        <f t="shared" si="71"/>
        <v>1</v>
      </c>
      <c r="HF22" s="42" t="str">
        <f t="shared" si="72"/>
        <v>CATERING</v>
      </c>
      <c r="HG22" s="43">
        <f t="shared" si="73"/>
        <v>0</v>
      </c>
      <c r="HI22" s="42" t="str">
        <f t="shared" si="74"/>
        <v>CATERING</v>
      </c>
      <c r="HJ22" s="43">
        <f t="shared" si="75"/>
        <v>0</v>
      </c>
      <c r="HL22" s="43">
        <f t="shared" si="76"/>
        <v>1</v>
      </c>
      <c r="HM22" s="42" t="str">
        <f t="shared" si="77"/>
        <v>CATERING</v>
      </c>
      <c r="HN22" s="57">
        <f t="shared" si="78"/>
        <v>0</v>
      </c>
      <c r="HO22" s="44">
        <f t="shared" si="79"/>
        <v>0</v>
      </c>
      <c r="HP22" s="57">
        <f t="shared" si="80"/>
        <v>0</v>
      </c>
      <c r="HQ22" s="44">
        <f t="shared" si="81"/>
        <v>0</v>
      </c>
      <c r="HR22" s="57">
        <f t="shared" si="82"/>
        <v>0</v>
      </c>
      <c r="HS22" s="44">
        <f t="shared" si="83"/>
        <v>0</v>
      </c>
      <c r="HT22" s="57">
        <f t="shared" si="84"/>
        <v>0</v>
      </c>
      <c r="HU22" s="44">
        <f t="shared" si="85"/>
        <v>1</v>
      </c>
      <c r="HV22" s="57">
        <f t="shared" si="86"/>
        <v>0</v>
      </c>
      <c r="HW22" s="44">
        <f t="shared" si="87"/>
        <v>0</v>
      </c>
      <c r="HX22" s="57">
        <f t="shared" si="88"/>
        <v>0</v>
      </c>
      <c r="HY22" s="44">
        <f t="shared" si="89"/>
        <v>0</v>
      </c>
      <c r="HZ22" s="42" t="str">
        <f t="shared" si="90"/>
        <v>CATERING</v>
      </c>
      <c r="IA22" s="57">
        <f t="shared" si="91"/>
        <v>0</v>
      </c>
      <c r="IB22" s="44">
        <f t="shared" si="92"/>
        <v>0</v>
      </c>
      <c r="IC22" s="57">
        <f t="shared" si="93"/>
        <v>0</v>
      </c>
      <c r="ID22" s="44">
        <f t="shared" si="94"/>
        <v>0</v>
      </c>
      <c r="IE22" s="57">
        <f t="shared" si="95"/>
        <v>0</v>
      </c>
      <c r="IF22" s="44">
        <f t="shared" si="96"/>
        <v>0</v>
      </c>
      <c r="IG22" s="57">
        <f t="shared" si="97"/>
        <v>0</v>
      </c>
      <c r="IH22" s="44">
        <f t="shared" si="98"/>
        <v>0</v>
      </c>
      <c r="II22" s="57">
        <f t="shared" si="99"/>
        <v>0</v>
      </c>
      <c r="IJ22" s="44"/>
      <c r="IK22" s="57"/>
      <c r="IL22" s="44">
        <f t="shared" si="100"/>
        <v>1</v>
      </c>
      <c r="IM22" s="42" t="str">
        <f t="shared" si="101"/>
        <v>CATERING</v>
      </c>
      <c r="IN22" s="43">
        <f t="shared" si="102"/>
        <v>0</v>
      </c>
      <c r="IP22" s="42" t="str">
        <f t="shared" si="103"/>
        <v>CATERING</v>
      </c>
      <c r="IQ22" s="43">
        <f t="shared" si="104"/>
        <v>0</v>
      </c>
      <c r="IS22" s="42" t="str">
        <f t="shared" si="105"/>
        <v>CATERING</v>
      </c>
      <c r="IT22" s="43">
        <f t="shared" si="106"/>
        <v>0</v>
      </c>
      <c r="IV22" s="43"/>
      <c r="IW22" s="42" t="str">
        <f t="shared" si="107"/>
        <v>CATERING</v>
      </c>
      <c r="IX22" s="43">
        <f t="shared" si="126"/>
        <v>1</v>
      </c>
      <c r="IZ22" s="42" t="str">
        <f t="shared" si="108"/>
        <v>CATERING</v>
      </c>
      <c r="JA22" s="43">
        <f t="shared" si="109"/>
        <v>0</v>
      </c>
      <c r="JC22" s="42" t="str">
        <f t="shared" si="110"/>
        <v>CATERING</v>
      </c>
      <c r="JD22" s="43">
        <f t="shared" si="111"/>
        <v>0</v>
      </c>
      <c r="JF22" s="43"/>
      <c r="JG22" s="42" t="str">
        <f t="shared" si="112"/>
        <v>CATERING</v>
      </c>
      <c r="JH22" s="43">
        <f t="shared" si="113"/>
        <v>0</v>
      </c>
      <c r="JJ22" s="42" t="str">
        <f t="shared" si="114"/>
        <v>CATERING</v>
      </c>
      <c r="JK22" s="43">
        <f t="shared" si="115"/>
        <v>0</v>
      </c>
      <c r="JM22" s="42" t="str">
        <f t="shared" si="116"/>
        <v>CATERING</v>
      </c>
      <c r="JN22" s="43">
        <f t="shared" si="117"/>
        <v>0</v>
      </c>
      <c r="JP22" s="44">
        <f t="shared" si="118"/>
        <v>0</v>
      </c>
      <c r="JQ22" s="42" t="str">
        <f t="shared" si="119"/>
        <v>CATERING</v>
      </c>
      <c r="JR22" s="43">
        <f t="shared" si="120"/>
        <v>0</v>
      </c>
      <c r="JT22" s="42" t="str">
        <f t="shared" si="121"/>
        <v>CATERING</v>
      </c>
      <c r="JU22" s="43">
        <f t="shared" si="122"/>
        <v>0</v>
      </c>
      <c r="JW22" s="42" t="str">
        <f t="shared" si="123"/>
        <v>CATERING</v>
      </c>
      <c r="JX22" s="43">
        <f t="shared" si="124"/>
        <v>0</v>
      </c>
      <c r="JZ22" s="44">
        <f t="shared" si="125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7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>
        <v>2</v>
      </c>
      <c r="FR23" s="42" t="str">
        <f t="shared" si="55"/>
        <v>FOIL 12X1000</v>
      </c>
      <c r="FS23" s="43">
        <v>2</v>
      </c>
      <c r="FU23" s="42" t="str">
        <f t="shared" si="56"/>
        <v>FOIL 12X1000</v>
      </c>
      <c r="FV23" s="43"/>
      <c r="FX23" s="43">
        <f t="shared" si="57"/>
        <v>4</v>
      </c>
      <c r="FY23" s="42" t="str">
        <f t="shared" si="58"/>
        <v>FOIL 12X1000</v>
      </c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65"/>
        <v>0</v>
      </c>
      <c r="GS23" s="42" t="str">
        <f t="shared" si="66"/>
        <v>FOIL 12X1000</v>
      </c>
      <c r="GT23" s="43"/>
      <c r="GV23" s="42" t="str">
        <f t="shared" si="67"/>
        <v>FOIL 12X1000</v>
      </c>
      <c r="GW23" s="43"/>
      <c r="GY23" s="42" t="str">
        <f t="shared" si="68"/>
        <v>FOIL 12X1000</v>
      </c>
      <c r="GZ23" s="43"/>
      <c r="HB23" s="43">
        <f t="shared" si="69"/>
        <v>0</v>
      </c>
      <c r="HC23" s="42" t="str">
        <f t="shared" si="70"/>
        <v>FOIL 12X1000</v>
      </c>
      <c r="HD23" s="43">
        <f t="shared" si="71"/>
        <v>0</v>
      </c>
      <c r="HF23" s="42" t="str">
        <f t="shared" si="72"/>
        <v>FOIL 12X1000</v>
      </c>
      <c r="HG23" s="43">
        <f t="shared" si="73"/>
        <v>0</v>
      </c>
      <c r="HI23" s="42" t="str">
        <f t="shared" si="74"/>
        <v>FOIL 12X1000</v>
      </c>
      <c r="HJ23" s="43">
        <f t="shared" si="75"/>
        <v>0</v>
      </c>
      <c r="HL23" s="43">
        <f t="shared" si="76"/>
        <v>4</v>
      </c>
      <c r="HM23" s="42" t="str">
        <f t="shared" si="77"/>
        <v>FOIL 12X1000</v>
      </c>
      <c r="HN23" s="57">
        <f t="shared" si="78"/>
        <v>0</v>
      </c>
      <c r="HO23" s="44">
        <f t="shared" si="79"/>
        <v>0</v>
      </c>
      <c r="HP23" s="57">
        <f t="shared" si="80"/>
        <v>0</v>
      </c>
      <c r="HQ23" s="44">
        <f t="shared" si="81"/>
        <v>0</v>
      </c>
      <c r="HR23" s="57">
        <f t="shared" si="82"/>
        <v>0</v>
      </c>
      <c r="HS23" s="44">
        <f t="shared" si="83"/>
        <v>0</v>
      </c>
      <c r="HT23" s="57">
        <f t="shared" si="84"/>
        <v>0</v>
      </c>
      <c r="HU23" s="44">
        <f t="shared" si="85"/>
        <v>0</v>
      </c>
      <c r="HV23" s="57">
        <f t="shared" si="86"/>
        <v>0</v>
      </c>
      <c r="HW23" s="44">
        <f t="shared" si="87"/>
        <v>0</v>
      </c>
      <c r="HX23" s="57">
        <f t="shared" si="88"/>
        <v>0</v>
      </c>
      <c r="HY23" s="44">
        <f t="shared" si="89"/>
        <v>0</v>
      </c>
      <c r="HZ23" s="42" t="str">
        <f t="shared" si="90"/>
        <v>FOIL 12X1000</v>
      </c>
      <c r="IA23" s="57">
        <f t="shared" si="91"/>
        <v>0</v>
      </c>
      <c r="IB23" s="44">
        <f t="shared" si="92"/>
        <v>0</v>
      </c>
      <c r="IC23" s="57">
        <f t="shared" si="93"/>
        <v>0</v>
      </c>
      <c r="ID23" s="44">
        <f t="shared" si="94"/>
        <v>0</v>
      </c>
      <c r="IE23" s="57">
        <f t="shared" si="95"/>
        <v>0</v>
      </c>
      <c r="IF23" s="44">
        <f t="shared" si="96"/>
        <v>4</v>
      </c>
      <c r="IG23" s="57">
        <f t="shared" si="97"/>
        <v>0</v>
      </c>
      <c r="IH23" s="44">
        <f t="shared" si="98"/>
        <v>0</v>
      </c>
      <c r="II23" s="57">
        <f t="shared" si="99"/>
        <v>0</v>
      </c>
      <c r="IJ23" s="44"/>
      <c r="IK23" s="57"/>
      <c r="IL23" s="44">
        <f t="shared" si="100"/>
        <v>4</v>
      </c>
      <c r="IM23" s="42" t="str">
        <f t="shared" si="101"/>
        <v>FOIL 12X1000</v>
      </c>
      <c r="IN23" s="43">
        <f t="shared" si="102"/>
        <v>0</v>
      </c>
      <c r="IP23" s="42" t="str">
        <f t="shared" si="103"/>
        <v>FOIL 12X1000</v>
      </c>
      <c r="IQ23" s="43">
        <f t="shared" si="104"/>
        <v>0</v>
      </c>
      <c r="IS23" s="42" t="str">
        <f t="shared" si="105"/>
        <v>FOIL 12X1000</v>
      </c>
      <c r="IT23" s="43">
        <f t="shared" si="106"/>
        <v>0</v>
      </c>
      <c r="IV23" s="43"/>
      <c r="IW23" s="42" t="str">
        <f t="shared" si="107"/>
        <v>FOIL 12X1000</v>
      </c>
      <c r="IX23" s="43">
        <f t="shared" si="126"/>
        <v>0</v>
      </c>
      <c r="IZ23" s="42" t="str">
        <f t="shared" si="108"/>
        <v>FOIL 12X1000</v>
      </c>
      <c r="JA23" s="43">
        <f t="shared" si="109"/>
        <v>0</v>
      </c>
      <c r="JC23" s="42" t="str">
        <f t="shared" si="110"/>
        <v>FOIL 12X1000</v>
      </c>
      <c r="JD23" s="43">
        <f t="shared" si="111"/>
        <v>0</v>
      </c>
      <c r="JF23" s="43"/>
      <c r="JG23" s="42" t="str">
        <f t="shared" si="112"/>
        <v>FOIL 12X1000</v>
      </c>
      <c r="JH23" s="43">
        <f t="shared" si="113"/>
        <v>2</v>
      </c>
      <c r="JJ23" s="42" t="str">
        <f t="shared" si="114"/>
        <v>FOIL 12X1000</v>
      </c>
      <c r="JK23" s="43">
        <f t="shared" si="115"/>
        <v>0</v>
      </c>
      <c r="JM23" s="42" t="str">
        <f t="shared" si="116"/>
        <v>FOIL 12X1000</v>
      </c>
      <c r="JN23" s="43">
        <f t="shared" si="117"/>
        <v>0</v>
      </c>
      <c r="JP23" s="44">
        <f t="shared" si="118"/>
        <v>2</v>
      </c>
      <c r="JQ23" s="42" t="str">
        <f t="shared" si="119"/>
        <v>FOIL 12X1000</v>
      </c>
      <c r="JR23" s="43">
        <f t="shared" si="120"/>
        <v>2</v>
      </c>
      <c r="JT23" s="42" t="str">
        <f t="shared" si="121"/>
        <v>FOIL 12X1000</v>
      </c>
      <c r="JU23" s="43">
        <f t="shared" si="122"/>
        <v>0</v>
      </c>
      <c r="JW23" s="42" t="str">
        <f t="shared" si="123"/>
        <v>FOIL 12X1000</v>
      </c>
      <c r="JX23" s="43">
        <f t="shared" si="124"/>
        <v>0</v>
      </c>
      <c r="JZ23" s="44">
        <f t="shared" si="125"/>
        <v>2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7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>
        <v>5</v>
      </c>
      <c r="FR24" s="42" t="str">
        <f t="shared" si="55"/>
        <v>THREE COMP CONT</v>
      </c>
      <c r="FS24" s="43">
        <v>3</v>
      </c>
      <c r="FU24" s="42" t="str">
        <f t="shared" si="56"/>
        <v>THREE COMP CONT</v>
      </c>
      <c r="FV24" s="43"/>
      <c r="FX24" s="43">
        <f t="shared" si="57"/>
        <v>8</v>
      </c>
      <c r="FY24" s="42" t="str">
        <f t="shared" si="58"/>
        <v>THREE COMP CONT</v>
      </c>
      <c r="FZ24" s="43">
        <v>1</v>
      </c>
      <c r="GB24" s="42" t="str">
        <f t="shared" si="59"/>
        <v>THREE COMP CONT</v>
      </c>
      <c r="GC24" s="43">
        <v>2</v>
      </c>
      <c r="GE24" s="42" t="str">
        <f t="shared" si="60"/>
        <v>THREE COMP CONT</v>
      </c>
      <c r="GF24" s="43"/>
      <c r="GH24" s="43">
        <f t="shared" si="61"/>
        <v>3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65"/>
        <v>0</v>
      </c>
      <c r="GS24" s="42" t="str">
        <f t="shared" si="66"/>
        <v>THREE COMP CONT</v>
      </c>
      <c r="GT24" s="43"/>
      <c r="GV24" s="42" t="str">
        <f t="shared" si="67"/>
        <v>THREE COMP CONT</v>
      </c>
      <c r="GW24" s="43"/>
      <c r="GY24" s="42" t="str">
        <f t="shared" si="68"/>
        <v>THREE COMP CONT</v>
      </c>
      <c r="GZ24" s="43"/>
      <c r="HB24" s="43">
        <f t="shared" si="69"/>
        <v>0</v>
      </c>
      <c r="HC24" s="42" t="str">
        <f t="shared" si="70"/>
        <v>THREE COMP CONT</v>
      </c>
      <c r="HD24" s="43">
        <f t="shared" si="71"/>
        <v>0</v>
      </c>
      <c r="HF24" s="42" t="str">
        <f t="shared" si="72"/>
        <v>THREE COMP CONT</v>
      </c>
      <c r="HG24" s="43">
        <f t="shared" si="73"/>
        <v>0</v>
      </c>
      <c r="HI24" s="42" t="str">
        <f t="shared" si="74"/>
        <v>THREE COMP CONT</v>
      </c>
      <c r="HJ24" s="43">
        <f t="shared" si="75"/>
        <v>0</v>
      </c>
      <c r="HL24" s="43">
        <f t="shared" si="76"/>
        <v>11</v>
      </c>
      <c r="HM24" s="42" t="str">
        <f t="shared" si="77"/>
        <v>THREE COMP CONT</v>
      </c>
      <c r="HN24" s="57">
        <f t="shared" si="78"/>
        <v>0</v>
      </c>
      <c r="HO24" s="44">
        <f t="shared" si="79"/>
        <v>0</v>
      </c>
      <c r="HP24" s="57">
        <f t="shared" si="80"/>
        <v>0</v>
      </c>
      <c r="HQ24" s="44">
        <f t="shared" si="81"/>
        <v>0</v>
      </c>
      <c r="HR24" s="57">
        <f t="shared" si="82"/>
        <v>0</v>
      </c>
      <c r="HS24" s="44">
        <f t="shared" si="83"/>
        <v>0</v>
      </c>
      <c r="HT24" s="57">
        <f t="shared" si="84"/>
        <v>0</v>
      </c>
      <c r="HU24" s="44">
        <f t="shared" si="85"/>
        <v>0</v>
      </c>
      <c r="HV24" s="57">
        <f t="shared" si="86"/>
        <v>0</v>
      </c>
      <c r="HW24" s="44">
        <f t="shared" si="87"/>
        <v>0</v>
      </c>
      <c r="HX24" s="57">
        <f t="shared" si="88"/>
        <v>0</v>
      </c>
      <c r="HY24" s="44">
        <f t="shared" si="89"/>
        <v>0</v>
      </c>
      <c r="HZ24" s="42" t="str">
        <f t="shared" si="90"/>
        <v>THREE COMP CONT</v>
      </c>
      <c r="IA24" s="57">
        <f t="shared" si="91"/>
        <v>0</v>
      </c>
      <c r="IB24" s="44">
        <f t="shared" si="92"/>
        <v>0</v>
      </c>
      <c r="IC24" s="57">
        <f t="shared" si="93"/>
        <v>0</v>
      </c>
      <c r="ID24" s="44">
        <f t="shared" si="94"/>
        <v>0</v>
      </c>
      <c r="IE24" s="57">
        <f t="shared" si="95"/>
        <v>0</v>
      </c>
      <c r="IF24" s="44">
        <f t="shared" si="96"/>
        <v>8</v>
      </c>
      <c r="IG24" s="57">
        <f t="shared" si="97"/>
        <v>3</v>
      </c>
      <c r="IH24" s="44">
        <f t="shared" si="98"/>
        <v>0</v>
      </c>
      <c r="II24" s="57">
        <f t="shared" si="99"/>
        <v>0</v>
      </c>
      <c r="IJ24" s="44"/>
      <c r="IK24" s="57"/>
      <c r="IL24" s="44">
        <f t="shared" si="100"/>
        <v>11</v>
      </c>
      <c r="IM24" s="42" t="str">
        <f t="shared" si="101"/>
        <v>THREE COMP CONT</v>
      </c>
      <c r="IN24" s="43">
        <f t="shared" si="102"/>
        <v>0</v>
      </c>
      <c r="IP24" s="42" t="str">
        <f t="shared" si="103"/>
        <v>THREE COMP CONT</v>
      </c>
      <c r="IQ24" s="43">
        <f t="shared" si="104"/>
        <v>0</v>
      </c>
      <c r="IS24" s="42" t="str">
        <f t="shared" si="105"/>
        <v>THREE COMP CONT</v>
      </c>
      <c r="IT24" s="43">
        <f t="shared" si="106"/>
        <v>0</v>
      </c>
      <c r="IV24" s="43"/>
      <c r="IW24" s="42" t="str">
        <f t="shared" si="107"/>
        <v>THREE COMP CONT</v>
      </c>
      <c r="IX24" s="43">
        <f t="shared" si="126"/>
        <v>0</v>
      </c>
      <c r="IZ24" s="42" t="str">
        <f t="shared" si="108"/>
        <v>THREE COMP CONT</v>
      </c>
      <c r="JA24" s="43">
        <f t="shared" si="109"/>
        <v>0</v>
      </c>
      <c r="JC24" s="42" t="str">
        <f t="shared" si="110"/>
        <v>THREE COMP CONT</v>
      </c>
      <c r="JD24" s="43">
        <f t="shared" si="111"/>
        <v>0</v>
      </c>
      <c r="JF24" s="43"/>
      <c r="JG24" s="42" t="str">
        <f t="shared" si="112"/>
        <v>THREE COMP CONT</v>
      </c>
      <c r="JH24" s="43">
        <f t="shared" si="113"/>
        <v>5</v>
      </c>
      <c r="JJ24" s="42" t="str">
        <f t="shared" si="114"/>
        <v>THREE COMP CONT</v>
      </c>
      <c r="JK24" s="43">
        <f t="shared" si="115"/>
        <v>1</v>
      </c>
      <c r="JM24" s="42" t="str">
        <f t="shared" si="116"/>
        <v>THREE COMP CONT</v>
      </c>
      <c r="JN24" s="43">
        <f t="shared" si="117"/>
        <v>0</v>
      </c>
      <c r="JP24" s="44">
        <f t="shared" si="118"/>
        <v>6</v>
      </c>
      <c r="JQ24" s="42" t="str">
        <f t="shared" si="119"/>
        <v>THREE COMP CONT</v>
      </c>
      <c r="JR24" s="43">
        <f t="shared" si="120"/>
        <v>3</v>
      </c>
      <c r="JT24" s="42" t="str">
        <f t="shared" si="121"/>
        <v>THREE COMP CONT</v>
      </c>
      <c r="JU24" s="43">
        <f t="shared" si="122"/>
        <v>2</v>
      </c>
      <c r="JW24" s="42" t="str">
        <f t="shared" si="123"/>
        <v>THREE COMP CONT</v>
      </c>
      <c r="JX24" s="43">
        <f t="shared" si="124"/>
        <v>0</v>
      </c>
      <c r="JZ24" s="44">
        <f t="shared" si="125"/>
        <v>5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7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>
        <v>2</v>
      </c>
      <c r="FR25" s="42" t="str">
        <f t="shared" si="55"/>
        <v>ONE COMP CONT</v>
      </c>
      <c r="FS25" s="43">
        <v>2</v>
      </c>
      <c r="FU25" s="42" t="str">
        <f t="shared" si="56"/>
        <v>ONE COMP CONT</v>
      </c>
      <c r="FV25" s="43"/>
      <c r="FX25" s="43">
        <f t="shared" si="57"/>
        <v>4</v>
      </c>
      <c r="FY25" s="42" t="str">
        <f t="shared" si="58"/>
        <v>ONE COMP CONT</v>
      </c>
      <c r="FZ25" s="43"/>
      <c r="GB25" s="42" t="str">
        <f t="shared" si="59"/>
        <v>ONE COMP CONT</v>
      </c>
      <c r="GC25" s="43"/>
      <c r="GE25" s="42" t="str">
        <f t="shared" si="60"/>
        <v>ONE COMP CONT</v>
      </c>
      <c r="GF25" s="43"/>
      <c r="GH25" s="43">
        <f t="shared" si="61"/>
        <v>0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65"/>
        <v>0</v>
      </c>
      <c r="GS25" s="42" t="str">
        <f t="shared" si="66"/>
        <v>ONE COMP CONT</v>
      </c>
      <c r="GT25" s="43"/>
      <c r="GV25" s="42" t="str">
        <f t="shared" si="67"/>
        <v>ONE COMP CONT</v>
      </c>
      <c r="GW25" s="43"/>
      <c r="GY25" s="42" t="str">
        <f t="shared" si="68"/>
        <v>ONE COMP CONT</v>
      </c>
      <c r="GZ25" s="43"/>
      <c r="HB25" s="43">
        <f t="shared" si="69"/>
        <v>0</v>
      </c>
      <c r="HC25" s="42" t="str">
        <f t="shared" si="70"/>
        <v>ONE COMP CONT</v>
      </c>
      <c r="HD25" s="43">
        <f t="shared" si="71"/>
        <v>0</v>
      </c>
      <c r="HF25" s="42" t="str">
        <f t="shared" si="72"/>
        <v>ONE COMP CONT</v>
      </c>
      <c r="HG25" s="43">
        <f t="shared" si="73"/>
        <v>0</v>
      </c>
      <c r="HI25" s="42" t="str">
        <f t="shared" si="74"/>
        <v>ONE COMP CONT</v>
      </c>
      <c r="HJ25" s="43">
        <f t="shared" si="75"/>
        <v>0</v>
      </c>
      <c r="HL25" s="43">
        <f t="shared" si="76"/>
        <v>4</v>
      </c>
      <c r="HM25" s="42" t="str">
        <f t="shared" si="77"/>
        <v>ONE COMP CONT</v>
      </c>
      <c r="HN25" s="57">
        <f t="shared" si="78"/>
        <v>0</v>
      </c>
      <c r="HO25" s="44">
        <f t="shared" si="79"/>
        <v>0</v>
      </c>
      <c r="HP25" s="57">
        <f t="shared" si="80"/>
        <v>0</v>
      </c>
      <c r="HQ25" s="44">
        <f t="shared" si="81"/>
        <v>0</v>
      </c>
      <c r="HR25" s="57">
        <f t="shared" si="82"/>
        <v>0</v>
      </c>
      <c r="HS25" s="44">
        <f t="shared" si="83"/>
        <v>0</v>
      </c>
      <c r="HT25" s="57">
        <f t="shared" si="84"/>
        <v>0</v>
      </c>
      <c r="HU25" s="44">
        <f t="shared" si="85"/>
        <v>0</v>
      </c>
      <c r="HV25" s="57">
        <f t="shared" si="86"/>
        <v>0</v>
      </c>
      <c r="HW25" s="44">
        <f t="shared" si="87"/>
        <v>0</v>
      </c>
      <c r="HX25" s="57">
        <f t="shared" si="88"/>
        <v>0</v>
      </c>
      <c r="HY25" s="44">
        <f t="shared" si="89"/>
        <v>0</v>
      </c>
      <c r="HZ25" s="42" t="str">
        <f t="shared" si="90"/>
        <v>ONE COMP CONT</v>
      </c>
      <c r="IA25" s="57">
        <f t="shared" si="91"/>
        <v>0</v>
      </c>
      <c r="IB25" s="44">
        <f t="shared" si="92"/>
        <v>0</v>
      </c>
      <c r="IC25" s="57">
        <f t="shared" si="93"/>
        <v>0</v>
      </c>
      <c r="ID25" s="44">
        <f t="shared" si="94"/>
        <v>0</v>
      </c>
      <c r="IE25" s="57">
        <f t="shared" si="95"/>
        <v>0</v>
      </c>
      <c r="IF25" s="44">
        <f t="shared" si="96"/>
        <v>4</v>
      </c>
      <c r="IG25" s="57">
        <f t="shared" si="97"/>
        <v>0</v>
      </c>
      <c r="IH25" s="44">
        <f t="shared" si="98"/>
        <v>0</v>
      </c>
      <c r="II25" s="57">
        <f t="shared" si="99"/>
        <v>0</v>
      </c>
      <c r="IJ25" s="44"/>
      <c r="IK25" s="57"/>
      <c r="IL25" s="44">
        <f t="shared" si="100"/>
        <v>4</v>
      </c>
      <c r="IM25" s="42" t="str">
        <f t="shared" si="101"/>
        <v>ONE COMP CONT</v>
      </c>
      <c r="IN25" s="43">
        <f t="shared" si="102"/>
        <v>0</v>
      </c>
      <c r="IP25" s="42" t="str">
        <f t="shared" si="103"/>
        <v>ONE COMP CONT</v>
      </c>
      <c r="IQ25" s="43">
        <f t="shared" si="104"/>
        <v>0</v>
      </c>
      <c r="IS25" s="42" t="str">
        <f t="shared" si="105"/>
        <v>ONE COMP CONT</v>
      </c>
      <c r="IT25" s="43">
        <f t="shared" si="106"/>
        <v>0</v>
      </c>
      <c r="IV25" s="43"/>
      <c r="IW25" s="42" t="str">
        <f t="shared" si="107"/>
        <v>ONE COMP CONT</v>
      </c>
      <c r="IX25" s="43">
        <f t="shared" si="126"/>
        <v>0</v>
      </c>
      <c r="IZ25" s="42" t="str">
        <f t="shared" si="108"/>
        <v>ONE COMP CONT</v>
      </c>
      <c r="JA25" s="43">
        <f t="shared" si="109"/>
        <v>0</v>
      </c>
      <c r="JC25" s="42" t="str">
        <f t="shared" si="110"/>
        <v>ONE COMP CONT</v>
      </c>
      <c r="JD25" s="43">
        <f t="shared" si="111"/>
        <v>0</v>
      </c>
      <c r="JF25" s="43"/>
      <c r="JG25" s="42" t="str">
        <f t="shared" si="112"/>
        <v>ONE COMP CONT</v>
      </c>
      <c r="JH25" s="43">
        <f t="shared" si="113"/>
        <v>2</v>
      </c>
      <c r="JJ25" s="42" t="str">
        <f t="shared" si="114"/>
        <v>ONE COMP CONT</v>
      </c>
      <c r="JK25" s="43">
        <f t="shared" si="115"/>
        <v>0</v>
      </c>
      <c r="JM25" s="42" t="str">
        <f t="shared" si="116"/>
        <v>ONE COMP CONT</v>
      </c>
      <c r="JN25" s="43">
        <f t="shared" si="117"/>
        <v>0</v>
      </c>
      <c r="JP25" s="44">
        <f t="shared" si="118"/>
        <v>2</v>
      </c>
      <c r="JQ25" s="42" t="str">
        <f t="shared" si="119"/>
        <v>ONE COMP CONT</v>
      </c>
      <c r="JR25" s="43">
        <f t="shared" si="120"/>
        <v>2</v>
      </c>
      <c r="JT25" s="42" t="str">
        <f t="shared" si="121"/>
        <v>ONE COMP CONT</v>
      </c>
      <c r="JU25" s="43">
        <f t="shared" si="122"/>
        <v>0</v>
      </c>
      <c r="JW25" s="42" t="str">
        <f t="shared" si="123"/>
        <v>ONE COMP CONT</v>
      </c>
      <c r="JX25" s="43">
        <f t="shared" si="124"/>
        <v>0</v>
      </c>
      <c r="JZ25" s="44">
        <f t="shared" si="125"/>
        <v>2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7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>
        <v>2</v>
      </c>
      <c r="FR26" s="42" t="str">
        <f t="shared" si="55"/>
        <v>SUIZO CONT</v>
      </c>
      <c r="FS26" s="43">
        <v>1</v>
      </c>
      <c r="FU26" s="42" t="str">
        <f t="shared" si="56"/>
        <v>SUIZO CONT</v>
      </c>
      <c r="FV26" s="43"/>
      <c r="FX26" s="43">
        <f t="shared" si="57"/>
        <v>3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65"/>
        <v>0</v>
      </c>
      <c r="GS26" s="42" t="str">
        <f t="shared" si="66"/>
        <v>SUIZO CONT</v>
      </c>
      <c r="GT26" s="43"/>
      <c r="GV26" s="42" t="str">
        <f t="shared" si="67"/>
        <v>SUIZO CONT</v>
      </c>
      <c r="GW26" s="43"/>
      <c r="GY26" s="42" t="str">
        <f t="shared" si="68"/>
        <v>SUIZO CONT</v>
      </c>
      <c r="GZ26" s="43"/>
      <c r="HB26" s="43">
        <f t="shared" si="69"/>
        <v>0</v>
      </c>
      <c r="HC26" s="42" t="str">
        <f t="shared" si="70"/>
        <v>SUIZO CONT</v>
      </c>
      <c r="HD26" s="43">
        <f t="shared" si="71"/>
        <v>0</v>
      </c>
      <c r="HF26" s="42" t="str">
        <f t="shared" si="72"/>
        <v>SUIZO CONT</v>
      </c>
      <c r="HG26" s="43">
        <f t="shared" si="73"/>
        <v>0</v>
      </c>
      <c r="HI26" s="42" t="str">
        <f t="shared" si="74"/>
        <v>SUIZO CONT</v>
      </c>
      <c r="HJ26" s="43">
        <f t="shared" si="75"/>
        <v>0</v>
      </c>
      <c r="HL26" s="43">
        <f t="shared" si="76"/>
        <v>3</v>
      </c>
      <c r="HM26" s="42" t="str">
        <f t="shared" si="77"/>
        <v>SUIZO CONT</v>
      </c>
      <c r="HN26" s="57">
        <f t="shared" si="78"/>
        <v>0</v>
      </c>
      <c r="HO26" s="44">
        <f t="shared" si="79"/>
        <v>0</v>
      </c>
      <c r="HP26" s="57">
        <f t="shared" si="80"/>
        <v>0</v>
      </c>
      <c r="HQ26" s="44">
        <f t="shared" si="81"/>
        <v>0</v>
      </c>
      <c r="HR26" s="57">
        <f t="shared" si="82"/>
        <v>0</v>
      </c>
      <c r="HS26" s="44">
        <f t="shared" si="83"/>
        <v>0</v>
      </c>
      <c r="HT26" s="57">
        <f t="shared" si="84"/>
        <v>0</v>
      </c>
      <c r="HU26" s="44">
        <f t="shared" si="85"/>
        <v>0</v>
      </c>
      <c r="HV26" s="57">
        <f t="shared" si="86"/>
        <v>0</v>
      </c>
      <c r="HW26" s="44">
        <f t="shared" si="87"/>
        <v>0</v>
      </c>
      <c r="HX26" s="57">
        <f t="shared" si="88"/>
        <v>0</v>
      </c>
      <c r="HY26" s="44">
        <f t="shared" si="89"/>
        <v>0</v>
      </c>
      <c r="HZ26" s="42" t="str">
        <f t="shared" si="90"/>
        <v>SUIZO CONT</v>
      </c>
      <c r="IA26" s="57">
        <f t="shared" si="91"/>
        <v>0</v>
      </c>
      <c r="IB26" s="44">
        <f t="shared" si="92"/>
        <v>0</v>
      </c>
      <c r="IC26" s="57">
        <f t="shared" si="93"/>
        <v>0</v>
      </c>
      <c r="ID26" s="44">
        <f t="shared" si="94"/>
        <v>0</v>
      </c>
      <c r="IE26" s="57">
        <f t="shared" si="95"/>
        <v>0</v>
      </c>
      <c r="IF26" s="44">
        <f t="shared" si="96"/>
        <v>3</v>
      </c>
      <c r="IG26" s="57">
        <f t="shared" si="97"/>
        <v>0</v>
      </c>
      <c r="IH26" s="44">
        <f t="shared" si="98"/>
        <v>0</v>
      </c>
      <c r="II26" s="57">
        <f t="shared" si="99"/>
        <v>0</v>
      </c>
      <c r="IJ26" s="44"/>
      <c r="IK26" s="57"/>
      <c r="IL26" s="44">
        <f t="shared" si="100"/>
        <v>3</v>
      </c>
      <c r="IM26" s="42" t="str">
        <f t="shared" si="101"/>
        <v>SUIZO CONT</v>
      </c>
      <c r="IN26" s="43">
        <f t="shared" si="102"/>
        <v>0</v>
      </c>
      <c r="IP26" s="42" t="str">
        <f t="shared" si="103"/>
        <v>SUIZO CONT</v>
      </c>
      <c r="IQ26" s="43">
        <f t="shared" si="104"/>
        <v>0</v>
      </c>
      <c r="IS26" s="42" t="str">
        <f t="shared" si="105"/>
        <v>SUIZO CONT</v>
      </c>
      <c r="IT26" s="43">
        <f t="shared" si="106"/>
        <v>0</v>
      </c>
      <c r="IV26" s="43"/>
      <c r="IW26" s="42" t="str">
        <f t="shared" si="107"/>
        <v>SUIZO CONT</v>
      </c>
      <c r="IX26" s="43">
        <f t="shared" si="126"/>
        <v>0</v>
      </c>
      <c r="IZ26" s="42" t="str">
        <f t="shared" si="108"/>
        <v>SUIZO CONT</v>
      </c>
      <c r="JA26" s="43">
        <f t="shared" si="109"/>
        <v>0</v>
      </c>
      <c r="JC26" s="42" t="str">
        <f t="shared" si="110"/>
        <v>SUIZO CONT</v>
      </c>
      <c r="JD26" s="43">
        <f t="shared" si="111"/>
        <v>0</v>
      </c>
      <c r="JF26" s="43"/>
      <c r="JG26" s="42" t="str">
        <f t="shared" si="112"/>
        <v>SUIZO CONT</v>
      </c>
      <c r="JH26" s="43">
        <f t="shared" si="113"/>
        <v>2</v>
      </c>
      <c r="JJ26" s="42" t="str">
        <f t="shared" si="114"/>
        <v>SUIZO CONT</v>
      </c>
      <c r="JK26" s="43">
        <f t="shared" si="115"/>
        <v>0</v>
      </c>
      <c r="JM26" s="42" t="str">
        <f t="shared" si="116"/>
        <v>SUIZO CONT</v>
      </c>
      <c r="JN26" s="43">
        <f t="shared" si="117"/>
        <v>0</v>
      </c>
      <c r="JP26" s="44">
        <f t="shared" si="118"/>
        <v>2</v>
      </c>
      <c r="JQ26" s="42" t="str">
        <f t="shared" si="119"/>
        <v>SUIZO CONT</v>
      </c>
      <c r="JR26" s="43">
        <f t="shared" si="120"/>
        <v>1</v>
      </c>
      <c r="JT26" s="42" t="str">
        <f t="shared" si="121"/>
        <v>SUIZO CONT</v>
      </c>
      <c r="JU26" s="43">
        <f t="shared" si="122"/>
        <v>0</v>
      </c>
      <c r="JW26" s="42" t="str">
        <f t="shared" si="123"/>
        <v>SUIZO CONT</v>
      </c>
      <c r="JX26" s="43">
        <f t="shared" si="124"/>
        <v>0</v>
      </c>
      <c r="JZ26" s="44">
        <f t="shared" si="125"/>
        <v>1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7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/>
      <c r="GH27" s="43">
        <f t="shared" si="61"/>
        <v>0</v>
      </c>
      <c r="GI27" s="42" t="str">
        <f t="shared" si="62"/>
        <v>THERMAL PAPER</v>
      </c>
      <c r="GJ27" s="43"/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65"/>
        <v>0</v>
      </c>
      <c r="GS27" s="42" t="str">
        <f t="shared" si="66"/>
        <v>THERMAL PAPER</v>
      </c>
      <c r="GT27" s="43"/>
      <c r="GV27" s="42" t="str">
        <f t="shared" si="67"/>
        <v>THERMAL PAPER</v>
      </c>
      <c r="GW27" s="43"/>
      <c r="GY27" s="42" t="str">
        <f t="shared" si="68"/>
        <v>THERMAL PAPER</v>
      </c>
      <c r="GZ27" s="43"/>
      <c r="HB27" s="43">
        <f t="shared" si="69"/>
        <v>0</v>
      </c>
      <c r="HC27" s="42" t="str">
        <f t="shared" si="70"/>
        <v>THERMAL PAPER</v>
      </c>
      <c r="HD27" s="43">
        <f t="shared" si="71"/>
        <v>0</v>
      </c>
      <c r="HF27" s="42" t="str">
        <f t="shared" si="72"/>
        <v>THERMAL PAPER</v>
      </c>
      <c r="HG27" s="43">
        <f t="shared" si="73"/>
        <v>0</v>
      </c>
      <c r="HI27" s="42" t="str">
        <f t="shared" si="74"/>
        <v>THERMAL PAPER</v>
      </c>
      <c r="HJ27" s="43">
        <f t="shared" si="75"/>
        <v>0</v>
      </c>
      <c r="HL27" s="43">
        <f t="shared" si="76"/>
        <v>0</v>
      </c>
      <c r="HM27" s="42" t="str">
        <f t="shared" si="77"/>
        <v>THERMAL PAPER</v>
      </c>
      <c r="HN27" s="57">
        <f t="shared" si="78"/>
        <v>0</v>
      </c>
      <c r="HO27" s="44">
        <f t="shared" si="79"/>
        <v>0</v>
      </c>
      <c r="HP27" s="57">
        <f t="shared" si="80"/>
        <v>0</v>
      </c>
      <c r="HQ27" s="44">
        <f t="shared" si="81"/>
        <v>0</v>
      </c>
      <c r="HR27" s="57">
        <f t="shared" si="82"/>
        <v>0</v>
      </c>
      <c r="HS27" s="44">
        <f t="shared" si="83"/>
        <v>0</v>
      </c>
      <c r="HT27" s="57">
        <f t="shared" si="84"/>
        <v>0</v>
      </c>
      <c r="HU27" s="44">
        <f t="shared" si="85"/>
        <v>0</v>
      </c>
      <c r="HV27" s="57">
        <f t="shared" si="86"/>
        <v>0</v>
      </c>
      <c r="HW27" s="44">
        <f t="shared" si="87"/>
        <v>0</v>
      </c>
      <c r="HX27" s="57">
        <f t="shared" si="88"/>
        <v>0</v>
      </c>
      <c r="HY27" s="44">
        <f t="shared" si="89"/>
        <v>0</v>
      </c>
      <c r="HZ27" s="42" t="str">
        <f t="shared" si="90"/>
        <v>THERMAL PAPER</v>
      </c>
      <c r="IA27" s="57">
        <f t="shared" si="91"/>
        <v>0</v>
      </c>
      <c r="IB27" s="44">
        <f t="shared" si="92"/>
        <v>0</v>
      </c>
      <c r="IC27" s="57">
        <f t="shared" si="93"/>
        <v>0</v>
      </c>
      <c r="ID27" s="44">
        <f t="shared" si="94"/>
        <v>0</v>
      </c>
      <c r="IE27" s="57">
        <f t="shared" si="95"/>
        <v>0</v>
      </c>
      <c r="IF27" s="44">
        <f t="shared" si="96"/>
        <v>0</v>
      </c>
      <c r="IG27" s="57">
        <f t="shared" si="97"/>
        <v>0</v>
      </c>
      <c r="IH27" s="44">
        <f t="shared" si="98"/>
        <v>0</v>
      </c>
      <c r="II27" s="57">
        <f t="shared" si="99"/>
        <v>0</v>
      </c>
      <c r="IJ27" s="44"/>
      <c r="IK27" s="57"/>
      <c r="IL27" s="44">
        <f t="shared" si="100"/>
        <v>0</v>
      </c>
      <c r="IM27" s="42" t="str">
        <f t="shared" si="101"/>
        <v>THERMAL PAPER</v>
      </c>
      <c r="IN27" s="43">
        <f t="shared" si="102"/>
        <v>0</v>
      </c>
      <c r="IP27" s="42" t="str">
        <f t="shared" si="103"/>
        <v>THERMAL PAPER</v>
      </c>
      <c r="IQ27" s="43">
        <f t="shared" si="104"/>
        <v>0</v>
      </c>
      <c r="IS27" s="42" t="str">
        <f t="shared" si="105"/>
        <v>THERMAL PAPER</v>
      </c>
      <c r="IT27" s="43">
        <f t="shared" si="106"/>
        <v>0</v>
      </c>
      <c r="IV27" s="43"/>
      <c r="IW27" s="42" t="str">
        <f t="shared" si="107"/>
        <v>THERMAL PAPER</v>
      </c>
      <c r="IX27" s="43">
        <f t="shared" si="126"/>
        <v>0</v>
      </c>
      <c r="IZ27" s="42" t="str">
        <f t="shared" si="108"/>
        <v>THERMAL PAPER</v>
      </c>
      <c r="JA27" s="43">
        <f t="shared" si="109"/>
        <v>0</v>
      </c>
      <c r="JC27" s="42" t="str">
        <f t="shared" si="110"/>
        <v>THERMAL PAPER</v>
      </c>
      <c r="JD27" s="43">
        <f t="shared" si="111"/>
        <v>0</v>
      </c>
      <c r="JF27" s="43"/>
      <c r="JG27" s="42" t="str">
        <f t="shared" si="112"/>
        <v>THERMAL PAPER</v>
      </c>
      <c r="JH27" s="43">
        <f t="shared" si="113"/>
        <v>0</v>
      </c>
      <c r="JJ27" s="42" t="str">
        <f t="shared" si="114"/>
        <v>THERMAL PAPER</v>
      </c>
      <c r="JK27" s="43">
        <f t="shared" si="115"/>
        <v>0</v>
      </c>
      <c r="JM27" s="42" t="str">
        <f t="shared" si="116"/>
        <v>THERMAL PAPER</v>
      </c>
      <c r="JN27" s="43">
        <f t="shared" si="117"/>
        <v>0</v>
      </c>
      <c r="JP27" s="44">
        <f t="shared" si="118"/>
        <v>0</v>
      </c>
      <c r="JQ27" s="42" t="str">
        <f t="shared" si="119"/>
        <v>THERMAL PAPER</v>
      </c>
      <c r="JR27" s="43">
        <f t="shared" si="120"/>
        <v>0</v>
      </c>
      <c r="JT27" s="42" t="str">
        <f t="shared" si="121"/>
        <v>THERMAL PAPER</v>
      </c>
      <c r="JU27" s="43">
        <f t="shared" si="122"/>
        <v>0</v>
      </c>
      <c r="JW27" s="42" t="str">
        <f t="shared" si="123"/>
        <v>THERMAL PAPER</v>
      </c>
      <c r="JX27" s="43">
        <f t="shared" si="124"/>
        <v>0</v>
      </c>
      <c r="JZ27" s="44">
        <f t="shared" si="125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7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>
        <v>2</v>
      </c>
      <c r="FR28" s="42" t="str">
        <f t="shared" si="55"/>
        <v>COCO LOPEZ</v>
      </c>
      <c r="FS28" s="43"/>
      <c r="FU28" s="42" t="str">
        <f t="shared" si="56"/>
        <v>COCO LOPEZ</v>
      </c>
      <c r="FV28" s="43"/>
      <c r="FX28" s="43">
        <f t="shared" si="57"/>
        <v>2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65"/>
        <v>0</v>
      </c>
      <c r="GS28" s="42" t="str">
        <f t="shared" si="66"/>
        <v>COCO LOPEZ</v>
      </c>
      <c r="GT28" s="43"/>
      <c r="GV28" s="42" t="str">
        <f t="shared" si="67"/>
        <v>COCO LOPEZ</v>
      </c>
      <c r="GW28" s="43"/>
      <c r="GY28" s="42" t="str">
        <f t="shared" si="68"/>
        <v>COCO LOPEZ</v>
      </c>
      <c r="GZ28" s="43"/>
      <c r="HB28" s="43">
        <f t="shared" si="69"/>
        <v>0</v>
      </c>
      <c r="HC28" s="42" t="str">
        <f t="shared" si="70"/>
        <v>COCO LOPEZ</v>
      </c>
      <c r="HD28" s="43">
        <f t="shared" si="71"/>
        <v>0</v>
      </c>
      <c r="HF28" s="42" t="str">
        <f t="shared" si="72"/>
        <v>COCO LOPEZ</v>
      </c>
      <c r="HG28" s="43">
        <f t="shared" si="73"/>
        <v>0</v>
      </c>
      <c r="HI28" s="42" t="str">
        <f t="shared" si="74"/>
        <v>COCO LOPEZ</v>
      </c>
      <c r="HJ28" s="43">
        <f t="shared" si="75"/>
        <v>0</v>
      </c>
      <c r="HL28" s="43">
        <f t="shared" si="76"/>
        <v>2</v>
      </c>
      <c r="HM28" s="42" t="str">
        <f t="shared" si="77"/>
        <v>COCO LOPEZ</v>
      </c>
      <c r="HN28" s="57">
        <f t="shared" si="78"/>
        <v>0</v>
      </c>
      <c r="HO28" s="44">
        <f t="shared" si="79"/>
        <v>0</v>
      </c>
      <c r="HP28" s="57">
        <f t="shared" si="80"/>
        <v>0</v>
      </c>
      <c r="HQ28" s="44">
        <f t="shared" si="81"/>
        <v>0</v>
      </c>
      <c r="HR28" s="57">
        <f t="shared" si="82"/>
        <v>0</v>
      </c>
      <c r="HS28" s="44">
        <f t="shared" si="83"/>
        <v>0</v>
      </c>
      <c r="HT28" s="57">
        <f t="shared" si="84"/>
        <v>0</v>
      </c>
      <c r="HU28" s="44">
        <f t="shared" si="85"/>
        <v>0</v>
      </c>
      <c r="HV28" s="57">
        <f t="shared" si="86"/>
        <v>0</v>
      </c>
      <c r="HW28" s="44">
        <f t="shared" si="87"/>
        <v>0</v>
      </c>
      <c r="HX28" s="57">
        <f t="shared" si="88"/>
        <v>0</v>
      </c>
      <c r="HY28" s="44">
        <f t="shared" si="89"/>
        <v>0</v>
      </c>
      <c r="HZ28" s="42" t="str">
        <f t="shared" si="90"/>
        <v>COCO LOPEZ</v>
      </c>
      <c r="IA28" s="57">
        <f t="shared" si="91"/>
        <v>0</v>
      </c>
      <c r="IB28" s="44">
        <f t="shared" si="92"/>
        <v>0</v>
      </c>
      <c r="IC28" s="57">
        <f t="shared" si="93"/>
        <v>0</v>
      </c>
      <c r="ID28" s="44">
        <f t="shared" si="94"/>
        <v>0</v>
      </c>
      <c r="IE28" s="57">
        <f t="shared" si="95"/>
        <v>0</v>
      </c>
      <c r="IF28" s="44">
        <f t="shared" si="96"/>
        <v>2</v>
      </c>
      <c r="IG28" s="57">
        <f t="shared" si="97"/>
        <v>0</v>
      </c>
      <c r="IH28" s="44">
        <f t="shared" si="98"/>
        <v>0</v>
      </c>
      <c r="II28" s="57">
        <f t="shared" si="99"/>
        <v>0</v>
      </c>
      <c r="IJ28" s="44"/>
      <c r="IK28" s="57"/>
      <c r="IL28" s="44">
        <f t="shared" si="100"/>
        <v>2</v>
      </c>
      <c r="IM28" s="42" t="str">
        <f t="shared" si="101"/>
        <v>COCO LOPEZ</v>
      </c>
      <c r="IN28" s="43">
        <f t="shared" si="102"/>
        <v>0</v>
      </c>
      <c r="IP28" s="42" t="str">
        <f t="shared" si="103"/>
        <v>COCO LOPEZ</v>
      </c>
      <c r="IQ28" s="43">
        <f t="shared" si="104"/>
        <v>0</v>
      </c>
      <c r="IS28" s="42" t="str">
        <f t="shared" si="105"/>
        <v>COCO LOPEZ</v>
      </c>
      <c r="IT28" s="43">
        <f t="shared" si="106"/>
        <v>0</v>
      </c>
      <c r="IV28" s="43"/>
      <c r="IW28" s="42" t="str">
        <f t="shared" si="107"/>
        <v>COCO LOPEZ</v>
      </c>
      <c r="IX28" s="43">
        <f t="shared" si="126"/>
        <v>0</v>
      </c>
      <c r="IZ28" s="42" t="str">
        <f t="shared" si="108"/>
        <v>COCO LOPEZ</v>
      </c>
      <c r="JA28" s="43">
        <f t="shared" si="109"/>
        <v>0</v>
      </c>
      <c r="JC28" s="42" t="str">
        <f t="shared" si="110"/>
        <v>COCO LOPEZ</v>
      </c>
      <c r="JD28" s="43">
        <f t="shared" si="111"/>
        <v>0</v>
      </c>
      <c r="JF28" s="43"/>
      <c r="JG28" s="42" t="str">
        <f t="shared" si="112"/>
        <v>COCO LOPEZ</v>
      </c>
      <c r="JH28" s="43">
        <f t="shared" si="113"/>
        <v>2</v>
      </c>
      <c r="JJ28" s="42" t="str">
        <f t="shared" si="114"/>
        <v>COCO LOPEZ</v>
      </c>
      <c r="JK28" s="43">
        <f t="shared" si="115"/>
        <v>0</v>
      </c>
      <c r="JM28" s="42" t="str">
        <f t="shared" si="116"/>
        <v>COCO LOPEZ</v>
      </c>
      <c r="JN28" s="43">
        <f t="shared" si="117"/>
        <v>0</v>
      </c>
      <c r="JP28" s="44">
        <f t="shared" si="118"/>
        <v>2</v>
      </c>
      <c r="JQ28" s="42" t="str">
        <f t="shared" si="119"/>
        <v>COCO LOPEZ</v>
      </c>
      <c r="JR28" s="43">
        <f t="shared" si="120"/>
        <v>0</v>
      </c>
      <c r="JT28" s="42" t="str">
        <f t="shared" si="121"/>
        <v>COCO LOPEZ</v>
      </c>
      <c r="JU28" s="43">
        <f t="shared" si="122"/>
        <v>0</v>
      </c>
      <c r="JW28" s="42" t="str">
        <f t="shared" si="123"/>
        <v>COCO LOPEZ</v>
      </c>
      <c r="JX28" s="43">
        <f t="shared" si="124"/>
        <v>0</v>
      </c>
      <c r="JZ28" s="44">
        <f t="shared" si="125"/>
        <v>0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7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>
        <v>6</v>
      </c>
      <c r="FR29" s="24" t="str">
        <f t="shared" si="55"/>
        <v>TAPATIOS TACO M</v>
      </c>
      <c r="FS29" s="23">
        <v>8</v>
      </c>
      <c r="FU29" s="24" t="str">
        <f t="shared" si="56"/>
        <v>TAPATIOS TACO M</v>
      </c>
      <c r="FV29" s="23"/>
      <c r="FX29" s="23">
        <f t="shared" si="57"/>
        <v>14</v>
      </c>
      <c r="FY29" s="24" t="str">
        <f t="shared" si="58"/>
        <v>TAPATIOS TACO M</v>
      </c>
      <c r="FZ29" s="23">
        <v>9</v>
      </c>
      <c r="GB29" s="24" t="str">
        <f t="shared" si="59"/>
        <v>TAPATIOS TACO M</v>
      </c>
      <c r="GC29" s="23">
        <v>8</v>
      </c>
      <c r="GE29" s="24" t="str">
        <f t="shared" si="60"/>
        <v>TAPATIOS TACO M</v>
      </c>
      <c r="GF29" s="23"/>
      <c r="GH29" s="23">
        <f t="shared" si="61"/>
        <v>17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65"/>
        <v>0</v>
      </c>
      <c r="GS29" s="24" t="str">
        <f t="shared" si="66"/>
        <v>TAPATIOS TACO M</v>
      </c>
      <c r="GT29" s="23"/>
      <c r="GV29" s="24" t="str">
        <f t="shared" si="67"/>
        <v>TAPATIOS TACO M</v>
      </c>
      <c r="GW29" s="23"/>
      <c r="GY29" s="24" t="str">
        <f t="shared" si="68"/>
        <v>TAPATIOS TACO M</v>
      </c>
      <c r="GZ29" s="23"/>
      <c r="HB29" s="23">
        <f t="shared" si="69"/>
        <v>0</v>
      </c>
      <c r="HC29" s="24" t="str">
        <f t="shared" si="70"/>
        <v>TAPATIOS TACO M</v>
      </c>
      <c r="HD29" s="43">
        <f t="shared" si="71"/>
        <v>0</v>
      </c>
      <c r="HF29" s="24" t="str">
        <f t="shared" si="72"/>
        <v>TAPATIOS TACO M</v>
      </c>
      <c r="HG29" s="43">
        <f t="shared" si="73"/>
        <v>0</v>
      </c>
      <c r="HI29" s="24" t="str">
        <f t="shared" si="74"/>
        <v>TAPATIOS TACO M</v>
      </c>
      <c r="HJ29" s="43">
        <f t="shared" si="75"/>
        <v>0</v>
      </c>
      <c r="HL29" s="23">
        <f t="shared" si="76"/>
        <v>31</v>
      </c>
      <c r="HM29" s="24" t="str">
        <f t="shared" si="77"/>
        <v>TAPATIOS TACO M</v>
      </c>
      <c r="HN29" s="56">
        <f t="shared" si="78"/>
        <v>0</v>
      </c>
      <c r="HO29" s="25">
        <f t="shared" si="79"/>
        <v>0</v>
      </c>
      <c r="HP29" s="56">
        <f t="shared" si="80"/>
        <v>0</v>
      </c>
      <c r="HQ29" s="25">
        <f t="shared" si="81"/>
        <v>0</v>
      </c>
      <c r="HR29" s="56">
        <f t="shared" si="82"/>
        <v>0</v>
      </c>
      <c r="HS29" s="25">
        <f t="shared" si="83"/>
        <v>0</v>
      </c>
      <c r="HT29" s="56">
        <f t="shared" si="84"/>
        <v>0</v>
      </c>
      <c r="HU29" s="25">
        <f t="shared" si="85"/>
        <v>0</v>
      </c>
      <c r="HV29" s="56">
        <f t="shared" si="86"/>
        <v>0</v>
      </c>
      <c r="HW29" s="25">
        <f t="shared" si="87"/>
        <v>0</v>
      </c>
      <c r="HX29" s="56">
        <f t="shared" si="88"/>
        <v>0</v>
      </c>
      <c r="HY29" s="25">
        <f t="shared" si="89"/>
        <v>0</v>
      </c>
      <c r="HZ29" s="24" t="str">
        <f t="shared" si="90"/>
        <v>TAPATIOS TACO M</v>
      </c>
      <c r="IA29" s="56">
        <f t="shared" si="91"/>
        <v>0</v>
      </c>
      <c r="IB29" s="25">
        <f t="shared" si="92"/>
        <v>0</v>
      </c>
      <c r="IC29" s="56">
        <f t="shared" si="93"/>
        <v>0</v>
      </c>
      <c r="ID29" s="25">
        <f t="shared" si="94"/>
        <v>0</v>
      </c>
      <c r="IE29" s="56">
        <f t="shared" si="95"/>
        <v>0</v>
      </c>
      <c r="IF29" s="25">
        <f t="shared" si="96"/>
        <v>14</v>
      </c>
      <c r="IG29" s="56">
        <f t="shared" si="97"/>
        <v>17</v>
      </c>
      <c r="IH29" s="25">
        <f t="shared" si="98"/>
        <v>0</v>
      </c>
      <c r="II29" s="56">
        <f t="shared" si="99"/>
        <v>0</v>
      </c>
      <c r="IJ29" s="23"/>
      <c r="IK29" s="55"/>
      <c r="IL29" s="23">
        <f t="shared" si="100"/>
        <v>31</v>
      </c>
      <c r="IM29" s="24" t="str">
        <f t="shared" si="101"/>
        <v>TAPATIOS TACO M</v>
      </c>
      <c r="IN29" s="43">
        <f t="shared" si="102"/>
        <v>0</v>
      </c>
      <c r="IP29" s="24" t="str">
        <f t="shared" si="103"/>
        <v>TAPATIOS TACO M</v>
      </c>
      <c r="IQ29" s="43">
        <f t="shared" si="104"/>
        <v>0</v>
      </c>
      <c r="IS29" s="24" t="str">
        <f t="shared" si="105"/>
        <v>TAPATIOS TACO M</v>
      </c>
      <c r="IT29" s="43">
        <f t="shared" si="106"/>
        <v>0</v>
      </c>
      <c r="IV29" s="23"/>
      <c r="IW29" s="24" t="str">
        <f t="shared" si="107"/>
        <v>TAPATIOS TACO M</v>
      </c>
      <c r="IX29" s="43">
        <f t="shared" si="126"/>
        <v>0</v>
      </c>
      <c r="IZ29" s="24" t="str">
        <f t="shared" si="108"/>
        <v>TAPATIOS TACO M</v>
      </c>
      <c r="JA29" s="23">
        <f t="shared" si="109"/>
        <v>0</v>
      </c>
      <c r="JC29" s="24" t="str">
        <f t="shared" si="110"/>
        <v>TAPATIOS TACO M</v>
      </c>
      <c r="JD29" s="43">
        <f t="shared" si="111"/>
        <v>0</v>
      </c>
      <c r="JF29" s="23"/>
      <c r="JG29" s="24" t="str">
        <f t="shared" si="112"/>
        <v>TAPATIOS TACO M</v>
      </c>
      <c r="JH29" s="23">
        <f t="shared" si="113"/>
        <v>6</v>
      </c>
      <c r="JJ29" s="24" t="str">
        <f t="shared" si="114"/>
        <v>TAPATIOS TACO M</v>
      </c>
      <c r="JK29" s="23">
        <f t="shared" si="115"/>
        <v>9</v>
      </c>
      <c r="JM29" s="24" t="str">
        <f t="shared" si="116"/>
        <v>TAPATIOS TACO M</v>
      </c>
      <c r="JN29" s="23">
        <f t="shared" si="117"/>
        <v>0</v>
      </c>
      <c r="JP29" s="25">
        <f t="shared" si="118"/>
        <v>15</v>
      </c>
      <c r="JQ29" s="24" t="str">
        <f t="shared" si="119"/>
        <v>TAPATIOS TACO M</v>
      </c>
      <c r="JR29" s="23">
        <f t="shared" si="120"/>
        <v>8</v>
      </c>
      <c r="JT29" s="24" t="str">
        <f t="shared" si="121"/>
        <v>TAPATIOS TACO M</v>
      </c>
      <c r="JU29" s="23">
        <f t="shared" si="122"/>
        <v>8</v>
      </c>
      <c r="JV29" s="26"/>
      <c r="JW29" s="24" t="str">
        <f t="shared" si="123"/>
        <v>TAPATIOS TACO M</v>
      </c>
      <c r="JX29" s="23">
        <f t="shared" si="124"/>
        <v>0</v>
      </c>
      <c r="JZ29" s="23">
        <f t="shared" si="125"/>
        <v>16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54"/>
      <c r="HO30" s="28"/>
      <c r="HP30" s="54"/>
      <c r="HQ30" s="28"/>
      <c r="HR30" s="54"/>
      <c r="HS30" s="28"/>
      <c r="HT30" s="54"/>
      <c r="HU30" s="28"/>
      <c r="HV30" s="54"/>
      <c r="HW30" s="28"/>
      <c r="HX30" s="54"/>
      <c r="HY30" s="28"/>
      <c r="HZ30" s="27"/>
      <c r="IA30" s="54"/>
      <c r="IB30" s="28"/>
      <c r="IC30" s="54"/>
      <c r="ID30" s="28"/>
      <c r="IE30" s="54"/>
      <c r="IF30" s="28"/>
      <c r="IG30" s="54"/>
      <c r="IH30" s="28"/>
      <c r="II30" s="54"/>
      <c r="IJ30" s="28"/>
      <c r="IK30" s="54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19</v>
      </c>
      <c r="C31" s="7"/>
      <c r="D31" s="29" t="s">
        <v>19</v>
      </c>
      <c r="E31" s="30">
        <f>SUM(E11:E30)</f>
        <v>0</v>
      </c>
      <c r="F31" s="7"/>
      <c r="G31" s="29" t="s">
        <v>19</v>
      </c>
      <c r="H31" s="30">
        <f>SUM(H11:H30)</f>
        <v>0</v>
      </c>
      <c r="I31" s="7"/>
      <c r="J31" s="31">
        <f>SUM(J11:J30)</f>
        <v>19</v>
      </c>
      <c r="K31" s="29" t="s">
        <v>19</v>
      </c>
      <c r="L31" s="30">
        <f>SUM(L11:L30)</f>
        <v>47</v>
      </c>
      <c r="M31" s="32"/>
      <c r="N31" s="29" t="s">
        <v>19</v>
      </c>
      <c r="O31" s="30">
        <f>SUM(O11:O30)</f>
        <v>0</v>
      </c>
      <c r="P31" s="32"/>
      <c r="Q31" s="29" t="s">
        <v>19</v>
      </c>
      <c r="R31" s="30">
        <f>SUM(R11:R30)</f>
        <v>0</v>
      </c>
      <c r="S31" s="32"/>
      <c r="T31" s="31">
        <f>SUM(T11:T30)</f>
        <v>47</v>
      </c>
      <c r="U31" s="29" t="s">
        <v>19</v>
      </c>
      <c r="V31" s="30">
        <f>SUM(V11:V30)</f>
        <v>29</v>
      </c>
      <c r="W31" s="32"/>
      <c r="X31" s="29" t="s">
        <v>19</v>
      </c>
      <c r="Y31" s="30">
        <f>SUM(Y11:Y30)</f>
        <v>0</v>
      </c>
      <c r="Z31" s="32"/>
      <c r="AA31" s="29" t="s">
        <v>19</v>
      </c>
      <c r="AB31" s="30">
        <f>SUM(AB11:AB30)</f>
        <v>0</v>
      </c>
      <c r="AC31" s="32"/>
      <c r="AD31" s="31">
        <f>SUM(AD11:AD30)</f>
        <v>29</v>
      </c>
      <c r="AE31" s="29" t="s">
        <v>19</v>
      </c>
      <c r="AF31" s="30">
        <f>SUM(AF11:AF30)</f>
        <v>33</v>
      </c>
      <c r="AG31" s="32"/>
      <c r="AH31" s="29" t="s">
        <v>19</v>
      </c>
      <c r="AI31" s="30">
        <f>SUM(AI11:AI30)</f>
        <v>1</v>
      </c>
      <c r="AJ31" s="32"/>
      <c r="AK31" s="29" t="s">
        <v>19</v>
      </c>
      <c r="AL31" s="30">
        <f>SUM(AL11:AL30)</f>
        <v>0</v>
      </c>
      <c r="AM31" s="32"/>
      <c r="AN31" s="31">
        <f>SUM(AN11:AN30)</f>
        <v>34</v>
      </c>
      <c r="AO31" s="29" t="s">
        <v>19</v>
      </c>
      <c r="AP31" s="30">
        <f>SUM(AP11:AP30)</f>
        <v>19</v>
      </c>
      <c r="AQ31" s="32"/>
      <c r="AR31" s="29" t="s">
        <v>19</v>
      </c>
      <c r="AS31" s="30">
        <f>SUM(AS11:AS30)</f>
        <v>0</v>
      </c>
      <c r="AT31" s="32"/>
      <c r="AU31" s="29" t="s">
        <v>19</v>
      </c>
      <c r="AV31" s="30">
        <f>SUM(AV11:AV30)</f>
        <v>0</v>
      </c>
      <c r="AW31" s="32"/>
      <c r="AX31" s="31">
        <f>SUM(AX11:AX30)</f>
        <v>19</v>
      </c>
      <c r="AY31" s="29" t="s">
        <v>19</v>
      </c>
      <c r="AZ31" s="30">
        <f>SUM(AZ11:AZ30)</f>
        <v>17</v>
      </c>
      <c r="BA31" s="32"/>
      <c r="BB31" s="29" t="s">
        <v>19</v>
      </c>
      <c r="BC31" s="30">
        <f>SUM(BC11:BC30)</f>
        <v>0</v>
      </c>
      <c r="BD31" s="32"/>
      <c r="BE31" s="29" t="s">
        <v>19</v>
      </c>
      <c r="BF31" s="30">
        <f>SUM(BF11:BF30)</f>
        <v>0</v>
      </c>
      <c r="BG31" s="32"/>
      <c r="BH31" s="31">
        <f>SUM(BH11:BH30)</f>
        <v>17</v>
      </c>
      <c r="BI31" s="29" t="s">
        <v>19</v>
      </c>
      <c r="BJ31" s="30">
        <f>SUM(BJ11:BJ30)</f>
        <v>26</v>
      </c>
      <c r="BK31" s="32"/>
      <c r="BL31" s="29" t="s">
        <v>19</v>
      </c>
      <c r="BM31" s="30">
        <f>SUM(BM11:BM30)</f>
        <v>0</v>
      </c>
      <c r="BN31" s="32"/>
      <c r="BO31" s="29" t="s">
        <v>19</v>
      </c>
      <c r="BP31" s="30">
        <f>SUM(BP11:BP30)</f>
        <v>0</v>
      </c>
      <c r="BQ31" s="32"/>
      <c r="BR31" s="31">
        <f>SUM(BR11:BR30)</f>
        <v>26</v>
      </c>
      <c r="BS31" s="29" t="s">
        <v>19</v>
      </c>
      <c r="BT31" s="30">
        <f>SUM(BT11:BT30)</f>
        <v>32</v>
      </c>
      <c r="BU31" s="32"/>
      <c r="BV31" s="29" t="s">
        <v>19</v>
      </c>
      <c r="BW31" s="30">
        <f>SUM(BW11:BW30)</f>
        <v>2</v>
      </c>
      <c r="BX31" s="32"/>
      <c r="BY31" s="29" t="s">
        <v>19</v>
      </c>
      <c r="BZ31" s="30">
        <f>SUM(BZ11:BZ30)</f>
        <v>0</v>
      </c>
      <c r="CA31" s="32"/>
      <c r="CB31" s="31">
        <f>SUM(CB11:CB30)</f>
        <v>34</v>
      </c>
      <c r="CC31" s="29" t="s">
        <v>19</v>
      </c>
      <c r="CD31" s="30">
        <f>SUM(CD11:CD30)</f>
        <v>23.5</v>
      </c>
      <c r="CE31" s="32"/>
      <c r="CF31" s="29" t="s">
        <v>19</v>
      </c>
      <c r="CG31" s="30">
        <f>SUM(CG11:CG30)</f>
        <v>0</v>
      </c>
      <c r="CH31" s="32"/>
      <c r="CI31" s="29" t="s">
        <v>19</v>
      </c>
      <c r="CJ31" s="30">
        <f>SUM(CJ11:CJ30)</f>
        <v>0</v>
      </c>
      <c r="CK31" s="32"/>
      <c r="CL31" s="31">
        <f>SUM(CL11:CL30)</f>
        <v>23.5</v>
      </c>
      <c r="CM31" s="29" t="s">
        <v>19</v>
      </c>
      <c r="CN31" s="30">
        <f>SUM(CN11:CN30)</f>
        <v>14</v>
      </c>
      <c r="CO31" s="32"/>
      <c r="CP31" s="29" t="s">
        <v>19</v>
      </c>
      <c r="CQ31" s="30">
        <f>SUM(CQ11:CQ30)</f>
        <v>0</v>
      </c>
      <c r="CR31" s="32"/>
      <c r="CS31" s="29" t="s">
        <v>19</v>
      </c>
      <c r="CT31" s="30">
        <f>SUM(CT11:CT30)</f>
        <v>0</v>
      </c>
      <c r="CU31" s="32"/>
      <c r="CV31" s="31">
        <f>SUM(CV11:CV30)</f>
        <v>14</v>
      </c>
      <c r="CW31" s="29" t="s">
        <v>19</v>
      </c>
      <c r="CX31" s="30">
        <f>SUM(CX11:CX30)</f>
        <v>19</v>
      </c>
      <c r="CY31" s="32"/>
      <c r="CZ31" s="29" t="s">
        <v>19</v>
      </c>
      <c r="DA31" s="30">
        <f>SUM(DA11:DA30)</f>
        <v>0</v>
      </c>
      <c r="DB31" s="32"/>
      <c r="DC31" s="29" t="s">
        <v>19</v>
      </c>
      <c r="DD31" s="30">
        <f>SUM(DD11:DD30)</f>
        <v>0</v>
      </c>
      <c r="DE31" s="32"/>
      <c r="DF31" s="31">
        <f>SUM(DF11:DF30)</f>
        <v>19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>SUM(DK11:DK30)</f>
        <v>0</v>
      </c>
      <c r="DL31" s="32"/>
      <c r="DM31" s="29" t="s">
        <v>19</v>
      </c>
      <c r="DN31" s="30">
        <f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>SUM(DU11:DU30)</f>
        <v>0</v>
      </c>
      <c r="DV31" s="32"/>
      <c r="DW31" s="29" t="s">
        <v>19</v>
      </c>
      <c r="DX31" s="30">
        <f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>SUM(EE11:EE30)</f>
        <v>0</v>
      </c>
      <c r="EF31" s="32"/>
      <c r="EG31" s="29" t="s">
        <v>19</v>
      </c>
      <c r="EH31" s="30">
        <f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>SUM(EO11:EO30)</f>
        <v>0</v>
      </c>
      <c r="EP31" s="32"/>
      <c r="EQ31" s="29" t="s">
        <v>19</v>
      </c>
      <c r="ER31" s="30">
        <f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8</v>
      </c>
      <c r="EW31" s="32"/>
      <c r="EX31" s="29" t="s">
        <v>19</v>
      </c>
      <c r="EY31" s="30">
        <f>SUM(EY11:EY30)</f>
        <v>0</v>
      </c>
      <c r="EZ31" s="32"/>
      <c r="FA31" s="29" t="s">
        <v>19</v>
      </c>
      <c r="FB31" s="30">
        <f>SUM(FB11:FB30)</f>
        <v>0</v>
      </c>
      <c r="FC31" s="32"/>
      <c r="FD31" s="31">
        <f>SUM(FD11:FD30)</f>
        <v>8</v>
      </c>
      <c r="FE31" s="29" t="s">
        <v>19</v>
      </c>
      <c r="FF31" s="30">
        <f>SUM(FF11:FF30)</f>
        <v>4</v>
      </c>
      <c r="FG31" s="32"/>
      <c r="FH31" s="29" t="s">
        <v>19</v>
      </c>
      <c r="FI31" s="30">
        <f>SUM(FI11:FI30)</f>
        <v>0</v>
      </c>
      <c r="FJ31" s="32"/>
      <c r="FK31" s="29" t="s">
        <v>19</v>
      </c>
      <c r="FL31" s="30">
        <f>SUM(FL11:FL30)</f>
        <v>0</v>
      </c>
      <c r="FM31" s="32"/>
      <c r="FN31" s="31">
        <f>SUM(FN11:FN30)</f>
        <v>4</v>
      </c>
      <c r="FO31" s="29" t="s">
        <v>19</v>
      </c>
      <c r="FP31" s="30">
        <f>SUM(FP11:FP30)</f>
        <v>29</v>
      </c>
      <c r="FQ31" s="32"/>
      <c r="FR31" s="29" t="s">
        <v>19</v>
      </c>
      <c r="FS31" s="30">
        <f>SUM(FS11:FS30)</f>
        <v>30</v>
      </c>
      <c r="FT31" s="32"/>
      <c r="FU31" s="29" t="s">
        <v>19</v>
      </c>
      <c r="FV31" s="30">
        <f>SUM(FV11:FV30)</f>
        <v>0</v>
      </c>
      <c r="FW31" s="32"/>
      <c r="FX31" s="31">
        <f>SUM(FX11:FX30)</f>
        <v>59</v>
      </c>
      <c r="FY31" s="29" t="s">
        <v>19</v>
      </c>
      <c r="FZ31" s="30">
        <f>SUM(FZ11:FZ30)</f>
        <v>12</v>
      </c>
      <c r="GA31" s="32"/>
      <c r="GB31" s="29" t="s">
        <v>19</v>
      </c>
      <c r="GC31" s="30">
        <f>SUM(GC11:GC30)</f>
        <v>15</v>
      </c>
      <c r="GD31" s="32"/>
      <c r="GE31" s="29" t="s">
        <v>19</v>
      </c>
      <c r="GF31" s="30">
        <f>SUM(GF11:GF30)</f>
        <v>0</v>
      </c>
      <c r="GG31" s="32"/>
      <c r="GH31" s="31">
        <f>SUM(GH11:GH30)</f>
        <v>27</v>
      </c>
      <c r="GI31" s="29" t="s">
        <v>19</v>
      </c>
      <c r="GJ31" s="30">
        <f>SUM(GJ11:GJ30)</f>
        <v>4</v>
      </c>
      <c r="GK31" s="32"/>
      <c r="GL31" s="29" t="s">
        <v>19</v>
      </c>
      <c r="GM31" s="30">
        <f>SUM(GM11:GM30)</f>
        <v>5</v>
      </c>
      <c r="GN31" s="32"/>
      <c r="GO31" s="29" t="s">
        <v>19</v>
      </c>
      <c r="GP31" s="30">
        <f>SUM(GP11:GP30)</f>
        <v>0</v>
      </c>
      <c r="GQ31" s="32"/>
      <c r="GR31" s="31">
        <f>SUM(GR11:GR30)</f>
        <v>9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>SUM(GW11:GW30)</f>
        <v>0</v>
      </c>
      <c r="GX31" s="32"/>
      <c r="GY31" s="29" t="s">
        <v>19</v>
      </c>
      <c r="GZ31" s="30">
        <f>SUM(GZ11:GZ30)</f>
        <v>0</v>
      </c>
      <c r="HA31" s="32"/>
      <c r="HB31" s="31">
        <f>SUM(HB11:HB30)</f>
        <v>0</v>
      </c>
      <c r="HC31" s="29" t="s">
        <v>19</v>
      </c>
      <c r="HD31" s="30">
        <f>SUM(HD11:HD30)</f>
        <v>290.5</v>
      </c>
      <c r="HE31" s="32"/>
      <c r="HF31" s="29" t="s">
        <v>19</v>
      </c>
      <c r="HG31" s="30">
        <f>SUM(HG11:HG30)</f>
        <v>3</v>
      </c>
      <c r="HH31" s="32"/>
      <c r="HI31" s="29" t="s">
        <v>19</v>
      </c>
      <c r="HJ31" s="30">
        <f>SUM(HJ11:HJ30)</f>
        <v>0</v>
      </c>
      <c r="HK31" s="32"/>
      <c r="HL31" s="31">
        <f>SUM(HL11:HL30)</f>
        <v>388.5</v>
      </c>
      <c r="HM31" s="32" t="s">
        <v>19</v>
      </c>
      <c r="HN31" s="53">
        <f>J31</f>
        <v>19</v>
      </c>
      <c r="HO31" s="32">
        <f>T31</f>
        <v>47</v>
      </c>
      <c r="HP31" s="53">
        <f>AD31</f>
        <v>29</v>
      </c>
      <c r="HQ31" s="32">
        <f>AN31</f>
        <v>34</v>
      </c>
      <c r="HR31" s="53">
        <f>AX31</f>
        <v>19</v>
      </c>
      <c r="HS31" s="32">
        <f>BH31</f>
        <v>17</v>
      </c>
      <c r="HT31" s="53">
        <f>BR31</f>
        <v>26</v>
      </c>
      <c r="HU31" s="32">
        <f>CB31</f>
        <v>34</v>
      </c>
      <c r="HV31" s="53">
        <f>CL31</f>
        <v>23.5</v>
      </c>
      <c r="HW31" s="32">
        <f>CV31</f>
        <v>14</v>
      </c>
      <c r="HX31" s="53">
        <f>DF31</f>
        <v>19</v>
      </c>
      <c r="HY31" s="32">
        <f>DP31</f>
        <v>0</v>
      </c>
      <c r="HZ31" s="33" t="s">
        <v>19</v>
      </c>
      <c r="IA31" s="53">
        <f>DZ31</f>
        <v>0</v>
      </c>
      <c r="IB31" s="32">
        <f>ES31</f>
        <v>0</v>
      </c>
      <c r="IC31" s="53">
        <f>FC31</f>
        <v>0</v>
      </c>
      <c r="ID31" s="32">
        <f>FM31</f>
        <v>0</v>
      </c>
      <c r="IE31" s="53"/>
      <c r="IF31" s="32"/>
      <c r="IG31" s="53"/>
      <c r="IH31" s="32"/>
      <c r="II31" s="53"/>
      <c r="IJ31" s="32"/>
      <c r="IK31" s="53"/>
      <c r="IL31" s="32">
        <f>SUM(HN31:HY31)+SUM(IA31:IK31)</f>
        <v>281.5</v>
      </c>
      <c r="IM31" s="29" t="s">
        <v>19</v>
      </c>
      <c r="IN31" s="30">
        <f>SUM(IN11:IN30)</f>
        <v>206.5</v>
      </c>
      <c r="IO31" s="32"/>
      <c r="IP31" s="29" t="s">
        <v>19</v>
      </c>
      <c r="IQ31" s="30">
        <f>SUM(IQ11:IQ30)</f>
        <v>1</v>
      </c>
      <c r="IR31" s="32"/>
      <c r="IS31" s="29" t="s">
        <v>19</v>
      </c>
      <c r="IT31" s="30">
        <f>SUM(IT11:IT30)</f>
        <v>0</v>
      </c>
      <c r="IU31" s="32"/>
      <c r="IV31" s="31">
        <f>SUM(IV11:IV30)</f>
        <v>0</v>
      </c>
      <c r="IW31" s="29" t="s">
        <v>19</v>
      </c>
      <c r="IX31" s="30">
        <f>SUM(IX11:IX30)</f>
        <v>84</v>
      </c>
      <c r="IY31" s="32"/>
      <c r="IZ31" s="29" t="s">
        <v>19</v>
      </c>
      <c r="JA31" s="30">
        <f>SUM(JA11:JA30)</f>
        <v>2</v>
      </c>
      <c r="JB31" s="32"/>
      <c r="JC31" s="29" t="s">
        <v>19</v>
      </c>
      <c r="JD31" s="30">
        <f>SUM(JD11:JD30)</f>
        <v>0</v>
      </c>
      <c r="JE31" s="32"/>
      <c r="JF31" s="31">
        <f>SUM(JF11:JF30)</f>
        <v>0</v>
      </c>
      <c r="JG31" s="29" t="s">
        <v>19</v>
      </c>
      <c r="JH31" s="30">
        <f>SUM(JH11:JH30)</f>
        <v>29</v>
      </c>
      <c r="JI31" s="32"/>
      <c r="JJ31" s="29" t="s">
        <v>19</v>
      </c>
      <c r="JK31" s="30">
        <f>SUM(JK11:JK30)</f>
        <v>12</v>
      </c>
      <c r="JL31" s="32"/>
      <c r="JM31" s="29" t="s">
        <v>19</v>
      </c>
      <c r="JN31" s="30">
        <f>SUM(JN11:JN30)</f>
        <v>4</v>
      </c>
      <c r="JO31" s="32"/>
      <c r="JP31" s="31">
        <f>SUM(JP11:JP30)</f>
        <v>45</v>
      </c>
      <c r="JQ31" s="29" t="s">
        <v>19</v>
      </c>
      <c r="JR31" s="30">
        <f>SUM(JR11:JR30)</f>
        <v>30</v>
      </c>
      <c r="JS31" s="32"/>
      <c r="JT31" s="29" t="s">
        <v>19</v>
      </c>
      <c r="JU31" s="30">
        <f>SUM(JU11:JU30)</f>
        <v>15</v>
      </c>
      <c r="JV31" s="32"/>
      <c r="JW31" s="29" t="s">
        <v>19</v>
      </c>
      <c r="JX31" s="30">
        <f>SUM(JX11:JX30)</f>
        <v>5</v>
      </c>
      <c r="JY31" s="32"/>
      <c r="JZ31" s="31">
        <f>SUM(JZ11:JZ30)</f>
        <v>50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JG30:JH30"/>
    <mergeCell ref="JJ30:JK30"/>
    <mergeCell ref="JM30:JN30"/>
    <mergeCell ref="JQ30:JR30"/>
    <mergeCell ref="JT30:JU30"/>
    <mergeCell ref="JW30:JX30"/>
    <mergeCell ref="IM30:IN30"/>
    <mergeCell ref="IP30:IQ30"/>
    <mergeCell ref="IS30:IT30"/>
    <mergeCell ref="IW30:IX30"/>
    <mergeCell ref="IZ30:JA30"/>
    <mergeCell ref="JC30:JD30"/>
    <mergeCell ref="GS30:GT30"/>
    <mergeCell ref="GV30:GW30"/>
    <mergeCell ref="GY30:GZ30"/>
    <mergeCell ref="HC30:HD30"/>
    <mergeCell ref="HF30:HG30"/>
    <mergeCell ref="HI30:HJ30"/>
    <mergeCell ref="FY30:FZ30"/>
    <mergeCell ref="GB30:GC30"/>
    <mergeCell ref="GE30:GF30"/>
    <mergeCell ref="GI30:GJ30"/>
    <mergeCell ref="GL30:GM30"/>
    <mergeCell ref="GO30:GP30"/>
    <mergeCell ref="FE30:FF30"/>
    <mergeCell ref="FH30:FI30"/>
    <mergeCell ref="FK30:FL30"/>
    <mergeCell ref="FO30:FP30"/>
    <mergeCell ref="FR30:FS30"/>
    <mergeCell ref="FU30:FV30"/>
    <mergeCell ref="EK30:EL30"/>
    <mergeCell ref="EN30:EO30"/>
    <mergeCell ref="EQ30:ER30"/>
    <mergeCell ref="EU30:EV30"/>
    <mergeCell ref="EX30:EY30"/>
    <mergeCell ref="FA30:FB30"/>
    <mergeCell ref="DQ30:DR30"/>
    <mergeCell ref="DT30:DU30"/>
    <mergeCell ref="DW30:DX30"/>
    <mergeCell ref="EA30:EB30"/>
    <mergeCell ref="ED30:EE30"/>
    <mergeCell ref="EG30:EH30"/>
    <mergeCell ref="CW30:CX30"/>
    <mergeCell ref="CZ30:DA30"/>
    <mergeCell ref="DC30:DD30"/>
    <mergeCell ref="DG30:DH30"/>
    <mergeCell ref="DJ30:DK30"/>
    <mergeCell ref="DM30:DN30"/>
    <mergeCell ref="CC30:CD30"/>
    <mergeCell ref="CF30:CG30"/>
    <mergeCell ref="CI30:CJ30"/>
    <mergeCell ref="CM30:CN30"/>
    <mergeCell ref="CP30:CQ30"/>
    <mergeCell ref="CS30:CT30"/>
    <mergeCell ref="BI30:BJ30"/>
    <mergeCell ref="BL30:BM30"/>
    <mergeCell ref="BO30:BP30"/>
    <mergeCell ref="BS30:BT30"/>
    <mergeCell ref="BV30:BW30"/>
    <mergeCell ref="BY30:BZ30"/>
    <mergeCell ref="AO30:AP30"/>
    <mergeCell ref="AR30:AS30"/>
    <mergeCell ref="AU30:AV30"/>
    <mergeCell ref="AY30:AZ30"/>
    <mergeCell ref="BB30:BC30"/>
    <mergeCell ref="BE30:BF30"/>
    <mergeCell ref="U30:V30"/>
    <mergeCell ref="X30:Y30"/>
    <mergeCell ref="AA30:AB30"/>
    <mergeCell ref="AE30:AF30"/>
    <mergeCell ref="AH30:AI30"/>
    <mergeCell ref="AK30:AL30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IS9:IT9"/>
    <mergeCell ref="IW9:IX9"/>
    <mergeCell ref="IZ9:JA9"/>
    <mergeCell ref="JC9:JD9"/>
    <mergeCell ref="JG9:JH9"/>
    <mergeCell ref="JJ9:JK9"/>
    <mergeCell ref="GY9:GZ9"/>
    <mergeCell ref="HC9:HD9"/>
    <mergeCell ref="HF9:HG9"/>
    <mergeCell ref="HI9:HJ9"/>
    <mergeCell ref="IM9:IN9"/>
    <mergeCell ref="IP9:IQ9"/>
    <mergeCell ref="GE9:GF9"/>
    <mergeCell ref="GI9:GJ9"/>
    <mergeCell ref="GL9:GM9"/>
    <mergeCell ref="GO9:GP9"/>
    <mergeCell ref="GS9:GT9"/>
    <mergeCell ref="GV9:GW9"/>
    <mergeCell ref="FK9:FL9"/>
    <mergeCell ref="FO9:FP9"/>
    <mergeCell ref="FR9:FS9"/>
    <mergeCell ref="FU9:FV9"/>
    <mergeCell ref="FY9:FZ9"/>
    <mergeCell ref="GB9:GC9"/>
    <mergeCell ref="EQ9:ER9"/>
    <mergeCell ref="EU9:EV9"/>
    <mergeCell ref="EX9:EY9"/>
    <mergeCell ref="FA9:FB9"/>
    <mergeCell ref="FE9:FF9"/>
    <mergeCell ref="FH9:FI9"/>
    <mergeCell ref="DW9:DX9"/>
    <mergeCell ref="EA9:EB9"/>
    <mergeCell ref="ED9:EE9"/>
    <mergeCell ref="EG9:EH9"/>
    <mergeCell ref="EK9:EL9"/>
    <mergeCell ref="EN9:EO9"/>
    <mergeCell ref="DC9:DD9"/>
    <mergeCell ref="DG9:DH9"/>
    <mergeCell ref="DJ9:DK9"/>
    <mergeCell ref="DM9:DN9"/>
    <mergeCell ref="DQ9:DR9"/>
    <mergeCell ref="DT9:DU9"/>
    <mergeCell ref="CI9:CJ9"/>
    <mergeCell ref="CM9:CN9"/>
    <mergeCell ref="CP9:CQ9"/>
    <mergeCell ref="CS9:CT9"/>
    <mergeCell ref="CW9:CX9"/>
    <mergeCell ref="CZ9:DA9"/>
    <mergeCell ref="BO9:BP9"/>
    <mergeCell ref="BS9:BT9"/>
    <mergeCell ref="BV9:BW9"/>
    <mergeCell ref="BY9:BZ9"/>
    <mergeCell ref="CC9:CD9"/>
    <mergeCell ref="CF9:CG9"/>
    <mergeCell ref="AU9:AV9"/>
    <mergeCell ref="AY9:AZ9"/>
    <mergeCell ref="BB9:BC9"/>
    <mergeCell ref="BE9:BF9"/>
    <mergeCell ref="BI9:BJ9"/>
    <mergeCell ref="BL9:BM9"/>
    <mergeCell ref="AA9:AB9"/>
    <mergeCell ref="AE9:AF9"/>
    <mergeCell ref="AH9:AI9"/>
    <mergeCell ref="AK9:AL9"/>
    <mergeCell ref="AO9:AP9"/>
    <mergeCell ref="AR9:AS9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IZ8:JA8"/>
    <mergeCell ref="JC8:JD8"/>
    <mergeCell ref="JG8:JH8"/>
    <mergeCell ref="JJ8:JK8"/>
    <mergeCell ref="JM8:JN8"/>
    <mergeCell ref="JQ8:JR8"/>
    <mergeCell ref="HM8:HY8"/>
    <mergeCell ref="HZ8:IL8"/>
    <mergeCell ref="IM8:IN8"/>
    <mergeCell ref="IP8:IQ8"/>
    <mergeCell ref="IS8:IT8"/>
    <mergeCell ref="IW8:IX8"/>
    <mergeCell ref="GS8:GT8"/>
    <mergeCell ref="GV8:GW8"/>
    <mergeCell ref="GY8:GZ8"/>
    <mergeCell ref="HC8:HD8"/>
    <mergeCell ref="HF8:HG8"/>
    <mergeCell ref="HI8:HJ8"/>
    <mergeCell ref="FY8:FZ8"/>
    <mergeCell ref="GB8:GC8"/>
    <mergeCell ref="GE8:GF8"/>
    <mergeCell ref="GI8:GJ8"/>
    <mergeCell ref="GL8:GM8"/>
    <mergeCell ref="GO8:GP8"/>
    <mergeCell ref="FE8:FF8"/>
    <mergeCell ref="FH8:FI8"/>
    <mergeCell ref="FK8:FL8"/>
    <mergeCell ref="FO8:FP8"/>
    <mergeCell ref="FR8:FS8"/>
    <mergeCell ref="FU8:FV8"/>
    <mergeCell ref="EK8:EL8"/>
    <mergeCell ref="EN8:EO8"/>
    <mergeCell ref="EQ8:ER8"/>
    <mergeCell ref="EU8:EV8"/>
    <mergeCell ref="EX8:EY8"/>
    <mergeCell ref="FA8:FB8"/>
    <mergeCell ref="DQ8:DR8"/>
    <mergeCell ref="DT8:DU8"/>
    <mergeCell ref="DW8:DX8"/>
    <mergeCell ref="EA8:EB8"/>
    <mergeCell ref="ED8:EE8"/>
    <mergeCell ref="EG8:EH8"/>
    <mergeCell ref="DC8:DD8"/>
    <mergeCell ref="DG8:DH8"/>
    <mergeCell ref="DJ8:DK8"/>
    <mergeCell ref="DM8:DN8"/>
    <mergeCell ref="CC8:CD8"/>
    <mergeCell ref="CF8:CG8"/>
    <mergeCell ref="CI8:CJ8"/>
    <mergeCell ref="CM8:CN8"/>
    <mergeCell ref="CP8:CQ8"/>
    <mergeCell ref="CS8:CT8"/>
    <mergeCell ref="U8:V8"/>
    <mergeCell ref="X8:Y8"/>
    <mergeCell ref="AA8:AB8"/>
    <mergeCell ref="AE8:AF8"/>
    <mergeCell ref="AH8:AI8"/>
    <mergeCell ref="AK8:AL8"/>
    <mergeCell ref="IM7:IV7"/>
    <mergeCell ref="IW7:JF7"/>
    <mergeCell ref="JG7:JP7"/>
    <mergeCell ref="DG7:DP7"/>
    <mergeCell ref="BI8:BJ8"/>
    <mergeCell ref="BL8:BM8"/>
    <mergeCell ref="BO8:BP8"/>
    <mergeCell ref="BS8:BT8"/>
    <mergeCell ref="BV8:BW8"/>
    <mergeCell ref="BY8:BZ8"/>
    <mergeCell ref="AO8:AP8"/>
    <mergeCell ref="AR8:AS8"/>
    <mergeCell ref="AU8:AV8"/>
    <mergeCell ref="AY8:AZ8"/>
    <mergeCell ref="BB8:BC8"/>
    <mergeCell ref="BE8:BF8"/>
    <mergeCell ref="CW8:CX8"/>
    <mergeCell ref="CZ8:DA8"/>
    <mergeCell ref="JQ7:JZ7"/>
    <mergeCell ref="A8:B8"/>
    <mergeCell ref="D8:E8"/>
    <mergeCell ref="G8:H8"/>
    <mergeCell ref="K8:L8"/>
    <mergeCell ref="N8:O8"/>
    <mergeCell ref="Q8:R8"/>
    <mergeCell ref="FY7:GH7"/>
    <mergeCell ref="GI7:GR7"/>
    <mergeCell ref="GS7:HB7"/>
    <mergeCell ref="HC7:HL7"/>
    <mergeCell ref="HM7:HY7"/>
    <mergeCell ref="HZ7:IL7"/>
    <mergeCell ref="DQ7:DZ7"/>
    <mergeCell ref="EA7:EJ7"/>
    <mergeCell ref="EK7:ET7"/>
    <mergeCell ref="EU7:FD7"/>
    <mergeCell ref="FE7:FN7"/>
    <mergeCell ref="FO7:FX7"/>
    <mergeCell ref="BI7:BR7"/>
    <mergeCell ref="BS7:CB7"/>
    <mergeCell ref="CC7:CL7"/>
    <mergeCell ref="CM7:CV7"/>
    <mergeCell ref="CW7:DF7"/>
    <mergeCell ref="A7:J7"/>
    <mergeCell ref="K7:T7"/>
    <mergeCell ref="U7:AD7"/>
    <mergeCell ref="AE7:AN7"/>
    <mergeCell ref="AO7:AX7"/>
    <mergeCell ref="AY7:BH7"/>
    <mergeCell ref="JG6:JH6"/>
    <mergeCell ref="JJ6:JK6"/>
    <mergeCell ref="JM6:JN6"/>
    <mergeCell ref="GS6:GT6"/>
    <mergeCell ref="GV6:GW6"/>
    <mergeCell ref="GY6:GZ6"/>
    <mergeCell ref="HC6:HD6"/>
    <mergeCell ref="HF6:HG6"/>
    <mergeCell ref="HI6:HJ6"/>
    <mergeCell ref="FY6:FZ6"/>
    <mergeCell ref="GB6:GC6"/>
    <mergeCell ref="GE6:GF6"/>
    <mergeCell ref="GI6:GJ6"/>
    <mergeCell ref="GL6:GM6"/>
    <mergeCell ref="GO6:GP6"/>
    <mergeCell ref="FE6:FF6"/>
    <mergeCell ref="FH6:FI6"/>
    <mergeCell ref="FK6:FL6"/>
    <mergeCell ref="JQ6:JR6"/>
    <mergeCell ref="JT6:JU6"/>
    <mergeCell ref="JW6:JX6"/>
    <mergeCell ref="IM6:IN6"/>
    <mergeCell ref="IP6:IQ6"/>
    <mergeCell ref="IS6:IT6"/>
    <mergeCell ref="IW6:IX6"/>
    <mergeCell ref="IZ6:JA6"/>
    <mergeCell ref="JC6:JD6"/>
    <mergeCell ref="FO6:FP6"/>
    <mergeCell ref="FR6:FS6"/>
    <mergeCell ref="FU6:FV6"/>
    <mergeCell ref="EK6:EL6"/>
    <mergeCell ref="EN6:EO6"/>
    <mergeCell ref="EQ6:ER6"/>
    <mergeCell ref="EU6:EV6"/>
    <mergeCell ref="EX6:EY6"/>
    <mergeCell ref="FA6:FB6"/>
    <mergeCell ref="DQ6:DR6"/>
    <mergeCell ref="DT6:DU6"/>
    <mergeCell ref="DW6:DX6"/>
    <mergeCell ref="EA6:EB6"/>
    <mergeCell ref="ED6:EE6"/>
    <mergeCell ref="EG6:EH6"/>
    <mergeCell ref="CW6:CX6"/>
    <mergeCell ref="CZ6:DA6"/>
    <mergeCell ref="DC6:DD6"/>
    <mergeCell ref="DG6:DH6"/>
    <mergeCell ref="DJ6:DK6"/>
    <mergeCell ref="DM6:DN6"/>
    <mergeCell ref="CC6:CD6"/>
    <mergeCell ref="CF6:CG6"/>
    <mergeCell ref="CI6:CJ6"/>
    <mergeCell ref="CM6:CN6"/>
    <mergeCell ref="CP6:CQ6"/>
    <mergeCell ref="CS6:CT6"/>
    <mergeCell ref="BI6:BJ6"/>
    <mergeCell ref="BL6:BM6"/>
    <mergeCell ref="BO6:BP6"/>
    <mergeCell ref="BS6:BT6"/>
    <mergeCell ref="BV6:BW6"/>
    <mergeCell ref="BY6:BZ6"/>
    <mergeCell ref="AO6:AP6"/>
    <mergeCell ref="AR6:AS6"/>
    <mergeCell ref="AU6:AV6"/>
    <mergeCell ref="AY6:AZ6"/>
    <mergeCell ref="BB6:BC6"/>
    <mergeCell ref="BE6:BF6"/>
    <mergeCell ref="U6:V6"/>
    <mergeCell ref="X6:Y6"/>
    <mergeCell ref="AA6:AB6"/>
    <mergeCell ref="AE6:AF6"/>
    <mergeCell ref="AH6:AI6"/>
    <mergeCell ref="AK6:AL6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FY5:FZ5"/>
    <mergeCell ref="GI5:GJ5"/>
    <mergeCell ref="GS5:GT5"/>
    <mergeCell ref="HC5:HD5"/>
    <mergeCell ref="HM5:HN5"/>
    <mergeCell ref="HZ5:IA5"/>
    <mergeCell ref="DQ5:DR5"/>
    <mergeCell ref="EA5:EB5"/>
    <mergeCell ref="EK5:EL5"/>
    <mergeCell ref="EU5:EV5"/>
    <mergeCell ref="FE5:FF5"/>
    <mergeCell ref="FO5:FP5"/>
    <mergeCell ref="BI5:BJ5"/>
    <mergeCell ref="BS5:BT5"/>
    <mergeCell ref="CC5:CD5"/>
    <mergeCell ref="CM5:CN5"/>
    <mergeCell ref="CW5:CX5"/>
    <mergeCell ref="DG5:DH5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FY4:FZ4"/>
    <mergeCell ref="GI4:GJ4"/>
    <mergeCell ref="GS4:GT4"/>
    <mergeCell ref="HC4:HD4"/>
    <mergeCell ref="HM4:HN4"/>
    <mergeCell ref="HZ4:IA4"/>
    <mergeCell ref="DQ4:DR4"/>
    <mergeCell ref="EA4:EB4"/>
    <mergeCell ref="EK4:EL4"/>
    <mergeCell ref="EU4:EV4"/>
    <mergeCell ref="FE4:FF4"/>
    <mergeCell ref="FO4:FP4"/>
    <mergeCell ref="BI4:BJ4"/>
    <mergeCell ref="BS4:BT4"/>
    <mergeCell ref="CC4:CD4"/>
    <mergeCell ref="CM4:CN4"/>
    <mergeCell ref="CW4:CX4"/>
    <mergeCell ref="DG4:DH4"/>
    <mergeCell ref="IM3:IN3"/>
    <mergeCell ref="CM3:CN3"/>
    <mergeCell ref="CW3:CX3"/>
    <mergeCell ref="DG3:DH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FY3:FZ3"/>
    <mergeCell ref="GI3:GJ3"/>
    <mergeCell ref="GS3:GT3"/>
    <mergeCell ref="HC3:HD3"/>
    <mergeCell ref="HM3:HN3"/>
    <mergeCell ref="HZ3:IA3"/>
    <mergeCell ref="DQ3:DR3"/>
    <mergeCell ref="EA3:EB3"/>
    <mergeCell ref="EK3:EL3"/>
    <mergeCell ref="EU3:EV3"/>
    <mergeCell ref="FE3:FF3"/>
    <mergeCell ref="FO3:FP3"/>
    <mergeCell ref="BI3:BJ3"/>
    <mergeCell ref="BS3:BT3"/>
    <mergeCell ref="CC3:CD3"/>
    <mergeCell ref="A3:B3"/>
    <mergeCell ref="K3:L3"/>
    <mergeCell ref="U3:V3"/>
    <mergeCell ref="AE3:AF3"/>
    <mergeCell ref="AO3:AP3"/>
    <mergeCell ref="AY3:AZ3"/>
    <mergeCell ref="JG2:JH2"/>
    <mergeCell ref="JJ2:JK2"/>
    <mergeCell ref="JM2:JN2"/>
    <mergeCell ref="GS2:GT2"/>
    <mergeCell ref="GV2:GW2"/>
    <mergeCell ref="GY2:GZ2"/>
    <mergeCell ref="HC2:HD2"/>
    <mergeCell ref="HF2:HG2"/>
    <mergeCell ref="HI2:HJ2"/>
    <mergeCell ref="FY2:FZ2"/>
    <mergeCell ref="GB2:GC2"/>
    <mergeCell ref="GE2:GF2"/>
    <mergeCell ref="GI2:GJ2"/>
    <mergeCell ref="GL2:GM2"/>
    <mergeCell ref="GO2:GP2"/>
    <mergeCell ref="FE2:FF2"/>
    <mergeCell ref="FH2:FI2"/>
    <mergeCell ref="FK2:FL2"/>
    <mergeCell ref="JQ2:JR2"/>
    <mergeCell ref="JT2:JU2"/>
    <mergeCell ref="JW2:JX2"/>
    <mergeCell ref="IM2:IN2"/>
    <mergeCell ref="IP2:IQ2"/>
    <mergeCell ref="IS2:IT2"/>
    <mergeCell ref="IW2:IX2"/>
    <mergeCell ref="IZ2:JA2"/>
    <mergeCell ref="JC2:JD2"/>
    <mergeCell ref="FO2:FP2"/>
    <mergeCell ref="FR2:FS2"/>
    <mergeCell ref="FU2:FV2"/>
    <mergeCell ref="EK2:EL2"/>
    <mergeCell ref="EN2:EO2"/>
    <mergeCell ref="EQ2:ER2"/>
    <mergeCell ref="EU2:EV2"/>
    <mergeCell ref="EX2:EY2"/>
    <mergeCell ref="FA2:FB2"/>
    <mergeCell ref="DQ2:DR2"/>
    <mergeCell ref="DT2:DU2"/>
    <mergeCell ref="DW2:DX2"/>
    <mergeCell ref="EA2:EB2"/>
    <mergeCell ref="ED2:EE2"/>
    <mergeCell ref="EG2:EH2"/>
    <mergeCell ref="CW2:CX2"/>
    <mergeCell ref="CZ2:DA2"/>
    <mergeCell ref="DC2:DD2"/>
    <mergeCell ref="DG2:DH2"/>
    <mergeCell ref="DJ2:DK2"/>
    <mergeCell ref="DM2:DN2"/>
    <mergeCell ref="CC2:CD2"/>
    <mergeCell ref="CF2:CG2"/>
    <mergeCell ref="CI2:CJ2"/>
    <mergeCell ref="CM2:CN2"/>
    <mergeCell ref="CP2:CQ2"/>
    <mergeCell ref="CS2:CT2"/>
    <mergeCell ref="BI2:BJ2"/>
    <mergeCell ref="BL2:BM2"/>
    <mergeCell ref="BO2:BP2"/>
    <mergeCell ref="BS2:BT2"/>
    <mergeCell ref="BV2:BW2"/>
    <mergeCell ref="BY2:BZ2"/>
    <mergeCell ref="AO2:AP2"/>
    <mergeCell ref="AR2:AS2"/>
    <mergeCell ref="AU2:AV2"/>
    <mergeCell ref="AY2:AZ2"/>
    <mergeCell ref="BB2:BC2"/>
    <mergeCell ref="BE2:BF2"/>
    <mergeCell ref="U2:V2"/>
    <mergeCell ref="X2:Y2"/>
    <mergeCell ref="AA2:AB2"/>
    <mergeCell ref="AE2:AF2"/>
    <mergeCell ref="AH2:AI2"/>
    <mergeCell ref="AK2:AL2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FY1:FZ1"/>
    <mergeCell ref="GI1:GJ1"/>
    <mergeCell ref="GS1:GT1"/>
    <mergeCell ref="HC1:HD1"/>
    <mergeCell ref="HM1:HN1"/>
    <mergeCell ref="HZ1:IA1"/>
    <mergeCell ref="DQ1:DR1"/>
    <mergeCell ref="EA1:EB1"/>
    <mergeCell ref="EK1:EL1"/>
    <mergeCell ref="EU1:EV1"/>
    <mergeCell ref="FE1:FF1"/>
    <mergeCell ref="FO1:FP1"/>
    <mergeCell ref="BI1:BJ1"/>
    <mergeCell ref="BS1:BT1"/>
    <mergeCell ref="CC1:CD1"/>
    <mergeCell ref="CM1:CN1"/>
    <mergeCell ref="CW1:CX1"/>
    <mergeCell ref="DG1:DH1"/>
    <mergeCell ref="A1:B1"/>
    <mergeCell ref="K1:L1"/>
    <mergeCell ref="U1:V1"/>
    <mergeCell ref="AE1:AF1"/>
    <mergeCell ref="AO1:AP1"/>
    <mergeCell ref="AY1:AZ1"/>
  </mergeCells>
  <pageMargins left="0.7" right="0.7" top="0.75" bottom="0.75" header="0.3" footer="0.3"/>
  <pageSetup scale="41" fitToWidth="0" pageOrder="overThenDown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D445-53AC-4A3C-ABA8-71779A2B4BD2}">
  <dimension ref="A1:JZ38"/>
  <sheetViews>
    <sheetView view="pageBreakPreview" topLeftCell="AT1" zoomScale="28" zoomScaleNormal="50" zoomScaleSheetLayoutView="28" workbookViewId="0">
      <selection activeCell="H12" sqref="H12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79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46214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46214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1">
        <v>46211</v>
      </c>
      <c r="B9" s="71"/>
      <c r="D9" s="70"/>
      <c r="E9" s="70"/>
      <c r="G9" s="70">
        <f>A9+3</f>
        <v>46214</v>
      </c>
      <c r="H9" s="70"/>
      <c r="K9" s="71">
        <f>A9</f>
        <v>46211</v>
      </c>
      <c r="L9" s="71"/>
      <c r="N9" s="70"/>
      <c r="O9" s="70"/>
      <c r="Q9" s="70">
        <f>G9</f>
        <v>46214</v>
      </c>
      <c r="R9" s="70"/>
      <c r="U9" s="71">
        <f>A9</f>
        <v>46211</v>
      </c>
      <c r="V9" s="71"/>
      <c r="X9" s="70"/>
      <c r="Y9" s="70"/>
      <c r="AA9" s="70">
        <f>G9</f>
        <v>46214</v>
      </c>
      <c r="AB9" s="70"/>
      <c r="AE9" s="71">
        <f>A9</f>
        <v>46211</v>
      </c>
      <c r="AF9" s="71"/>
      <c r="AH9" s="70"/>
      <c r="AI9" s="70"/>
      <c r="AK9" s="70">
        <f>G9</f>
        <v>46214</v>
      </c>
      <c r="AL9" s="70"/>
      <c r="AO9" s="71">
        <f>A9</f>
        <v>46211</v>
      </c>
      <c r="AP9" s="71"/>
      <c r="AR9" s="70"/>
      <c r="AS9" s="70"/>
      <c r="AU9" s="70">
        <f>G9</f>
        <v>46214</v>
      </c>
      <c r="AV9" s="70"/>
      <c r="AY9" s="71">
        <f>A9</f>
        <v>46211</v>
      </c>
      <c r="AZ9" s="71"/>
      <c r="BB9" s="70"/>
      <c r="BC9" s="70"/>
      <c r="BE9" s="70">
        <f>G9</f>
        <v>46214</v>
      </c>
      <c r="BF9" s="70"/>
      <c r="BI9" s="71">
        <f>A9</f>
        <v>46211</v>
      </c>
      <c r="BJ9" s="71"/>
      <c r="BL9" s="70"/>
      <c r="BM9" s="70"/>
      <c r="BO9" s="70">
        <f>G9</f>
        <v>46214</v>
      </c>
      <c r="BP9" s="70"/>
      <c r="BS9" s="71">
        <f>A9</f>
        <v>46211</v>
      </c>
      <c r="BT9" s="71"/>
      <c r="BV9" s="70"/>
      <c r="BW9" s="70"/>
      <c r="BY9" s="70">
        <f>G9</f>
        <v>46214</v>
      </c>
      <c r="BZ9" s="70"/>
      <c r="CC9" s="71">
        <f>A9</f>
        <v>46211</v>
      </c>
      <c r="CD9" s="71"/>
      <c r="CF9" s="70"/>
      <c r="CG9" s="70"/>
      <c r="CI9" s="70">
        <f>G9</f>
        <v>46214</v>
      </c>
      <c r="CJ9" s="70"/>
      <c r="CM9" s="71">
        <f>A9</f>
        <v>46211</v>
      </c>
      <c r="CN9" s="71"/>
      <c r="CP9" s="70"/>
      <c r="CQ9" s="70"/>
      <c r="CS9" s="70">
        <f>G9</f>
        <v>46214</v>
      </c>
      <c r="CT9" s="70"/>
      <c r="CW9" s="71">
        <f>A9</f>
        <v>46211</v>
      </c>
      <c r="CX9" s="71"/>
      <c r="CZ9" s="70"/>
      <c r="DA9" s="70"/>
      <c r="DC9" s="70">
        <f>G9</f>
        <v>46214</v>
      </c>
      <c r="DD9" s="70"/>
      <c r="DG9" s="71">
        <f>A9</f>
        <v>46211</v>
      </c>
      <c r="DH9" s="71"/>
      <c r="DJ9" s="70"/>
      <c r="DK9" s="70"/>
      <c r="DM9" s="70">
        <f>G9</f>
        <v>46214</v>
      </c>
      <c r="DN9" s="70"/>
      <c r="DQ9" s="71">
        <f>A9</f>
        <v>46211</v>
      </c>
      <c r="DR9" s="71"/>
      <c r="DT9" s="70"/>
      <c r="DU9" s="70"/>
      <c r="DW9" s="70">
        <f>G9</f>
        <v>46214</v>
      </c>
      <c r="DX9" s="70"/>
      <c r="EA9" s="71">
        <f>U9</f>
        <v>46211</v>
      </c>
      <c r="EB9" s="71"/>
      <c r="ED9" s="70"/>
      <c r="EE9" s="70"/>
      <c r="EG9" s="70">
        <f>G9</f>
        <v>46214</v>
      </c>
      <c r="EH9" s="70"/>
      <c r="EK9" s="71">
        <f>A9</f>
        <v>46211</v>
      </c>
      <c r="EL9" s="71"/>
      <c r="EN9" s="70"/>
      <c r="EO9" s="70"/>
      <c r="EQ9" s="70">
        <f>G9</f>
        <v>46214</v>
      </c>
      <c r="ER9" s="70"/>
      <c r="EU9" s="71">
        <f>A9</f>
        <v>46211</v>
      </c>
      <c r="EV9" s="71"/>
      <c r="EX9" s="70"/>
      <c r="EY9" s="70"/>
      <c r="FA9" s="70">
        <f>G9</f>
        <v>46214</v>
      </c>
      <c r="FB9" s="70"/>
      <c r="FE9" s="71">
        <f>A9</f>
        <v>46211</v>
      </c>
      <c r="FF9" s="71"/>
      <c r="FH9" s="70"/>
      <c r="FI9" s="70"/>
      <c r="FK9" s="70">
        <f>G9</f>
        <v>46214</v>
      </c>
      <c r="FL9" s="70"/>
      <c r="FO9" s="71">
        <f>A9-2</f>
        <v>46209</v>
      </c>
      <c r="FP9" s="71"/>
      <c r="FR9" s="70">
        <f>A9+1</f>
        <v>46212</v>
      </c>
      <c r="FS9" s="70"/>
      <c r="FU9" s="70">
        <f>G9</f>
        <v>46214</v>
      </c>
      <c r="FV9" s="70"/>
      <c r="FY9" s="71">
        <f>A9-2</f>
        <v>46209</v>
      </c>
      <c r="FZ9" s="71"/>
      <c r="GB9" s="70">
        <f>A9+1</f>
        <v>46212</v>
      </c>
      <c r="GC9" s="70"/>
      <c r="GE9" s="70">
        <f>G9</f>
        <v>46214</v>
      </c>
      <c r="GF9" s="70"/>
      <c r="GI9" s="71">
        <f>A9-2</f>
        <v>46209</v>
      </c>
      <c r="GJ9" s="71"/>
      <c r="GL9" s="70">
        <f>A9+1</f>
        <v>46212</v>
      </c>
      <c r="GM9" s="70"/>
      <c r="GO9" s="70">
        <f>G9</f>
        <v>46214</v>
      </c>
      <c r="GP9" s="70"/>
      <c r="GS9" s="71">
        <f>A9-2</f>
        <v>46209</v>
      </c>
      <c r="GT9" s="71"/>
      <c r="GV9" s="70">
        <f>A9+1</f>
        <v>46212</v>
      </c>
      <c r="GW9" s="70"/>
      <c r="GY9" s="70">
        <f>G9</f>
        <v>46214</v>
      </c>
      <c r="GZ9" s="70"/>
      <c r="HC9" s="71">
        <f>A9</f>
        <v>46211</v>
      </c>
      <c r="HD9" s="71"/>
      <c r="HF9" s="70"/>
      <c r="HG9" s="70"/>
      <c r="HI9" s="70">
        <f>G9</f>
        <v>46214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1">
        <f>A9</f>
        <v>46211</v>
      </c>
      <c r="IN9" s="71"/>
      <c r="IP9" s="70"/>
      <c r="IQ9" s="70"/>
      <c r="IS9" s="70">
        <f>IM9+3</f>
        <v>46214</v>
      </c>
      <c r="IT9" s="70"/>
      <c r="IW9" s="71">
        <f>A9</f>
        <v>46211</v>
      </c>
      <c r="IX9" s="71"/>
      <c r="IZ9" s="70"/>
      <c r="JA9" s="70"/>
      <c r="JC9" s="70">
        <f>IW9+3</f>
        <v>46214</v>
      </c>
      <c r="JD9" s="70"/>
      <c r="JG9" s="71">
        <f>A9-2</f>
        <v>46209</v>
      </c>
      <c r="JH9" s="71"/>
      <c r="JJ9" s="70"/>
      <c r="JK9" s="70"/>
      <c r="JM9" s="70"/>
      <c r="JN9" s="70"/>
      <c r="JQ9" s="71">
        <f>A9+1</f>
        <v>46212</v>
      </c>
      <c r="JR9" s="71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55" t="s">
        <v>30</v>
      </c>
      <c r="HO10" s="23" t="s">
        <v>31</v>
      </c>
      <c r="HP10" s="55" t="s">
        <v>32</v>
      </c>
      <c r="HQ10" s="23" t="s">
        <v>33</v>
      </c>
      <c r="HR10" s="55" t="s">
        <v>34</v>
      </c>
      <c r="HS10" s="23" t="s">
        <v>35</v>
      </c>
      <c r="HT10" s="55" t="s">
        <v>36</v>
      </c>
      <c r="HU10" s="23" t="s">
        <v>37</v>
      </c>
      <c r="HV10" s="55" t="s">
        <v>38</v>
      </c>
      <c r="HW10" s="23" t="s">
        <v>39</v>
      </c>
      <c r="HX10" s="55" t="s">
        <v>40</v>
      </c>
      <c r="HY10" s="23" t="s">
        <v>70</v>
      </c>
      <c r="HZ10" s="22" t="s">
        <v>28</v>
      </c>
      <c r="IA10" s="55" t="s">
        <v>71</v>
      </c>
      <c r="IB10" s="23" t="s">
        <v>72</v>
      </c>
      <c r="IC10" s="55" t="s">
        <v>73</v>
      </c>
      <c r="ID10" s="23" t="s">
        <v>61</v>
      </c>
      <c r="IE10" s="55" t="s">
        <v>62</v>
      </c>
      <c r="IF10" s="23" t="s">
        <v>63</v>
      </c>
      <c r="IG10" s="55" t="s">
        <v>74</v>
      </c>
      <c r="IH10" s="23" t="s">
        <v>75</v>
      </c>
      <c r="II10" s="55" t="s">
        <v>76</v>
      </c>
      <c r="IJ10" s="23"/>
      <c r="IK10" s="55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>
        <v>8</v>
      </c>
      <c r="D11" s="42"/>
      <c r="E11" s="43"/>
      <c r="G11" s="42" t="str">
        <f t="shared" ref="G11:G29" si="0">A11</f>
        <v>STEAK TACO</v>
      </c>
      <c r="H11" s="43">
        <v>5</v>
      </c>
      <c r="J11" s="44">
        <f t="shared" ref="J11:J29" si="1">B11+E11+H11</f>
        <v>13</v>
      </c>
      <c r="K11" s="42" t="str">
        <f t="shared" ref="K11:K29" si="2">A11</f>
        <v>STEAK TACO</v>
      </c>
      <c r="L11" s="43">
        <v>20</v>
      </c>
      <c r="N11" s="42"/>
      <c r="O11" s="43"/>
      <c r="Q11" s="42" t="str">
        <f t="shared" ref="Q11:Q29" si="3">A11</f>
        <v>STEAK TACO</v>
      </c>
      <c r="R11" s="43">
        <v>19</v>
      </c>
      <c r="T11" s="44">
        <f t="shared" ref="T11:T29" si="4">L11+O11+R11</f>
        <v>39</v>
      </c>
      <c r="U11" s="42" t="str">
        <f t="shared" ref="U11:U29" si="5">A11</f>
        <v>STEAK TACO</v>
      </c>
      <c r="V11" s="43">
        <v>13</v>
      </c>
      <c r="X11" s="42"/>
      <c r="Y11" s="43"/>
      <c r="AA11" s="42" t="str">
        <f t="shared" ref="AA11:AA29" si="6">A11</f>
        <v>STEAK TACO</v>
      </c>
      <c r="AB11" s="43">
        <v>10</v>
      </c>
      <c r="AD11" s="44">
        <f t="shared" ref="AD11:AD29" si="7">V11+Y11+AB11</f>
        <v>23</v>
      </c>
      <c r="AE11" s="42" t="str">
        <f t="shared" ref="AE11:AE29" si="8">A11</f>
        <v>STEAK TACO</v>
      </c>
      <c r="AF11" s="43">
        <v>11</v>
      </c>
      <c r="AH11" s="42"/>
      <c r="AI11" s="43"/>
      <c r="AK11" s="42" t="str">
        <f t="shared" ref="AK11:AK29" si="9">A11</f>
        <v>STEAK TACO</v>
      </c>
      <c r="AL11" s="43">
        <v>9</v>
      </c>
      <c r="AN11" s="44">
        <f t="shared" ref="AN11:AN29" si="10">AF11+AI11+AL11</f>
        <v>20</v>
      </c>
      <c r="AO11" s="42" t="str">
        <f t="shared" ref="AO11:AO29" si="11">A11</f>
        <v>STEAK TACO</v>
      </c>
      <c r="AP11" s="43">
        <v>10</v>
      </c>
      <c r="AR11" s="42"/>
      <c r="AS11" s="43"/>
      <c r="AU11" s="42" t="str">
        <f t="shared" ref="AU11:AU29" si="12">A11</f>
        <v>STEAK TACO</v>
      </c>
      <c r="AV11" s="43">
        <v>8</v>
      </c>
      <c r="AX11" s="44">
        <f t="shared" ref="AX11:AX29" si="13">AP11+AS11+AV11</f>
        <v>18</v>
      </c>
      <c r="AY11" s="42" t="str">
        <f t="shared" ref="AY11:AY29" si="14">A11</f>
        <v>STEAK TACO</v>
      </c>
      <c r="AZ11" s="43">
        <v>9</v>
      </c>
      <c r="BB11" s="42"/>
      <c r="BC11" s="43"/>
      <c r="BE11" s="42" t="str">
        <f t="shared" ref="BE11:BE29" si="15">A11</f>
        <v>STEAK TACO</v>
      </c>
      <c r="BF11" s="43">
        <v>8</v>
      </c>
      <c r="BH11" s="44">
        <f t="shared" ref="BH11:BH29" si="16">AZ11+BC11+BF11</f>
        <v>17</v>
      </c>
      <c r="BI11" s="42" t="str">
        <f t="shared" ref="BI11:BI29" si="17">A11</f>
        <v>STEAK TACO</v>
      </c>
      <c r="BJ11" s="43">
        <v>11</v>
      </c>
      <c r="BL11" s="42"/>
      <c r="BM11" s="43"/>
      <c r="BO11" s="42" t="str">
        <f t="shared" ref="BO11:BO29" si="18">A11</f>
        <v>STEAK TACO</v>
      </c>
      <c r="BP11" s="43">
        <v>10</v>
      </c>
      <c r="BR11" s="44">
        <f t="shared" ref="BR11:BR29" si="19">BJ11+BM11+BP11</f>
        <v>21</v>
      </c>
      <c r="BS11" s="42" t="str">
        <f t="shared" ref="BS11:BS29" si="20">A11</f>
        <v>STEAK TACO</v>
      </c>
      <c r="BT11" s="43">
        <v>9</v>
      </c>
      <c r="BV11" s="42"/>
      <c r="BW11" s="43"/>
      <c r="BY11" s="42" t="str">
        <f t="shared" ref="BY11:BY29" si="21">A11</f>
        <v>STEAK TACO</v>
      </c>
      <c r="BZ11" s="43">
        <v>9</v>
      </c>
      <c r="CB11" s="44">
        <f t="shared" ref="CB11:CB29" si="22">BT11+BW11+BZ11</f>
        <v>18</v>
      </c>
      <c r="CC11" s="42" t="str">
        <f t="shared" ref="CC11:CC29" si="23">A11</f>
        <v>STEAK TACO</v>
      </c>
      <c r="CD11" s="43">
        <v>7</v>
      </c>
      <c r="CF11" s="42"/>
      <c r="CG11" s="43"/>
      <c r="CI11" s="42" t="str">
        <f t="shared" ref="CI11:CI29" si="24">A11</f>
        <v>STEAK TACO</v>
      </c>
      <c r="CJ11" s="43">
        <v>9</v>
      </c>
      <c r="CL11" s="44">
        <f t="shared" ref="CL11:CL29" si="25">CD11+CG11+CJ11</f>
        <v>16</v>
      </c>
      <c r="CM11" s="42" t="str">
        <f t="shared" ref="CM11:CM29" si="26">A11</f>
        <v>STEAK TACO</v>
      </c>
      <c r="CN11" s="43">
        <v>5</v>
      </c>
      <c r="CP11" s="42"/>
      <c r="CQ11" s="43"/>
      <c r="CS11" s="42" t="str">
        <f t="shared" ref="CS11:CS29" si="27">A11</f>
        <v>STEAK TACO</v>
      </c>
      <c r="CT11" s="43">
        <v>5</v>
      </c>
      <c r="CV11" s="44">
        <f t="shared" ref="CV11:CV29" si="28">CN11+CQ11+CT11</f>
        <v>10</v>
      </c>
      <c r="CW11" s="42" t="str">
        <f t="shared" ref="CW11:CW29" si="29">A11</f>
        <v>STEAK TACO</v>
      </c>
      <c r="CX11" s="43">
        <v>9</v>
      </c>
      <c r="CZ11" s="42"/>
      <c r="DA11" s="43"/>
      <c r="DC11" s="42" t="str">
        <f t="shared" ref="DC11:DC16" si="30">AE11</f>
        <v>STEAK TACO</v>
      </c>
      <c r="DD11" s="43">
        <v>7</v>
      </c>
      <c r="DF11" s="44">
        <f t="shared" ref="DF11:DF29" si="31">CX11+DA11+DD11</f>
        <v>16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>
        <v>6</v>
      </c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>
        <v>4</v>
      </c>
      <c r="FD11" s="44">
        <f t="shared" ref="FD11:FD29" si="49">EV11+EY11+FB11</f>
        <v>10</v>
      </c>
      <c r="FE11" s="42" t="str">
        <f t="shared" ref="FE11:FE29" si="50">A11</f>
        <v>STEAK TACO</v>
      </c>
      <c r="FF11" s="43"/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>
        <v>2</v>
      </c>
      <c r="FN11" s="44">
        <f t="shared" ref="FN11:FN29" si="53">FF11+FI11+FL11</f>
        <v>2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 t="shared" ref="GR11:GR29" si="65">GJ11+GM11+GP11</f>
        <v>0</v>
      </c>
      <c r="GS11" s="42" t="str">
        <f t="shared" ref="GS11:GS29" si="66">AO11</f>
        <v>STEAK TACO</v>
      </c>
      <c r="GT11" s="43"/>
      <c r="GV11" s="42" t="str">
        <f t="shared" ref="GV11:GV29" si="67">AO11</f>
        <v>STEAK TACO</v>
      </c>
      <c r="GW11" s="43"/>
      <c r="GY11" s="42" t="str">
        <f t="shared" ref="GY11:GY29" si="68">AO11</f>
        <v>STEAK TACO</v>
      </c>
      <c r="GZ11" s="43"/>
      <c r="HB11" s="44">
        <f t="shared" ref="HB11:HB29" si="69">GT11+GW11+GZ11</f>
        <v>0</v>
      </c>
      <c r="HC11" s="42" t="str">
        <f t="shared" ref="HC11:HC29" si="70">A11</f>
        <v>STEAK TACO</v>
      </c>
      <c r="HD11" s="43">
        <f t="shared" ref="HD11:HD29" si="71">B11+L11+V11+AF11+AP11+AZ11+BJ11+BT11+CD11+CN11+CX11+DH11+DR11+EB11+EL11+EV11+FF11</f>
        <v>118</v>
      </c>
      <c r="HF11" s="42" t="str">
        <f t="shared" ref="HF11:HF29" si="72">A11</f>
        <v>STEAK TACO</v>
      </c>
      <c r="HG11" s="43">
        <f t="shared" ref="HG11:HG29" si="73">E11+O11+Y11+AI11+AS11+BC11+BM11+BW11+CG11+CQ11+DA11+DK11+DU11+EE11+EO11+EY11+FI11</f>
        <v>0</v>
      </c>
      <c r="HI11" s="42" t="str">
        <f t="shared" ref="HI11:HI29" si="74">A11</f>
        <v>STEAK TACO</v>
      </c>
      <c r="HJ11" s="43">
        <f t="shared" ref="HJ11:HJ29" si="75">H11+R11+AB11+AL11+AV11+BF11+BP11+BZ11+CJ11+CT11+DD11+DN11+DX11+EH11+ER11+FB11+FL11</f>
        <v>105</v>
      </c>
      <c r="HL11" s="43">
        <f t="shared" ref="HL11:HL29" si="76">J11+T11+AD11+AN11+AX11+BH11+BR11+CB11+CL11+CV11+DF11+DP11+DZ11+EJ11+ET11+FD11+FN11+FX11+GH11+GR11+HB11</f>
        <v>223</v>
      </c>
      <c r="HM11" s="42" t="str">
        <f t="shared" ref="HM11:HM29" si="77">A11</f>
        <v>STEAK TACO</v>
      </c>
      <c r="HN11" s="57">
        <f t="shared" ref="HN11:HN29" si="78">J11</f>
        <v>13</v>
      </c>
      <c r="HO11" s="44">
        <f t="shared" ref="HO11:HO29" si="79">T11</f>
        <v>39</v>
      </c>
      <c r="HP11" s="57">
        <f t="shared" ref="HP11:HP29" si="80">AD11</f>
        <v>23</v>
      </c>
      <c r="HQ11" s="44">
        <f t="shared" ref="HQ11:HQ29" si="81">AN11</f>
        <v>20</v>
      </c>
      <c r="HR11" s="57">
        <f t="shared" ref="HR11:HR29" si="82">AX11</f>
        <v>18</v>
      </c>
      <c r="HS11" s="44">
        <f t="shared" ref="HS11:HS29" si="83">BH11</f>
        <v>17</v>
      </c>
      <c r="HT11" s="57">
        <f t="shared" ref="HT11:HT29" si="84">BR11</f>
        <v>21</v>
      </c>
      <c r="HU11" s="44">
        <f t="shared" ref="HU11:HU29" si="85">CB11</f>
        <v>18</v>
      </c>
      <c r="HV11" s="57">
        <f t="shared" ref="HV11:HV29" si="86">CL11</f>
        <v>16</v>
      </c>
      <c r="HW11" s="44">
        <f t="shared" ref="HW11:HW29" si="87">CV11</f>
        <v>10</v>
      </c>
      <c r="HX11" s="57">
        <f t="shared" ref="HX11:HX29" si="88">DF11</f>
        <v>16</v>
      </c>
      <c r="HY11" s="44">
        <f t="shared" ref="HY11:HY29" si="89">DP11</f>
        <v>0</v>
      </c>
      <c r="HZ11" s="42" t="str">
        <f t="shared" ref="HZ11:HZ29" si="90">A11</f>
        <v>STEAK TACO</v>
      </c>
      <c r="IA11" s="57">
        <f t="shared" ref="IA11:IA29" si="91">DZ11</f>
        <v>0</v>
      </c>
      <c r="IB11" s="44">
        <f t="shared" ref="IB11:IB29" si="92">EJ11</f>
        <v>0</v>
      </c>
      <c r="IC11" s="57">
        <f t="shared" ref="IC11:IC29" si="93">ET11</f>
        <v>0</v>
      </c>
      <c r="ID11" s="44">
        <f t="shared" ref="ID11:ID29" si="94">FD11</f>
        <v>10</v>
      </c>
      <c r="IE11" s="57">
        <f t="shared" ref="IE11:IE29" si="95">FN11</f>
        <v>2</v>
      </c>
      <c r="IF11" s="44">
        <f t="shared" ref="IF11:IF29" si="96">FX11</f>
        <v>0</v>
      </c>
      <c r="IG11" s="57">
        <f t="shared" ref="IG11:IG29" si="97">GH11</f>
        <v>0</v>
      </c>
      <c r="IH11" s="44">
        <f t="shared" ref="IH11:IH29" si="98">GR11</f>
        <v>0</v>
      </c>
      <c r="II11" s="57">
        <f t="shared" ref="II11:II29" si="99">HB11</f>
        <v>0</v>
      </c>
      <c r="IJ11" s="44"/>
      <c r="IK11" s="57"/>
      <c r="IL11" s="44">
        <f t="shared" ref="IL11:IL29" si="100">SUM(HN11:HY11)+SUM(IA11:IK11)</f>
        <v>223</v>
      </c>
      <c r="IM11" s="42" t="str">
        <f t="shared" ref="IM11:IM29" si="101">A11</f>
        <v>STEAK TACO</v>
      </c>
      <c r="IN11" s="43">
        <f t="shared" ref="IN11:IN29" si="102">B11+L11+V11+AF11+AZ11+BJ11+CD11+EL11+EV11+FF11</f>
        <v>85</v>
      </c>
      <c r="IP11" s="42" t="str">
        <f t="shared" ref="IP11:IP29" si="103">A11</f>
        <v>STEAK TACO</v>
      </c>
      <c r="IQ11" s="43">
        <f t="shared" ref="IQ11:IQ29" si="104">E11+O11+Y11+AI11+BC11+BM11+CG11+EO11+EY11+FI11</f>
        <v>0</v>
      </c>
      <c r="IS11" s="42" t="str">
        <f t="shared" ref="IS11:IS29" si="105">A11</f>
        <v>STEAK TACO</v>
      </c>
      <c r="IT11" s="43">
        <f t="shared" ref="IT11:IT29" si="106">H11+R11+AB11+AL11+BF11+BP11+CJ11+ER11+FB11+FL11</f>
        <v>76</v>
      </c>
      <c r="IV11" s="44"/>
      <c r="IW11" s="42" t="str">
        <f t="shared" ref="IW11:IW29" si="107">A11</f>
        <v>STEAK TACO</v>
      </c>
      <c r="IX11" s="43">
        <f t="shared" ref="IX11:IX29" si="108">AP11+BT11</f>
        <v>19</v>
      </c>
      <c r="IZ11" s="42" t="str">
        <f t="shared" ref="IZ11:IZ29" si="109">A11</f>
        <v>STEAK TACO</v>
      </c>
      <c r="JA11" s="43">
        <f t="shared" ref="JA11:JA29" si="110">AS11+BW11+CQ11+DA11+DK11+DU11</f>
        <v>0</v>
      </c>
      <c r="JC11" s="42" t="str">
        <f t="shared" ref="JC11:JC29" si="111">A11</f>
        <v>STEAK TACO</v>
      </c>
      <c r="JD11" s="43">
        <f t="shared" ref="JD11:JD29" si="112">AV11+BZ11</f>
        <v>17</v>
      </c>
      <c r="JF11" s="44"/>
      <c r="JG11" s="42"/>
      <c r="JH11" s="43"/>
      <c r="JJ11" s="42"/>
      <c r="JK11" s="43"/>
      <c r="JM11" s="42"/>
      <c r="JN11" s="43"/>
      <c r="JP11" s="44">
        <f t="shared" ref="JP11:JP29" si="113">JH11+JK11+JN11</f>
        <v>0</v>
      </c>
      <c r="JQ11" s="42" t="str">
        <f t="shared" ref="JQ11:JQ29" si="114">U11</f>
        <v>STEAK TACO</v>
      </c>
      <c r="JR11" s="43">
        <f t="shared" ref="JR11:JR29" si="115">FS11</f>
        <v>0</v>
      </c>
      <c r="JT11" s="42" t="str">
        <f t="shared" ref="JT11:JT29" si="116">K11</f>
        <v>STEAK TACO</v>
      </c>
      <c r="JU11" s="43">
        <f t="shared" ref="JU11:JU29" si="117">GC11</f>
        <v>0</v>
      </c>
      <c r="JW11" s="42" t="str">
        <f t="shared" ref="JW11:JW29" si="118">U11</f>
        <v>STEAK TACO</v>
      </c>
      <c r="JX11" s="43">
        <f t="shared" ref="JX11:JX29" si="119">GM11</f>
        <v>0</v>
      </c>
      <c r="JZ11" s="44">
        <f t="shared" ref="JZ11:JZ29" si="120">JR11+JU11+JX11</f>
        <v>0</v>
      </c>
    </row>
    <row r="12" spans="1:286" s="7" customFormat="1" ht="54" customHeight="1" x14ac:dyDescent="0.65">
      <c r="A12" s="46" t="s">
        <v>42</v>
      </c>
      <c r="B12" s="43">
        <v>5</v>
      </c>
      <c r="D12" s="46"/>
      <c r="E12" s="43"/>
      <c r="G12" s="42" t="str">
        <f t="shared" si="0"/>
        <v>CHICKEN</v>
      </c>
      <c r="H12" s="43">
        <v>5</v>
      </c>
      <c r="J12" s="43">
        <f t="shared" si="1"/>
        <v>10</v>
      </c>
      <c r="K12" s="42" t="str">
        <f t="shared" si="2"/>
        <v>CHICKEN</v>
      </c>
      <c r="L12" s="43">
        <v>9</v>
      </c>
      <c r="N12" s="46"/>
      <c r="O12" s="43"/>
      <c r="Q12" s="42" t="str">
        <f t="shared" si="3"/>
        <v>CHICKEN</v>
      </c>
      <c r="R12" s="43">
        <v>10</v>
      </c>
      <c r="T12" s="43">
        <f t="shared" si="4"/>
        <v>19</v>
      </c>
      <c r="U12" s="42" t="str">
        <f t="shared" si="5"/>
        <v>CHICKEN</v>
      </c>
      <c r="V12" s="43">
        <v>8</v>
      </c>
      <c r="X12" s="46"/>
      <c r="Y12" s="43"/>
      <c r="AA12" s="42" t="str">
        <f t="shared" si="6"/>
        <v>CHICKEN</v>
      </c>
      <c r="AB12" s="43">
        <v>7</v>
      </c>
      <c r="AD12" s="43">
        <f t="shared" si="7"/>
        <v>15</v>
      </c>
      <c r="AE12" s="42" t="str">
        <f t="shared" si="8"/>
        <v>CHICKEN</v>
      </c>
      <c r="AF12" s="43">
        <v>7</v>
      </c>
      <c r="AH12" s="46"/>
      <c r="AI12" s="43"/>
      <c r="AK12" s="42" t="str">
        <f t="shared" si="9"/>
        <v>CHICKEN</v>
      </c>
      <c r="AL12" s="43">
        <v>7</v>
      </c>
      <c r="AN12" s="43">
        <f t="shared" si="10"/>
        <v>14</v>
      </c>
      <c r="AO12" s="42" t="str">
        <f t="shared" si="11"/>
        <v>CHICKEN</v>
      </c>
      <c r="AP12" s="43">
        <v>3</v>
      </c>
      <c r="AR12" s="46"/>
      <c r="AS12" s="43"/>
      <c r="AU12" s="42" t="str">
        <f t="shared" si="12"/>
        <v>CHICKEN</v>
      </c>
      <c r="AV12" s="43">
        <v>3</v>
      </c>
      <c r="AX12" s="43">
        <f t="shared" si="13"/>
        <v>6</v>
      </c>
      <c r="AY12" s="42" t="str">
        <f t="shared" si="14"/>
        <v>CHICKEN</v>
      </c>
      <c r="AZ12" s="43">
        <v>3</v>
      </c>
      <c r="BB12" s="46"/>
      <c r="BC12" s="43"/>
      <c r="BE12" s="42" t="str">
        <f t="shared" si="15"/>
        <v>CHICKEN</v>
      </c>
      <c r="BF12" s="43">
        <v>2</v>
      </c>
      <c r="BH12" s="43">
        <f t="shared" si="16"/>
        <v>5</v>
      </c>
      <c r="BI12" s="42" t="str">
        <f t="shared" si="17"/>
        <v>CHICKEN</v>
      </c>
      <c r="BJ12" s="43">
        <v>5</v>
      </c>
      <c r="BL12" s="46"/>
      <c r="BM12" s="43"/>
      <c r="BO12" s="42" t="str">
        <f t="shared" si="18"/>
        <v>CHICKEN</v>
      </c>
      <c r="BP12" s="43">
        <v>5</v>
      </c>
      <c r="BR12" s="43">
        <f t="shared" si="19"/>
        <v>10</v>
      </c>
      <c r="BS12" s="42" t="str">
        <f t="shared" si="20"/>
        <v>CHICKEN</v>
      </c>
      <c r="BT12" s="43">
        <v>3</v>
      </c>
      <c r="BV12" s="46"/>
      <c r="BW12" s="43"/>
      <c r="BY12" s="42" t="str">
        <f t="shared" si="21"/>
        <v>CHICKEN</v>
      </c>
      <c r="BZ12" s="43">
        <v>5</v>
      </c>
      <c r="CB12" s="43">
        <f t="shared" si="22"/>
        <v>8</v>
      </c>
      <c r="CC12" s="42" t="str">
        <f t="shared" si="23"/>
        <v>CHICKEN</v>
      </c>
      <c r="CD12" s="43">
        <v>5</v>
      </c>
      <c r="CF12" s="46"/>
      <c r="CG12" s="43"/>
      <c r="CI12" s="42" t="str">
        <f t="shared" si="24"/>
        <v>CHICKEN</v>
      </c>
      <c r="CJ12" s="43">
        <v>6</v>
      </c>
      <c r="CL12" s="43">
        <f t="shared" si="25"/>
        <v>11</v>
      </c>
      <c r="CM12" s="42" t="str">
        <f t="shared" si="26"/>
        <v>CHICKEN</v>
      </c>
      <c r="CN12" s="43">
        <v>4</v>
      </c>
      <c r="CP12" s="42"/>
      <c r="CQ12" s="43"/>
      <c r="CS12" s="42" t="str">
        <f t="shared" si="27"/>
        <v>CHICKEN</v>
      </c>
      <c r="CT12" s="43">
        <v>2</v>
      </c>
      <c r="CV12" s="43">
        <f t="shared" si="28"/>
        <v>6</v>
      </c>
      <c r="CW12" s="42" t="str">
        <f t="shared" si="29"/>
        <v>CHICKEN</v>
      </c>
      <c r="CX12" s="43">
        <v>6</v>
      </c>
      <c r="CZ12" s="46"/>
      <c r="DA12" s="43"/>
      <c r="DC12" s="42" t="str">
        <f t="shared" si="30"/>
        <v>CHICKEN</v>
      </c>
      <c r="DD12" s="43">
        <v>4</v>
      </c>
      <c r="DF12" s="43">
        <f t="shared" si="31"/>
        <v>10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/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0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>
        <v>1</v>
      </c>
      <c r="FN12" s="43">
        <f t="shared" si="53"/>
        <v>1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si="65"/>
        <v>0</v>
      </c>
      <c r="GS12" s="42" t="str">
        <f t="shared" si="66"/>
        <v>CHICKEN</v>
      </c>
      <c r="GT12" s="43"/>
      <c r="GV12" s="42" t="str">
        <f t="shared" si="67"/>
        <v>CHICKEN</v>
      </c>
      <c r="GW12" s="43"/>
      <c r="GY12" s="42" t="str">
        <f t="shared" si="68"/>
        <v>CHICKEN</v>
      </c>
      <c r="GZ12" s="43"/>
      <c r="HB12" s="43">
        <f t="shared" si="69"/>
        <v>0</v>
      </c>
      <c r="HC12" s="42" t="str">
        <f t="shared" si="70"/>
        <v>CHICKEN</v>
      </c>
      <c r="HD12" s="43">
        <f t="shared" si="71"/>
        <v>58</v>
      </c>
      <c r="HF12" s="42" t="str">
        <f t="shared" si="72"/>
        <v>CHICKEN</v>
      </c>
      <c r="HG12" s="43">
        <f t="shared" si="73"/>
        <v>0</v>
      </c>
      <c r="HI12" s="42" t="str">
        <f t="shared" si="74"/>
        <v>CHICKEN</v>
      </c>
      <c r="HJ12" s="43">
        <f t="shared" si="75"/>
        <v>57</v>
      </c>
      <c r="HL12" s="43">
        <f t="shared" si="76"/>
        <v>115</v>
      </c>
      <c r="HM12" s="42" t="str">
        <f t="shared" si="77"/>
        <v>CHICKEN</v>
      </c>
      <c r="HN12" s="57">
        <f t="shared" si="78"/>
        <v>10</v>
      </c>
      <c r="HO12" s="44">
        <f t="shared" si="79"/>
        <v>19</v>
      </c>
      <c r="HP12" s="57">
        <f t="shared" si="80"/>
        <v>15</v>
      </c>
      <c r="HQ12" s="44">
        <f t="shared" si="81"/>
        <v>14</v>
      </c>
      <c r="HR12" s="57">
        <f t="shared" si="82"/>
        <v>6</v>
      </c>
      <c r="HS12" s="44">
        <f t="shared" si="83"/>
        <v>5</v>
      </c>
      <c r="HT12" s="57">
        <f t="shared" si="84"/>
        <v>10</v>
      </c>
      <c r="HU12" s="44">
        <f t="shared" si="85"/>
        <v>8</v>
      </c>
      <c r="HV12" s="57">
        <f t="shared" si="86"/>
        <v>11</v>
      </c>
      <c r="HW12" s="44">
        <f t="shared" si="87"/>
        <v>6</v>
      </c>
      <c r="HX12" s="57">
        <f t="shared" si="88"/>
        <v>10</v>
      </c>
      <c r="HY12" s="44">
        <f t="shared" si="89"/>
        <v>0</v>
      </c>
      <c r="HZ12" s="42" t="str">
        <f t="shared" si="90"/>
        <v>CHICKEN</v>
      </c>
      <c r="IA12" s="57">
        <f t="shared" si="91"/>
        <v>0</v>
      </c>
      <c r="IB12" s="44">
        <f t="shared" si="92"/>
        <v>0</v>
      </c>
      <c r="IC12" s="57">
        <f t="shared" si="93"/>
        <v>0</v>
      </c>
      <c r="ID12" s="44">
        <f t="shared" si="94"/>
        <v>0</v>
      </c>
      <c r="IE12" s="57">
        <f t="shared" si="95"/>
        <v>1</v>
      </c>
      <c r="IF12" s="44">
        <f t="shared" si="96"/>
        <v>0</v>
      </c>
      <c r="IG12" s="57">
        <f t="shared" si="97"/>
        <v>0</v>
      </c>
      <c r="IH12" s="44">
        <f t="shared" si="98"/>
        <v>0</v>
      </c>
      <c r="II12" s="57">
        <f t="shared" si="99"/>
        <v>0</v>
      </c>
      <c r="IJ12" s="44"/>
      <c r="IK12" s="57"/>
      <c r="IL12" s="44">
        <f t="shared" si="100"/>
        <v>115</v>
      </c>
      <c r="IM12" s="42" t="str">
        <f t="shared" si="101"/>
        <v>CHICKEN</v>
      </c>
      <c r="IN12" s="43">
        <f t="shared" si="102"/>
        <v>42</v>
      </c>
      <c r="IP12" s="42" t="str">
        <f t="shared" si="103"/>
        <v>CHICKEN</v>
      </c>
      <c r="IQ12" s="43">
        <f t="shared" si="104"/>
        <v>0</v>
      </c>
      <c r="IS12" s="42" t="str">
        <f t="shared" si="105"/>
        <v>CHICKEN</v>
      </c>
      <c r="IT12" s="43">
        <f t="shared" si="106"/>
        <v>43</v>
      </c>
      <c r="IV12" s="43"/>
      <c r="IW12" s="42" t="str">
        <f t="shared" si="107"/>
        <v>CHICKEN</v>
      </c>
      <c r="IX12" s="43">
        <f t="shared" si="108"/>
        <v>6</v>
      </c>
      <c r="IZ12" s="42" t="str">
        <f t="shared" si="109"/>
        <v>CHICKEN</v>
      </c>
      <c r="JA12" s="43">
        <f t="shared" si="110"/>
        <v>0</v>
      </c>
      <c r="JC12" s="42" t="str">
        <f t="shared" si="111"/>
        <v>CHICKEN</v>
      </c>
      <c r="JD12" s="43">
        <f t="shared" si="112"/>
        <v>8</v>
      </c>
      <c r="JF12" s="43"/>
      <c r="JG12" s="42"/>
      <c r="JH12" s="43"/>
      <c r="JJ12" s="42"/>
      <c r="JK12" s="43"/>
      <c r="JM12" s="42"/>
      <c r="JN12" s="43"/>
      <c r="JP12" s="44">
        <f t="shared" si="113"/>
        <v>0</v>
      </c>
      <c r="JQ12" s="42" t="str">
        <f t="shared" si="114"/>
        <v>CHICKEN</v>
      </c>
      <c r="JR12" s="43">
        <f t="shared" si="115"/>
        <v>0</v>
      </c>
      <c r="JT12" s="42" t="str">
        <f t="shared" si="116"/>
        <v>CHICKEN</v>
      </c>
      <c r="JU12" s="43">
        <f t="shared" si="117"/>
        <v>0</v>
      </c>
      <c r="JW12" s="42" t="str">
        <f t="shared" si="118"/>
        <v>CHICKEN</v>
      </c>
      <c r="JX12" s="43">
        <f t="shared" si="119"/>
        <v>0</v>
      </c>
      <c r="JZ12" s="44">
        <f t="shared" si="120"/>
        <v>0</v>
      </c>
    </row>
    <row r="13" spans="1:286" s="7" customFormat="1" ht="54" customHeight="1" x14ac:dyDescent="0.65">
      <c r="A13" s="46" t="s">
        <v>43</v>
      </c>
      <c r="B13" s="43">
        <v>3</v>
      </c>
      <c r="D13" s="46"/>
      <c r="E13" s="43"/>
      <c r="G13" s="42" t="str">
        <f t="shared" si="0"/>
        <v>ALPASTOR</v>
      </c>
      <c r="H13" s="43">
        <v>4</v>
      </c>
      <c r="J13" s="43">
        <f t="shared" si="1"/>
        <v>7</v>
      </c>
      <c r="K13" s="42" t="str">
        <f t="shared" si="2"/>
        <v>ALPASTOR</v>
      </c>
      <c r="L13" s="43">
        <v>10</v>
      </c>
      <c r="N13" s="46"/>
      <c r="O13" s="43"/>
      <c r="Q13" s="42" t="str">
        <f t="shared" si="3"/>
        <v>ALPASTOR</v>
      </c>
      <c r="R13" s="43">
        <v>8</v>
      </c>
      <c r="T13" s="43">
        <f t="shared" si="4"/>
        <v>18</v>
      </c>
      <c r="U13" s="42" t="str">
        <f t="shared" si="5"/>
        <v>ALPASTOR</v>
      </c>
      <c r="V13" s="43">
        <v>7</v>
      </c>
      <c r="X13" s="46"/>
      <c r="Y13" s="43"/>
      <c r="AA13" s="42" t="str">
        <f t="shared" si="6"/>
        <v>ALPASTOR</v>
      </c>
      <c r="AB13" s="43">
        <v>7</v>
      </c>
      <c r="AD13" s="43">
        <f t="shared" si="7"/>
        <v>14</v>
      </c>
      <c r="AE13" s="42" t="str">
        <f t="shared" si="8"/>
        <v>ALPASTOR</v>
      </c>
      <c r="AF13" s="43">
        <v>6</v>
      </c>
      <c r="AH13" s="46"/>
      <c r="AI13" s="43"/>
      <c r="AK13" s="42" t="str">
        <f t="shared" si="9"/>
        <v>ALPASTOR</v>
      </c>
      <c r="AL13" s="43">
        <v>6</v>
      </c>
      <c r="AN13" s="43">
        <f t="shared" si="10"/>
        <v>12</v>
      </c>
      <c r="AO13" s="42" t="str">
        <f t="shared" si="11"/>
        <v>ALPASTOR</v>
      </c>
      <c r="AP13" s="43">
        <v>4</v>
      </c>
      <c r="AR13" s="46"/>
      <c r="AS13" s="43"/>
      <c r="AU13" s="42" t="str">
        <f t="shared" si="12"/>
        <v>ALPASTOR</v>
      </c>
      <c r="AV13" s="43">
        <v>3</v>
      </c>
      <c r="AX13" s="43">
        <f t="shared" si="13"/>
        <v>7</v>
      </c>
      <c r="AY13" s="42" t="str">
        <f t="shared" si="14"/>
        <v>ALPASTOR</v>
      </c>
      <c r="AZ13" s="43">
        <v>4</v>
      </c>
      <c r="BB13" s="46"/>
      <c r="BC13" s="43"/>
      <c r="BE13" s="42" t="str">
        <f t="shared" si="15"/>
        <v>ALPASTOR</v>
      </c>
      <c r="BF13" s="43">
        <v>4</v>
      </c>
      <c r="BH13" s="43">
        <f t="shared" si="16"/>
        <v>8</v>
      </c>
      <c r="BI13" s="42" t="str">
        <f t="shared" si="17"/>
        <v>ALPASTOR</v>
      </c>
      <c r="BJ13" s="43">
        <v>5</v>
      </c>
      <c r="BL13" s="46"/>
      <c r="BM13" s="43"/>
      <c r="BO13" s="42" t="str">
        <f t="shared" si="18"/>
        <v>ALPASTOR</v>
      </c>
      <c r="BP13" s="43">
        <v>5</v>
      </c>
      <c r="BR13" s="43">
        <f t="shared" si="19"/>
        <v>10</v>
      </c>
      <c r="BS13" s="42" t="str">
        <f t="shared" si="20"/>
        <v>ALPASTOR</v>
      </c>
      <c r="BT13" s="43">
        <v>4</v>
      </c>
      <c r="BV13" s="46"/>
      <c r="BW13" s="43"/>
      <c r="BY13" s="42" t="str">
        <f t="shared" si="21"/>
        <v>ALPASTOR</v>
      </c>
      <c r="BZ13" s="43">
        <v>5</v>
      </c>
      <c r="CB13" s="43">
        <f t="shared" si="22"/>
        <v>9</v>
      </c>
      <c r="CC13" s="42" t="str">
        <f t="shared" si="23"/>
        <v>ALPASTOR</v>
      </c>
      <c r="CD13" s="43">
        <v>3</v>
      </c>
      <c r="CF13" s="46"/>
      <c r="CG13" s="43"/>
      <c r="CI13" s="42" t="str">
        <f t="shared" si="24"/>
        <v>ALPASTOR</v>
      </c>
      <c r="CJ13" s="43">
        <v>6</v>
      </c>
      <c r="CL13" s="43">
        <f t="shared" si="25"/>
        <v>9</v>
      </c>
      <c r="CM13" s="42" t="str">
        <f t="shared" si="26"/>
        <v>ALPASTOR</v>
      </c>
      <c r="CN13" s="43">
        <v>3</v>
      </c>
      <c r="CP13" s="42"/>
      <c r="CQ13" s="43"/>
      <c r="CS13" s="42" t="str">
        <f t="shared" si="27"/>
        <v>ALPASTOR</v>
      </c>
      <c r="CT13" s="43">
        <v>4</v>
      </c>
      <c r="CV13" s="43">
        <f t="shared" si="28"/>
        <v>7</v>
      </c>
      <c r="CW13" s="42" t="str">
        <f t="shared" si="29"/>
        <v>ALPASTOR</v>
      </c>
      <c r="CX13" s="43">
        <v>3</v>
      </c>
      <c r="CZ13" s="46"/>
      <c r="DA13" s="43"/>
      <c r="DC13" s="42" t="str">
        <f t="shared" si="30"/>
        <v>ALPASTOR</v>
      </c>
      <c r="DD13" s="43">
        <v>6</v>
      </c>
      <c r="DF13" s="43">
        <f t="shared" si="31"/>
        <v>9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/>
      <c r="EX13" s="42" t="str">
        <f t="shared" si="47"/>
        <v>ALPASTOR</v>
      </c>
      <c r="EY13" s="43"/>
      <c r="FA13" s="42" t="str">
        <f t="shared" si="48"/>
        <v>ALPASTOR</v>
      </c>
      <c r="FB13" s="43">
        <v>3</v>
      </c>
      <c r="FD13" s="43">
        <f t="shared" si="49"/>
        <v>3</v>
      </c>
      <c r="FE13" s="42" t="str">
        <f t="shared" si="50"/>
        <v>ALPASTOR</v>
      </c>
      <c r="FF13" s="43"/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0</v>
      </c>
      <c r="FO13" s="42" t="str">
        <f t="shared" si="54"/>
        <v>ALPASTOR</v>
      </c>
      <c r="FP13" s="43">
        <v>4</v>
      </c>
      <c r="FR13" s="42" t="str">
        <f t="shared" si="55"/>
        <v>ALPASTOR</v>
      </c>
      <c r="FS13" s="43">
        <v>10</v>
      </c>
      <c r="FU13" s="42" t="str">
        <f t="shared" si="56"/>
        <v>ALPASTOR</v>
      </c>
      <c r="FV13" s="43"/>
      <c r="FX13" s="43">
        <f t="shared" si="57"/>
        <v>14</v>
      </c>
      <c r="FY13" s="42" t="str">
        <f t="shared" si="58"/>
        <v>ALPASTOR</v>
      </c>
      <c r="FZ13" s="43">
        <v>4</v>
      </c>
      <c r="GB13" s="42" t="str">
        <f t="shared" si="59"/>
        <v>ALPASTOR</v>
      </c>
      <c r="GC13" s="43">
        <v>4</v>
      </c>
      <c r="GE13" s="42" t="str">
        <f t="shared" si="60"/>
        <v>ALPASTOR</v>
      </c>
      <c r="GF13" s="43"/>
      <c r="GH13" s="43">
        <f t="shared" si="61"/>
        <v>8</v>
      </c>
      <c r="GI13" s="42" t="str">
        <f t="shared" si="62"/>
        <v>ALPASTOR</v>
      </c>
      <c r="GJ13" s="43">
        <v>4</v>
      </c>
      <c r="GL13" s="42" t="str">
        <f t="shared" si="63"/>
        <v>ALPASTOR</v>
      </c>
      <c r="GM13" s="43">
        <v>3</v>
      </c>
      <c r="GO13" s="42" t="str">
        <f t="shared" si="64"/>
        <v>ALPASTOR</v>
      </c>
      <c r="GP13" s="43"/>
      <c r="GR13" s="43">
        <f t="shared" si="65"/>
        <v>7</v>
      </c>
      <c r="GS13" s="42" t="str">
        <f t="shared" si="66"/>
        <v>ALPASTOR</v>
      </c>
      <c r="GT13" s="43"/>
      <c r="GV13" s="42" t="str">
        <f t="shared" si="67"/>
        <v>ALPASTOR</v>
      </c>
      <c r="GW13" s="43"/>
      <c r="GY13" s="42" t="str">
        <f t="shared" si="68"/>
        <v>ALPASTOR</v>
      </c>
      <c r="GZ13" s="43"/>
      <c r="HB13" s="43">
        <f t="shared" si="69"/>
        <v>0</v>
      </c>
      <c r="HC13" s="42" t="str">
        <f t="shared" si="70"/>
        <v>ALPASTOR</v>
      </c>
      <c r="HD13" s="43">
        <f t="shared" si="71"/>
        <v>52</v>
      </c>
      <c r="HF13" s="42" t="str">
        <f t="shared" si="72"/>
        <v>ALPASTOR</v>
      </c>
      <c r="HG13" s="43">
        <f t="shared" si="73"/>
        <v>0</v>
      </c>
      <c r="HI13" s="42" t="str">
        <f t="shared" si="74"/>
        <v>ALPASTOR</v>
      </c>
      <c r="HJ13" s="43">
        <f t="shared" si="75"/>
        <v>61</v>
      </c>
      <c r="HL13" s="43">
        <f t="shared" si="76"/>
        <v>142</v>
      </c>
      <c r="HM13" s="42" t="str">
        <f t="shared" si="77"/>
        <v>ALPASTOR</v>
      </c>
      <c r="HN13" s="57">
        <f t="shared" si="78"/>
        <v>7</v>
      </c>
      <c r="HO13" s="44">
        <f t="shared" si="79"/>
        <v>18</v>
      </c>
      <c r="HP13" s="57">
        <f t="shared" si="80"/>
        <v>14</v>
      </c>
      <c r="HQ13" s="44">
        <f t="shared" si="81"/>
        <v>12</v>
      </c>
      <c r="HR13" s="57">
        <f t="shared" si="82"/>
        <v>7</v>
      </c>
      <c r="HS13" s="44">
        <f t="shared" si="83"/>
        <v>8</v>
      </c>
      <c r="HT13" s="57">
        <f t="shared" si="84"/>
        <v>10</v>
      </c>
      <c r="HU13" s="44">
        <f t="shared" si="85"/>
        <v>9</v>
      </c>
      <c r="HV13" s="57">
        <f t="shared" si="86"/>
        <v>9</v>
      </c>
      <c r="HW13" s="44">
        <f t="shared" si="87"/>
        <v>7</v>
      </c>
      <c r="HX13" s="57">
        <f t="shared" si="88"/>
        <v>9</v>
      </c>
      <c r="HY13" s="44">
        <f t="shared" si="89"/>
        <v>0</v>
      </c>
      <c r="HZ13" s="42" t="str">
        <f t="shared" si="90"/>
        <v>ALPASTOR</v>
      </c>
      <c r="IA13" s="57">
        <f t="shared" si="91"/>
        <v>0</v>
      </c>
      <c r="IB13" s="44">
        <f t="shared" si="92"/>
        <v>0</v>
      </c>
      <c r="IC13" s="57">
        <f t="shared" si="93"/>
        <v>0</v>
      </c>
      <c r="ID13" s="44">
        <f t="shared" si="94"/>
        <v>3</v>
      </c>
      <c r="IE13" s="57">
        <f t="shared" si="95"/>
        <v>0</v>
      </c>
      <c r="IF13" s="44">
        <f t="shared" si="96"/>
        <v>14</v>
      </c>
      <c r="IG13" s="57">
        <f t="shared" si="97"/>
        <v>8</v>
      </c>
      <c r="IH13" s="44">
        <f t="shared" si="98"/>
        <v>7</v>
      </c>
      <c r="II13" s="57">
        <f t="shared" si="99"/>
        <v>0</v>
      </c>
      <c r="IJ13" s="44"/>
      <c r="IK13" s="57"/>
      <c r="IL13" s="44">
        <f t="shared" si="100"/>
        <v>142</v>
      </c>
      <c r="IM13" s="42" t="str">
        <f t="shared" si="101"/>
        <v>ALPASTOR</v>
      </c>
      <c r="IN13" s="43">
        <f t="shared" si="102"/>
        <v>38</v>
      </c>
      <c r="IP13" s="42" t="str">
        <f t="shared" si="103"/>
        <v>ALPASTOR</v>
      </c>
      <c r="IQ13" s="43">
        <f t="shared" si="104"/>
        <v>0</v>
      </c>
      <c r="IS13" s="42" t="str">
        <f t="shared" si="105"/>
        <v>ALPASTOR</v>
      </c>
      <c r="IT13" s="43">
        <f t="shared" si="106"/>
        <v>43</v>
      </c>
      <c r="IV13" s="43"/>
      <c r="IW13" s="42" t="str">
        <f t="shared" si="107"/>
        <v>ALPASTOR</v>
      </c>
      <c r="IX13" s="43">
        <f t="shared" si="108"/>
        <v>8</v>
      </c>
      <c r="IZ13" s="42" t="str">
        <f t="shared" si="109"/>
        <v>ALPASTOR</v>
      </c>
      <c r="JA13" s="43">
        <f t="shared" si="110"/>
        <v>0</v>
      </c>
      <c r="JC13" s="42" t="str">
        <f t="shared" si="111"/>
        <v>ALPASTOR</v>
      </c>
      <c r="JD13" s="43">
        <f t="shared" si="112"/>
        <v>8</v>
      </c>
      <c r="JF13" s="43"/>
      <c r="JG13" s="42" t="str">
        <f t="shared" ref="JG13:JG29" si="121">K13</f>
        <v>ALPASTOR</v>
      </c>
      <c r="JH13" s="43">
        <f t="shared" ref="JH13:JH29" si="122">FP13</f>
        <v>4</v>
      </c>
      <c r="JJ13" s="42" t="str">
        <f t="shared" ref="JJ13:JJ29" si="123">K13</f>
        <v>ALPASTOR</v>
      </c>
      <c r="JK13" s="43">
        <f t="shared" ref="JK13:JK29" si="124">FZ13</f>
        <v>4</v>
      </c>
      <c r="JM13" s="42" t="str">
        <f t="shared" ref="JM13:JM18" si="125">K13</f>
        <v>ALPASTOR</v>
      </c>
      <c r="JN13" s="43">
        <f t="shared" ref="JN13:JN18" si="126">GJ13</f>
        <v>4</v>
      </c>
      <c r="JP13" s="44">
        <f t="shared" si="113"/>
        <v>12</v>
      </c>
      <c r="JQ13" s="42" t="str">
        <f t="shared" si="114"/>
        <v>ALPASTOR</v>
      </c>
      <c r="JR13" s="43">
        <f t="shared" si="115"/>
        <v>10</v>
      </c>
      <c r="JT13" s="42" t="str">
        <f t="shared" si="116"/>
        <v>ALPASTOR</v>
      </c>
      <c r="JU13" s="43">
        <f t="shared" si="117"/>
        <v>4</v>
      </c>
      <c r="JW13" s="42" t="str">
        <f t="shared" si="118"/>
        <v>ALPASTOR</v>
      </c>
      <c r="JX13" s="43">
        <f t="shared" si="119"/>
        <v>3</v>
      </c>
      <c r="JZ13" s="44">
        <f t="shared" si="120"/>
        <v>17</v>
      </c>
    </row>
    <row r="14" spans="1:286" s="7" customFormat="1" ht="54" customHeight="1" x14ac:dyDescent="0.65">
      <c r="A14" s="46" t="s">
        <v>44</v>
      </c>
      <c r="B14" s="43">
        <v>2</v>
      </c>
      <c r="D14" s="46"/>
      <c r="E14" s="43"/>
      <c r="G14" s="42" t="str">
        <f t="shared" si="0"/>
        <v>CARNE ASADA</v>
      </c>
      <c r="H14" s="43">
        <v>1</v>
      </c>
      <c r="J14" s="43">
        <f t="shared" si="1"/>
        <v>3</v>
      </c>
      <c r="K14" s="42" t="str">
        <f t="shared" si="2"/>
        <v>CARNE ASADA</v>
      </c>
      <c r="L14" s="43">
        <v>3</v>
      </c>
      <c r="N14" s="47"/>
      <c r="O14" s="43"/>
      <c r="Q14" s="42" t="str">
        <f t="shared" si="3"/>
        <v>CARNE ASADA</v>
      </c>
      <c r="R14" s="43">
        <v>2</v>
      </c>
      <c r="T14" s="43">
        <f t="shared" si="4"/>
        <v>5</v>
      </c>
      <c r="U14" s="42" t="str">
        <f t="shared" si="5"/>
        <v>CARNE ASADA</v>
      </c>
      <c r="V14" s="43">
        <v>2</v>
      </c>
      <c r="X14" s="46"/>
      <c r="Y14" s="43"/>
      <c r="AA14" s="42" t="str">
        <f t="shared" si="6"/>
        <v>CARNE ASADA</v>
      </c>
      <c r="AB14" s="43">
        <v>1</v>
      </c>
      <c r="AD14" s="43">
        <f t="shared" si="7"/>
        <v>3</v>
      </c>
      <c r="AE14" s="42" t="str">
        <f t="shared" si="8"/>
        <v>CARNE ASADA</v>
      </c>
      <c r="AF14" s="43">
        <v>1</v>
      </c>
      <c r="AH14" s="47"/>
      <c r="AI14" s="43"/>
      <c r="AK14" s="42" t="str">
        <f t="shared" si="9"/>
        <v>CARNE ASADA</v>
      </c>
      <c r="AL14" s="43">
        <v>1</v>
      </c>
      <c r="AN14" s="43">
        <f t="shared" si="10"/>
        <v>2</v>
      </c>
      <c r="AO14" s="42" t="str">
        <f t="shared" si="11"/>
        <v>CARNE ASADA</v>
      </c>
      <c r="AP14" s="43">
        <v>1</v>
      </c>
      <c r="AR14" s="46"/>
      <c r="AS14" s="43"/>
      <c r="AU14" s="42" t="str">
        <f t="shared" si="12"/>
        <v>CARNE ASADA</v>
      </c>
      <c r="AV14" s="43">
        <v>1</v>
      </c>
      <c r="AX14" s="43">
        <f t="shared" si="13"/>
        <v>2</v>
      </c>
      <c r="AY14" s="42" t="str">
        <f t="shared" si="14"/>
        <v>CARNE ASADA</v>
      </c>
      <c r="AZ14" s="43">
        <v>1</v>
      </c>
      <c r="BB14" s="47"/>
      <c r="BC14" s="43"/>
      <c r="BE14" s="42" t="str">
        <f t="shared" si="15"/>
        <v>CARNE ASADA</v>
      </c>
      <c r="BF14" s="43">
        <v>1</v>
      </c>
      <c r="BH14" s="43">
        <f t="shared" si="16"/>
        <v>2</v>
      </c>
      <c r="BI14" s="42" t="str">
        <f t="shared" si="17"/>
        <v>CARNE ASADA</v>
      </c>
      <c r="BJ14" s="43">
        <v>1</v>
      </c>
      <c r="BL14" s="46"/>
      <c r="BM14" s="43"/>
      <c r="BO14" s="42" t="str">
        <f t="shared" si="18"/>
        <v>CARNE ASADA</v>
      </c>
      <c r="BP14" s="43">
        <v>1</v>
      </c>
      <c r="BR14" s="43">
        <f t="shared" si="19"/>
        <v>2</v>
      </c>
      <c r="BS14" s="42" t="str">
        <f t="shared" si="20"/>
        <v>CARNE ASADA</v>
      </c>
      <c r="BT14" s="43">
        <v>1</v>
      </c>
      <c r="BV14" s="47"/>
      <c r="BW14" s="43"/>
      <c r="BY14" s="42" t="str">
        <f t="shared" si="21"/>
        <v>CARNE ASADA</v>
      </c>
      <c r="BZ14" s="43">
        <v>1</v>
      </c>
      <c r="CB14" s="43">
        <f t="shared" si="22"/>
        <v>2</v>
      </c>
      <c r="CC14" s="42" t="str">
        <f t="shared" si="23"/>
        <v>CARNE ASADA</v>
      </c>
      <c r="CD14" s="43">
        <v>1</v>
      </c>
      <c r="CF14" s="46"/>
      <c r="CG14" s="43"/>
      <c r="CI14" s="42" t="str">
        <f t="shared" si="24"/>
        <v>CARNE ASADA</v>
      </c>
      <c r="CJ14" s="43">
        <v>1</v>
      </c>
      <c r="CL14" s="43">
        <f t="shared" si="25"/>
        <v>2</v>
      </c>
      <c r="CM14" s="42" t="str">
        <f t="shared" si="26"/>
        <v>CARNE ASADA</v>
      </c>
      <c r="CN14" s="43"/>
      <c r="CP14" s="42"/>
      <c r="CQ14" s="43"/>
      <c r="CS14" s="42" t="str">
        <f t="shared" si="27"/>
        <v>CARNE ASADA</v>
      </c>
      <c r="CT14" s="43">
        <v>1</v>
      </c>
      <c r="CV14" s="43">
        <f t="shared" si="28"/>
        <v>1</v>
      </c>
      <c r="CW14" s="42" t="str">
        <f t="shared" si="29"/>
        <v>CARNE ASADA</v>
      </c>
      <c r="CX14" s="43">
        <v>1</v>
      </c>
      <c r="CZ14" s="47"/>
      <c r="DA14" s="43"/>
      <c r="DC14" s="42" t="str">
        <f t="shared" si="30"/>
        <v>CARNE ASADA</v>
      </c>
      <c r="DD14" s="43"/>
      <c r="DF14" s="43">
        <f t="shared" si="31"/>
        <v>1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>
        <v>2</v>
      </c>
      <c r="FD14" s="43">
        <f t="shared" si="49"/>
        <v>2</v>
      </c>
      <c r="FE14" s="42" t="str">
        <f t="shared" si="50"/>
        <v>CARNE ASADA</v>
      </c>
      <c r="FF14" s="43"/>
      <c r="FH14" s="42" t="str">
        <f t="shared" si="51"/>
        <v>CARNE ASADA</v>
      </c>
      <c r="FI14" s="43"/>
      <c r="FK14" s="42" t="str">
        <f t="shared" si="52"/>
        <v>CARNE ASADA</v>
      </c>
      <c r="FL14" s="43"/>
      <c r="FN14" s="43">
        <f t="shared" si="53"/>
        <v>0</v>
      </c>
      <c r="FO14" s="42" t="str">
        <f t="shared" si="54"/>
        <v>CARNE ASADA</v>
      </c>
      <c r="FP14" s="43">
        <v>2</v>
      </c>
      <c r="FR14" s="42" t="str">
        <f t="shared" si="55"/>
        <v>CARNE ASADA</v>
      </c>
      <c r="FS14" s="43">
        <v>2</v>
      </c>
      <c r="FU14" s="42" t="str">
        <f t="shared" si="56"/>
        <v>CARNE ASADA</v>
      </c>
      <c r="FV14" s="43"/>
      <c r="FX14" s="43">
        <f t="shared" si="57"/>
        <v>4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/>
      <c r="GL14" s="42" t="str">
        <f t="shared" si="63"/>
        <v>CARNE ASADA</v>
      </c>
      <c r="GM14" s="43">
        <v>2</v>
      </c>
      <c r="GO14" s="42" t="str">
        <f t="shared" si="64"/>
        <v>CARNE ASADA</v>
      </c>
      <c r="GP14" s="43"/>
      <c r="GR14" s="43">
        <f t="shared" si="65"/>
        <v>2</v>
      </c>
      <c r="GS14" s="42" t="str">
        <f t="shared" si="66"/>
        <v>CARNE ASADA</v>
      </c>
      <c r="GT14" s="43"/>
      <c r="GV14" s="42" t="str">
        <f t="shared" si="67"/>
        <v>CARNE ASADA</v>
      </c>
      <c r="GW14" s="43"/>
      <c r="GY14" s="42" t="str">
        <f t="shared" si="68"/>
        <v>CARNE ASADA</v>
      </c>
      <c r="GZ14" s="43"/>
      <c r="HB14" s="43">
        <f t="shared" si="69"/>
        <v>0</v>
      </c>
      <c r="HC14" s="42" t="str">
        <f t="shared" si="70"/>
        <v>CARNE ASADA</v>
      </c>
      <c r="HD14" s="43">
        <f t="shared" si="71"/>
        <v>14</v>
      </c>
      <c r="HF14" s="42" t="str">
        <f t="shared" si="72"/>
        <v>CARNE ASADA</v>
      </c>
      <c r="HG14" s="43">
        <f t="shared" si="73"/>
        <v>0</v>
      </c>
      <c r="HI14" s="42" t="str">
        <f t="shared" si="74"/>
        <v>CARNE ASADA</v>
      </c>
      <c r="HJ14" s="43">
        <f t="shared" si="75"/>
        <v>13</v>
      </c>
      <c r="HL14" s="43">
        <f t="shared" si="76"/>
        <v>33</v>
      </c>
      <c r="HM14" s="42" t="str">
        <f t="shared" si="77"/>
        <v>CARNE ASADA</v>
      </c>
      <c r="HN14" s="57">
        <f t="shared" si="78"/>
        <v>3</v>
      </c>
      <c r="HO14" s="44">
        <f t="shared" si="79"/>
        <v>5</v>
      </c>
      <c r="HP14" s="57">
        <f t="shared" si="80"/>
        <v>3</v>
      </c>
      <c r="HQ14" s="44">
        <f t="shared" si="81"/>
        <v>2</v>
      </c>
      <c r="HR14" s="57">
        <f t="shared" si="82"/>
        <v>2</v>
      </c>
      <c r="HS14" s="44">
        <f t="shared" si="83"/>
        <v>2</v>
      </c>
      <c r="HT14" s="57">
        <f t="shared" si="84"/>
        <v>2</v>
      </c>
      <c r="HU14" s="44">
        <f t="shared" si="85"/>
        <v>2</v>
      </c>
      <c r="HV14" s="57">
        <f t="shared" si="86"/>
        <v>2</v>
      </c>
      <c r="HW14" s="44">
        <f t="shared" si="87"/>
        <v>1</v>
      </c>
      <c r="HX14" s="57">
        <f t="shared" si="88"/>
        <v>1</v>
      </c>
      <c r="HY14" s="44">
        <f t="shared" si="89"/>
        <v>0</v>
      </c>
      <c r="HZ14" s="42" t="str">
        <f t="shared" si="90"/>
        <v>CARNE ASADA</v>
      </c>
      <c r="IA14" s="57">
        <f t="shared" si="91"/>
        <v>0</v>
      </c>
      <c r="IB14" s="44">
        <f t="shared" si="92"/>
        <v>0</v>
      </c>
      <c r="IC14" s="57">
        <f t="shared" si="93"/>
        <v>0</v>
      </c>
      <c r="ID14" s="44">
        <f t="shared" si="94"/>
        <v>2</v>
      </c>
      <c r="IE14" s="57">
        <f t="shared" si="95"/>
        <v>0</v>
      </c>
      <c r="IF14" s="44">
        <f t="shared" si="96"/>
        <v>4</v>
      </c>
      <c r="IG14" s="57">
        <f t="shared" si="97"/>
        <v>0</v>
      </c>
      <c r="IH14" s="44">
        <f t="shared" si="98"/>
        <v>2</v>
      </c>
      <c r="II14" s="57">
        <f t="shared" si="99"/>
        <v>0</v>
      </c>
      <c r="IJ14" s="44"/>
      <c r="IK14" s="57"/>
      <c r="IL14" s="44">
        <f t="shared" si="100"/>
        <v>33</v>
      </c>
      <c r="IM14" s="42" t="str">
        <f t="shared" si="101"/>
        <v>CARNE ASADA</v>
      </c>
      <c r="IN14" s="43">
        <f t="shared" si="102"/>
        <v>11</v>
      </c>
      <c r="IP14" s="42" t="str">
        <f t="shared" si="103"/>
        <v>CARNE ASADA</v>
      </c>
      <c r="IQ14" s="43">
        <f t="shared" si="104"/>
        <v>0</v>
      </c>
      <c r="IS14" s="42" t="str">
        <f t="shared" si="105"/>
        <v>CARNE ASADA</v>
      </c>
      <c r="IT14" s="43">
        <f t="shared" si="106"/>
        <v>10</v>
      </c>
      <c r="IV14" s="43"/>
      <c r="IW14" s="42" t="str">
        <f t="shared" si="107"/>
        <v>CARNE ASADA</v>
      </c>
      <c r="IX14" s="43">
        <f t="shared" si="108"/>
        <v>2</v>
      </c>
      <c r="IZ14" s="42" t="str">
        <f t="shared" si="109"/>
        <v>CARNE ASADA</v>
      </c>
      <c r="JA14" s="43">
        <f t="shared" si="110"/>
        <v>0</v>
      </c>
      <c r="JC14" s="42" t="str">
        <f t="shared" si="111"/>
        <v>CARNE ASADA</v>
      </c>
      <c r="JD14" s="43">
        <f t="shared" si="112"/>
        <v>2</v>
      </c>
      <c r="JF14" s="43"/>
      <c r="JG14" s="42" t="str">
        <f t="shared" si="121"/>
        <v>CARNE ASADA</v>
      </c>
      <c r="JH14" s="43">
        <f t="shared" si="122"/>
        <v>2</v>
      </c>
      <c r="JJ14" s="42"/>
      <c r="JK14" s="43"/>
      <c r="JM14" s="42"/>
      <c r="JN14" s="43"/>
      <c r="JP14" s="44">
        <f t="shared" si="113"/>
        <v>2</v>
      </c>
      <c r="JQ14" s="42" t="str">
        <f t="shared" si="114"/>
        <v>CARNE ASADA</v>
      </c>
      <c r="JR14" s="43">
        <f t="shared" si="115"/>
        <v>2</v>
      </c>
      <c r="JT14" s="42" t="str">
        <f t="shared" si="116"/>
        <v>CARNE ASADA</v>
      </c>
      <c r="JU14" s="43">
        <f t="shared" si="117"/>
        <v>0</v>
      </c>
      <c r="JW14" s="42" t="str">
        <f t="shared" si="118"/>
        <v>CARNE ASADA</v>
      </c>
      <c r="JX14" s="43">
        <f t="shared" si="119"/>
        <v>2</v>
      </c>
      <c r="JZ14" s="44">
        <f t="shared" si="120"/>
        <v>4</v>
      </c>
    </row>
    <row r="15" spans="1:286" s="7" customFormat="1" ht="54" customHeight="1" x14ac:dyDescent="0.65">
      <c r="A15" s="46" t="s">
        <v>45</v>
      </c>
      <c r="B15" s="43">
        <v>1</v>
      </c>
      <c r="D15" s="46"/>
      <c r="E15" s="43"/>
      <c r="G15" s="42" t="str">
        <f t="shared" si="0"/>
        <v>FAJITAS</v>
      </c>
      <c r="H15" s="43">
        <v>1</v>
      </c>
      <c r="J15" s="43">
        <f t="shared" si="1"/>
        <v>2</v>
      </c>
      <c r="K15" s="42" t="str">
        <f t="shared" si="2"/>
        <v>FAJITAS</v>
      </c>
      <c r="L15" s="43">
        <v>1</v>
      </c>
      <c r="N15" s="46"/>
      <c r="O15" s="43"/>
      <c r="Q15" s="42" t="str">
        <f t="shared" si="3"/>
        <v>FAJITAS</v>
      </c>
      <c r="R15" s="43">
        <v>1</v>
      </c>
      <c r="T15" s="43">
        <f t="shared" si="4"/>
        <v>2</v>
      </c>
      <c r="U15" s="42" t="str">
        <f t="shared" si="5"/>
        <v>FAJITAS</v>
      </c>
      <c r="V15" s="43">
        <v>1</v>
      </c>
      <c r="X15" s="46"/>
      <c r="Y15" s="43"/>
      <c r="AA15" s="42" t="str">
        <f t="shared" si="6"/>
        <v>FAJITAS</v>
      </c>
      <c r="AB15" s="43">
        <v>1</v>
      </c>
      <c r="AD15" s="43">
        <f t="shared" si="7"/>
        <v>2</v>
      </c>
      <c r="AE15" s="42" t="str">
        <f t="shared" si="8"/>
        <v>FAJITAS</v>
      </c>
      <c r="AF15" s="43">
        <v>1</v>
      </c>
      <c r="AH15" s="46"/>
      <c r="AI15" s="43"/>
      <c r="AK15" s="42" t="str">
        <f t="shared" si="9"/>
        <v>FAJITAS</v>
      </c>
      <c r="AL15" s="43">
        <v>1</v>
      </c>
      <c r="AN15" s="43">
        <f t="shared" si="10"/>
        <v>2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>
        <v>0.5</v>
      </c>
      <c r="AX15" s="43">
        <f t="shared" si="13"/>
        <v>0.5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>
        <v>0.5</v>
      </c>
      <c r="BL15" s="46"/>
      <c r="BM15" s="43"/>
      <c r="BO15" s="42" t="str">
        <f t="shared" si="18"/>
        <v>FAJITAS</v>
      </c>
      <c r="BP15" s="43">
        <v>0.5</v>
      </c>
      <c r="BR15" s="43">
        <f t="shared" si="19"/>
        <v>1</v>
      </c>
      <c r="BS15" s="42" t="str">
        <f t="shared" si="20"/>
        <v>FAJITAS</v>
      </c>
      <c r="BT15" s="43">
        <v>1</v>
      </c>
      <c r="BV15" s="47"/>
      <c r="BW15" s="43"/>
      <c r="BY15" s="42" t="str">
        <f t="shared" si="21"/>
        <v>FAJITAS</v>
      </c>
      <c r="BZ15" s="43">
        <v>0.5</v>
      </c>
      <c r="CB15" s="43">
        <f t="shared" si="22"/>
        <v>1.5</v>
      </c>
      <c r="CC15" s="42" t="str">
        <f t="shared" si="23"/>
        <v>FAJITAS</v>
      </c>
      <c r="CD15" s="43">
        <v>0.5</v>
      </c>
      <c r="CF15" s="46"/>
      <c r="CG15" s="43"/>
      <c r="CI15" s="42" t="str">
        <f t="shared" si="24"/>
        <v>FAJITAS</v>
      </c>
      <c r="CJ15" s="43">
        <v>0.5</v>
      </c>
      <c r="CL15" s="43">
        <f t="shared" si="25"/>
        <v>1</v>
      </c>
      <c r="CM15" s="42" t="str">
        <f t="shared" si="26"/>
        <v>FAJITAS</v>
      </c>
      <c r="CN15" s="43">
        <v>1</v>
      </c>
      <c r="CP15" s="42"/>
      <c r="CQ15" s="43"/>
      <c r="CS15" s="42" t="str">
        <f t="shared" si="27"/>
        <v>FAJITAS</v>
      </c>
      <c r="CT15" s="43"/>
      <c r="CV15" s="43">
        <f t="shared" si="28"/>
        <v>1</v>
      </c>
      <c r="CW15" s="42" t="str">
        <f t="shared" si="29"/>
        <v>FAJITAS</v>
      </c>
      <c r="CX15" s="43"/>
      <c r="CZ15" s="47"/>
      <c r="DA15" s="43"/>
      <c r="DC15" s="42" t="str">
        <f t="shared" si="30"/>
        <v>FAJITAS</v>
      </c>
      <c r="DD15" s="43"/>
      <c r="DF15" s="43">
        <f t="shared" si="31"/>
        <v>0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65"/>
        <v>0</v>
      </c>
      <c r="GS15" s="42" t="str">
        <f t="shared" si="66"/>
        <v>FAJITAS</v>
      </c>
      <c r="GT15" s="43"/>
      <c r="GV15" s="42" t="str">
        <f t="shared" si="67"/>
        <v>FAJITAS</v>
      </c>
      <c r="GW15" s="43"/>
      <c r="GY15" s="42" t="str">
        <f t="shared" si="68"/>
        <v>FAJITAS</v>
      </c>
      <c r="GZ15" s="43"/>
      <c r="HB15" s="43">
        <f t="shared" si="69"/>
        <v>0</v>
      </c>
      <c r="HC15" s="42" t="str">
        <f t="shared" si="70"/>
        <v>FAJITAS</v>
      </c>
      <c r="HD15" s="43">
        <f t="shared" si="71"/>
        <v>7</v>
      </c>
      <c r="HF15" s="42" t="str">
        <f t="shared" si="72"/>
        <v>FAJITAS</v>
      </c>
      <c r="HG15" s="43">
        <f t="shared" si="73"/>
        <v>0</v>
      </c>
      <c r="HI15" s="42" t="str">
        <f t="shared" si="74"/>
        <v>FAJITAS</v>
      </c>
      <c r="HJ15" s="43">
        <f t="shared" si="75"/>
        <v>6</v>
      </c>
      <c r="HL15" s="43">
        <f t="shared" si="76"/>
        <v>13</v>
      </c>
      <c r="HM15" s="42" t="str">
        <f t="shared" si="77"/>
        <v>FAJITAS</v>
      </c>
      <c r="HN15" s="57">
        <f t="shared" si="78"/>
        <v>2</v>
      </c>
      <c r="HO15" s="44">
        <f t="shared" si="79"/>
        <v>2</v>
      </c>
      <c r="HP15" s="57">
        <f t="shared" si="80"/>
        <v>2</v>
      </c>
      <c r="HQ15" s="44">
        <f t="shared" si="81"/>
        <v>2</v>
      </c>
      <c r="HR15" s="57">
        <f t="shared" si="82"/>
        <v>0.5</v>
      </c>
      <c r="HS15" s="44">
        <f t="shared" si="83"/>
        <v>0</v>
      </c>
      <c r="HT15" s="57">
        <f t="shared" si="84"/>
        <v>1</v>
      </c>
      <c r="HU15" s="44">
        <f t="shared" si="85"/>
        <v>1.5</v>
      </c>
      <c r="HV15" s="57">
        <f t="shared" si="86"/>
        <v>1</v>
      </c>
      <c r="HW15" s="44">
        <f t="shared" si="87"/>
        <v>1</v>
      </c>
      <c r="HX15" s="57">
        <f t="shared" si="88"/>
        <v>0</v>
      </c>
      <c r="HY15" s="44">
        <f t="shared" si="89"/>
        <v>0</v>
      </c>
      <c r="HZ15" s="42" t="str">
        <f t="shared" si="90"/>
        <v>FAJITAS</v>
      </c>
      <c r="IA15" s="57">
        <f t="shared" si="91"/>
        <v>0</v>
      </c>
      <c r="IB15" s="44">
        <f t="shared" si="92"/>
        <v>0</v>
      </c>
      <c r="IC15" s="57">
        <f t="shared" si="93"/>
        <v>0</v>
      </c>
      <c r="ID15" s="44">
        <f t="shared" si="94"/>
        <v>0</v>
      </c>
      <c r="IE15" s="57">
        <f t="shared" si="95"/>
        <v>0</v>
      </c>
      <c r="IF15" s="44">
        <f t="shared" si="96"/>
        <v>0</v>
      </c>
      <c r="IG15" s="57">
        <f t="shared" si="97"/>
        <v>0</v>
      </c>
      <c r="IH15" s="44">
        <f t="shared" si="98"/>
        <v>0</v>
      </c>
      <c r="II15" s="57">
        <f t="shared" si="99"/>
        <v>0</v>
      </c>
      <c r="IJ15" s="44"/>
      <c r="IK15" s="57"/>
      <c r="IL15" s="44">
        <f t="shared" si="100"/>
        <v>13</v>
      </c>
      <c r="IM15" s="42" t="str">
        <f t="shared" si="101"/>
        <v>FAJITAS</v>
      </c>
      <c r="IN15" s="43">
        <f t="shared" si="102"/>
        <v>5</v>
      </c>
      <c r="IP15" s="42" t="str">
        <f t="shared" si="103"/>
        <v>FAJITAS</v>
      </c>
      <c r="IQ15" s="43">
        <f t="shared" si="104"/>
        <v>0</v>
      </c>
      <c r="IS15" s="42" t="str">
        <f t="shared" si="105"/>
        <v>FAJITAS</v>
      </c>
      <c r="IT15" s="43">
        <f t="shared" si="106"/>
        <v>5</v>
      </c>
      <c r="IV15" s="43"/>
      <c r="IW15" s="42" t="str">
        <f t="shared" si="107"/>
        <v>FAJITAS</v>
      </c>
      <c r="IX15" s="43">
        <f t="shared" si="108"/>
        <v>1</v>
      </c>
      <c r="IZ15" s="42" t="str">
        <f t="shared" si="109"/>
        <v>FAJITAS</v>
      </c>
      <c r="JA15" s="43">
        <f t="shared" si="110"/>
        <v>0</v>
      </c>
      <c r="JC15" s="42" t="str">
        <f t="shared" si="111"/>
        <v>FAJITAS</v>
      </c>
      <c r="JD15" s="43">
        <f t="shared" si="112"/>
        <v>1</v>
      </c>
      <c r="JF15" s="43"/>
      <c r="JG15" s="42"/>
      <c r="JH15" s="43"/>
      <c r="JJ15" s="42"/>
      <c r="JK15" s="43"/>
      <c r="JM15" s="42"/>
      <c r="JN15" s="43"/>
      <c r="JP15" s="44">
        <f t="shared" si="113"/>
        <v>0</v>
      </c>
      <c r="JQ15" s="42" t="str">
        <f t="shared" si="114"/>
        <v>FAJITAS</v>
      </c>
      <c r="JR15" s="43">
        <f t="shared" si="115"/>
        <v>0</v>
      </c>
      <c r="JT15" s="42" t="str">
        <f t="shared" si="116"/>
        <v>FAJITAS</v>
      </c>
      <c r="JU15" s="43">
        <f t="shared" si="117"/>
        <v>0</v>
      </c>
      <c r="JW15" s="42" t="str">
        <f t="shared" si="118"/>
        <v>FAJITAS</v>
      </c>
      <c r="JX15" s="43">
        <f t="shared" si="119"/>
        <v>0</v>
      </c>
      <c r="JZ15" s="44">
        <f t="shared" si="120"/>
        <v>0</v>
      </c>
    </row>
    <row r="16" spans="1:286" s="7" customFormat="1" ht="54" customHeight="1" x14ac:dyDescent="0.65">
      <c r="A16" s="46" t="s">
        <v>46</v>
      </c>
      <c r="B16" s="43">
        <v>1</v>
      </c>
      <c r="D16" s="46"/>
      <c r="E16" s="43"/>
      <c r="G16" s="42" t="str">
        <f t="shared" si="0"/>
        <v>MILANESA</v>
      </c>
      <c r="H16" s="43"/>
      <c r="J16" s="43">
        <f t="shared" si="1"/>
        <v>1</v>
      </c>
      <c r="K16" s="42" t="str">
        <f t="shared" si="2"/>
        <v>MILANESA</v>
      </c>
      <c r="L16" s="43">
        <v>1</v>
      </c>
      <c r="N16" s="46"/>
      <c r="O16" s="43"/>
      <c r="Q16" s="42" t="str">
        <f t="shared" si="3"/>
        <v>MILANESA</v>
      </c>
      <c r="R16" s="43">
        <v>1</v>
      </c>
      <c r="T16" s="43">
        <f t="shared" si="4"/>
        <v>2</v>
      </c>
      <c r="U16" s="42" t="str">
        <f t="shared" si="5"/>
        <v>MILANESA</v>
      </c>
      <c r="V16" s="43">
        <v>1</v>
      </c>
      <c r="X16" s="46"/>
      <c r="Y16" s="43"/>
      <c r="AA16" s="42" t="str">
        <f t="shared" si="6"/>
        <v>MILANESA</v>
      </c>
      <c r="AB16" s="43"/>
      <c r="AD16" s="43">
        <f t="shared" si="7"/>
        <v>1</v>
      </c>
      <c r="AE16" s="42" t="str">
        <f t="shared" si="8"/>
        <v>MILANESA</v>
      </c>
      <c r="AF16" s="43">
        <v>1</v>
      </c>
      <c r="AH16" s="46"/>
      <c r="AI16" s="43"/>
      <c r="AK16" s="42" t="str">
        <f t="shared" si="9"/>
        <v>MILANESA</v>
      </c>
      <c r="AL16" s="43"/>
      <c r="AN16" s="43">
        <f t="shared" si="10"/>
        <v>1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>
        <v>1</v>
      </c>
      <c r="AX16" s="43">
        <f t="shared" si="13"/>
        <v>1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>
        <v>1</v>
      </c>
      <c r="BH16" s="43">
        <f t="shared" si="16"/>
        <v>1</v>
      </c>
      <c r="BI16" s="42" t="str">
        <f t="shared" si="17"/>
        <v>MILANESA</v>
      </c>
      <c r="BJ16" s="43">
        <v>1</v>
      </c>
      <c r="BL16" s="46"/>
      <c r="BM16" s="43"/>
      <c r="BO16" s="42" t="str">
        <f t="shared" si="18"/>
        <v>MILANESA</v>
      </c>
      <c r="BP16" s="43"/>
      <c r="BR16" s="43">
        <f t="shared" si="19"/>
        <v>1</v>
      </c>
      <c r="BS16" s="42" t="str">
        <f t="shared" si="20"/>
        <v>MILANESA</v>
      </c>
      <c r="BT16" s="43">
        <v>1</v>
      </c>
      <c r="BV16" s="46"/>
      <c r="BW16" s="43"/>
      <c r="BY16" s="42" t="str">
        <f t="shared" si="21"/>
        <v>MILANESA</v>
      </c>
      <c r="BZ16" s="43"/>
      <c r="CB16" s="43">
        <f t="shared" si="22"/>
        <v>1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>
        <v>1</v>
      </c>
      <c r="CL16" s="43">
        <f t="shared" si="25"/>
        <v>1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>
        <v>1</v>
      </c>
      <c r="CZ16" s="46"/>
      <c r="DA16" s="43"/>
      <c r="DC16" s="42" t="str">
        <f t="shared" si="30"/>
        <v>MILANESA</v>
      </c>
      <c r="DD16" s="43"/>
      <c r="DF16" s="43">
        <f t="shared" si="31"/>
        <v>1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/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0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>
        <v>1</v>
      </c>
      <c r="FR16" s="42" t="str">
        <f t="shared" si="55"/>
        <v>MILANESA</v>
      </c>
      <c r="FS16" s="43"/>
      <c r="FU16" s="42" t="str">
        <f t="shared" si="56"/>
        <v>MILANESA</v>
      </c>
      <c r="FV16" s="43"/>
      <c r="FX16" s="43">
        <f t="shared" si="57"/>
        <v>1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>
        <v>1</v>
      </c>
      <c r="GO16" s="42" t="str">
        <f t="shared" si="64"/>
        <v>MILANESA</v>
      </c>
      <c r="GP16" s="43"/>
      <c r="GR16" s="43">
        <f t="shared" si="65"/>
        <v>1</v>
      </c>
      <c r="GS16" s="42" t="str">
        <f t="shared" si="66"/>
        <v>MILANESA</v>
      </c>
      <c r="GT16" s="43"/>
      <c r="GV16" s="42" t="str">
        <f t="shared" si="67"/>
        <v>MILANESA</v>
      </c>
      <c r="GW16" s="43"/>
      <c r="GY16" s="42" t="str">
        <f t="shared" si="68"/>
        <v>MILANESA</v>
      </c>
      <c r="GZ16" s="43"/>
      <c r="HB16" s="43">
        <f t="shared" si="69"/>
        <v>0</v>
      </c>
      <c r="HC16" s="42" t="str">
        <f t="shared" si="70"/>
        <v>MILANESA</v>
      </c>
      <c r="HD16" s="43">
        <f t="shared" si="71"/>
        <v>7</v>
      </c>
      <c r="HF16" s="42" t="str">
        <f t="shared" si="72"/>
        <v>MILANESA</v>
      </c>
      <c r="HG16" s="43">
        <f t="shared" si="73"/>
        <v>0</v>
      </c>
      <c r="HI16" s="42" t="str">
        <f t="shared" si="74"/>
        <v>MILANESA</v>
      </c>
      <c r="HJ16" s="43">
        <f t="shared" si="75"/>
        <v>4</v>
      </c>
      <c r="HL16" s="43">
        <f t="shared" si="76"/>
        <v>13</v>
      </c>
      <c r="HM16" s="42" t="str">
        <f t="shared" si="77"/>
        <v>MILANESA</v>
      </c>
      <c r="HN16" s="57">
        <f t="shared" si="78"/>
        <v>1</v>
      </c>
      <c r="HO16" s="44">
        <f t="shared" si="79"/>
        <v>2</v>
      </c>
      <c r="HP16" s="57">
        <f t="shared" si="80"/>
        <v>1</v>
      </c>
      <c r="HQ16" s="44">
        <f t="shared" si="81"/>
        <v>1</v>
      </c>
      <c r="HR16" s="57">
        <f t="shared" si="82"/>
        <v>1</v>
      </c>
      <c r="HS16" s="44">
        <f t="shared" si="83"/>
        <v>1</v>
      </c>
      <c r="HT16" s="57">
        <f t="shared" si="84"/>
        <v>1</v>
      </c>
      <c r="HU16" s="44">
        <f t="shared" si="85"/>
        <v>1</v>
      </c>
      <c r="HV16" s="57">
        <f t="shared" si="86"/>
        <v>1</v>
      </c>
      <c r="HW16" s="44">
        <f t="shared" si="87"/>
        <v>0</v>
      </c>
      <c r="HX16" s="57">
        <f t="shared" si="88"/>
        <v>1</v>
      </c>
      <c r="HY16" s="44">
        <f t="shared" si="89"/>
        <v>0</v>
      </c>
      <c r="HZ16" s="42" t="str">
        <f t="shared" si="90"/>
        <v>MILANESA</v>
      </c>
      <c r="IA16" s="57">
        <f t="shared" si="91"/>
        <v>0</v>
      </c>
      <c r="IB16" s="44">
        <f t="shared" si="92"/>
        <v>0</v>
      </c>
      <c r="IC16" s="57">
        <f t="shared" si="93"/>
        <v>0</v>
      </c>
      <c r="ID16" s="44">
        <f t="shared" si="94"/>
        <v>0</v>
      </c>
      <c r="IE16" s="57">
        <f t="shared" si="95"/>
        <v>0</v>
      </c>
      <c r="IF16" s="44">
        <f t="shared" si="96"/>
        <v>1</v>
      </c>
      <c r="IG16" s="57">
        <f t="shared" si="97"/>
        <v>0</v>
      </c>
      <c r="IH16" s="44">
        <f t="shared" si="98"/>
        <v>1</v>
      </c>
      <c r="II16" s="57">
        <f t="shared" si="99"/>
        <v>0</v>
      </c>
      <c r="IJ16" s="44"/>
      <c r="IK16" s="57"/>
      <c r="IL16" s="44">
        <f t="shared" si="100"/>
        <v>13</v>
      </c>
      <c r="IM16" s="42" t="str">
        <f t="shared" si="101"/>
        <v>MILANESA</v>
      </c>
      <c r="IN16" s="43">
        <f t="shared" si="102"/>
        <v>5</v>
      </c>
      <c r="IP16" s="42" t="str">
        <f t="shared" si="103"/>
        <v>MILANESA</v>
      </c>
      <c r="IQ16" s="43">
        <f t="shared" si="104"/>
        <v>0</v>
      </c>
      <c r="IS16" s="42" t="str">
        <f t="shared" si="105"/>
        <v>MILANESA</v>
      </c>
      <c r="IT16" s="43">
        <f t="shared" si="106"/>
        <v>3</v>
      </c>
      <c r="IV16" s="43"/>
      <c r="IW16" s="42" t="str">
        <f t="shared" si="107"/>
        <v>MILANESA</v>
      </c>
      <c r="IX16" s="43">
        <f t="shared" si="108"/>
        <v>1</v>
      </c>
      <c r="IZ16" s="42" t="str">
        <f t="shared" si="109"/>
        <v>MILANESA</v>
      </c>
      <c r="JA16" s="43">
        <f t="shared" si="110"/>
        <v>0</v>
      </c>
      <c r="JC16" s="42" t="str">
        <f t="shared" si="111"/>
        <v>MILANESA</v>
      </c>
      <c r="JD16" s="43">
        <f t="shared" si="112"/>
        <v>1</v>
      </c>
      <c r="JF16" s="43"/>
      <c r="JG16" s="42" t="str">
        <f t="shared" si="121"/>
        <v>MILANESA</v>
      </c>
      <c r="JH16" s="43">
        <f t="shared" si="122"/>
        <v>1</v>
      </c>
      <c r="JJ16" s="42"/>
      <c r="JK16" s="43"/>
      <c r="JM16" s="42"/>
      <c r="JN16" s="43"/>
      <c r="JP16" s="44">
        <f t="shared" si="113"/>
        <v>1</v>
      </c>
      <c r="JQ16" s="42" t="str">
        <f t="shared" si="114"/>
        <v>MILANESA</v>
      </c>
      <c r="JR16" s="43">
        <f t="shared" si="115"/>
        <v>0</v>
      </c>
      <c r="JT16" s="42" t="str">
        <f t="shared" si="116"/>
        <v>MILANESA</v>
      </c>
      <c r="JU16" s="43">
        <f t="shared" si="117"/>
        <v>0</v>
      </c>
      <c r="JW16" s="42" t="str">
        <f t="shared" si="118"/>
        <v>MILANESA</v>
      </c>
      <c r="JX16" s="43">
        <f t="shared" si="119"/>
        <v>1</v>
      </c>
      <c r="JZ16" s="44">
        <f t="shared" si="120"/>
        <v>1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>
        <v>1</v>
      </c>
      <c r="T17" s="43">
        <f t="shared" si="4"/>
        <v>1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/>
      <c r="AR17" s="46"/>
      <c r="AS17" s="43"/>
      <c r="AU17" s="42" t="str">
        <f t="shared" si="12"/>
        <v>TAMAL ROJO</v>
      </c>
      <c r="AV17" s="43">
        <v>1</v>
      </c>
      <c r="AX17" s="43">
        <f t="shared" si="13"/>
        <v>1</v>
      </c>
      <c r="AY17" s="42" t="str">
        <f t="shared" si="14"/>
        <v>TAMAL ROJO</v>
      </c>
      <c r="AZ17" s="43"/>
      <c r="BB17" s="46"/>
      <c r="BC17" s="43"/>
      <c r="BE17" s="42" t="str">
        <f t="shared" si="15"/>
        <v>TAMAL ROJO</v>
      </c>
      <c r="BF17" s="43"/>
      <c r="BH17" s="43">
        <f t="shared" si="16"/>
        <v>0</v>
      </c>
      <c r="BI17" s="42" t="str">
        <f t="shared" si="17"/>
        <v>TAMAL ROJO</v>
      </c>
      <c r="BJ17" s="43">
        <v>1</v>
      </c>
      <c r="BL17" s="46"/>
      <c r="BM17" s="43"/>
      <c r="BO17" s="42" t="str">
        <f t="shared" si="18"/>
        <v>TAMAL ROJO</v>
      </c>
      <c r="BP17" s="43"/>
      <c r="BR17" s="43">
        <f t="shared" si="19"/>
        <v>1</v>
      </c>
      <c r="BS17" s="42" t="str">
        <f t="shared" si="20"/>
        <v>TAMAL ROJO</v>
      </c>
      <c r="BT17" s="43"/>
      <c r="BV17" s="46"/>
      <c r="BW17" s="43"/>
      <c r="BY17" s="42" t="str">
        <f t="shared" si="21"/>
        <v>TAMAL ROJO</v>
      </c>
      <c r="BZ17" s="43"/>
      <c r="CB17" s="43">
        <f t="shared" si="22"/>
        <v>0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>
        <v>1</v>
      </c>
      <c r="CP17" s="42"/>
      <c r="CQ17" s="43"/>
      <c r="CS17" s="42" t="str">
        <f t="shared" si="27"/>
        <v>TAMAL ROJO</v>
      </c>
      <c r="CT17" s="43"/>
      <c r="CV17" s="43">
        <f t="shared" si="28"/>
        <v>1</v>
      </c>
      <c r="CW17" s="42" t="str">
        <f t="shared" si="29"/>
        <v>TAMAL ROJO</v>
      </c>
      <c r="CX17" s="43">
        <v>1</v>
      </c>
      <c r="CZ17" s="42"/>
      <c r="DA17" s="43"/>
      <c r="DC17" s="42" t="str">
        <f t="shared" ref="DC17:DC29" si="127">A17</f>
        <v>TAMAL ROJO</v>
      </c>
      <c r="DD17" s="43"/>
      <c r="DF17" s="43">
        <f t="shared" si="31"/>
        <v>1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65"/>
        <v>0</v>
      </c>
      <c r="GS17" s="42" t="str">
        <f t="shared" si="66"/>
        <v>TAMAL ROJO</v>
      </c>
      <c r="GT17" s="43"/>
      <c r="GV17" s="42" t="str">
        <f t="shared" si="67"/>
        <v>TAMAL ROJO</v>
      </c>
      <c r="GW17" s="43"/>
      <c r="GY17" s="42" t="str">
        <f t="shared" si="68"/>
        <v>TAMAL ROJO</v>
      </c>
      <c r="GZ17" s="43"/>
      <c r="HB17" s="43">
        <f t="shared" si="69"/>
        <v>0</v>
      </c>
      <c r="HC17" s="42" t="str">
        <f t="shared" si="70"/>
        <v>TAMAL ROJO</v>
      </c>
      <c r="HD17" s="43">
        <f t="shared" si="71"/>
        <v>3</v>
      </c>
      <c r="HF17" s="42" t="str">
        <f t="shared" si="72"/>
        <v>TAMAL ROJO</v>
      </c>
      <c r="HG17" s="43">
        <f t="shared" si="73"/>
        <v>0</v>
      </c>
      <c r="HI17" s="42" t="str">
        <f t="shared" si="74"/>
        <v>TAMAL ROJO</v>
      </c>
      <c r="HJ17" s="43">
        <f t="shared" si="75"/>
        <v>2</v>
      </c>
      <c r="HL17" s="43">
        <f t="shared" si="76"/>
        <v>5</v>
      </c>
      <c r="HM17" s="42" t="str">
        <f t="shared" si="77"/>
        <v>TAMAL ROJO</v>
      </c>
      <c r="HN17" s="57">
        <f t="shared" si="78"/>
        <v>0</v>
      </c>
      <c r="HO17" s="44">
        <f t="shared" si="79"/>
        <v>1</v>
      </c>
      <c r="HP17" s="57">
        <f t="shared" si="80"/>
        <v>0</v>
      </c>
      <c r="HQ17" s="44">
        <f t="shared" si="81"/>
        <v>0</v>
      </c>
      <c r="HR17" s="57">
        <f t="shared" si="82"/>
        <v>1</v>
      </c>
      <c r="HS17" s="44">
        <f t="shared" si="83"/>
        <v>0</v>
      </c>
      <c r="HT17" s="57">
        <f t="shared" si="84"/>
        <v>1</v>
      </c>
      <c r="HU17" s="44">
        <f t="shared" si="85"/>
        <v>0</v>
      </c>
      <c r="HV17" s="57">
        <f t="shared" si="86"/>
        <v>0</v>
      </c>
      <c r="HW17" s="44">
        <f t="shared" si="87"/>
        <v>1</v>
      </c>
      <c r="HX17" s="57">
        <f t="shared" si="88"/>
        <v>1</v>
      </c>
      <c r="HY17" s="44">
        <f t="shared" si="89"/>
        <v>0</v>
      </c>
      <c r="HZ17" s="42" t="str">
        <f t="shared" si="90"/>
        <v>TAMAL ROJO</v>
      </c>
      <c r="IA17" s="57">
        <f t="shared" si="91"/>
        <v>0</v>
      </c>
      <c r="IB17" s="44">
        <f t="shared" si="92"/>
        <v>0</v>
      </c>
      <c r="IC17" s="57">
        <f t="shared" si="93"/>
        <v>0</v>
      </c>
      <c r="ID17" s="44">
        <f t="shared" si="94"/>
        <v>0</v>
      </c>
      <c r="IE17" s="57">
        <f t="shared" si="95"/>
        <v>0</v>
      </c>
      <c r="IF17" s="44">
        <f t="shared" si="96"/>
        <v>0</v>
      </c>
      <c r="IG17" s="57">
        <f t="shared" si="97"/>
        <v>0</v>
      </c>
      <c r="IH17" s="44">
        <f t="shared" si="98"/>
        <v>0</v>
      </c>
      <c r="II17" s="57">
        <f t="shared" si="99"/>
        <v>0</v>
      </c>
      <c r="IJ17" s="44"/>
      <c r="IK17" s="57"/>
      <c r="IL17" s="44">
        <f t="shared" si="100"/>
        <v>5</v>
      </c>
      <c r="IM17" s="42" t="str">
        <f t="shared" si="101"/>
        <v>TAMAL ROJO</v>
      </c>
      <c r="IN17" s="43">
        <f t="shared" si="102"/>
        <v>1</v>
      </c>
      <c r="IP17" s="42" t="str">
        <f t="shared" si="103"/>
        <v>TAMAL ROJO</v>
      </c>
      <c r="IQ17" s="43">
        <f t="shared" si="104"/>
        <v>0</v>
      </c>
      <c r="IS17" s="42" t="str">
        <f t="shared" si="105"/>
        <v>TAMAL ROJO</v>
      </c>
      <c r="IT17" s="43">
        <f t="shared" si="106"/>
        <v>1</v>
      </c>
      <c r="IV17" s="43"/>
      <c r="IW17" s="42" t="str">
        <f t="shared" si="107"/>
        <v>TAMAL ROJO</v>
      </c>
      <c r="IX17" s="43">
        <f t="shared" si="108"/>
        <v>0</v>
      </c>
      <c r="IZ17" s="42" t="str">
        <f t="shared" si="109"/>
        <v>TAMAL ROJO</v>
      </c>
      <c r="JA17" s="43">
        <f t="shared" si="110"/>
        <v>0</v>
      </c>
      <c r="JC17" s="42" t="str">
        <f t="shared" si="111"/>
        <v>TAMAL ROJO</v>
      </c>
      <c r="JD17" s="43">
        <f t="shared" si="112"/>
        <v>1</v>
      </c>
      <c r="JF17" s="43"/>
      <c r="JG17" s="42"/>
      <c r="JH17" s="43"/>
      <c r="JJ17" s="42"/>
      <c r="JK17" s="43"/>
      <c r="JM17" s="42"/>
      <c r="JN17" s="43"/>
      <c r="JP17" s="44">
        <f t="shared" si="113"/>
        <v>0</v>
      </c>
      <c r="JQ17" s="42" t="str">
        <f t="shared" si="114"/>
        <v>TAMAL ROJO</v>
      </c>
      <c r="JR17" s="43">
        <f t="shared" si="115"/>
        <v>0</v>
      </c>
      <c r="JT17" s="42" t="str">
        <f t="shared" si="116"/>
        <v>TAMAL ROJO</v>
      </c>
      <c r="JU17" s="43">
        <f t="shared" si="117"/>
        <v>0</v>
      </c>
      <c r="JW17" s="42" t="str">
        <f t="shared" si="118"/>
        <v>TAMAL ROJO</v>
      </c>
      <c r="JX17" s="43">
        <f t="shared" si="119"/>
        <v>0</v>
      </c>
      <c r="JZ17" s="44">
        <f t="shared" si="120"/>
        <v>0</v>
      </c>
    </row>
    <row r="18" spans="1:286" s="7" customFormat="1" ht="54" customHeight="1" x14ac:dyDescent="0.65">
      <c r="A18" s="46" t="s">
        <v>48</v>
      </c>
      <c r="B18" s="43"/>
      <c r="D18" s="46"/>
      <c r="E18" s="43"/>
      <c r="G18" s="42" t="str">
        <f t="shared" si="0"/>
        <v>CHILE RELLENO</v>
      </c>
      <c r="H18" s="43"/>
      <c r="J18" s="43">
        <f t="shared" si="1"/>
        <v>0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/>
      <c r="T18" s="43">
        <f t="shared" si="4"/>
        <v>0</v>
      </c>
      <c r="U18" s="42" t="str">
        <f t="shared" si="5"/>
        <v>CHILE RELLENO</v>
      </c>
      <c r="V18" s="43">
        <v>1</v>
      </c>
      <c r="X18" s="46"/>
      <c r="Y18" s="43"/>
      <c r="AA18" s="42" t="str">
        <f t="shared" si="6"/>
        <v>CHILE RELLENO</v>
      </c>
      <c r="AB18" s="43"/>
      <c r="AD18" s="43">
        <f t="shared" si="7"/>
        <v>1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>
        <v>1</v>
      </c>
      <c r="AR18" s="46"/>
      <c r="AS18" s="43"/>
      <c r="AU18" s="42" t="str">
        <f t="shared" si="12"/>
        <v>CHILE RELLENO</v>
      </c>
      <c r="AV18" s="43"/>
      <c r="AX18" s="43">
        <f t="shared" si="13"/>
        <v>1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/>
      <c r="BL18" s="46"/>
      <c r="BM18" s="43"/>
      <c r="BO18" s="42" t="str">
        <f t="shared" si="18"/>
        <v>CHILE RELLENO</v>
      </c>
      <c r="BP18" s="43"/>
      <c r="BR18" s="43">
        <f t="shared" si="19"/>
        <v>0</v>
      </c>
      <c r="BS18" s="42" t="str">
        <f t="shared" si="20"/>
        <v>CHILE RELLENO</v>
      </c>
      <c r="BT18" s="43"/>
      <c r="BV18" s="46"/>
      <c r="BW18" s="43"/>
      <c r="BY18" s="42" t="str">
        <f t="shared" si="21"/>
        <v>CHILE RELLENO</v>
      </c>
      <c r="BZ18" s="43"/>
      <c r="CB18" s="43">
        <f t="shared" si="22"/>
        <v>0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7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/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0</v>
      </c>
      <c r="FE18" s="42" t="str">
        <f t="shared" si="50"/>
        <v>CHILE RELLENO</v>
      </c>
      <c r="FF18" s="43"/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0</v>
      </c>
      <c r="FO18" s="42" t="str">
        <f t="shared" si="54"/>
        <v>CHILE RELLENO</v>
      </c>
      <c r="FP18" s="43">
        <v>1</v>
      </c>
      <c r="FR18" s="42" t="str">
        <f t="shared" si="55"/>
        <v>CHILE RELLENO</v>
      </c>
      <c r="FS18" s="43">
        <v>1</v>
      </c>
      <c r="FU18" s="42" t="str">
        <f t="shared" si="56"/>
        <v>CHILE RELLENO</v>
      </c>
      <c r="FV18" s="43"/>
      <c r="FX18" s="43">
        <f t="shared" si="57"/>
        <v>2</v>
      </c>
      <c r="FY18" s="42" t="str">
        <f t="shared" si="58"/>
        <v>CHILE RELLENO</v>
      </c>
      <c r="FZ18" s="43">
        <v>1</v>
      </c>
      <c r="GB18" s="42" t="str">
        <f t="shared" si="59"/>
        <v>CHILE RELLENO</v>
      </c>
      <c r="GC18" s="43"/>
      <c r="GE18" s="42" t="str">
        <f t="shared" si="60"/>
        <v>CHILE RELLENO</v>
      </c>
      <c r="GF18" s="43"/>
      <c r="GH18" s="43">
        <f t="shared" si="61"/>
        <v>1</v>
      </c>
      <c r="GI18" s="42" t="str">
        <f t="shared" si="62"/>
        <v>CHILE RELLENO</v>
      </c>
      <c r="GJ18" s="43">
        <v>1</v>
      </c>
      <c r="GL18" s="42" t="str">
        <f t="shared" si="63"/>
        <v>CHILE RELLENO</v>
      </c>
      <c r="GM18" s="43"/>
      <c r="GO18" s="42" t="str">
        <f t="shared" si="64"/>
        <v>CHILE RELLENO</v>
      </c>
      <c r="GP18" s="43"/>
      <c r="GR18" s="43">
        <f t="shared" si="65"/>
        <v>1</v>
      </c>
      <c r="GS18" s="42" t="str">
        <f t="shared" si="66"/>
        <v>CHILE RELLENO</v>
      </c>
      <c r="GT18" s="43"/>
      <c r="GV18" s="42" t="str">
        <f t="shared" si="67"/>
        <v>CHILE RELLENO</v>
      </c>
      <c r="GW18" s="43"/>
      <c r="GY18" s="42" t="str">
        <f t="shared" si="68"/>
        <v>CHILE RELLENO</v>
      </c>
      <c r="GZ18" s="43"/>
      <c r="HB18" s="43">
        <f t="shared" si="69"/>
        <v>0</v>
      </c>
      <c r="HC18" s="42" t="str">
        <f t="shared" si="70"/>
        <v>CHILE RELLENO</v>
      </c>
      <c r="HD18" s="43">
        <f t="shared" si="71"/>
        <v>2</v>
      </c>
      <c r="HF18" s="42" t="str">
        <f t="shared" si="72"/>
        <v>CHILE RELLENO</v>
      </c>
      <c r="HG18" s="43">
        <f t="shared" si="73"/>
        <v>0</v>
      </c>
      <c r="HI18" s="42" t="str">
        <f t="shared" si="74"/>
        <v>CHILE RELLENO</v>
      </c>
      <c r="HJ18" s="43">
        <f t="shared" si="75"/>
        <v>0</v>
      </c>
      <c r="HL18" s="43">
        <f t="shared" si="76"/>
        <v>6</v>
      </c>
      <c r="HM18" s="42" t="str">
        <f t="shared" si="77"/>
        <v>CHILE RELLENO</v>
      </c>
      <c r="HN18" s="57">
        <f t="shared" si="78"/>
        <v>0</v>
      </c>
      <c r="HO18" s="44">
        <f t="shared" si="79"/>
        <v>0</v>
      </c>
      <c r="HP18" s="57">
        <f t="shared" si="80"/>
        <v>1</v>
      </c>
      <c r="HQ18" s="44">
        <f t="shared" si="81"/>
        <v>0</v>
      </c>
      <c r="HR18" s="57">
        <f t="shared" si="82"/>
        <v>1</v>
      </c>
      <c r="HS18" s="44">
        <f t="shared" si="83"/>
        <v>0</v>
      </c>
      <c r="HT18" s="57">
        <f t="shared" si="84"/>
        <v>0</v>
      </c>
      <c r="HU18" s="44">
        <f t="shared" si="85"/>
        <v>0</v>
      </c>
      <c r="HV18" s="57">
        <f t="shared" si="86"/>
        <v>0</v>
      </c>
      <c r="HW18" s="44">
        <f t="shared" si="87"/>
        <v>0</v>
      </c>
      <c r="HX18" s="57">
        <f t="shared" si="88"/>
        <v>0</v>
      </c>
      <c r="HY18" s="44">
        <f t="shared" si="89"/>
        <v>0</v>
      </c>
      <c r="HZ18" s="42" t="str">
        <f t="shared" si="90"/>
        <v>CHILE RELLENO</v>
      </c>
      <c r="IA18" s="57">
        <f t="shared" si="91"/>
        <v>0</v>
      </c>
      <c r="IB18" s="44">
        <f t="shared" si="92"/>
        <v>0</v>
      </c>
      <c r="IC18" s="57">
        <f t="shared" si="93"/>
        <v>0</v>
      </c>
      <c r="ID18" s="44">
        <f t="shared" si="94"/>
        <v>0</v>
      </c>
      <c r="IE18" s="57">
        <f t="shared" si="95"/>
        <v>0</v>
      </c>
      <c r="IF18" s="44">
        <f t="shared" si="96"/>
        <v>2</v>
      </c>
      <c r="IG18" s="57">
        <f t="shared" si="97"/>
        <v>1</v>
      </c>
      <c r="IH18" s="44">
        <f t="shared" si="98"/>
        <v>1</v>
      </c>
      <c r="II18" s="57">
        <f t="shared" si="99"/>
        <v>0</v>
      </c>
      <c r="IJ18" s="44"/>
      <c r="IK18" s="57"/>
      <c r="IL18" s="44">
        <f t="shared" si="100"/>
        <v>6</v>
      </c>
      <c r="IM18" s="42" t="str">
        <f t="shared" si="101"/>
        <v>CHILE RELLENO</v>
      </c>
      <c r="IN18" s="43">
        <f t="shared" si="102"/>
        <v>1</v>
      </c>
      <c r="IP18" s="42" t="str">
        <f t="shared" si="103"/>
        <v>CHILE RELLENO</v>
      </c>
      <c r="IQ18" s="43">
        <f t="shared" si="104"/>
        <v>0</v>
      </c>
      <c r="IS18" s="42" t="str">
        <f t="shared" si="105"/>
        <v>CHILE RELLENO</v>
      </c>
      <c r="IT18" s="43">
        <f t="shared" si="106"/>
        <v>0</v>
      </c>
      <c r="IV18" s="43"/>
      <c r="IW18" s="42" t="str">
        <f t="shared" si="107"/>
        <v>CHILE RELLENO</v>
      </c>
      <c r="IX18" s="43">
        <f t="shared" si="108"/>
        <v>1</v>
      </c>
      <c r="IZ18" s="42" t="str">
        <f t="shared" si="109"/>
        <v>CHILE RELLENO</v>
      </c>
      <c r="JA18" s="43">
        <f t="shared" si="110"/>
        <v>0</v>
      </c>
      <c r="JC18" s="42" t="str">
        <f t="shared" si="111"/>
        <v>CHILE RELLENO</v>
      </c>
      <c r="JD18" s="43">
        <f t="shared" si="112"/>
        <v>0</v>
      </c>
      <c r="JF18" s="43"/>
      <c r="JG18" s="42" t="str">
        <f t="shared" si="121"/>
        <v>CHILE RELLENO</v>
      </c>
      <c r="JH18" s="43">
        <f t="shared" si="122"/>
        <v>1</v>
      </c>
      <c r="JJ18" s="42" t="str">
        <f t="shared" si="123"/>
        <v>CHILE RELLENO</v>
      </c>
      <c r="JK18" s="43">
        <f t="shared" si="124"/>
        <v>1</v>
      </c>
      <c r="JM18" s="42" t="str">
        <f t="shared" si="125"/>
        <v>CHILE RELLENO</v>
      </c>
      <c r="JN18" s="43">
        <f t="shared" si="126"/>
        <v>1</v>
      </c>
      <c r="JP18" s="44">
        <f t="shared" si="113"/>
        <v>3</v>
      </c>
      <c r="JQ18" s="42" t="str">
        <f t="shared" si="114"/>
        <v>CHILE RELLENO</v>
      </c>
      <c r="JR18" s="43">
        <f t="shared" si="115"/>
        <v>1</v>
      </c>
      <c r="JT18" s="42" t="str">
        <f t="shared" si="116"/>
        <v>CHILE RELLENO</v>
      </c>
      <c r="JU18" s="43">
        <f t="shared" si="117"/>
        <v>0</v>
      </c>
      <c r="JW18" s="42" t="str">
        <f t="shared" si="118"/>
        <v>CHILE RELLENO</v>
      </c>
      <c r="JX18" s="43">
        <f t="shared" si="119"/>
        <v>0</v>
      </c>
      <c r="JZ18" s="44">
        <f t="shared" si="120"/>
        <v>1</v>
      </c>
    </row>
    <row r="19" spans="1:286" s="7" customFormat="1" ht="54" customHeight="1" x14ac:dyDescent="0.65">
      <c r="A19" s="46" t="s">
        <v>49</v>
      </c>
      <c r="B19" s="43">
        <v>1</v>
      </c>
      <c r="D19" s="46"/>
      <c r="E19" s="43"/>
      <c r="G19" s="42" t="str">
        <f t="shared" si="0"/>
        <v>TACO DORADO</v>
      </c>
      <c r="H19" s="43"/>
      <c r="J19" s="43">
        <f t="shared" si="1"/>
        <v>1</v>
      </c>
      <c r="K19" s="42" t="str">
        <f t="shared" si="2"/>
        <v>TACO DORADO</v>
      </c>
      <c r="L19" s="43">
        <v>2</v>
      </c>
      <c r="N19" s="46"/>
      <c r="O19" s="43"/>
      <c r="Q19" s="42" t="str">
        <f t="shared" si="3"/>
        <v>TACO DORADO</v>
      </c>
      <c r="R19" s="43"/>
      <c r="T19" s="43">
        <f t="shared" si="4"/>
        <v>2</v>
      </c>
      <c r="U19" s="42" t="str">
        <f t="shared" si="5"/>
        <v>TACO DORADO</v>
      </c>
      <c r="V19" s="43">
        <v>1</v>
      </c>
      <c r="X19" s="46"/>
      <c r="Y19" s="43"/>
      <c r="AA19" s="42" t="str">
        <f t="shared" si="6"/>
        <v>TACO DORADO</v>
      </c>
      <c r="AB19" s="43">
        <v>1</v>
      </c>
      <c r="AD19" s="43">
        <f t="shared" si="7"/>
        <v>2</v>
      </c>
      <c r="AE19" s="42" t="str">
        <f t="shared" si="8"/>
        <v>TACO DORADO</v>
      </c>
      <c r="AF19" s="43">
        <v>1</v>
      </c>
      <c r="AH19" s="46"/>
      <c r="AI19" s="43"/>
      <c r="AK19" s="42" t="str">
        <f t="shared" si="9"/>
        <v>TACO DORADO</v>
      </c>
      <c r="AL19" s="43"/>
      <c r="AN19" s="43">
        <f t="shared" si="10"/>
        <v>1</v>
      </c>
      <c r="AO19" s="42" t="str">
        <f t="shared" si="11"/>
        <v>TACO DORADO</v>
      </c>
      <c r="AP19" s="43">
        <v>1</v>
      </c>
      <c r="AR19" s="46"/>
      <c r="AS19" s="43"/>
      <c r="AU19" s="42" t="str">
        <f t="shared" si="12"/>
        <v>TACO DORADO</v>
      </c>
      <c r="AV19" s="43">
        <v>1</v>
      </c>
      <c r="AX19" s="43">
        <f t="shared" si="13"/>
        <v>2</v>
      </c>
      <c r="AY19" s="42" t="str">
        <f t="shared" si="14"/>
        <v>TACO DORADO</v>
      </c>
      <c r="AZ19" s="43">
        <v>1</v>
      </c>
      <c r="BB19" s="46"/>
      <c r="BC19" s="43"/>
      <c r="BE19" s="42" t="str">
        <f t="shared" si="15"/>
        <v>TACO DORADO</v>
      </c>
      <c r="BF19" s="43"/>
      <c r="BH19" s="43">
        <f t="shared" si="16"/>
        <v>1</v>
      </c>
      <c r="BI19" s="42" t="str">
        <f t="shared" si="17"/>
        <v>TACO DORADO</v>
      </c>
      <c r="BJ19" s="43">
        <v>1</v>
      </c>
      <c r="BL19" s="46"/>
      <c r="BM19" s="43"/>
      <c r="BO19" s="42" t="str">
        <f t="shared" si="18"/>
        <v>TACO DORADO</v>
      </c>
      <c r="BP19" s="43">
        <v>1</v>
      </c>
      <c r="BR19" s="43">
        <f t="shared" si="19"/>
        <v>2</v>
      </c>
      <c r="BS19" s="42" t="str">
        <f t="shared" si="20"/>
        <v>TACO DORADO</v>
      </c>
      <c r="BT19" s="43"/>
      <c r="BV19" s="46"/>
      <c r="BW19" s="43"/>
      <c r="BY19" s="42" t="str">
        <f t="shared" si="21"/>
        <v>TACO DORADO</v>
      </c>
      <c r="BZ19" s="43">
        <v>1</v>
      </c>
      <c r="CB19" s="43">
        <f t="shared" si="22"/>
        <v>1</v>
      </c>
      <c r="CC19" s="42" t="str">
        <f t="shared" si="23"/>
        <v>TACO DORADO</v>
      </c>
      <c r="CD19" s="43">
        <v>1</v>
      </c>
      <c r="CF19" s="46"/>
      <c r="CG19" s="43"/>
      <c r="CI19" s="42" t="str">
        <f t="shared" si="24"/>
        <v>TACO DORADO</v>
      </c>
      <c r="CJ19" s="43"/>
      <c r="CL19" s="43">
        <f t="shared" si="25"/>
        <v>1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/>
      <c r="CV19" s="43">
        <f t="shared" si="28"/>
        <v>0</v>
      </c>
      <c r="CW19" s="42" t="str">
        <f t="shared" si="29"/>
        <v>TACO DORADO</v>
      </c>
      <c r="CX19" s="43">
        <v>1</v>
      </c>
      <c r="CZ19" s="42"/>
      <c r="DA19" s="43"/>
      <c r="DC19" s="42" t="str">
        <f t="shared" si="127"/>
        <v>TACO DORADO</v>
      </c>
      <c r="DD19" s="43"/>
      <c r="DF19" s="43">
        <f t="shared" si="31"/>
        <v>1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65"/>
        <v>0</v>
      </c>
      <c r="GS19" s="42" t="str">
        <f t="shared" si="66"/>
        <v>TACO DORADO</v>
      </c>
      <c r="GT19" s="43"/>
      <c r="GV19" s="42" t="str">
        <f t="shared" si="67"/>
        <v>TACO DORADO</v>
      </c>
      <c r="GW19" s="43"/>
      <c r="GY19" s="42" t="str">
        <f t="shared" si="68"/>
        <v>TACO DORADO</v>
      </c>
      <c r="GZ19" s="43"/>
      <c r="HB19" s="43">
        <f t="shared" si="69"/>
        <v>0</v>
      </c>
      <c r="HC19" s="42" t="str">
        <f t="shared" si="70"/>
        <v>TACO DORADO</v>
      </c>
      <c r="HD19" s="43">
        <f t="shared" si="71"/>
        <v>10</v>
      </c>
      <c r="HF19" s="42" t="str">
        <f t="shared" si="72"/>
        <v>TACO DORADO</v>
      </c>
      <c r="HG19" s="43">
        <f t="shared" si="73"/>
        <v>0</v>
      </c>
      <c r="HI19" s="42" t="str">
        <f t="shared" si="74"/>
        <v>TACO DORADO</v>
      </c>
      <c r="HJ19" s="43">
        <f t="shared" si="75"/>
        <v>4</v>
      </c>
      <c r="HL19" s="43">
        <f t="shared" si="76"/>
        <v>14</v>
      </c>
      <c r="HM19" s="42" t="str">
        <f t="shared" si="77"/>
        <v>TACO DORADO</v>
      </c>
      <c r="HN19" s="57">
        <f t="shared" si="78"/>
        <v>1</v>
      </c>
      <c r="HO19" s="44">
        <f t="shared" si="79"/>
        <v>2</v>
      </c>
      <c r="HP19" s="57">
        <f t="shared" si="80"/>
        <v>2</v>
      </c>
      <c r="HQ19" s="44">
        <f t="shared" si="81"/>
        <v>1</v>
      </c>
      <c r="HR19" s="57">
        <f t="shared" si="82"/>
        <v>2</v>
      </c>
      <c r="HS19" s="44">
        <f t="shared" si="83"/>
        <v>1</v>
      </c>
      <c r="HT19" s="57">
        <f t="shared" si="84"/>
        <v>2</v>
      </c>
      <c r="HU19" s="44">
        <f t="shared" si="85"/>
        <v>1</v>
      </c>
      <c r="HV19" s="57">
        <f t="shared" si="86"/>
        <v>1</v>
      </c>
      <c r="HW19" s="44">
        <f t="shared" si="87"/>
        <v>0</v>
      </c>
      <c r="HX19" s="57">
        <f t="shared" si="88"/>
        <v>1</v>
      </c>
      <c r="HY19" s="44">
        <f t="shared" si="89"/>
        <v>0</v>
      </c>
      <c r="HZ19" s="42" t="str">
        <f t="shared" si="90"/>
        <v>TACO DORADO</v>
      </c>
      <c r="IA19" s="57">
        <f t="shared" si="91"/>
        <v>0</v>
      </c>
      <c r="IB19" s="44">
        <f t="shared" si="92"/>
        <v>0</v>
      </c>
      <c r="IC19" s="57">
        <f t="shared" si="93"/>
        <v>0</v>
      </c>
      <c r="ID19" s="44">
        <f t="shared" si="94"/>
        <v>0</v>
      </c>
      <c r="IE19" s="57">
        <f t="shared" si="95"/>
        <v>0</v>
      </c>
      <c r="IF19" s="44">
        <f t="shared" si="96"/>
        <v>0</v>
      </c>
      <c r="IG19" s="57">
        <f t="shared" si="97"/>
        <v>0</v>
      </c>
      <c r="IH19" s="44">
        <f t="shared" si="98"/>
        <v>0</v>
      </c>
      <c r="II19" s="57">
        <f t="shared" si="99"/>
        <v>0</v>
      </c>
      <c r="IJ19" s="44"/>
      <c r="IK19" s="57"/>
      <c r="IL19" s="44">
        <f t="shared" si="100"/>
        <v>14</v>
      </c>
      <c r="IM19" s="42" t="str">
        <f t="shared" si="101"/>
        <v>TACO DORADO</v>
      </c>
      <c r="IN19" s="43">
        <f t="shared" si="102"/>
        <v>8</v>
      </c>
      <c r="IP19" s="42" t="str">
        <f t="shared" si="103"/>
        <v>TACO DORADO</v>
      </c>
      <c r="IQ19" s="43">
        <f t="shared" si="104"/>
        <v>0</v>
      </c>
      <c r="IS19" s="42" t="str">
        <f t="shared" si="105"/>
        <v>TACO DORADO</v>
      </c>
      <c r="IT19" s="43">
        <f t="shared" si="106"/>
        <v>2</v>
      </c>
      <c r="IV19" s="43"/>
      <c r="IW19" s="42" t="str">
        <f t="shared" si="107"/>
        <v>TACO DORADO</v>
      </c>
      <c r="IX19" s="43">
        <f t="shared" si="108"/>
        <v>1</v>
      </c>
      <c r="IZ19" s="42" t="str">
        <f t="shared" si="109"/>
        <v>TACO DORADO</v>
      </c>
      <c r="JA19" s="43">
        <f t="shared" si="110"/>
        <v>0</v>
      </c>
      <c r="JC19" s="42" t="str">
        <f t="shared" si="111"/>
        <v>TACO DORADO</v>
      </c>
      <c r="JD19" s="43">
        <f t="shared" si="112"/>
        <v>2</v>
      </c>
      <c r="JF19" s="43"/>
      <c r="JG19" s="42"/>
      <c r="JH19" s="43"/>
      <c r="JJ19" s="42"/>
      <c r="JK19" s="43"/>
      <c r="JM19" s="42"/>
      <c r="JN19" s="43"/>
      <c r="JP19" s="44"/>
      <c r="JQ19" s="42" t="str">
        <f t="shared" si="114"/>
        <v>TACO DORADO</v>
      </c>
      <c r="JR19" s="43">
        <f t="shared" si="115"/>
        <v>0</v>
      </c>
      <c r="JT19" s="42" t="str">
        <f t="shared" si="116"/>
        <v>TACO DORADO</v>
      </c>
      <c r="JU19" s="43">
        <f t="shared" si="117"/>
        <v>0</v>
      </c>
      <c r="JW19" s="42" t="str">
        <f t="shared" si="118"/>
        <v>TACO DORADO</v>
      </c>
      <c r="JX19" s="43">
        <f t="shared" si="119"/>
        <v>0</v>
      </c>
      <c r="JZ19" s="44">
        <f t="shared" si="120"/>
        <v>0</v>
      </c>
    </row>
    <row r="20" spans="1:286" s="7" customFormat="1" ht="54" customHeight="1" x14ac:dyDescent="0.65">
      <c r="A20" s="46" t="s">
        <v>50</v>
      </c>
      <c r="B20" s="43"/>
      <c r="D20" s="46"/>
      <c r="E20" s="43"/>
      <c r="G20" s="42" t="str">
        <f t="shared" si="0"/>
        <v>ADOBO PICADILLO</v>
      </c>
      <c r="H20" s="43"/>
      <c r="J20" s="43">
        <f t="shared" si="1"/>
        <v>0</v>
      </c>
      <c r="K20" s="42" t="str">
        <f t="shared" si="2"/>
        <v>ADOBO PICADILLO</v>
      </c>
      <c r="L20" s="43">
        <v>1</v>
      </c>
      <c r="N20" s="46"/>
      <c r="O20" s="43"/>
      <c r="Q20" s="42" t="str">
        <f t="shared" si="3"/>
        <v>ADOBO PICADILLO</v>
      </c>
      <c r="R20" s="43">
        <v>1</v>
      </c>
      <c r="T20" s="43">
        <f t="shared" si="4"/>
        <v>2</v>
      </c>
      <c r="U20" s="42" t="str">
        <f t="shared" si="5"/>
        <v>ADOBO PICADILLO</v>
      </c>
      <c r="V20" s="43">
        <v>1</v>
      </c>
      <c r="X20" s="46"/>
      <c r="Y20" s="43"/>
      <c r="AA20" s="42" t="str">
        <f t="shared" si="6"/>
        <v>ADOBO PICADILLO</v>
      </c>
      <c r="AB20" s="43">
        <v>1</v>
      </c>
      <c r="AD20" s="43">
        <f t="shared" si="7"/>
        <v>2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>
        <v>1</v>
      </c>
      <c r="AR20" s="46"/>
      <c r="AS20" s="43"/>
      <c r="AU20" s="42" t="str">
        <f t="shared" si="12"/>
        <v>ADOBO PICADILLO</v>
      </c>
      <c r="AV20" s="43"/>
      <c r="AX20" s="43">
        <f t="shared" si="13"/>
        <v>1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>
        <v>1</v>
      </c>
      <c r="BH20" s="43">
        <f t="shared" si="16"/>
        <v>1</v>
      </c>
      <c r="BI20" s="42" t="str">
        <f t="shared" si="17"/>
        <v>ADOBO PICADILLO</v>
      </c>
      <c r="BJ20" s="43"/>
      <c r="BL20" s="46"/>
      <c r="BM20" s="43"/>
      <c r="BO20" s="42" t="str">
        <f t="shared" si="18"/>
        <v>ADOBO PICADILLO</v>
      </c>
      <c r="BP20" s="43"/>
      <c r="BR20" s="43">
        <f t="shared" si="19"/>
        <v>0</v>
      </c>
      <c r="BS20" s="42" t="str">
        <f t="shared" si="20"/>
        <v>ADOBO PICADILLO</v>
      </c>
      <c r="BT20" s="43">
        <v>1</v>
      </c>
      <c r="BV20" s="46"/>
      <c r="BW20" s="43"/>
      <c r="BY20" s="42" t="str">
        <f t="shared" si="21"/>
        <v>ADOBO PICADILLO</v>
      </c>
      <c r="BZ20" s="43">
        <v>1</v>
      </c>
      <c r="CB20" s="43">
        <f t="shared" si="22"/>
        <v>2</v>
      </c>
      <c r="CC20" s="42" t="str">
        <f t="shared" si="23"/>
        <v>ADOBO PICADILLO</v>
      </c>
      <c r="CD20" s="43"/>
      <c r="CF20" s="46"/>
      <c r="CG20" s="43"/>
      <c r="CI20" s="42" t="str">
        <f t="shared" si="24"/>
        <v>ADOBO PICADILLO</v>
      </c>
      <c r="CJ20" s="43">
        <v>1</v>
      </c>
      <c r="CL20" s="43">
        <f t="shared" si="25"/>
        <v>1</v>
      </c>
      <c r="CM20" s="42" t="str">
        <f t="shared" si="26"/>
        <v>ADOBO PICADILLO</v>
      </c>
      <c r="CN20" s="43"/>
      <c r="CP20" s="42"/>
      <c r="CQ20" s="43"/>
      <c r="CS20" s="42" t="str">
        <f t="shared" si="27"/>
        <v>ADOBO PICADILLO</v>
      </c>
      <c r="CT20" s="43">
        <v>1</v>
      </c>
      <c r="CV20" s="43">
        <f t="shared" si="28"/>
        <v>1</v>
      </c>
      <c r="CW20" s="42" t="str">
        <f t="shared" si="29"/>
        <v>ADOBO PICADILLO</v>
      </c>
      <c r="CX20" s="43">
        <v>1</v>
      </c>
      <c r="CZ20" s="42"/>
      <c r="DA20" s="43"/>
      <c r="DC20" s="42" t="str">
        <f t="shared" si="127"/>
        <v>ADOBO PICADILLO</v>
      </c>
      <c r="DD20" s="43">
        <v>2</v>
      </c>
      <c r="DF20" s="43">
        <f t="shared" si="31"/>
        <v>3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/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65"/>
        <v>0</v>
      </c>
      <c r="GS20" s="42" t="str">
        <f t="shared" si="66"/>
        <v>ADOBO PICADILLO</v>
      </c>
      <c r="GT20" s="43"/>
      <c r="GV20" s="42" t="str">
        <f t="shared" si="67"/>
        <v>ADOBO PICADILLO</v>
      </c>
      <c r="GW20" s="43"/>
      <c r="GY20" s="42" t="str">
        <f t="shared" si="68"/>
        <v>ADOBO PICADILLO</v>
      </c>
      <c r="GZ20" s="43"/>
      <c r="HB20" s="43">
        <f t="shared" si="69"/>
        <v>0</v>
      </c>
      <c r="HC20" s="42" t="str">
        <f t="shared" si="70"/>
        <v>ADOBO PICADILLO</v>
      </c>
      <c r="HD20" s="43">
        <f t="shared" si="71"/>
        <v>5</v>
      </c>
      <c r="HF20" s="42" t="str">
        <f t="shared" si="72"/>
        <v>ADOBO PICADILLO</v>
      </c>
      <c r="HG20" s="43">
        <f t="shared" si="73"/>
        <v>0</v>
      </c>
      <c r="HI20" s="42" t="str">
        <f t="shared" si="74"/>
        <v>ADOBO PICADILLO</v>
      </c>
      <c r="HJ20" s="43">
        <f t="shared" si="75"/>
        <v>8</v>
      </c>
      <c r="HL20" s="43">
        <f t="shared" si="76"/>
        <v>13</v>
      </c>
      <c r="HM20" s="42" t="str">
        <f t="shared" si="77"/>
        <v>ADOBO PICADILLO</v>
      </c>
      <c r="HN20" s="57">
        <f t="shared" si="78"/>
        <v>0</v>
      </c>
      <c r="HO20" s="44">
        <f t="shared" si="79"/>
        <v>2</v>
      </c>
      <c r="HP20" s="57">
        <f t="shared" si="80"/>
        <v>2</v>
      </c>
      <c r="HQ20" s="44">
        <f t="shared" si="81"/>
        <v>0</v>
      </c>
      <c r="HR20" s="57">
        <f t="shared" si="82"/>
        <v>1</v>
      </c>
      <c r="HS20" s="44">
        <f t="shared" si="83"/>
        <v>1</v>
      </c>
      <c r="HT20" s="57">
        <f t="shared" si="84"/>
        <v>0</v>
      </c>
      <c r="HU20" s="44">
        <f t="shared" si="85"/>
        <v>2</v>
      </c>
      <c r="HV20" s="57">
        <f t="shared" si="86"/>
        <v>1</v>
      </c>
      <c r="HW20" s="44">
        <f t="shared" si="87"/>
        <v>1</v>
      </c>
      <c r="HX20" s="57">
        <f t="shared" si="88"/>
        <v>3</v>
      </c>
      <c r="HY20" s="44">
        <f t="shared" si="89"/>
        <v>0</v>
      </c>
      <c r="HZ20" s="42" t="str">
        <f t="shared" si="90"/>
        <v>ADOBO PICADILLO</v>
      </c>
      <c r="IA20" s="57">
        <f t="shared" si="91"/>
        <v>0</v>
      </c>
      <c r="IB20" s="44">
        <f t="shared" si="92"/>
        <v>0</v>
      </c>
      <c r="IC20" s="57">
        <f t="shared" si="93"/>
        <v>0</v>
      </c>
      <c r="ID20" s="44">
        <f t="shared" si="94"/>
        <v>0</v>
      </c>
      <c r="IE20" s="57">
        <f t="shared" si="95"/>
        <v>0</v>
      </c>
      <c r="IF20" s="44">
        <f t="shared" si="96"/>
        <v>0</v>
      </c>
      <c r="IG20" s="57">
        <f t="shared" si="97"/>
        <v>0</v>
      </c>
      <c r="IH20" s="44">
        <f t="shared" si="98"/>
        <v>0</v>
      </c>
      <c r="II20" s="57">
        <f t="shared" si="99"/>
        <v>0</v>
      </c>
      <c r="IJ20" s="44"/>
      <c r="IK20" s="57"/>
      <c r="IL20" s="44">
        <f t="shared" si="100"/>
        <v>13</v>
      </c>
      <c r="IM20" s="42" t="str">
        <f t="shared" si="101"/>
        <v>ADOBO PICADILLO</v>
      </c>
      <c r="IN20" s="43">
        <f t="shared" si="102"/>
        <v>2</v>
      </c>
      <c r="IP20" s="42" t="str">
        <f t="shared" si="103"/>
        <v>ADOBO PICADILLO</v>
      </c>
      <c r="IQ20" s="43">
        <f t="shared" si="104"/>
        <v>0</v>
      </c>
      <c r="IS20" s="42" t="str">
        <f t="shared" si="105"/>
        <v>ADOBO PICADILLO</v>
      </c>
      <c r="IT20" s="43">
        <f t="shared" si="106"/>
        <v>4</v>
      </c>
      <c r="IV20" s="43"/>
      <c r="IW20" s="42" t="str">
        <f t="shared" si="107"/>
        <v>ADOBO PICADILLO</v>
      </c>
      <c r="IX20" s="43">
        <f t="shared" si="108"/>
        <v>2</v>
      </c>
      <c r="IZ20" s="42" t="str">
        <f t="shared" si="109"/>
        <v>ADOBO PICADILLO</v>
      </c>
      <c r="JA20" s="43">
        <f t="shared" si="110"/>
        <v>0</v>
      </c>
      <c r="JC20" s="42" t="str">
        <f t="shared" si="111"/>
        <v>ADOBO PICADILLO</v>
      </c>
      <c r="JD20" s="43">
        <f t="shared" si="112"/>
        <v>1</v>
      </c>
      <c r="JF20" s="43"/>
      <c r="JG20" s="42"/>
      <c r="JH20" s="43"/>
      <c r="JJ20" s="42"/>
      <c r="JK20" s="43"/>
      <c r="JM20" s="42"/>
      <c r="JN20" s="43"/>
      <c r="JP20" s="44"/>
      <c r="JQ20" s="42" t="str">
        <f t="shared" si="114"/>
        <v>ADOBO PICADILLO</v>
      </c>
      <c r="JR20" s="43">
        <f t="shared" si="115"/>
        <v>0</v>
      </c>
      <c r="JT20" s="42" t="str">
        <f t="shared" si="116"/>
        <v>ADOBO PICADILLO</v>
      </c>
      <c r="JU20" s="43">
        <f t="shared" si="117"/>
        <v>0</v>
      </c>
      <c r="JW20" s="42" t="str">
        <f t="shared" si="118"/>
        <v>ADOBO PICADILLO</v>
      </c>
      <c r="JX20" s="43">
        <f t="shared" si="119"/>
        <v>0</v>
      </c>
      <c r="JZ20" s="44">
        <f t="shared" si="120"/>
        <v>0</v>
      </c>
    </row>
    <row r="21" spans="1:286" s="7" customFormat="1" ht="54" customHeight="1" x14ac:dyDescent="0.65">
      <c r="A21" s="46" t="s">
        <v>51</v>
      </c>
      <c r="B21" s="43">
        <v>2</v>
      </c>
      <c r="D21" s="46"/>
      <c r="E21" s="43"/>
      <c r="G21" s="42" t="str">
        <f t="shared" si="0"/>
        <v>CARNITAS</v>
      </c>
      <c r="H21" s="43"/>
      <c r="J21" s="43">
        <f t="shared" si="1"/>
        <v>2</v>
      </c>
      <c r="K21" s="42" t="str">
        <f t="shared" si="2"/>
        <v>CARNITAS</v>
      </c>
      <c r="L21" s="43">
        <v>4</v>
      </c>
      <c r="N21" s="46"/>
      <c r="O21" s="43"/>
      <c r="Q21" s="42" t="str">
        <f t="shared" si="3"/>
        <v>CARNITAS</v>
      </c>
      <c r="R21" s="43">
        <v>2</v>
      </c>
      <c r="T21" s="43">
        <f t="shared" si="4"/>
        <v>6</v>
      </c>
      <c r="U21" s="42" t="str">
        <f t="shared" si="5"/>
        <v>CARNITAS</v>
      </c>
      <c r="V21" s="43">
        <v>2</v>
      </c>
      <c r="X21" s="46"/>
      <c r="Y21" s="43"/>
      <c r="AA21" s="42" t="str">
        <f t="shared" si="6"/>
        <v>CARNITAS</v>
      </c>
      <c r="AB21" s="43"/>
      <c r="AD21" s="43">
        <f t="shared" si="7"/>
        <v>2</v>
      </c>
      <c r="AE21" s="42" t="str">
        <f t="shared" si="8"/>
        <v>CARNITAS</v>
      </c>
      <c r="AF21" s="43">
        <v>3</v>
      </c>
      <c r="AH21" s="46"/>
      <c r="AI21" s="43"/>
      <c r="AK21" s="42" t="str">
        <f t="shared" si="9"/>
        <v>CARNITAS</v>
      </c>
      <c r="AL21" s="43"/>
      <c r="AN21" s="43">
        <f t="shared" si="10"/>
        <v>3</v>
      </c>
      <c r="AO21" s="42" t="str">
        <f t="shared" si="11"/>
        <v>CARNITAS</v>
      </c>
      <c r="AP21" s="43">
        <v>2</v>
      </c>
      <c r="AR21" s="46"/>
      <c r="AS21" s="43"/>
      <c r="AU21" s="42" t="str">
        <f t="shared" si="12"/>
        <v>CARNITAS</v>
      </c>
      <c r="AV21" s="43">
        <v>2</v>
      </c>
      <c r="AX21" s="43">
        <f t="shared" si="13"/>
        <v>4</v>
      </c>
      <c r="AY21" s="42" t="str">
        <f t="shared" si="14"/>
        <v>CARNITAS</v>
      </c>
      <c r="AZ21" s="43">
        <v>2</v>
      </c>
      <c r="BB21" s="46"/>
      <c r="BC21" s="43"/>
      <c r="BE21" s="42" t="str">
        <f t="shared" si="15"/>
        <v>CARNITAS</v>
      </c>
      <c r="BF21" s="43">
        <v>2</v>
      </c>
      <c r="BH21" s="43">
        <f t="shared" si="16"/>
        <v>4</v>
      </c>
      <c r="BI21" s="42" t="str">
        <f t="shared" si="17"/>
        <v>CARNITAS</v>
      </c>
      <c r="BJ21" s="43">
        <v>2</v>
      </c>
      <c r="BL21" s="46"/>
      <c r="BM21" s="43"/>
      <c r="BO21" s="42" t="str">
        <f t="shared" si="18"/>
        <v>CARNITAS</v>
      </c>
      <c r="BP21" s="43"/>
      <c r="BR21" s="43">
        <f t="shared" si="19"/>
        <v>2</v>
      </c>
      <c r="BS21" s="42" t="str">
        <f t="shared" si="20"/>
        <v>CARNITAS</v>
      </c>
      <c r="BT21" s="43">
        <v>2</v>
      </c>
      <c r="BV21" s="46"/>
      <c r="BW21" s="43"/>
      <c r="BY21" s="42" t="str">
        <f t="shared" si="21"/>
        <v>CARNITAS</v>
      </c>
      <c r="BZ21" s="43"/>
      <c r="CB21" s="43">
        <f t="shared" si="22"/>
        <v>2</v>
      </c>
      <c r="CC21" s="42" t="str">
        <f t="shared" si="23"/>
        <v>CARNITAS</v>
      </c>
      <c r="CD21" s="43">
        <v>2</v>
      </c>
      <c r="CF21" s="46"/>
      <c r="CG21" s="43"/>
      <c r="CI21" s="42" t="str">
        <f t="shared" si="24"/>
        <v>CARNITAS</v>
      </c>
      <c r="CJ21" s="43"/>
      <c r="CL21" s="43">
        <f t="shared" si="25"/>
        <v>2</v>
      </c>
      <c r="CM21" s="42" t="str">
        <f t="shared" si="26"/>
        <v>CARNITAS</v>
      </c>
      <c r="CN21" s="43">
        <v>2</v>
      </c>
      <c r="CP21" s="42"/>
      <c r="CQ21" s="43"/>
      <c r="CS21" s="42" t="str">
        <f t="shared" si="27"/>
        <v>CARNITAS</v>
      </c>
      <c r="CT21" s="43"/>
      <c r="CV21" s="43">
        <f t="shared" si="28"/>
        <v>2</v>
      </c>
      <c r="CW21" s="42" t="str">
        <f t="shared" si="29"/>
        <v>CARNITAS</v>
      </c>
      <c r="CX21" s="43"/>
      <c r="CZ21" s="42"/>
      <c r="DA21" s="43"/>
      <c r="DC21" s="42" t="str">
        <f t="shared" si="127"/>
        <v>CARNITAS</v>
      </c>
      <c r="DD21" s="43">
        <v>2</v>
      </c>
      <c r="DF21" s="43">
        <f t="shared" si="31"/>
        <v>2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">
        <v>84</v>
      </c>
      <c r="FZ21" s="43">
        <v>1</v>
      </c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1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65"/>
        <v>0</v>
      </c>
      <c r="GS21" s="42" t="str">
        <f t="shared" si="66"/>
        <v>CARNITAS</v>
      </c>
      <c r="GT21" s="43"/>
      <c r="GV21" s="42" t="str">
        <f t="shared" si="67"/>
        <v>CARNITAS</v>
      </c>
      <c r="GW21" s="43"/>
      <c r="GY21" s="42" t="str">
        <f t="shared" si="68"/>
        <v>CARNITAS</v>
      </c>
      <c r="GZ21" s="43"/>
      <c r="HB21" s="43">
        <f t="shared" si="69"/>
        <v>0</v>
      </c>
      <c r="HC21" s="42" t="str">
        <f t="shared" si="70"/>
        <v>CARNITAS</v>
      </c>
      <c r="HD21" s="43">
        <f t="shared" si="71"/>
        <v>23</v>
      </c>
      <c r="HF21" s="42" t="str">
        <f t="shared" si="72"/>
        <v>CARNITAS</v>
      </c>
      <c r="HG21" s="43">
        <f t="shared" si="73"/>
        <v>0</v>
      </c>
      <c r="HI21" s="42" t="str">
        <f t="shared" si="74"/>
        <v>CARNITAS</v>
      </c>
      <c r="HJ21" s="43">
        <f t="shared" si="75"/>
        <v>8</v>
      </c>
      <c r="HL21" s="43">
        <f t="shared" si="76"/>
        <v>32</v>
      </c>
      <c r="HM21" s="42" t="str">
        <f t="shared" si="77"/>
        <v>CARNITAS</v>
      </c>
      <c r="HN21" s="57">
        <f t="shared" si="78"/>
        <v>2</v>
      </c>
      <c r="HO21" s="44">
        <f t="shared" si="79"/>
        <v>6</v>
      </c>
      <c r="HP21" s="57">
        <f t="shared" si="80"/>
        <v>2</v>
      </c>
      <c r="HQ21" s="44">
        <f t="shared" si="81"/>
        <v>3</v>
      </c>
      <c r="HR21" s="57">
        <f t="shared" si="82"/>
        <v>4</v>
      </c>
      <c r="HS21" s="44">
        <f t="shared" si="83"/>
        <v>4</v>
      </c>
      <c r="HT21" s="57">
        <f t="shared" si="84"/>
        <v>2</v>
      </c>
      <c r="HU21" s="44">
        <f t="shared" si="85"/>
        <v>2</v>
      </c>
      <c r="HV21" s="57">
        <f t="shared" si="86"/>
        <v>2</v>
      </c>
      <c r="HW21" s="44">
        <f t="shared" si="87"/>
        <v>2</v>
      </c>
      <c r="HX21" s="57">
        <f t="shared" si="88"/>
        <v>2</v>
      </c>
      <c r="HY21" s="44">
        <f t="shared" si="89"/>
        <v>0</v>
      </c>
      <c r="HZ21" s="42" t="str">
        <f t="shared" si="90"/>
        <v>CARNITAS</v>
      </c>
      <c r="IA21" s="57">
        <f t="shared" si="91"/>
        <v>0</v>
      </c>
      <c r="IB21" s="44">
        <f t="shared" si="92"/>
        <v>0</v>
      </c>
      <c r="IC21" s="57">
        <f t="shared" si="93"/>
        <v>0</v>
      </c>
      <c r="ID21" s="44">
        <f t="shared" si="94"/>
        <v>0</v>
      </c>
      <c r="IE21" s="57">
        <f t="shared" si="95"/>
        <v>0</v>
      </c>
      <c r="IF21" s="44">
        <f t="shared" si="96"/>
        <v>0</v>
      </c>
      <c r="IG21" s="57">
        <f t="shared" si="97"/>
        <v>1</v>
      </c>
      <c r="IH21" s="44">
        <f t="shared" si="98"/>
        <v>0</v>
      </c>
      <c r="II21" s="57">
        <f t="shared" si="99"/>
        <v>0</v>
      </c>
      <c r="IJ21" s="44"/>
      <c r="IK21" s="57"/>
      <c r="IL21" s="44">
        <f t="shared" si="100"/>
        <v>32</v>
      </c>
      <c r="IM21" s="42" t="str">
        <f t="shared" si="101"/>
        <v>CARNITAS</v>
      </c>
      <c r="IN21" s="43">
        <f t="shared" si="102"/>
        <v>17</v>
      </c>
      <c r="IP21" s="42" t="str">
        <f t="shared" si="103"/>
        <v>CARNITAS</v>
      </c>
      <c r="IQ21" s="43">
        <f t="shared" si="104"/>
        <v>0</v>
      </c>
      <c r="IS21" s="42" t="str">
        <f t="shared" si="105"/>
        <v>CARNITAS</v>
      </c>
      <c r="IT21" s="43">
        <f t="shared" si="106"/>
        <v>4</v>
      </c>
      <c r="IV21" s="43"/>
      <c r="IW21" s="42" t="str">
        <f t="shared" si="107"/>
        <v>CARNITAS</v>
      </c>
      <c r="IX21" s="43">
        <f t="shared" si="108"/>
        <v>4</v>
      </c>
      <c r="IZ21" s="42" t="str">
        <f t="shared" si="109"/>
        <v>CARNITAS</v>
      </c>
      <c r="JA21" s="43">
        <f t="shared" si="110"/>
        <v>0</v>
      </c>
      <c r="JC21" s="42" t="str">
        <f t="shared" si="111"/>
        <v>CARNITAS</v>
      </c>
      <c r="JD21" s="43">
        <f t="shared" si="112"/>
        <v>2</v>
      </c>
      <c r="JF21" s="43"/>
      <c r="JG21" s="42"/>
      <c r="JH21" s="43"/>
      <c r="JJ21" s="42" t="s">
        <v>84</v>
      </c>
      <c r="JK21" s="43">
        <f t="shared" si="124"/>
        <v>1</v>
      </c>
      <c r="JM21" s="42"/>
      <c r="JN21" s="43"/>
      <c r="JP21" s="44">
        <f t="shared" si="113"/>
        <v>1</v>
      </c>
      <c r="JQ21" s="42" t="str">
        <f t="shared" si="114"/>
        <v>CARNITAS</v>
      </c>
      <c r="JR21" s="43">
        <f t="shared" si="115"/>
        <v>0</v>
      </c>
      <c r="JT21" s="42" t="str">
        <f t="shared" si="116"/>
        <v>CARNITAS</v>
      </c>
      <c r="JU21" s="43">
        <f t="shared" si="117"/>
        <v>0</v>
      </c>
      <c r="JW21" s="42" t="str">
        <f t="shared" si="118"/>
        <v>CARNITAS</v>
      </c>
      <c r="JX21" s="43">
        <f t="shared" si="119"/>
        <v>0</v>
      </c>
      <c r="JZ21" s="44">
        <f t="shared" si="120"/>
        <v>0</v>
      </c>
    </row>
    <row r="22" spans="1:286" s="7" customFormat="1" ht="54" customHeight="1" x14ac:dyDescent="0.65">
      <c r="A22" s="46" t="s">
        <v>52</v>
      </c>
      <c r="B22" s="43">
        <v>12</v>
      </c>
      <c r="D22" s="46"/>
      <c r="E22" s="43"/>
      <c r="G22" s="42" t="str">
        <f t="shared" si="0"/>
        <v>CATERING</v>
      </c>
      <c r="H22" s="43"/>
      <c r="J22" s="43">
        <f t="shared" si="1"/>
        <v>12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/>
      <c r="BV22" s="46"/>
      <c r="BW22" s="43"/>
      <c r="BY22" s="42" t="str">
        <f t="shared" si="21"/>
        <v>CATERING</v>
      </c>
      <c r="BZ22" s="43"/>
      <c r="CB22" s="43">
        <f t="shared" si="22"/>
        <v>0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/>
      <c r="CZ22" s="42"/>
      <c r="DA22" s="43"/>
      <c r="DC22" s="42" t="str">
        <f t="shared" si="127"/>
        <v>CATERING</v>
      </c>
      <c r="DD22" s="43">
        <v>1</v>
      </c>
      <c r="DF22" s="43">
        <f t="shared" si="31"/>
        <v>1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">
        <v>85</v>
      </c>
      <c r="FZ22" s="43">
        <v>1</v>
      </c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1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65"/>
        <v>0</v>
      </c>
      <c r="GS22" s="42" t="str">
        <f t="shared" si="66"/>
        <v>CATERING</v>
      </c>
      <c r="GT22" s="43"/>
      <c r="GV22" s="42" t="str">
        <f t="shared" si="67"/>
        <v>CATERING</v>
      </c>
      <c r="GW22" s="43"/>
      <c r="GY22" s="42" t="str">
        <f t="shared" si="68"/>
        <v>CATERING</v>
      </c>
      <c r="GZ22" s="43"/>
      <c r="HB22" s="43">
        <f t="shared" si="69"/>
        <v>0</v>
      </c>
      <c r="HC22" s="42" t="str">
        <f t="shared" si="70"/>
        <v>CATERING</v>
      </c>
      <c r="HD22" s="43">
        <f t="shared" si="71"/>
        <v>12</v>
      </c>
      <c r="HF22" s="42" t="str">
        <f t="shared" si="72"/>
        <v>CATERING</v>
      </c>
      <c r="HG22" s="43">
        <f t="shared" si="73"/>
        <v>0</v>
      </c>
      <c r="HI22" s="42" t="str">
        <f t="shared" si="74"/>
        <v>CATERING</v>
      </c>
      <c r="HJ22" s="43">
        <f t="shared" si="75"/>
        <v>1</v>
      </c>
      <c r="HL22" s="43">
        <f t="shared" si="76"/>
        <v>14</v>
      </c>
      <c r="HM22" s="42" t="str">
        <f t="shared" si="77"/>
        <v>CATERING</v>
      </c>
      <c r="HN22" s="57">
        <f t="shared" si="78"/>
        <v>12</v>
      </c>
      <c r="HO22" s="44">
        <f t="shared" si="79"/>
        <v>0</v>
      </c>
      <c r="HP22" s="57">
        <f t="shared" si="80"/>
        <v>0</v>
      </c>
      <c r="HQ22" s="44">
        <f t="shared" si="81"/>
        <v>0</v>
      </c>
      <c r="HR22" s="57">
        <f t="shared" si="82"/>
        <v>0</v>
      </c>
      <c r="HS22" s="44">
        <f t="shared" si="83"/>
        <v>0</v>
      </c>
      <c r="HT22" s="57">
        <f t="shared" si="84"/>
        <v>0</v>
      </c>
      <c r="HU22" s="44">
        <f t="shared" si="85"/>
        <v>0</v>
      </c>
      <c r="HV22" s="57">
        <f t="shared" si="86"/>
        <v>0</v>
      </c>
      <c r="HW22" s="44">
        <f t="shared" si="87"/>
        <v>0</v>
      </c>
      <c r="HX22" s="57">
        <f t="shared" si="88"/>
        <v>1</v>
      </c>
      <c r="HY22" s="44">
        <f t="shared" si="89"/>
        <v>0</v>
      </c>
      <c r="HZ22" s="42" t="str">
        <f t="shared" si="90"/>
        <v>CATERING</v>
      </c>
      <c r="IA22" s="57">
        <f t="shared" si="91"/>
        <v>0</v>
      </c>
      <c r="IB22" s="44">
        <f t="shared" si="92"/>
        <v>0</v>
      </c>
      <c r="IC22" s="57">
        <f t="shared" si="93"/>
        <v>0</v>
      </c>
      <c r="ID22" s="44">
        <f t="shared" si="94"/>
        <v>0</v>
      </c>
      <c r="IE22" s="57">
        <f t="shared" si="95"/>
        <v>0</v>
      </c>
      <c r="IF22" s="44">
        <f t="shared" si="96"/>
        <v>0</v>
      </c>
      <c r="IG22" s="57">
        <f t="shared" si="97"/>
        <v>1</v>
      </c>
      <c r="IH22" s="44">
        <f t="shared" si="98"/>
        <v>0</v>
      </c>
      <c r="II22" s="57">
        <f t="shared" si="99"/>
        <v>0</v>
      </c>
      <c r="IJ22" s="44"/>
      <c r="IK22" s="57"/>
      <c r="IL22" s="44">
        <f t="shared" si="100"/>
        <v>14</v>
      </c>
      <c r="IM22" s="42" t="str">
        <f t="shared" si="101"/>
        <v>CATERING</v>
      </c>
      <c r="IN22" s="43">
        <f t="shared" si="102"/>
        <v>12</v>
      </c>
      <c r="IP22" s="42" t="str">
        <f t="shared" si="103"/>
        <v>CATERING</v>
      </c>
      <c r="IQ22" s="43">
        <f t="shared" si="104"/>
        <v>0</v>
      </c>
      <c r="IS22" s="42" t="str">
        <f t="shared" si="105"/>
        <v>CATERING</v>
      </c>
      <c r="IT22" s="43">
        <f t="shared" si="106"/>
        <v>0</v>
      </c>
      <c r="IV22" s="43"/>
      <c r="IW22" s="42" t="str">
        <f t="shared" si="107"/>
        <v>CATERING</v>
      </c>
      <c r="IX22" s="43">
        <f t="shared" si="108"/>
        <v>0</v>
      </c>
      <c r="IZ22" s="42" t="str">
        <f t="shared" si="109"/>
        <v>CATERING</v>
      </c>
      <c r="JA22" s="43">
        <f t="shared" si="110"/>
        <v>0</v>
      </c>
      <c r="JC22" s="42" t="str">
        <f t="shared" si="111"/>
        <v>CATERING</v>
      </c>
      <c r="JD22" s="43">
        <f t="shared" si="112"/>
        <v>0</v>
      </c>
      <c r="JF22" s="43"/>
      <c r="JG22" s="42"/>
      <c r="JH22" s="43"/>
      <c r="JJ22" s="42" t="s">
        <v>85</v>
      </c>
      <c r="JK22" s="43">
        <f t="shared" si="124"/>
        <v>1</v>
      </c>
      <c r="JM22" s="42"/>
      <c r="JN22" s="43"/>
      <c r="JP22" s="44">
        <f t="shared" si="113"/>
        <v>1</v>
      </c>
      <c r="JQ22" s="42" t="str">
        <f t="shared" si="114"/>
        <v>CATERING</v>
      </c>
      <c r="JR22" s="43">
        <f t="shared" si="115"/>
        <v>0</v>
      </c>
      <c r="JT22" s="42" t="str">
        <f t="shared" si="116"/>
        <v>CATERING</v>
      </c>
      <c r="JU22" s="43">
        <f t="shared" si="117"/>
        <v>0</v>
      </c>
      <c r="JW22" s="42" t="str">
        <f t="shared" si="118"/>
        <v>CATERING</v>
      </c>
      <c r="JX22" s="43">
        <f t="shared" si="119"/>
        <v>0</v>
      </c>
      <c r="JZ22" s="44">
        <f t="shared" si="120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7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>
        <v>3</v>
      </c>
      <c r="FR23" s="42" t="str">
        <f t="shared" si="55"/>
        <v>FOIL 12X1000</v>
      </c>
      <c r="FS23" s="43">
        <v>2</v>
      </c>
      <c r="FU23" s="42" t="str">
        <f t="shared" si="56"/>
        <v>FOIL 12X1000</v>
      </c>
      <c r="FV23" s="43"/>
      <c r="FX23" s="43">
        <f t="shared" si="57"/>
        <v>5</v>
      </c>
      <c r="FY23" s="42"/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65"/>
        <v>0</v>
      </c>
      <c r="GS23" s="42" t="str">
        <f t="shared" si="66"/>
        <v>FOIL 12X1000</v>
      </c>
      <c r="GT23" s="43"/>
      <c r="GV23" s="42" t="str">
        <f t="shared" si="67"/>
        <v>FOIL 12X1000</v>
      </c>
      <c r="GW23" s="43">
        <v>4</v>
      </c>
      <c r="GY23" s="42" t="str">
        <f t="shared" si="68"/>
        <v>FOIL 12X1000</v>
      </c>
      <c r="GZ23" s="43">
        <v>2</v>
      </c>
      <c r="HB23" s="43">
        <f t="shared" si="69"/>
        <v>6</v>
      </c>
      <c r="HC23" s="42" t="str">
        <f t="shared" si="70"/>
        <v>FOIL 12X1000</v>
      </c>
      <c r="HD23" s="43">
        <f t="shared" si="71"/>
        <v>0</v>
      </c>
      <c r="HF23" s="42" t="str">
        <f t="shared" si="72"/>
        <v>FOIL 12X1000</v>
      </c>
      <c r="HG23" s="43">
        <f t="shared" si="73"/>
        <v>0</v>
      </c>
      <c r="HI23" s="42" t="str">
        <f t="shared" si="74"/>
        <v>FOIL 12X1000</v>
      </c>
      <c r="HJ23" s="43">
        <f t="shared" si="75"/>
        <v>0</v>
      </c>
      <c r="HL23" s="43">
        <f t="shared" si="76"/>
        <v>11</v>
      </c>
      <c r="HM23" s="42" t="str">
        <f t="shared" si="77"/>
        <v>FOIL 12X1000</v>
      </c>
      <c r="HN23" s="57">
        <f t="shared" si="78"/>
        <v>0</v>
      </c>
      <c r="HO23" s="44">
        <f t="shared" si="79"/>
        <v>0</v>
      </c>
      <c r="HP23" s="57">
        <f t="shared" si="80"/>
        <v>0</v>
      </c>
      <c r="HQ23" s="44">
        <f t="shared" si="81"/>
        <v>0</v>
      </c>
      <c r="HR23" s="57">
        <f t="shared" si="82"/>
        <v>0</v>
      </c>
      <c r="HS23" s="44">
        <f t="shared" si="83"/>
        <v>0</v>
      </c>
      <c r="HT23" s="57">
        <f t="shared" si="84"/>
        <v>0</v>
      </c>
      <c r="HU23" s="44">
        <f t="shared" si="85"/>
        <v>0</v>
      </c>
      <c r="HV23" s="57">
        <f t="shared" si="86"/>
        <v>0</v>
      </c>
      <c r="HW23" s="44">
        <f t="shared" si="87"/>
        <v>0</v>
      </c>
      <c r="HX23" s="57">
        <f t="shared" si="88"/>
        <v>0</v>
      </c>
      <c r="HY23" s="44">
        <f t="shared" si="89"/>
        <v>0</v>
      </c>
      <c r="HZ23" s="42" t="str">
        <f t="shared" si="90"/>
        <v>FOIL 12X1000</v>
      </c>
      <c r="IA23" s="57">
        <f t="shared" si="91"/>
        <v>0</v>
      </c>
      <c r="IB23" s="44">
        <f t="shared" si="92"/>
        <v>0</v>
      </c>
      <c r="IC23" s="57">
        <f t="shared" si="93"/>
        <v>0</v>
      </c>
      <c r="ID23" s="44">
        <f t="shared" si="94"/>
        <v>0</v>
      </c>
      <c r="IE23" s="57">
        <f t="shared" si="95"/>
        <v>0</v>
      </c>
      <c r="IF23" s="44">
        <f t="shared" si="96"/>
        <v>5</v>
      </c>
      <c r="IG23" s="57">
        <f t="shared" si="97"/>
        <v>0</v>
      </c>
      <c r="IH23" s="44">
        <f t="shared" si="98"/>
        <v>0</v>
      </c>
      <c r="II23" s="57">
        <f t="shared" si="99"/>
        <v>6</v>
      </c>
      <c r="IJ23" s="44"/>
      <c r="IK23" s="57"/>
      <c r="IL23" s="44">
        <f t="shared" si="100"/>
        <v>11</v>
      </c>
      <c r="IM23" s="42" t="str">
        <f t="shared" si="101"/>
        <v>FOIL 12X1000</v>
      </c>
      <c r="IN23" s="43">
        <f t="shared" si="102"/>
        <v>0</v>
      </c>
      <c r="IP23" s="42" t="str">
        <f t="shared" si="103"/>
        <v>FOIL 12X1000</v>
      </c>
      <c r="IQ23" s="43">
        <f t="shared" si="104"/>
        <v>0</v>
      </c>
      <c r="IS23" s="42" t="str">
        <f t="shared" si="105"/>
        <v>FOIL 12X1000</v>
      </c>
      <c r="IT23" s="43">
        <f t="shared" si="106"/>
        <v>0</v>
      </c>
      <c r="IV23" s="43"/>
      <c r="IW23" s="42" t="str">
        <f t="shared" si="107"/>
        <v>FOIL 12X1000</v>
      </c>
      <c r="IX23" s="43">
        <f t="shared" si="108"/>
        <v>0</v>
      </c>
      <c r="IZ23" s="42" t="str">
        <f t="shared" si="109"/>
        <v>FOIL 12X1000</v>
      </c>
      <c r="JA23" s="43">
        <f t="shared" si="110"/>
        <v>0</v>
      </c>
      <c r="JC23" s="42" t="str">
        <f t="shared" si="111"/>
        <v>FOIL 12X1000</v>
      </c>
      <c r="JD23" s="43">
        <f t="shared" si="112"/>
        <v>0</v>
      </c>
      <c r="JF23" s="43"/>
      <c r="JG23" s="42" t="str">
        <f t="shared" si="121"/>
        <v>FOIL 12X1000</v>
      </c>
      <c r="JH23" s="43">
        <f t="shared" si="122"/>
        <v>3</v>
      </c>
      <c r="JJ23" s="42"/>
      <c r="JK23" s="43"/>
      <c r="JM23" s="42"/>
      <c r="JN23" s="43"/>
      <c r="JP23" s="44">
        <f t="shared" si="113"/>
        <v>3</v>
      </c>
      <c r="JQ23" s="42" t="str">
        <f t="shared" si="114"/>
        <v>FOIL 12X1000</v>
      </c>
      <c r="JR23" s="43">
        <f t="shared" si="115"/>
        <v>2</v>
      </c>
      <c r="JT23" s="42" t="str">
        <f t="shared" si="116"/>
        <v>FOIL 12X1000</v>
      </c>
      <c r="JU23" s="43">
        <f t="shared" si="117"/>
        <v>0</v>
      </c>
      <c r="JW23" s="42" t="str">
        <f t="shared" si="118"/>
        <v>FOIL 12X1000</v>
      </c>
      <c r="JX23" s="43">
        <f t="shared" si="119"/>
        <v>0</v>
      </c>
      <c r="JZ23" s="44">
        <f t="shared" si="120"/>
        <v>2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7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>
        <v>2</v>
      </c>
      <c r="FR24" s="42" t="str">
        <f t="shared" si="55"/>
        <v>THREE COMP CONT</v>
      </c>
      <c r="FS24" s="43">
        <v>2</v>
      </c>
      <c r="FU24" s="42" t="str">
        <f t="shared" si="56"/>
        <v>THREE COMP CONT</v>
      </c>
      <c r="FV24" s="43"/>
      <c r="FX24" s="43">
        <f t="shared" si="57"/>
        <v>4</v>
      </c>
      <c r="FY24" s="42" t="str">
        <f t="shared" si="58"/>
        <v>THREE COMP CONT</v>
      </c>
      <c r="FZ24" s="43">
        <v>2</v>
      </c>
      <c r="GB24" s="42" t="str">
        <f t="shared" si="59"/>
        <v>THREE COMP CONT</v>
      </c>
      <c r="GC24" s="43">
        <v>2</v>
      </c>
      <c r="GE24" s="42" t="str">
        <f t="shared" si="60"/>
        <v>THREE COMP CONT</v>
      </c>
      <c r="GF24" s="43">
        <v>2</v>
      </c>
      <c r="GH24" s="43">
        <f t="shared" si="61"/>
        <v>6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65"/>
        <v>0</v>
      </c>
      <c r="GS24" s="42" t="str">
        <f t="shared" si="66"/>
        <v>THREE COMP CONT</v>
      </c>
      <c r="GT24" s="43"/>
      <c r="GV24" s="42" t="str">
        <f t="shared" si="67"/>
        <v>THREE COMP CONT</v>
      </c>
      <c r="GW24" s="43">
        <v>5</v>
      </c>
      <c r="GY24" s="42" t="str">
        <f t="shared" si="68"/>
        <v>THREE COMP CONT</v>
      </c>
      <c r="GZ24" s="43">
        <v>3</v>
      </c>
      <c r="HB24" s="43">
        <f t="shared" si="69"/>
        <v>8</v>
      </c>
      <c r="HC24" s="42" t="str">
        <f t="shared" si="70"/>
        <v>THREE COMP CONT</v>
      </c>
      <c r="HD24" s="43">
        <f t="shared" si="71"/>
        <v>0</v>
      </c>
      <c r="HF24" s="42" t="str">
        <f t="shared" si="72"/>
        <v>THREE COMP CONT</v>
      </c>
      <c r="HG24" s="43">
        <f t="shared" si="73"/>
        <v>0</v>
      </c>
      <c r="HI24" s="42" t="str">
        <f t="shared" si="74"/>
        <v>THREE COMP CONT</v>
      </c>
      <c r="HJ24" s="43">
        <f t="shared" si="75"/>
        <v>0</v>
      </c>
      <c r="HL24" s="43">
        <f t="shared" si="76"/>
        <v>18</v>
      </c>
      <c r="HM24" s="42" t="str">
        <f t="shared" si="77"/>
        <v>THREE COMP CONT</v>
      </c>
      <c r="HN24" s="57">
        <f t="shared" si="78"/>
        <v>0</v>
      </c>
      <c r="HO24" s="44">
        <f t="shared" si="79"/>
        <v>0</v>
      </c>
      <c r="HP24" s="57">
        <f t="shared" si="80"/>
        <v>0</v>
      </c>
      <c r="HQ24" s="44">
        <f t="shared" si="81"/>
        <v>0</v>
      </c>
      <c r="HR24" s="57">
        <f t="shared" si="82"/>
        <v>0</v>
      </c>
      <c r="HS24" s="44">
        <f t="shared" si="83"/>
        <v>0</v>
      </c>
      <c r="HT24" s="57">
        <f t="shared" si="84"/>
        <v>0</v>
      </c>
      <c r="HU24" s="44">
        <f t="shared" si="85"/>
        <v>0</v>
      </c>
      <c r="HV24" s="57">
        <f t="shared" si="86"/>
        <v>0</v>
      </c>
      <c r="HW24" s="44">
        <f t="shared" si="87"/>
        <v>0</v>
      </c>
      <c r="HX24" s="57">
        <f t="shared" si="88"/>
        <v>0</v>
      </c>
      <c r="HY24" s="44">
        <f t="shared" si="89"/>
        <v>0</v>
      </c>
      <c r="HZ24" s="42" t="str">
        <f t="shared" si="90"/>
        <v>THREE COMP CONT</v>
      </c>
      <c r="IA24" s="57">
        <f t="shared" si="91"/>
        <v>0</v>
      </c>
      <c r="IB24" s="44">
        <f t="shared" si="92"/>
        <v>0</v>
      </c>
      <c r="IC24" s="57">
        <f t="shared" si="93"/>
        <v>0</v>
      </c>
      <c r="ID24" s="44">
        <f t="shared" si="94"/>
        <v>0</v>
      </c>
      <c r="IE24" s="57">
        <f t="shared" si="95"/>
        <v>0</v>
      </c>
      <c r="IF24" s="44">
        <f t="shared" si="96"/>
        <v>4</v>
      </c>
      <c r="IG24" s="57">
        <f t="shared" si="97"/>
        <v>6</v>
      </c>
      <c r="IH24" s="44">
        <f t="shared" si="98"/>
        <v>0</v>
      </c>
      <c r="II24" s="57">
        <f t="shared" si="99"/>
        <v>8</v>
      </c>
      <c r="IJ24" s="44"/>
      <c r="IK24" s="57"/>
      <c r="IL24" s="44">
        <f t="shared" si="100"/>
        <v>18</v>
      </c>
      <c r="IM24" s="42" t="str">
        <f t="shared" si="101"/>
        <v>THREE COMP CONT</v>
      </c>
      <c r="IN24" s="43">
        <f t="shared" si="102"/>
        <v>0</v>
      </c>
      <c r="IP24" s="42" t="str">
        <f t="shared" si="103"/>
        <v>THREE COMP CONT</v>
      </c>
      <c r="IQ24" s="43">
        <f t="shared" si="104"/>
        <v>0</v>
      </c>
      <c r="IS24" s="42" t="str">
        <f t="shared" si="105"/>
        <v>THREE COMP CONT</v>
      </c>
      <c r="IT24" s="43">
        <f t="shared" si="106"/>
        <v>0</v>
      </c>
      <c r="IV24" s="43"/>
      <c r="IW24" s="42" t="str">
        <f t="shared" si="107"/>
        <v>THREE COMP CONT</v>
      </c>
      <c r="IX24" s="43">
        <f t="shared" si="108"/>
        <v>0</v>
      </c>
      <c r="IZ24" s="42" t="str">
        <f t="shared" si="109"/>
        <v>THREE COMP CONT</v>
      </c>
      <c r="JA24" s="43">
        <f t="shared" si="110"/>
        <v>0</v>
      </c>
      <c r="JC24" s="42" t="str">
        <f t="shared" si="111"/>
        <v>THREE COMP CONT</v>
      </c>
      <c r="JD24" s="43">
        <f t="shared" si="112"/>
        <v>0</v>
      </c>
      <c r="JF24" s="43"/>
      <c r="JG24" s="42" t="str">
        <f t="shared" si="121"/>
        <v>THREE COMP CONT</v>
      </c>
      <c r="JH24" s="43">
        <f t="shared" si="122"/>
        <v>2</v>
      </c>
      <c r="JJ24" s="42" t="str">
        <f t="shared" si="123"/>
        <v>THREE COMP CONT</v>
      </c>
      <c r="JK24" s="43">
        <f t="shared" si="124"/>
        <v>2</v>
      </c>
      <c r="JM24" s="42"/>
      <c r="JN24" s="43"/>
      <c r="JP24" s="44">
        <f t="shared" si="113"/>
        <v>4</v>
      </c>
      <c r="JQ24" s="42" t="str">
        <f t="shared" si="114"/>
        <v>THREE COMP CONT</v>
      </c>
      <c r="JR24" s="43">
        <f t="shared" si="115"/>
        <v>2</v>
      </c>
      <c r="JT24" s="42" t="str">
        <f t="shared" si="116"/>
        <v>THREE COMP CONT</v>
      </c>
      <c r="JU24" s="43">
        <f t="shared" si="117"/>
        <v>2</v>
      </c>
      <c r="JW24" s="42" t="str">
        <f t="shared" si="118"/>
        <v>THREE COMP CONT</v>
      </c>
      <c r="JX24" s="43">
        <f t="shared" si="119"/>
        <v>0</v>
      </c>
      <c r="JZ24" s="44">
        <f t="shared" si="120"/>
        <v>4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7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>
        <v>3</v>
      </c>
      <c r="FR25" s="42" t="str">
        <f t="shared" si="55"/>
        <v>ONE COMP CONT</v>
      </c>
      <c r="FS25" s="43">
        <v>2</v>
      </c>
      <c r="FU25" s="42" t="str">
        <f t="shared" si="56"/>
        <v>ONE COMP CONT</v>
      </c>
      <c r="FV25" s="43"/>
      <c r="FX25" s="43">
        <f t="shared" si="57"/>
        <v>5</v>
      </c>
      <c r="FY25" s="42" t="str">
        <f t="shared" si="58"/>
        <v>ONE COMP CONT</v>
      </c>
      <c r="FZ25" s="43"/>
      <c r="GB25" s="42" t="str">
        <f t="shared" si="59"/>
        <v>ONE COMP CONT</v>
      </c>
      <c r="GC25" s="43">
        <v>1</v>
      </c>
      <c r="GE25" s="42" t="str">
        <f t="shared" si="60"/>
        <v>ONE COMP CONT</v>
      </c>
      <c r="GF25" s="43">
        <v>1</v>
      </c>
      <c r="GH25" s="43">
        <f t="shared" si="61"/>
        <v>2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65"/>
        <v>0</v>
      </c>
      <c r="GS25" s="42" t="str">
        <f t="shared" si="66"/>
        <v>ONE COMP CONT</v>
      </c>
      <c r="GT25" s="43"/>
      <c r="GV25" s="42" t="str">
        <f t="shared" si="67"/>
        <v>ONE COMP CONT</v>
      </c>
      <c r="GW25" s="43">
        <v>1</v>
      </c>
      <c r="GY25" s="42" t="str">
        <f t="shared" si="68"/>
        <v>ONE COMP CONT</v>
      </c>
      <c r="GZ25" s="43">
        <v>1</v>
      </c>
      <c r="HB25" s="43">
        <f t="shared" si="69"/>
        <v>2</v>
      </c>
      <c r="HC25" s="42" t="str">
        <f t="shared" si="70"/>
        <v>ONE COMP CONT</v>
      </c>
      <c r="HD25" s="43">
        <f t="shared" si="71"/>
        <v>0</v>
      </c>
      <c r="HF25" s="42" t="str">
        <f t="shared" si="72"/>
        <v>ONE COMP CONT</v>
      </c>
      <c r="HG25" s="43">
        <f t="shared" si="73"/>
        <v>0</v>
      </c>
      <c r="HI25" s="42" t="str">
        <f t="shared" si="74"/>
        <v>ONE COMP CONT</v>
      </c>
      <c r="HJ25" s="43">
        <f t="shared" si="75"/>
        <v>0</v>
      </c>
      <c r="HL25" s="43">
        <f t="shared" si="76"/>
        <v>9</v>
      </c>
      <c r="HM25" s="42" t="str">
        <f t="shared" si="77"/>
        <v>ONE COMP CONT</v>
      </c>
      <c r="HN25" s="57">
        <f t="shared" si="78"/>
        <v>0</v>
      </c>
      <c r="HO25" s="44">
        <f t="shared" si="79"/>
        <v>0</v>
      </c>
      <c r="HP25" s="57">
        <f t="shared" si="80"/>
        <v>0</v>
      </c>
      <c r="HQ25" s="44">
        <f t="shared" si="81"/>
        <v>0</v>
      </c>
      <c r="HR25" s="57">
        <f t="shared" si="82"/>
        <v>0</v>
      </c>
      <c r="HS25" s="44">
        <f t="shared" si="83"/>
        <v>0</v>
      </c>
      <c r="HT25" s="57">
        <f t="shared" si="84"/>
        <v>0</v>
      </c>
      <c r="HU25" s="44">
        <f t="shared" si="85"/>
        <v>0</v>
      </c>
      <c r="HV25" s="57">
        <f t="shared" si="86"/>
        <v>0</v>
      </c>
      <c r="HW25" s="44">
        <f t="shared" si="87"/>
        <v>0</v>
      </c>
      <c r="HX25" s="57">
        <f t="shared" si="88"/>
        <v>0</v>
      </c>
      <c r="HY25" s="44">
        <f t="shared" si="89"/>
        <v>0</v>
      </c>
      <c r="HZ25" s="42" t="str">
        <f t="shared" si="90"/>
        <v>ONE COMP CONT</v>
      </c>
      <c r="IA25" s="57">
        <f t="shared" si="91"/>
        <v>0</v>
      </c>
      <c r="IB25" s="44">
        <f t="shared" si="92"/>
        <v>0</v>
      </c>
      <c r="IC25" s="57">
        <f t="shared" si="93"/>
        <v>0</v>
      </c>
      <c r="ID25" s="44">
        <f t="shared" si="94"/>
        <v>0</v>
      </c>
      <c r="IE25" s="57">
        <f t="shared" si="95"/>
        <v>0</v>
      </c>
      <c r="IF25" s="44">
        <f t="shared" si="96"/>
        <v>5</v>
      </c>
      <c r="IG25" s="57">
        <f t="shared" si="97"/>
        <v>2</v>
      </c>
      <c r="IH25" s="44">
        <f t="shared" si="98"/>
        <v>0</v>
      </c>
      <c r="II25" s="57">
        <f t="shared" si="99"/>
        <v>2</v>
      </c>
      <c r="IJ25" s="44"/>
      <c r="IK25" s="57"/>
      <c r="IL25" s="44">
        <f t="shared" si="100"/>
        <v>9</v>
      </c>
      <c r="IM25" s="42" t="str">
        <f t="shared" si="101"/>
        <v>ONE COMP CONT</v>
      </c>
      <c r="IN25" s="43">
        <f t="shared" si="102"/>
        <v>0</v>
      </c>
      <c r="IP25" s="42" t="str">
        <f t="shared" si="103"/>
        <v>ONE COMP CONT</v>
      </c>
      <c r="IQ25" s="43">
        <f t="shared" si="104"/>
        <v>0</v>
      </c>
      <c r="IS25" s="42" t="str">
        <f t="shared" si="105"/>
        <v>ONE COMP CONT</v>
      </c>
      <c r="IT25" s="43">
        <f t="shared" si="106"/>
        <v>0</v>
      </c>
      <c r="IV25" s="43"/>
      <c r="IW25" s="42" t="str">
        <f t="shared" si="107"/>
        <v>ONE COMP CONT</v>
      </c>
      <c r="IX25" s="43">
        <f t="shared" si="108"/>
        <v>0</v>
      </c>
      <c r="IZ25" s="42" t="str">
        <f t="shared" si="109"/>
        <v>ONE COMP CONT</v>
      </c>
      <c r="JA25" s="43">
        <f t="shared" si="110"/>
        <v>0</v>
      </c>
      <c r="JC25" s="42" t="str">
        <f t="shared" si="111"/>
        <v>ONE COMP CONT</v>
      </c>
      <c r="JD25" s="43">
        <f t="shared" si="112"/>
        <v>0</v>
      </c>
      <c r="JF25" s="43"/>
      <c r="JG25" s="42" t="str">
        <f t="shared" si="121"/>
        <v>ONE COMP CONT</v>
      </c>
      <c r="JH25" s="43">
        <f t="shared" si="122"/>
        <v>3</v>
      </c>
      <c r="JJ25" s="42"/>
      <c r="JK25" s="43"/>
      <c r="JM25" s="42"/>
      <c r="JN25" s="43"/>
      <c r="JP25" s="44">
        <f t="shared" si="113"/>
        <v>3</v>
      </c>
      <c r="JQ25" s="42" t="str">
        <f t="shared" si="114"/>
        <v>ONE COMP CONT</v>
      </c>
      <c r="JR25" s="43">
        <f t="shared" si="115"/>
        <v>2</v>
      </c>
      <c r="JT25" s="42" t="str">
        <f t="shared" si="116"/>
        <v>ONE COMP CONT</v>
      </c>
      <c r="JU25" s="43">
        <f t="shared" si="117"/>
        <v>1</v>
      </c>
      <c r="JW25" s="42" t="str">
        <f t="shared" si="118"/>
        <v>ONE COMP CONT</v>
      </c>
      <c r="JX25" s="43">
        <f t="shared" si="119"/>
        <v>0</v>
      </c>
      <c r="JZ25" s="44">
        <f t="shared" si="120"/>
        <v>3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7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>
        <v>2</v>
      </c>
      <c r="FR26" s="42" t="str">
        <f t="shared" si="55"/>
        <v>SUIZO CONT</v>
      </c>
      <c r="FS26" s="43">
        <v>1</v>
      </c>
      <c r="FU26" s="42" t="str">
        <f t="shared" si="56"/>
        <v>SUIZO CONT</v>
      </c>
      <c r="FV26" s="43"/>
      <c r="FX26" s="43">
        <f t="shared" si="57"/>
        <v>3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65"/>
        <v>0</v>
      </c>
      <c r="GS26" s="42" t="str">
        <f t="shared" si="66"/>
        <v>SUIZO CONT</v>
      </c>
      <c r="GT26" s="43"/>
      <c r="GV26" s="42" t="str">
        <f t="shared" si="67"/>
        <v>SUIZO CONT</v>
      </c>
      <c r="GW26" s="43">
        <v>1</v>
      </c>
      <c r="GY26" s="42" t="str">
        <f t="shared" si="68"/>
        <v>SUIZO CONT</v>
      </c>
      <c r="GZ26" s="43">
        <v>1</v>
      </c>
      <c r="HB26" s="43">
        <f t="shared" si="69"/>
        <v>2</v>
      </c>
      <c r="HC26" s="42" t="str">
        <f t="shared" si="70"/>
        <v>SUIZO CONT</v>
      </c>
      <c r="HD26" s="43">
        <f t="shared" si="71"/>
        <v>0</v>
      </c>
      <c r="HF26" s="42" t="str">
        <f t="shared" si="72"/>
        <v>SUIZO CONT</v>
      </c>
      <c r="HG26" s="43">
        <f t="shared" si="73"/>
        <v>0</v>
      </c>
      <c r="HI26" s="42" t="str">
        <f t="shared" si="74"/>
        <v>SUIZO CONT</v>
      </c>
      <c r="HJ26" s="43">
        <f t="shared" si="75"/>
        <v>0</v>
      </c>
      <c r="HL26" s="43">
        <f t="shared" si="76"/>
        <v>5</v>
      </c>
      <c r="HM26" s="42" t="str">
        <f t="shared" si="77"/>
        <v>SUIZO CONT</v>
      </c>
      <c r="HN26" s="57">
        <f t="shared" si="78"/>
        <v>0</v>
      </c>
      <c r="HO26" s="44">
        <f t="shared" si="79"/>
        <v>0</v>
      </c>
      <c r="HP26" s="57">
        <f t="shared" si="80"/>
        <v>0</v>
      </c>
      <c r="HQ26" s="44">
        <f t="shared" si="81"/>
        <v>0</v>
      </c>
      <c r="HR26" s="57">
        <f t="shared" si="82"/>
        <v>0</v>
      </c>
      <c r="HS26" s="44">
        <f t="shared" si="83"/>
        <v>0</v>
      </c>
      <c r="HT26" s="57">
        <f t="shared" si="84"/>
        <v>0</v>
      </c>
      <c r="HU26" s="44">
        <f t="shared" si="85"/>
        <v>0</v>
      </c>
      <c r="HV26" s="57">
        <f t="shared" si="86"/>
        <v>0</v>
      </c>
      <c r="HW26" s="44">
        <f t="shared" si="87"/>
        <v>0</v>
      </c>
      <c r="HX26" s="57">
        <f t="shared" si="88"/>
        <v>0</v>
      </c>
      <c r="HY26" s="44">
        <f t="shared" si="89"/>
        <v>0</v>
      </c>
      <c r="HZ26" s="42" t="str">
        <f t="shared" si="90"/>
        <v>SUIZO CONT</v>
      </c>
      <c r="IA26" s="57">
        <f t="shared" si="91"/>
        <v>0</v>
      </c>
      <c r="IB26" s="44">
        <f t="shared" si="92"/>
        <v>0</v>
      </c>
      <c r="IC26" s="57">
        <f t="shared" si="93"/>
        <v>0</v>
      </c>
      <c r="ID26" s="44">
        <f t="shared" si="94"/>
        <v>0</v>
      </c>
      <c r="IE26" s="57">
        <f t="shared" si="95"/>
        <v>0</v>
      </c>
      <c r="IF26" s="44">
        <f t="shared" si="96"/>
        <v>3</v>
      </c>
      <c r="IG26" s="57">
        <f t="shared" si="97"/>
        <v>0</v>
      </c>
      <c r="IH26" s="44">
        <f t="shared" si="98"/>
        <v>0</v>
      </c>
      <c r="II26" s="57">
        <f t="shared" si="99"/>
        <v>2</v>
      </c>
      <c r="IJ26" s="44"/>
      <c r="IK26" s="57"/>
      <c r="IL26" s="44">
        <f t="shared" si="100"/>
        <v>5</v>
      </c>
      <c r="IM26" s="42" t="str">
        <f t="shared" si="101"/>
        <v>SUIZO CONT</v>
      </c>
      <c r="IN26" s="43">
        <f t="shared" si="102"/>
        <v>0</v>
      </c>
      <c r="IP26" s="42" t="str">
        <f t="shared" si="103"/>
        <v>SUIZO CONT</v>
      </c>
      <c r="IQ26" s="43">
        <f t="shared" si="104"/>
        <v>0</v>
      </c>
      <c r="IS26" s="42" t="str">
        <f t="shared" si="105"/>
        <v>SUIZO CONT</v>
      </c>
      <c r="IT26" s="43">
        <f t="shared" si="106"/>
        <v>0</v>
      </c>
      <c r="IV26" s="43"/>
      <c r="IW26" s="42" t="str">
        <f t="shared" si="107"/>
        <v>SUIZO CONT</v>
      </c>
      <c r="IX26" s="43">
        <f t="shared" si="108"/>
        <v>0</v>
      </c>
      <c r="IZ26" s="42" t="str">
        <f t="shared" si="109"/>
        <v>SUIZO CONT</v>
      </c>
      <c r="JA26" s="43">
        <f t="shared" si="110"/>
        <v>0</v>
      </c>
      <c r="JC26" s="42" t="str">
        <f t="shared" si="111"/>
        <v>SUIZO CONT</v>
      </c>
      <c r="JD26" s="43">
        <f t="shared" si="112"/>
        <v>0</v>
      </c>
      <c r="JF26" s="43"/>
      <c r="JG26" s="42" t="str">
        <f t="shared" si="121"/>
        <v>SUIZO CONT</v>
      </c>
      <c r="JH26" s="43">
        <f t="shared" si="122"/>
        <v>2</v>
      </c>
      <c r="JJ26" s="42"/>
      <c r="JK26" s="43"/>
      <c r="JM26" s="42"/>
      <c r="JN26" s="43"/>
      <c r="JP26" s="44">
        <f t="shared" si="113"/>
        <v>2</v>
      </c>
      <c r="JQ26" s="42" t="str">
        <f t="shared" si="114"/>
        <v>SUIZO CONT</v>
      </c>
      <c r="JR26" s="43">
        <f t="shared" si="115"/>
        <v>1</v>
      </c>
      <c r="JT26" s="42" t="str">
        <f t="shared" si="116"/>
        <v>SUIZO CONT</v>
      </c>
      <c r="JU26" s="43">
        <f t="shared" si="117"/>
        <v>0</v>
      </c>
      <c r="JW26" s="42" t="str">
        <f t="shared" si="118"/>
        <v>SUIZO CONT</v>
      </c>
      <c r="JX26" s="43">
        <f t="shared" si="119"/>
        <v>0</v>
      </c>
      <c r="JZ26" s="44">
        <f t="shared" si="120"/>
        <v>1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7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>
        <v>1</v>
      </c>
      <c r="GH27" s="43">
        <f t="shared" si="61"/>
        <v>1</v>
      </c>
      <c r="GI27" s="42" t="str">
        <f t="shared" si="62"/>
        <v>THERMAL PAPER</v>
      </c>
      <c r="GJ27" s="43"/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65"/>
        <v>0</v>
      </c>
      <c r="GS27" s="42" t="str">
        <f t="shared" si="66"/>
        <v>THERMAL PAPER</v>
      </c>
      <c r="GT27" s="43"/>
      <c r="GV27" s="42" t="str">
        <f t="shared" si="67"/>
        <v>THERMAL PAPER</v>
      </c>
      <c r="GW27" s="43"/>
      <c r="GY27" s="42" t="str">
        <f t="shared" si="68"/>
        <v>THERMAL PAPER</v>
      </c>
      <c r="GZ27" s="43"/>
      <c r="HB27" s="43">
        <f t="shared" si="69"/>
        <v>0</v>
      </c>
      <c r="HC27" s="42" t="str">
        <f t="shared" si="70"/>
        <v>THERMAL PAPER</v>
      </c>
      <c r="HD27" s="43">
        <f t="shared" si="71"/>
        <v>0</v>
      </c>
      <c r="HF27" s="42" t="str">
        <f t="shared" si="72"/>
        <v>THERMAL PAPER</v>
      </c>
      <c r="HG27" s="43">
        <f t="shared" si="73"/>
        <v>0</v>
      </c>
      <c r="HI27" s="42" t="str">
        <f t="shared" si="74"/>
        <v>THERMAL PAPER</v>
      </c>
      <c r="HJ27" s="43">
        <f t="shared" si="75"/>
        <v>0</v>
      </c>
      <c r="HL27" s="43">
        <f t="shared" si="76"/>
        <v>1</v>
      </c>
      <c r="HM27" s="42" t="str">
        <f t="shared" si="77"/>
        <v>THERMAL PAPER</v>
      </c>
      <c r="HN27" s="57">
        <f t="shared" si="78"/>
        <v>0</v>
      </c>
      <c r="HO27" s="44">
        <f t="shared" si="79"/>
        <v>0</v>
      </c>
      <c r="HP27" s="57">
        <f t="shared" si="80"/>
        <v>0</v>
      </c>
      <c r="HQ27" s="44">
        <f t="shared" si="81"/>
        <v>0</v>
      </c>
      <c r="HR27" s="57">
        <f t="shared" si="82"/>
        <v>0</v>
      </c>
      <c r="HS27" s="44">
        <f t="shared" si="83"/>
        <v>0</v>
      </c>
      <c r="HT27" s="57">
        <f t="shared" si="84"/>
        <v>0</v>
      </c>
      <c r="HU27" s="44">
        <f t="shared" si="85"/>
        <v>0</v>
      </c>
      <c r="HV27" s="57">
        <f t="shared" si="86"/>
        <v>0</v>
      </c>
      <c r="HW27" s="44">
        <f t="shared" si="87"/>
        <v>0</v>
      </c>
      <c r="HX27" s="57">
        <f t="shared" si="88"/>
        <v>0</v>
      </c>
      <c r="HY27" s="44">
        <f t="shared" si="89"/>
        <v>0</v>
      </c>
      <c r="HZ27" s="42" t="str">
        <f t="shared" si="90"/>
        <v>THERMAL PAPER</v>
      </c>
      <c r="IA27" s="57">
        <f t="shared" si="91"/>
        <v>0</v>
      </c>
      <c r="IB27" s="44">
        <f t="shared" si="92"/>
        <v>0</v>
      </c>
      <c r="IC27" s="57">
        <f t="shared" si="93"/>
        <v>0</v>
      </c>
      <c r="ID27" s="44">
        <f t="shared" si="94"/>
        <v>0</v>
      </c>
      <c r="IE27" s="57">
        <f t="shared" si="95"/>
        <v>0</v>
      </c>
      <c r="IF27" s="44">
        <f t="shared" si="96"/>
        <v>0</v>
      </c>
      <c r="IG27" s="57">
        <f t="shared" si="97"/>
        <v>1</v>
      </c>
      <c r="IH27" s="44">
        <f t="shared" si="98"/>
        <v>0</v>
      </c>
      <c r="II27" s="57">
        <f t="shared" si="99"/>
        <v>0</v>
      </c>
      <c r="IJ27" s="44"/>
      <c r="IK27" s="57"/>
      <c r="IL27" s="44">
        <f t="shared" si="100"/>
        <v>1</v>
      </c>
      <c r="IM27" s="42" t="str">
        <f t="shared" si="101"/>
        <v>THERMAL PAPER</v>
      </c>
      <c r="IN27" s="43">
        <f t="shared" si="102"/>
        <v>0</v>
      </c>
      <c r="IP27" s="42" t="str">
        <f t="shared" si="103"/>
        <v>THERMAL PAPER</v>
      </c>
      <c r="IQ27" s="43">
        <f t="shared" si="104"/>
        <v>0</v>
      </c>
      <c r="IS27" s="42" t="str">
        <f t="shared" si="105"/>
        <v>THERMAL PAPER</v>
      </c>
      <c r="IT27" s="43">
        <f t="shared" si="106"/>
        <v>0</v>
      </c>
      <c r="IV27" s="43"/>
      <c r="IW27" s="42" t="str">
        <f t="shared" si="107"/>
        <v>THERMAL PAPER</v>
      </c>
      <c r="IX27" s="43">
        <f t="shared" si="108"/>
        <v>0</v>
      </c>
      <c r="IZ27" s="42" t="str">
        <f t="shared" si="109"/>
        <v>THERMAL PAPER</v>
      </c>
      <c r="JA27" s="43">
        <f t="shared" si="110"/>
        <v>0</v>
      </c>
      <c r="JC27" s="42" t="str">
        <f t="shared" si="111"/>
        <v>THERMAL PAPER</v>
      </c>
      <c r="JD27" s="43">
        <f t="shared" si="112"/>
        <v>0</v>
      </c>
      <c r="JF27" s="43"/>
      <c r="JG27" s="42"/>
      <c r="JH27" s="43"/>
      <c r="JJ27" s="42"/>
      <c r="JK27" s="43"/>
      <c r="JM27" s="42"/>
      <c r="JN27" s="43"/>
      <c r="JP27" s="44">
        <f t="shared" si="113"/>
        <v>0</v>
      </c>
      <c r="JQ27" s="42" t="str">
        <f t="shared" si="114"/>
        <v>THERMAL PAPER</v>
      </c>
      <c r="JR27" s="43">
        <f t="shared" si="115"/>
        <v>0</v>
      </c>
      <c r="JT27" s="42" t="str">
        <f t="shared" si="116"/>
        <v>THERMAL PAPER</v>
      </c>
      <c r="JU27" s="43">
        <f t="shared" si="117"/>
        <v>0</v>
      </c>
      <c r="JW27" s="42" t="str">
        <f t="shared" si="118"/>
        <v>THERMAL PAPER</v>
      </c>
      <c r="JX27" s="43">
        <f t="shared" si="119"/>
        <v>0</v>
      </c>
      <c r="JZ27" s="44">
        <f t="shared" si="120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7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/>
      <c r="FR28" s="42" t="str">
        <f t="shared" si="55"/>
        <v>COCO LOPEZ</v>
      </c>
      <c r="FS28" s="43">
        <v>1</v>
      </c>
      <c r="FU28" s="42" t="str">
        <f t="shared" si="56"/>
        <v>COCO LOPEZ</v>
      </c>
      <c r="FV28" s="43"/>
      <c r="FX28" s="43">
        <f t="shared" si="57"/>
        <v>1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65"/>
        <v>0</v>
      </c>
      <c r="GS28" s="42" t="str">
        <f t="shared" si="66"/>
        <v>COCO LOPEZ</v>
      </c>
      <c r="GT28" s="43"/>
      <c r="GV28" s="42" t="str">
        <f t="shared" si="67"/>
        <v>COCO LOPEZ</v>
      </c>
      <c r="GW28" s="43"/>
      <c r="GY28" s="42" t="str">
        <f t="shared" si="68"/>
        <v>COCO LOPEZ</v>
      </c>
      <c r="GZ28" s="43"/>
      <c r="HB28" s="43">
        <f t="shared" si="69"/>
        <v>0</v>
      </c>
      <c r="HC28" s="42" t="str">
        <f t="shared" si="70"/>
        <v>COCO LOPEZ</v>
      </c>
      <c r="HD28" s="43">
        <f t="shared" si="71"/>
        <v>0</v>
      </c>
      <c r="HF28" s="42" t="str">
        <f t="shared" si="72"/>
        <v>COCO LOPEZ</v>
      </c>
      <c r="HG28" s="43">
        <f t="shared" si="73"/>
        <v>0</v>
      </c>
      <c r="HI28" s="42" t="str">
        <f t="shared" si="74"/>
        <v>COCO LOPEZ</v>
      </c>
      <c r="HJ28" s="43">
        <f t="shared" si="75"/>
        <v>0</v>
      </c>
      <c r="HL28" s="43">
        <f t="shared" si="76"/>
        <v>1</v>
      </c>
      <c r="HM28" s="42" t="str">
        <f t="shared" si="77"/>
        <v>COCO LOPEZ</v>
      </c>
      <c r="HN28" s="57">
        <f t="shared" si="78"/>
        <v>0</v>
      </c>
      <c r="HO28" s="44">
        <f t="shared" si="79"/>
        <v>0</v>
      </c>
      <c r="HP28" s="57">
        <f t="shared" si="80"/>
        <v>0</v>
      </c>
      <c r="HQ28" s="44">
        <f t="shared" si="81"/>
        <v>0</v>
      </c>
      <c r="HR28" s="57">
        <f t="shared" si="82"/>
        <v>0</v>
      </c>
      <c r="HS28" s="44">
        <f t="shared" si="83"/>
        <v>0</v>
      </c>
      <c r="HT28" s="57">
        <f t="shared" si="84"/>
        <v>0</v>
      </c>
      <c r="HU28" s="44">
        <f t="shared" si="85"/>
        <v>0</v>
      </c>
      <c r="HV28" s="57">
        <f t="shared" si="86"/>
        <v>0</v>
      </c>
      <c r="HW28" s="44">
        <f t="shared" si="87"/>
        <v>0</v>
      </c>
      <c r="HX28" s="57">
        <f t="shared" si="88"/>
        <v>0</v>
      </c>
      <c r="HY28" s="44">
        <f t="shared" si="89"/>
        <v>0</v>
      </c>
      <c r="HZ28" s="42" t="str">
        <f t="shared" si="90"/>
        <v>COCO LOPEZ</v>
      </c>
      <c r="IA28" s="57">
        <f t="shared" si="91"/>
        <v>0</v>
      </c>
      <c r="IB28" s="44">
        <f t="shared" si="92"/>
        <v>0</v>
      </c>
      <c r="IC28" s="57">
        <f t="shared" si="93"/>
        <v>0</v>
      </c>
      <c r="ID28" s="44">
        <f t="shared" si="94"/>
        <v>0</v>
      </c>
      <c r="IE28" s="57">
        <f t="shared" si="95"/>
        <v>0</v>
      </c>
      <c r="IF28" s="44">
        <f t="shared" si="96"/>
        <v>1</v>
      </c>
      <c r="IG28" s="57">
        <f t="shared" si="97"/>
        <v>0</v>
      </c>
      <c r="IH28" s="44">
        <f t="shared" si="98"/>
        <v>0</v>
      </c>
      <c r="II28" s="57">
        <f t="shared" si="99"/>
        <v>0</v>
      </c>
      <c r="IJ28" s="44"/>
      <c r="IK28" s="57"/>
      <c r="IL28" s="44">
        <f t="shared" si="100"/>
        <v>1</v>
      </c>
      <c r="IM28" s="42" t="str">
        <f t="shared" si="101"/>
        <v>COCO LOPEZ</v>
      </c>
      <c r="IN28" s="43">
        <f t="shared" si="102"/>
        <v>0</v>
      </c>
      <c r="IP28" s="42" t="str">
        <f t="shared" si="103"/>
        <v>COCO LOPEZ</v>
      </c>
      <c r="IQ28" s="43">
        <f t="shared" si="104"/>
        <v>0</v>
      </c>
      <c r="IS28" s="42" t="str">
        <f t="shared" si="105"/>
        <v>COCO LOPEZ</v>
      </c>
      <c r="IT28" s="43">
        <f t="shared" si="106"/>
        <v>0</v>
      </c>
      <c r="IV28" s="43"/>
      <c r="IW28" s="42" t="str">
        <f t="shared" si="107"/>
        <v>COCO LOPEZ</v>
      </c>
      <c r="IX28" s="43">
        <f t="shared" si="108"/>
        <v>0</v>
      </c>
      <c r="IZ28" s="42" t="str">
        <f t="shared" si="109"/>
        <v>COCO LOPEZ</v>
      </c>
      <c r="JA28" s="43">
        <f t="shared" si="110"/>
        <v>0</v>
      </c>
      <c r="JC28" s="42" t="str">
        <f t="shared" si="111"/>
        <v>COCO LOPEZ</v>
      </c>
      <c r="JD28" s="43">
        <f t="shared" si="112"/>
        <v>0</v>
      </c>
      <c r="JF28" s="43"/>
      <c r="JG28" s="42"/>
      <c r="JH28" s="43"/>
      <c r="JJ28" s="42"/>
      <c r="JK28" s="43"/>
      <c r="JM28" s="42"/>
      <c r="JN28" s="43"/>
      <c r="JP28" s="44">
        <f t="shared" si="113"/>
        <v>0</v>
      </c>
      <c r="JQ28" s="42" t="str">
        <f t="shared" si="114"/>
        <v>COCO LOPEZ</v>
      </c>
      <c r="JR28" s="43">
        <f t="shared" si="115"/>
        <v>1</v>
      </c>
      <c r="JT28" s="42" t="str">
        <f t="shared" si="116"/>
        <v>COCO LOPEZ</v>
      </c>
      <c r="JU28" s="43">
        <f t="shared" si="117"/>
        <v>0</v>
      </c>
      <c r="JW28" s="42" t="str">
        <f t="shared" si="118"/>
        <v>COCO LOPEZ</v>
      </c>
      <c r="JX28" s="43">
        <f t="shared" si="119"/>
        <v>0</v>
      </c>
      <c r="JZ28" s="44">
        <f t="shared" si="120"/>
        <v>1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7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>
        <v>6</v>
      </c>
      <c r="FR29" s="24" t="str">
        <f t="shared" si="55"/>
        <v>TAPATIOS TACO M</v>
      </c>
      <c r="FS29" s="23">
        <v>8</v>
      </c>
      <c r="FU29" s="24" t="str">
        <f t="shared" si="56"/>
        <v>TAPATIOS TACO M</v>
      </c>
      <c r="FV29" s="23"/>
      <c r="FX29" s="23">
        <f t="shared" si="57"/>
        <v>14</v>
      </c>
      <c r="FY29" s="24" t="str">
        <f t="shared" si="58"/>
        <v>TAPATIOS TACO M</v>
      </c>
      <c r="FZ29" s="23">
        <v>9</v>
      </c>
      <c r="GB29" s="24" t="str">
        <f t="shared" si="59"/>
        <v>TAPATIOS TACO M</v>
      </c>
      <c r="GC29" s="23">
        <v>8</v>
      </c>
      <c r="GE29" s="24" t="str">
        <f t="shared" si="60"/>
        <v>TAPATIOS TACO M</v>
      </c>
      <c r="GF29" s="23">
        <v>8</v>
      </c>
      <c r="GH29" s="23">
        <f t="shared" si="61"/>
        <v>25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65"/>
        <v>0</v>
      </c>
      <c r="GS29" s="24" t="str">
        <f t="shared" si="66"/>
        <v>TAPATIOS TACO M</v>
      </c>
      <c r="GT29" s="23"/>
      <c r="GV29" s="24" t="str">
        <f t="shared" si="67"/>
        <v>TAPATIOS TACO M</v>
      </c>
      <c r="GW29" s="23"/>
      <c r="GY29" s="24" t="str">
        <f t="shared" si="68"/>
        <v>TAPATIOS TACO M</v>
      </c>
      <c r="GZ29" s="23"/>
      <c r="HB29" s="23">
        <f t="shared" si="69"/>
        <v>0</v>
      </c>
      <c r="HC29" s="24" t="str">
        <f t="shared" si="70"/>
        <v>TAPATIOS TACO M</v>
      </c>
      <c r="HD29" s="43">
        <f t="shared" si="71"/>
        <v>0</v>
      </c>
      <c r="HF29" s="24" t="str">
        <f t="shared" si="72"/>
        <v>TAPATIOS TACO M</v>
      </c>
      <c r="HG29" s="43">
        <f t="shared" si="73"/>
        <v>0</v>
      </c>
      <c r="HI29" s="24" t="str">
        <f t="shared" si="74"/>
        <v>TAPATIOS TACO M</v>
      </c>
      <c r="HJ29" s="43">
        <f t="shared" si="75"/>
        <v>0</v>
      </c>
      <c r="HL29" s="23">
        <f t="shared" si="76"/>
        <v>39</v>
      </c>
      <c r="HM29" s="24" t="str">
        <f t="shared" si="77"/>
        <v>TAPATIOS TACO M</v>
      </c>
      <c r="HN29" s="56">
        <f t="shared" si="78"/>
        <v>0</v>
      </c>
      <c r="HO29" s="25">
        <f t="shared" si="79"/>
        <v>0</v>
      </c>
      <c r="HP29" s="56">
        <f t="shared" si="80"/>
        <v>0</v>
      </c>
      <c r="HQ29" s="25">
        <f t="shared" si="81"/>
        <v>0</v>
      </c>
      <c r="HR29" s="56">
        <f t="shared" si="82"/>
        <v>0</v>
      </c>
      <c r="HS29" s="25">
        <f t="shared" si="83"/>
        <v>0</v>
      </c>
      <c r="HT29" s="56">
        <f t="shared" si="84"/>
        <v>0</v>
      </c>
      <c r="HU29" s="25">
        <f t="shared" si="85"/>
        <v>0</v>
      </c>
      <c r="HV29" s="56">
        <f t="shared" si="86"/>
        <v>0</v>
      </c>
      <c r="HW29" s="25">
        <f t="shared" si="87"/>
        <v>0</v>
      </c>
      <c r="HX29" s="56">
        <f t="shared" si="88"/>
        <v>0</v>
      </c>
      <c r="HY29" s="25">
        <f t="shared" si="89"/>
        <v>0</v>
      </c>
      <c r="HZ29" s="24" t="str">
        <f t="shared" si="90"/>
        <v>TAPATIOS TACO M</v>
      </c>
      <c r="IA29" s="56">
        <f t="shared" si="91"/>
        <v>0</v>
      </c>
      <c r="IB29" s="25">
        <f t="shared" si="92"/>
        <v>0</v>
      </c>
      <c r="IC29" s="56">
        <f t="shared" si="93"/>
        <v>0</v>
      </c>
      <c r="ID29" s="25">
        <f t="shared" si="94"/>
        <v>0</v>
      </c>
      <c r="IE29" s="56">
        <f t="shared" si="95"/>
        <v>0</v>
      </c>
      <c r="IF29" s="25">
        <f t="shared" si="96"/>
        <v>14</v>
      </c>
      <c r="IG29" s="56">
        <f t="shared" si="97"/>
        <v>25</v>
      </c>
      <c r="IH29" s="25">
        <f t="shared" si="98"/>
        <v>0</v>
      </c>
      <c r="II29" s="56">
        <f t="shared" si="99"/>
        <v>0</v>
      </c>
      <c r="IJ29" s="23"/>
      <c r="IK29" s="55"/>
      <c r="IL29" s="23">
        <f t="shared" si="100"/>
        <v>39</v>
      </c>
      <c r="IM29" s="24" t="str">
        <f t="shared" si="101"/>
        <v>TAPATIOS TACO M</v>
      </c>
      <c r="IN29" s="43">
        <f t="shared" si="102"/>
        <v>0</v>
      </c>
      <c r="IP29" s="24" t="str">
        <f t="shared" si="103"/>
        <v>TAPATIOS TACO M</v>
      </c>
      <c r="IQ29" s="43">
        <f t="shared" si="104"/>
        <v>0</v>
      </c>
      <c r="IS29" s="24" t="str">
        <f t="shared" si="105"/>
        <v>TAPATIOS TACO M</v>
      </c>
      <c r="IT29" s="43">
        <f t="shared" si="106"/>
        <v>0</v>
      </c>
      <c r="IV29" s="23"/>
      <c r="IW29" s="24" t="str">
        <f t="shared" si="107"/>
        <v>TAPATIOS TACO M</v>
      </c>
      <c r="IX29" s="43">
        <f t="shared" si="108"/>
        <v>0</v>
      </c>
      <c r="IZ29" s="24" t="str">
        <f t="shared" si="109"/>
        <v>TAPATIOS TACO M</v>
      </c>
      <c r="JA29" s="23">
        <f t="shared" si="110"/>
        <v>0</v>
      </c>
      <c r="JC29" s="24" t="str">
        <f t="shared" si="111"/>
        <v>TAPATIOS TACO M</v>
      </c>
      <c r="JD29" s="43">
        <f t="shared" si="112"/>
        <v>0</v>
      </c>
      <c r="JF29" s="23"/>
      <c r="JG29" s="24" t="str">
        <f t="shared" si="121"/>
        <v>TAPATIOS TACO M</v>
      </c>
      <c r="JH29" s="23">
        <f t="shared" si="122"/>
        <v>6</v>
      </c>
      <c r="JJ29" s="24" t="str">
        <f t="shared" si="123"/>
        <v>TAPATIOS TACO M</v>
      </c>
      <c r="JK29" s="23">
        <f t="shared" si="124"/>
        <v>9</v>
      </c>
      <c r="JM29" s="24"/>
      <c r="JN29" s="23"/>
      <c r="JP29" s="25">
        <f t="shared" si="113"/>
        <v>15</v>
      </c>
      <c r="JQ29" s="24" t="str">
        <f t="shared" si="114"/>
        <v>TAPATIOS TACO M</v>
      </c>
      <c r="JR29" s="23">
        <f t="shared" si="115"/>
        <v>8</v>
      </c>
      <c r="JT29" s="24" t="str">
        <f t="shared" si="116"/>
        <v>TAPATIOS TACO M</v>
      </c>
      <c r="JU29" s="23">
        <f t="shared" si="117"/>
        <v>8</v>
      </c>
      <c r="JV29" s="26"/>
      <c r="JW29" s="24" t="str">
        <f t="shared" si="118"/>
        <v>TAPATIOS TACO M</v>
      </c>
      <c r="JX29" s="23">
        <f t="shared" si="119"/>
        <v>0</v>
      </c>
      <c r="JZ29" s="23">
        <f t="shared" si="120"/>
        <v>16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54"/>
      <c r="HO30" s="28"/>
      <c r="HP30" s="54"/>
      <c r="HQ30" s="28"/>
      <c r="HR30" s="54"/>
      <c r="HS30" s="28"/>
      <c r="HT30" s="54"/>
      <c r="HU30" s="28"/>
      <c r="HV30" s="54"/>
      <c r="HW30" s="28"/>
      <c r="HX30" s="54"/>
      <c r="HY30" s="28"/>
      <c r="HZ30" s="27"/>
      <c r="IA30" s="54"/>
      <c r="IB30" s="28"/>
      <c r="IC30" s="54"/>
      <c r="ID30" s="28"/>
      <c r="IE30" s="54"/>
      <c r="IF30" s="28"/>
      <c r="IG30" s="54"/>
      <c r="IH30" s="28"/>
      <c r="II30" s="54"/>
      <c r="IJ30" s="28"/>
      <c r="IK30" s="54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35</v>
      </c>
      <c r="C31" s="7"/>
      <c r="D31" s="29" t="s">
        <v>19</v>
      </c>
      <c r="E31" s="30">
        <f>SUM(E11:E30)</f>
        <v>0</v>
      </c>
      <c r="F31" s="7"/>
      <c r="G31" s="29" t="s">
        <v>19</v>
      </c>
      <c r="H31" s="30">
        <f>SUM(H11:H30)</f>
        <v>16</v>
      </c>
      <c r="I31" s="7"/>
      <c r="J31" s="31">
        <f>SUM(J11:J30)</f>
        <v>51</v>
      </c>
      <c r="K31" s="29" t="s">
        <v>19</v>
      </c>
      <c r="L31" s="30">
        <f>SUM(L11:L30)</f>
        <v>51</v>
      </c>
      <c r="M31" s="32"/>
      <c r="N31" s="29" t="s">
        <v>19</v>
      </c>
      <c r="O31" s="30">
        <f>SUM(O11:O30)</f>
        <v>0</v>
      </c>
      <c r="P31" s="32"/>
      <c r="Q31" s="29" t="s">
        <v>19</v>
      </c>
      <c r="R31" s="30">
        <f>SUM(R11:R30)</f>
        <v>45</v>
      </c>
      <c r="S31" s="32"/>
      <c r="T31" s="31">
        <f>SUM(T11:T30)</f>
        <v>96</v>
      </c>
      <c r="U31" s="29" t="s">
        <v>19</v>
      </c>
      <c r="V31" s="30">
        <f>SUM(V11:V30)</f>
        <v>37</v>
      </c>
      <c r="W31" s="32"/>
      <c r="X31" s="29" t="s">
        <v>19</v>
      </c>
      <c r="Y31" s="30">
        <f>SUM(Y11:Y30)</f>
        <v>0</v>
      </c>
      <c r="Z31" s="32"/>
      <c r="AA31" s="29" t="s">
        <v>19</v>
      </c>
      <c r="AB31" s="30">
        <f>SUM(AB11:AB30)</f>
        <v>28</v>
      </c>
      <c r="AC31" s="32"/>
      <c r="AD31" s="31">
        <f>SUM(AD11:AD30)</f>
        <v>65</v>
      </c>
      <c r="AE31" s="29" t="s">
        <v>19</v>
      </c>
      <c r="AF31" s="30">
        <f>SUM(AF11:AF30)</f>
        <v>31</v>
      </c>
      <c r="AG31" s="32"/>
      <c r="AH31" s="29" t="s">
        <v>19</v>
      </c>
      <c r="AI31" s="30">
        <f>SUM(AI11:AI30)</f>
        <v>0</v>
      </c>
      <c r="AJ31" s="32"/>
      <c r="AK31" s="29" t="s">
        <v>19</v>
      </c>
      <c r="AL31" s="30">
        <f>SUM(AL11:AL30)</f>
        <v>24</v>
      </c>
      <c r="AM31" s="32"/>
      <c r="AN31" s="31">
        <f>SUM(AN11:AN30)</f>
        <v>55</v>
      </c>
      <c r="AO31" s="29" t="s">
        <v>19</v>
      </c>
      <c r="AP31" s="30">
        <f>SUM(AP11:AP30)</f>
        <v>23</v>
      </c>
      <c r="AQ31" s="32"/>
      <c r="AR31" s="29" t="s">
        <v>19</v>
      </c>
      <c r="AS31" s="30">
        <f>SUM(AS11:AS30)</f>
        <v>0</v>
      </c>
      <c r="AT31" s="32"/>
      <c r="AU31" s="29" t="s">
        <v>19</v>
      </c>
      <c r="AV31" s="30">
        <f>SUM(AV11:AV30)</f>
        <v>20.5</v>
      </c>
      <c r="AW31" s="32"/>
      <c r="AX31" s="31">
        <f>SUM(AX11:AX30)</f>
        <v>43.5</v>
      </c>
      <c r="AY31" s="29" t="s">
        <v>19</v>
      </c>
      <c r="AZ31" s="30">
        <f>SUM(AZ11:AZ30)</f>
        <v>20</v>
      </c>
      <c r="BA31" s="32"/>
      <c r="BB31" s="29" t="s">
        <v>19</v>
      </c>
      <c r="BC31" s="30">
        <f>SUM(BC11:BC30)</f>
        <v>0</v>
      </c>
      <c r="BD31" s="32"/>
      <c r="BE31" s="29" t="s">
        <v>19</v>
      </c>
      <c r="BF31" s="30">
        <f>SUM(BF11:BF30)</f>
        <v>19</v>
      </c>
      <c r="BG31" s="32"/>
      <c r="BH31" s="31">
        <f>SUM(BH11:BH30)</f>
        <v>39</v>
      </c>
      <c r="BI31" s="29" t="s">
        <v>19</v>
      </c>
      <c r="BJ31" s="30">
        <f>SUM(BJ11:BJ30)</f>
        <v>27.5</v>
      </c>
      <c r="BK31" s="32"/>
      <c r="BL31" s="29" t="s">
        <v>19</v>
      </c>
      <c r="BM31" s="30">
        <f>SUM(BM11:BM30)</f>
        <v>0</v>
      </c>
      <c r="BN31" s="32"/>
      <c r="BO31" s="29" t="s">
        <v>19</v>
      </c>
      <c r="BP31" s="30">
        <f>SUM(BP11:BP30)</f>
        <v>22.5</v>
      </c>
      <c r="BQ31" s="32"/>
      <c r="BR31" s="31">
        <f>SUM(BR11:BR30)</f>
        <v>50</v>
      </c>
      <c r="BS31" s="29" t="s">
        <v>19</v>
      </c>
      <c r="BT31" s="30">
        <f>SUM(BT11:BT30)</f>
        <v>22</v>
      </c>
      <c r="BU31" s="32"/>
      <c r="BV31" s="29" t="s">
        <v>19</v>
      </c>
      <c r="BW31" s="30">
        <f>SUM(BW11:BW30)</f>
        <v>0</v>
      </c>
      <c r="BX31" s="32"/>
      <c r="BY31" s="29" t="s">
        <v>19</v>
      </c>
      <c r="BZ31" s="30">
        <f>SUM(BZ11:BZ30)</f>
        <v>22.5</v>
      </c>
      <c r="CA31" s="32"/>
      <c r="CB31" s="31">
        <f>SUM(CB11:CB30)</f>
        <v>44.5</v>
      </c>
      <c r="CC31" s="29" t="s">
        <v>19</v>
      </c>
      <c r="CD31" s="30">
        <f>SUM(CD11:CD30)</f>
        <v>19.5</v>
      </c>
      <c r="CE31" s="32"/>
      <c r="CF31" s="29" t="s">
        <v>19</v>
      </c>
      <c r="CG31" s="30">
        <f>SUM(CG11:CG30)</f>
        <v>0</v>
      </c>
      <c r="CH31" s="32"/>
      <c r="CI31" s="29" t="s">
        <v>19</v>
      </c>
      <c r="CJ31" s="30">
        <f>SUM(CJ11:CJ30)</f>
        <v>24.5</v>
      </c>
      <c r="CK31" s="32"/>
      <c r="CL31" s="31">
        <f>SUM(CL11:CL30)</f>
        <v>44</v>
      </c>
      <c r="CM31" s="29" t="s">
        <v>19</v>
      </c>
      <c r="CN31" s="30">
        <f>SUM(CN11:CN30)</f>
        <v>16</v>
      </c>
      <c r="CO31" s="32"/>
      <c r="CP31" s="29" t="s">
        <v>19</v>
      </c>
      <c r="CQ31" s="30">
        <f>SUM(CQ11:CQ30)</f>
        <v>0</v>
      </c>
      <c r="CR31" s="32"/>
      <c r="CS31" s="29" t="s">
        <v>19</v>
      </c>
      <c r="CT31" s="30">
        <f>SUM(CT11:CT30)</f>
        <v>13</v>
      </c>
      <c r="CU31" s="32"/>
      <c r="CV31" s="31">
        <f>SUM(CV11:CV30)</f>
        <v>29</v>
      </c>
      <c r="CW31" s="29" t="s">
        <v>19</v>
      </c>
      <c r="CX31" s="30">
        <f>SUM(CX11:CX30)</f>
        <v>23</v>
      </c>
      <c r="CY31" s="32"/>
      <c r="CZ31" s="29" t="s">
        <v>19</v>
      </c>
      <c r="DA31" s="30">
        <f>SUM(DA11:DA30)</f>
        <v>0</v>
      </c>
      <c r="DB31" s="32"/>
      <c r="DC31" s="29" t="s">
        <v>19</v>
      </c>
      <c r="DD31" s="30">
        <f>SUM(DD11:DD30)</f>
        <v>22</v>
      </c>
      <c r="DE31" s="32"/>
      <c r="DF31" s="31">
        <f>SUM(DF11:DF30)</f>
        <v>45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>SUM(DK11:DK30)</f>
        <v>0</v>
      </c>
      <c r="DL31" s="32"/>
      <c r="DM31" s="29" t="s">
        <v>19</v>
      </c>
      <c r="DN31" s="30">
        <f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>SUM(DU11:DU30)</f>
        <v>0</v>
      </c>
      <c r="DV31" s="32"/>
      <c r="DW31" s="29" t="s">
        <v>19</v>
      </c>
      <c r="DX31" s="30">
        <f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>SUM(EE11:EE30)</f>
        <v>0</v>
      </c>
      <c r="EF31" s="32"/>
      <c r="EG31" s="29" t="s">
        <v>19</v>
      </c>
      <c r="EH31" s="30">
        <f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>SUM(EO11:EO30)</f>
        <v>0</v>
      </c>
      <c r="EP31" s="32"/>
      <c r="EQ31" s="29" t="s">
        <v>19</v>
      </c>
      <c r="ER31" s="30">
        <f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6</v>
      </c>
      <c r="EW31" s="32"/>
      <c r="EX31" s="29" t="s">
        <v>19</v>
      </c>
      <c r="EY31" s="30">
        <f>SUM(EY11:EY30)</f>
        <v>0</v>
      </c>
      <c r="EZ31" s="32"/>
      <c r="FA31" s="29" t="s">
        <v>19</v>
      </c>
      <c r="FB31" s="30">
        <f>SUM(FB11:FB30)</f>
        <v>9</v>
      </c>
      <c r="FC31" s="32"/>
      <c r="FD31" s="31">
        <f>SUM(FD11:FD30)</f>
        <v>15</v>
      </c>
      <c r="FE31" s="29" t="s">
        <v>19</v>
      </c>
      <c r="FF31" s="30">
        <f>SUM(FF11:FF30)</f>
        <v>0</v>
      </c>
      <c r="FG31" s="32"/>
      <c r="FH31" s="29" t="s">
        <v>19</v>
      </c>
      <c r="FI31" s="30">
        <f>SUM(FI11:FI30)</f>
        <v>0</v>
      </c>
      <c r="FJ31" s="32"/>
      <c r="FK31" s="29" t="s">
        <v>19</v>
      </c>
      <c r="FL31" s="30">
        <f>SUM(FL11:FL30)</f>
        <v>3</v>
      </c>
      <c r="FM31" s="32"/>
      <c r="FN31" s="31">
        <f>SUM(FN11:FN30)</f>
        <v>3</v>
      </c>
      <c r="FO31" s="29" t="s">
        <v>19</v>
      </c>
      <c r="FP31" s="30">
        <f>SUM(FP11:FP30)</f>
        <v>24</v>
      </c>
      <c r="FQ31" s="32"/>
      <c r="FR31" s="29" t="s">
        <v>19</v>
      </c>
      <c r="FS31" s="30">
        <f>SUM(FS11:FS30)</f>
        <v>29</v>
      </c>
      <c r="FT31" s="32"/>
      <c r="FU31" s="29" t="s">
        <v>19</v>
      </c>
      <c r="FV31" s="30">
        <f>SUM(FV11:FV30)</f>
        <v>0</v>
      </c>
      <c r="FW31" s="32"/>
      <c r="FX31" s="31">
        <f>SUM(FX11:FX30)</f>
        <v>53</v>
      </c>
      <c r="FY31" s="29" t="s">
        <v>19</v>
      </c>
      <c r="FZ31" s="30">
        <f>SUM(FZ11:FZ30)</f>
        <v>18</v>
      </c>
      <c r="GA31" s="32"/>
      <c r="GB31" s="29" t="s">
        <v>19</v>
      </c>
      <c r="GC31" s="30">
        <f>SUM(GC11:GC30)</f>
        <v>15</v>
      </c>
      <c r="GD31" s="32"/>
      <c r="GE31" s="29" t="s">
        <v>19</v>
      </c>
      <c r="GF31" s="30">
        <f>SUM(GF11:GF30)</f>
        <v>12</v>
      </c>
      <c r="GG31" s="32"/>
      <c r="GH31" s="31">
        <f>SUM(GH11:GH30)</f>
        <v>45</v>
      </c>
      <c r="GI31" s="29" t="s">
        <v>19</v>
      </c>
      <c r="GJ31" s="30">
        <f>SUM(GJ11:GJ30)</f>
        <v>5</v>
      </c>
      <c r="GK31" s="32"/>
      <c r="GL31" s="29" t="s">
        <v>19</v>
      </c>
      <c r="GM31" s="30">
        <f>SUM(GM11:GM30)</f>
        <v>6</v>
      </c>
      <c r="GN31" s="32"/>
      <c r="GO31" s="29" t="s">
        <v>19</v>
      </c>
      <c r="GP31" s="30">
        <f>SUM(GP11:GP30)</f>
        <v>0</v>
      </c>
      <c r="GQ31" s="32"/>
      <c r="GR31" s="31">
        <f>SUM(GR11:GR30)</f>
        <v>11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>SUM(GW11:GW30)</f>
        <v>11</v>
      </c>
      <c r="GX31" s="32"/>
      <c r="GY31" s="29" t="s">
        <v>19</v>
      </c>
      <c r="GZ31" s="30">
        <f>SUM(GZ11:GZ30)</f>
        <v>7</v>
      </c>
      <c r="HA31" s="32"/>
      <c r="HB31" s="31">
        <f>SUM(HB11:HB30)</f>
        <v>18</v>
      </c>
      <c r="HC31" s="29" t="s">
        <v>19</v>
      </c>
      <c r="HD31" s="30">
        <f>SUM(HD11:HD30)</f>
        <v>311</v>
      </c>
      <c r="HE31" s="32"/>
      <c r="HF31" s="29" t="s">
        <v>19</v>
      </c>
      <c r="HG31" s="30">
        <f>SUM(HG11:HG30)</f>
        <v>0</v>
      </c>
      <c r="HH31" s="32"/>
      <c r="HI31" s="29" t="s">
        <v>19</v>
      </c>
      <c r="HJ31" s="30">
        <f>SUM(HJ11:HJ30)</f>
        <v>269</v>
      </c>
      <c r="HK31" s="32"/>
      <c r="HL31" s="31">
        <f>SUM(HL11:HL30)</f>
        <v>707</v>
      </c>
      <c r="HM31" s="32" t="s">
        <v>19</v>
      </c>
      <c r="HN31" s="53">
        <f>J31</f>
        <v>51</v>
      </c>
      <c r="HO31" s="32">
        <f>T31</f>
        <v>96</v>
      </c>
      <c r="HP31" s="53">
        <f>AD31</f>
        <v>65</v>
      </c>
      <c r="HQ31" s="32">
        <f>AN31</f>
        <v>55</v>
      </c>
      <c r="HR31" s="53">
        <f>AX31</f>
        <v>43.5</v>
      </c>
      <c r="HS31" s="32">
        <f>BH31</f>
        <v>39</v>
      </c>
      <c r="HT31" s="53">
        <f>BR31</f>
        <v>50</v>
      </c>
      <c r="HU31" s="32">
        <f>CB31</f>
        <v>44.5</v>
      </c>
      <c r="HV31" s="53">
        <f>CL31</f>
        <v>44</v>
      </c>
      <c r="HW31" s="32">
        <f>CV31</f>
        <v>29</v>
      </c>
      <c r="HX31" s="53">
        <f>DF31</f>
        <v>45</v>
      </c>
      <c r="HY31" s="32">
        <f>DP31</f>
        <v>0</v>
      </c>
      <c r="HZ31" s="33" t="s">
        <v>19</v>
      </c>
      <c r="IA31" s="53">
        <f>DZ31</f>
        <v>0</v>
      </c>
      <c r="IB31" s="32">
        <f>ES31</f>
        <v>0</v>
      </c>
      <c r="IC31" s="53">
        <f>FC31</f>
        <v>0</v>
      </c>
      <c r="ID31" s="32">
        <f>FM31</f>
        <v>0</v>
      </c>
      <c r="IE31" s="53"/>
      <c r="IF31" s="32"/>
      <c r="IG31" s="53"/>
      <c r="IH31" s="32"/>
      <c r="II31" s="53"/>
      <c r="IJ31" s="32"/>
      <c r="IK31" s="53"/>
      <c r="IL31" s="32">
        <f>SUM(HN31:HY31)+SUM(IA31:IK31)</f>
        <v>562</v>
      </c>
      <c r="IM31" s="29" t="s">
        <v>19</v>
      </c>
      <c r="IN31" s="30">
        <f>SUM(IN11:IN30)</f>
        <v>227</v>
      </c>
      <c r="IO31" s="32"/>
      <c r="IP31" s="29" t="s">
        <v>19</v>
      </c>
      <c r="IQ31" s="30">
        <f>SUM(IQ11:IQ30)</f>
        <v>0</v>
      </c>
      <c r="IR31" s="32"/>
      <c r="IS31" s="29" t="s">
        <v>19</v>
      </c>
      <c r="IT31" s="30">
        <f>SUM(IT11:IT30)</f>
        <v>191</v>
      </c>
      <c r="IU31" s="32"/>
      <c r="IV31" s="31">
        <f>SUM(IV11:IV30)</f>
        <v>0</v>
      </c>
      <c r="IW31" s="29" t="s">
        <v>19</v>
      </c>
      <c r="IX31" s="30">
        <f>SUM(IX11:IX30)</f>
        <v>45</v>
      </c>
      <c r="IY31" s="32"/>
      <c r="IZ31" s="29" t="s">
        <v>19</v>
      </c>
      <c r="JA31" s="30">
        <f>SUM(JA11:JA30)</f>
        <v>0</v>
      </c>
      <c r="JB31" s="32"/>
      <c r="JC31" s="29" t="s">
        <v>19</v>
      </c>
      <c r="JD31" s="30">
        <f>SUM(JD11:JD30)</f>
        <v>43</v>
      </c>
      <c r="JE31" s="32"/>
      <c r="JF31" s="31">
        <f>SUM(JF11:JF30)</f>
        <v>0</v>
      </c>
      <c r="JG31" s="29" t="s">
        <v>19</v>
      </c>
      <c r="JH31" s="30">
        <f>SUM(JH11:JH30)</f>
        <v>24</v>
      </c>
      <c r="JI31" s="32"/>
      <c r="JJ31" s="29" t="s">
        <v>19</v>
      </c>
      <c r="JK31" s="30">
        <f>SUM(JK11:JK30)</f>
        <v>18</v>
      </c>
      <c r="JL31" s="32"/>
      <c r="JM31" s="29" t="s">
        <v>19</v>
      </c>
      <c r="JN31" s="30">
        <f>SUM(JN11:JN30)</f>
        <v>5</v>
      </c>
      <c r="JO31" s="32"/>
      <c r="JP31" s="31">
        <f>SUM(JP11:JP30)</f>
        <v>47</v>
      </c>
      <c r="JQ31" s="29" t="s">
        <v>19</v>
      </c>
      <c r="JR31" s="30">
        <f>SUM(JR11:JR30)</f>
        <v>29</v>
      </c>
      <c r="JS31" s="32"/>
      <c r="JT31" s="29" t="s">
        <v>19</v>
      </c>
      <c r="JU31" s="30">
        <f>SUM(JU11:JU30)</f>
        <v>15</v>
      </c>
      <c r="JV31" s="32"/>
      <c r="JW31" s="29" t="s">
        <v>19</v>
      </c>
      <c r="JX31" s="30">
        <f>SUM(JX11:JX30)</f>
        <v>6</v>
      </c>
      <c r="JY31" s="32"/>
      <c r="JZ31" s="31">
        <f>SUM(JZ11:JZ30)</f>
        <v>50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A1:B1"/>
    <mergeCell ref="K1:L1"/>
    <mergeCell ref="U1:V1"/>
    <mergeCell ref="AE1:AF1"/>
    <mergeCell ref="AO1:AP1"/>
    <mergeCell ref="AY1:AZ1"/>
    <mergeCell ref="BI1:BJ1"/>
    <mergeCell ref="BS1:BT1"/>
    <mergeCell ref="CC1:CD1"/>
    <mergeCell ref="CM1:CN1"/>
    <mergeCell ref="CW1:CX1"/>
    <mergeCell ref="DG1:DH1"/>
    <mergeCell ref="DQ1:DR1"/>
    <mergeCell ref="EA1:EB1"/>
    <mergeCell ref="EK1:EL1"/>
    <mergeCell ref="EU1:EV1"/>
    <mergeCell ref="FE1:FF1"/>
    <mergeCell ref="FO1:FP1"/>
    <mergeCell ref="FY1:FZ1"/>
    <mergeCell ref="GI1:GJ1"/>
    <mergeCell ref="GS1:GT1"/>
    <mergeCell ref="HC1:HD1"/>
    <mergeCell ref="HM1:HN1"/>
    <mergeCell ref="HZ1:IA1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U2:V2"/>
    <mergeCell ref="X2:Y2"/>
    <mergeCell ref="AA2:AB2"/>
    <mergeCell ref="AE2:AF2"/>
    <mergeCell ref="AH2:AI2"/>
    <mergeCell ref="AK2:AL2"/>
    <mergeCell ref="AO2:AP2"/>
    <mergeCell ref="AR2:AS2"/>
    <mergeCell ref="AU2:AV2"/>
    <mergeCell ref="AY2:AZ2"/>
    <mergeCell ref="BB2:BC2"/>
    <mergeCell ref="BE2:BF2"/>
    <mergeCell ref="BI2:BJ2"/>
    <mergeCell ref="BL2:BM2"/>
    <mergeCell ref="BO2:BP2"/>
    <mergeCell ref="BS2:BT2"/>
    <mergeCell ref="BV2:BW2"/>
    <mergeCell ref="BY2:BZ2"/>
    <mergeCell ref="CC2:CD2"/>
    <mergeCell ref="CF2:CG2"/>
    <mergeCell ref="CI2:CJ2"/>
    <mergeCell ref="CM2:CN2"/>
    <mergeCell ref="CP2:CQ2"/>
    <mergeCell ref="CS2:CT2"/>
    <mergeCell ref="CW2:CX2"/>
    <mergeCell ref="CZ2:DA2"/>
    <mergeCell ref="DC2:DD2"/>
    <mergeCell ref="DG2:DH2"/>
    <mergeCell ref="DJ2:DK2"/>
    <mergeCell ref="DM2:DN2"/>
    <mergeCell ref="DQ2:DR2"/>
    <mergeCell ref="DT2:DU2"/>
    <mergeCell ref="DW2:DX2"/>
    <mergeCell ref="EA2:EB2"/>
    <mergeCell ref="ED2:EE2"/>
    <mergeCell ref="EG2:EH2"/>
    <mergeCell ref="EK2:EL2"/>
    <mergeCell ref="EN2:EO2"/>
    <mergeCell ref="EQ2:ER2"/>
    <mergeCell ref="EU2:EV2"/>
    <mergeCell ref="EX2:EY2"/>
    <mergeCell ref="FA2:FB2"/>
    <mergeCell ref="FE2:FF2"/>
    <mergeCell ref="FH2:FI2"/>
    <mergeCell ref="FK2:FL2"/>
    <mergeCell ref="FO2:FP2"/>
    <mergeCell ref="FR2:FS2"/>
    <mergeCell ref="FU2:FV2"/>
    <mergeCell ref="FY2:FZ2"/>
    <mergeCell ref="GB2:GC2"/>
    <mergeCell ref="GE2:GF2"/>
    <mergeCell ref="GI2:GJ2"/>
    <mergeCell ref="GL2:GM2"/>
    <mergeCell ref="GO2:GP2"/>
    <mergeCell ref="GS2:GT2"/>
    <mergeCell ref="GV2:GW2"/>
    <mergeCell ref="GY2:GZ2"/>
    <mergeCell ref="HC2:HD2"/>
    <mergeCell ref="HF2:HG2"/>
    <mergeCell ref="HI2:HJ2"/>
    <mergeCell ref="IM2:IN2"/>
    <mergeCell ref="IP2:IQ2"/>
    <mergeCell ref="IS2:IT2"/>
    <mergeCell ref="IW2:IX2"/>
    <mergeCell ref="IZ2:JA2"/>
    <mergeCell ref="JC2:JD2"/>
    <mergeCell ref="JG2:JH2"/>
    <mergeCell ref="JJ2:JK2"/>
    <mergeCell ref="JM2:JN2"/>
    <mergeCell ref="JQ2:JR2"/>
    <mergeCell ref="JT2:JU2"/>
    <mergeCell ref="JW2:JX2"/>
    <mergeCell ref="A3:B3"/>
    <mergeCell ref="K3:L3"/>
    <mergeCell ref="U3:V3"/>
    <mergeCell ref="AE3:AF3"/>
    <mergeCell ref="AO3:AP3"/>
    <mergeCell ref="AY3:AZ3"/>
    <mergeCell ref="BI3:BJ3"/>
    <mergeCell ref="BS3:BT3"/>
    <mergeCell ref="CC3:CD3"/>
    <mergeCell ref="CM3:CN3"/>
    <mergeCell ref="CW3:CX3"/>
    <mergeCell ref="DG3:DH3"/>
    <mergeCell ref="DQ3:DR3"/>
    <mergeCell ref="EA3:EB3"/>
    <mergeCell ref="EK3:EL3"/>
    <mergeCell ref="EU3:EV3"/>
    <mergeCell ref="FE3:FF3"/>
    <mergeCell ref="FO3:FP3"/>
    <mergeCell ref="FY3:FZ3"/>
    <mergeCell ref="GI3:GJ3"/>
    <mergeCell ref="GS3:GT3"/>
    <mergeCell ref="HC3:HD3"/>
    <mergeCell ref="HM3:HN3"/>
    <mergeCell ref="HZ3:IA3"/>
    <mergeCell ref="IM3:IN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BI4:BJ4"/>
    <mergeCell ref="BS4:BT4"/>
    <mergeCell ref="CC4:CD4"/>
    <mergeCell ref="CM4:CN4"/>
    <mergeCell ref="CW4:CX4"/>
    <mergeCell ref="DG4:DH4"/>
    <mergeCell ref="DQ4:DR4"/>
    <mergeCell ref="EA4:EB4"/>
    <mergeCell ref="EK4:EL4"/>
    <mergeCell ref="EU4:EV4"/>
    <mergeCell ref="FE4:FF4"/>
    <mergeCell ref="FO4:FP4"/>
    <mergeCell ref="FY4:FZ4"/>
    <mergeCell ref="GI4:GJ4"/>
    <mergeCell ref="GS4:GT4"/>
    <mergeCell ref="HC4:HD4"/>
    <mergeCell ref="HM4:HN4"/>
    <mergeCell ref="HZ4:IA4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BI5:BJ5"/>
    <mergeCell ref="BS5:BT5"/>
    <mergeCell ref="CC5:CD5"/>
    <mergeCell ref="CM5:CN5"/>
    <mergeCell ref="CW5:CX5"/>
    <mergeCell ref="DG5:DH5"/>
    <mergeCell ref="DQ5:DR5"/>
    <mergeCell ref="EA5:EB5"/>
    <mergeCell ref="EK5:EL5"/>
    <mergeCell ref="EU5:EV5"/>
    <mergeCell ref="FE5:FF5"/>
    <mergeCell ref="FO5:FP5"/>
    <mergeCell ref="FY5:FZ5"/>
    <mergeCell ref="GI5:GJ5"/>
    <mergeCell ref="GS5:GT5"/>
    <mergeCell ref="HC5:HD5"/>
    <mergeCell ref="HM5:HN5"/>
    <mergeCell ref="HZ5:IA5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U6:V6"/>
    <mergeCell ref="X6:Y6"/>
    <mergeCell ref="AA6:AB6"/>
    <mergeCell ref="AE6:AF6"/>
    <mergeCell ref="AH6:AI6"/>
    <mergeCell ref="AK6:AL6"/>
    <mergeCell ref="AO6:AP6"/>
    <mergeCell ref="AR6:AS6"/>
    <mergeCell ref="AU6:AV6"/>
    <mergeCell ref="AY6:AZ6"/>
    <mergeCell ref="BB6:BC6"/>
    <mergeCell ref="BE6:BF6"/>
    <mergeCell ref="BI6:BJ6"/>
    <mergeCell ref="BL6:BM6"/>
    <mergeCell ref="BO6:BP6"/>
    <mergeCell ref="BS6:BT6"/>
    <mergeCell ref="BV6:BW6"/>
    <mergeCell ref="BY6:BZ6"/>
    <mergeCell ref="CC6:CD6"/>
    <mergeCell ref="CF6:CG6"/>
    <mergeCell ref="CI6:CJ6"/>
    <mergeCell ref="CM6:CN6"/>
    <mergeCell ref="CP6:CQ6"/>
    <mergeCell ref="CS6:CT6"/>
    <mergeCell ref="CW6:CX6"/>
    <mergeCell ref="CZ6:DA6"/>
    <mergeCell ref="DC6:DD6"/>
    <mergeCell ref="DG6:DH6"/>
    <mergeCell ref="DJ6:DK6"/>
    <mergeCell ref="DM6:DN6"/>
    <mergeCell ref="DQ6:DR6"/>
    <mergeCell ref="DT6:DU6"/>
    <mergeCell ref="DW6:DX6"/>
    <mergeCell ref="EA6:EB6"/>
    <mergeCell ref="ED6:EE6"/>
    <mergeCell ref="EG6:EH6"/>
    <mergeCell ref="EK6:EL6"/>
    <mergeCell ref="EN6:EO6"/>
    <mergeCell ref="EQ6:ER6"/>
    <mergeCell ref="EU6:EV6"/>
    <mergeCell ref="EX6:EY6"/>
    <mergeCell ref="FA6:FB6"/>
    <mergeCell ref="FE6:FF6"/>
    <mergeCell ref="FH6:FI6"/>
    <mergeCell ref="FK6:FL6"/>
    <mergeCell ref="FO6:FP6"/>
    <mergeCell ref="FR6:FS6"/>
    <mergeCell ref="FU6:FV6"/>
    <mergeCell ref="FY6:FZ6"/>
    <mergeCell ref="GB6:GC6"/>
    <mergeCell ref="GE6:GF6"/>
    <mergeCell ref="GI6:GJ6"/>
    <mergeCell ref="GL6:GM6"/>
    <mergeCell ref="GO6:GP6"/>
    <mergeCell ref="GS6:GT6"/>
    <mergeCell ref="GV6:GW6"/>
    <mergeCell ref="GY6:GZ6"/>
    <mergeCell ref="HC6:HD6"/>
    <mergeCell ref="HF6:HG6"/>
    <mergeCell ref="HI6:HJ6"/>
    <mergeCell ref="IM6:IN6"/>
    <mergeCell ref="IP6:IQ6"/>
    <mergeCell ref="IS6:IT6"/>
    <mergeCell ref="IW6:IX6"/>
    <mergeCell ref="IZ6:JA6"/>
    <mergeCell ref="JC6:JD6"/>
    <mergeCell ref="JG6:JH6"/>
    <mergeCell ref="JJ6:JK6"/>
    <mergeCell ref="JM6:JN6"/>
    <mergeCell ref="JQ6:JR6"/>
    <mergeCell ref="JT6:JU6"/>
    <mergeCell ref="JW6:JX6"/>
    <mergeCell ref="A7:J7"/>
    <mergeCell ref="K7:T7"/>
    <mergeCell ref="U7:AD7"/>
    <mergeCell ref="AE7:AN7"/>
    <mergeCell ref="AO7:AX7"/>
    <mergeCell ref="AY7:BH7"/>
    <mergeCell ref="BI7:BR7"/>
    <mergeCell ref="BS7:CB7"/>
    <mergeCell ref="CC7:CL7"/>
    <mergeCell ref="CM7:CV7"/>
    <mergeCell ref="CW7:DF7"/>
    <mergeCell ref="DG7:DP7"/>
    <mergeCell ref="DQ7:DZ7"/>
    <mergeCell ref="EA7:EJ7"/>
    <mergeCell ref="EK7:ET7"/>
    <mergeCell ref="EU7:FD7"/>
    <mergeCell ref="FE7:FN7"/>
    <mergeCell ref="FO7:FX7"/>
    <mergeCell ref="FY7:GH7"/>
    <mergeCell ref="GI7:GR7"/>
    <mergeCell ref="GS7:HB7"/>
    <mergeCell ref="HC7:HL7"/>
    <mergeCell ref="HM7:HY7"/>
    <mergeCell ref="HZ7:IL7"/>
    <mergeCell ref="IM7:IV7"/>
    <mergeCell ref="IW7:JF7"/>
    <mergeCell ref="JG7:JP7"/>
    <mergeCell ref="JQ7:JZ7"/>
    <mergeCell ref="A8:B8"/>
    <mergeCell ref="D8:E8"/>
    <mergeCell ref="G8:H8"/>
    <mergeCell ref="K8:L8"/>
    <mergeCell ref="N8:O8"/>
    <mergeCell ref="Q8:R8"/>
    <mergeCell ref="U8:V8"/>
    <mergeCell ref="X8:Y8"/>
    <mergeCell ref="AA8:AB8"/>
    <mergeCell ref="AE8:AF8"/>
    <mergeCell ref="AH8:AI8"/>
    <mergeCell ref="AK8:AL8"/>
    <mergeCell ref="AO8:AP8"/>
    <mergeCell ref="AR8:AS8"/>
    <mergeCell ref="AU8:AV8"/>
    <mergeCell ref="AY8:AZ8"/>
    <mergeCell ref="BB8:BC8"/>
    <mergeCell ref="BE8:BF8"/>
    <mergeCell ref="BI8:BJ8"/>
    <mergeCell ref="BL8:BM8"/>
    <mergeCell ref="BO8:BP8"/>
    <mergeCell ref="BS8:BT8"/>
    <mergeCell ref="BV8:BW8"/>
    <mergeCell ref="BY8:BZ8"/>
    <mergeCell ref="CC8:CD8"/>
    <mergeCell ref="CF8:CG8"/>
    <mergeCell ref="CI8:CJ8"/>
    <mergeCell ref="CM8:CN8"/>
    <mergeCell ref="CP8:CQ8"/>
    <mergeCell ref="CS8:CT8"/>
    <mergeCell ref="CW8:CX8"/>
    <mergeCell ref="CZ8:DA8"/>
    <mergeCell ref="DC8:DD8"/>
    <mergeCell ref="DG8:DH8"/>
    <mergeCell ref="DJ8:DK8"/>
    <mergeCell ref="DM8:DN8"/>
    <mergeCell ref="DQ8:DR8"/>
    <mergeCell ref="DT8:DU8"/>
    <mergeCell ref="DW8:DX8"/>
    <mergeCell ref="EA8:EB8"/>
    <mergeCell ref="ED8:EE8"/>
    <mergeCell ref="EG8:EH8"/>
    <mergeCell ref="EK8:EL8"/>
    <mergeCell ref="EN8:EO8"/>
    <mergeCell ref="EQ8:ER8"/>
    <mergeCell ref="EU8:EV8"/>
    <mergeCell ref="EX8:EY8"/>
    <mergeCell ref="FA8:FB8"/>
    <mergeCell ref="FE8:FF8"/>
    <mergeCell ref="FH8:FI8"/>
    <mergeCell ref="FK8:FL8"/>
    <mergeCell ref="FO8:FP8"/>
    <mergeCell ref="FR8:FS8"/>
    <mergeCell ref="FU8:FV8"/>
    <mergeCell ref="FY8:FZ8"/>
    <mergeCell ref="GB8:GC8"/>
    <mergeCell ref="GE8:GF8"/>
    <mergeCell ref="GI8:GJ8"/>
    <mergeCell ref="GL8:GM8"/>
    <mergeCell ref="GO8:GP8"/>
    <mergeCell ref="GS8:GT8"/>
    <mergeCell ref="GV8:GW8"/>
    <mergeCell ref="GY8:GZ8"/>
    <mergeCell ref="HC8:HD8"/>
    <mergeCell ref="HF8:HG8"/>
    <mergeCell ref="HI8:HJ8"/>
    <mergeCell ref="HM8:HY8"/>
    <mergeCell ref="HZ8:IL8"/>
    <mergeCell ref="IM8:IN8"/>
    <mergeCell ref="IP8:IQ8"/>
    <mergeCell ref="IS8:IT8"/>
    <mergeCell ref="IW8:IX8"/>
    <mergeCell ref="IZ8:JA8"/>
    <mergeCell ref="JC8:JD8"/>
    <mergeCell ref="JG8:JH8"/>
    <mergeCell ref="JJ8:JK8"/>
    <mergeCell ref="JM8:JN8"/>
    <mergeCell ref="JQ8:JR8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AA9:AB9"/>
    <mergeCell ref="AE9:AF9"/>
    <mergeCell ref="AH9:AI9"/>
    <mergeCell ref="AK9:AL9"/>
    <mergeCell ref="AO9:AP9"/>
    <mergeCell ref="AR9:AS9"/>
    <mergeCell ref="AU9:AV9"/>
    <mergeCell ref="AY9:AZ9"/>
    <mergeCell ref="BB9:BC9"/>
    <mergeCell ref="BE9:BF9"/>
    <mergeCell ref="BI9:BJ9"/>
    <mergeCell ref="BL9:BM9"/>
    <mergeCell ref="BO9:BP9"/>
    <mergeCell ref="BS9:BT9"/>
    <mergeCell ref="BV9:BW9"/>
    <mergeCell ref="BY9:BZ9"/>
    <mergeCell ref="CC9:CD9"/>
    <mergeCell ref="CF9:CG9"/>
    <mergeCell ref="CI9:CJ9"/>
    <mergeCell ref="CM9:CN9"/>
    <mergeCell ref="CP9:CQ9"/>
    <mergeCell ref="CS9:CT9"/>
    <mergeCell ref="CW9:CX9"/>
    <mergeCell ref="CZ9:DA9"/>
    <mergeCell ref="DC9:DD9"/>
    <mergeCell ref="DG9:DH9"/>
    <mergeCell ref="DJ9:DK9"/>
    <mergeCell ref="DM9:DN9"/>
    <mergeCell ref="DQ9:DR9"/>
    <mergeCell ref="DT9:DU9"/>
    <mergeCell ref="DW9:DX9"/>
    <mergeCell ref="EA9:EB9"/>
    <mergeCell ref="ED9:EE9"/>
    <mergeCell ref="EG9:EH9"/>
    <mergeCell ref="EK9:EL9"/>
    <mergeCell ref="EN9:EO9"/>
    <mergeCell ref="EQ9:ER9"/>
    <mergeCell ref="EU9:EV9"/>
    <mergeCell ref="EX9:EY9"/>
    <mergeCell ref="FA9:FB9"/>
    <mergeCell ref="FE9:FF9"/>
    <mergeCell ref="FH9:FI9"/>
    <mergeCell ref="FK9:FL9"/>
    <mergeCell ref="FO9:FP9"/>
    <mergeCell ref="FR9:FS9"/>
    <mergeCell ref="FU9:FV9"/>
    <mergeCell ref="FY9:FZ9"/>
    <mergeCell ref="GB9:GC9"/>
    <mergeCell ref="GE9:GF9"/>
    <mergeCell ref="GI9:GJ9"/>
    <mergeCell ref="GL9:GM9"/>
    <mergeCell ref="GO9:GP9"/>
    <mergeCell ref="GS9:GT9"/>
    <mergeCell ref="GV9:GW9"/>
    <mergeCell ref="GY9:GZ9"/>
    <mergeCell ref="HC9:HD9"/>
    <mergeCell ref="HF9:HG9"/>
    <mergeCell ref="HI9:HJ9"/>
    <mergeCell ref="IM9:IN9"/>
    <mergeCell ref="IP9:IQ9"/>
    <mergeCell ref="IS9:IT9"/>
    <mergeCell ref="IW9:IX9"/>
    <mergeCell ref="IZ9:JA9"/>
    <mergeCell ref="JC9:JD9"/>
    <mergeCell ref="JG9:JH9"/>
    <mergeCell ref="JJ9:JK9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U30:V30"/>
    <mergeCell ref="X30:Y30"/>
    <mergeCell ref="AA30:AB30"/>
    <mergeCell ref="AE30:AF30"/>
    <mergeCell ref="AH30:AI30"/>
    <mergeCell ref="AK30:AL30"/>
    <mergeCell ref="AO30:AP30"/>
    <mergeCell ref="AR30:AS30"/>
    <mergeCell ref="AU30:AV30"/>
    <mergeCell ref="AY30:AZ30"/>
    <mergeCell ref="BB30:BC30"/>
    <mergeCell ref="BE30:BF30"/>
    <mergeCell ref="BI30:BJ30"/>
    <mergeCell ref="BL30:BM30"/>
    <mergeCell ref="BO30:BP30"/>
    <mergeCell ref="BS30:BT30"/>
    <mergeCell ref="BV30:BW30"/>
    <mergeCell ref="BY30:BZ30"/>
    <mergeCell ref="CC30:CD30"/>
    <mergeCell ref="CF30:CG30"/>
    <mergeCell ref="CI30:CJ30"/>
    <mergeCell ref="CM30:CN30"/>
    <mergeCell ref="CP30:CQ30"/>
    <mergeCell ref="CS30:CT30"/>
    <mergeCell ref="CW30:CX30"/>
    <mergeCell ref="CZ30:DA30"/>
    <mergeCell ref="DC30:DD30"/>
    <mergeCell ref="DG30:DH30"/>
    <mergeCell ref="DJ30:DK30"/>
    <mergeCell ref="DM30:DN30"/>
    <mergeCell ref="DQ30:DR30"/>
    <mergeCell ref="DT30:DU30"/>
    <mergeCell ref="DW30:DX30"/>
    <mergeCell ref="EA30:EB30"/>
    <mergeCell ref="ED30:EE30"/>
    <mergeCell ref="EG30:EH30"/>
    <mergeCell ref="EK30:EL30"/>
    <mergeCell ref="EN30:EO30"/>
    <mergeCell ref="EQ30:ER30"/>
    <mergeCell ref="EU30:EV30"/>
    <mergeCell ref="EX30:EY30"/>
    <mergeCell ref="FA30:FB30"/>
    <mergeCell ref="FE30:FF30"/>
    <mergeCell ref="FH30:FI30"/>
    <mergeCell ref="FK30:FL30"/>
    <mergeCell ref="FO30:FP30"/>
    <mergeCell ref="FR30:FS30"/>
    <mergeCell ref="FU30:FV30"/>
    <mergeCell ref="FY30:FZ30"/>
    <mergeCell ref="GB30:GC30"/>
    <mergeCell ref="GE30:GF30"/>
    <mergeCell ref="GI30:GJ30"/>
    <mergeCell ref="GL30:GM30"/>
    <mergeCell ref="GO30:GP30"/>
    <mergeCell ref="GS30:GT30"/>
    <mergeCell ref="GV30:GW30"/>
    <mergeCell ref="JC30:JD30"/>
    <mergeCell ref="JG30:JH30"/>
    <mergeCell ref="JJ30:JK30"/>
    <mergeCell ref="JM30:JN30"/>
    <mergeCell ref="JQ30:JR30"/>
    <mergeCell ref="JT30:JU30"/>
    <mergeCell ref="JW30:JX30"/>
    <mergeCell ref="GY30:GZ30"/>
    <mergeCell ref="HC30:HD30"/>
    <mergeCell ref="HF30:HG30"/>
    <mergeCell ref="HI30:HJ30"/>
    <mergeCell ref="IM30:IN30"/>
    <mergeCell ref="IP30:IQ30"/>
    <mergeCell ref="IS30:IT30"/>
    <mergeCell ref="IW30:IX30"/>
    <mergeCell ref="IZ30:JA30"/>
  </mergeCells>
  <pageMargins left="0.7" right="0.7" top="0.75" bottom="0.75" header="0.3" footer="0.3"/>
  <pageSetup scale="41" fitToWidth="0" pageOrder="overThenDown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6017-02F9-4057-A588-50EA75B7F04F}">
  <dimension ref="A1:JZ38"/>
  <sheetViews>
    <sheetView view="pageBreakPreview" topLeftCell="GD1" zoomScale="28" zoomScaleNormal="50" zoomScaleSheetLayoutView="28" workbookViewId="0">
      <selection activeCell="GW27" sqref="GW27"/>
    </sheetView>
  </sheetViews>
  <sheetFormatPr defaultColWidth="9.109375" defaultRowHeight="28.8" x14ac:dyDescent="0.55000000000000004"/>
  <cols>
    <col min="1" max="1" width="40.6640625" style="35" customWidth="1"/>
    <col min="2" max="2" width="15.5546875" style="36" customWidth="1"/>
    <col min="3" max="3" width="10.6640625" style="35" customWidth="1"/>
    <col min="4" max="4" width="40.6640625" style="35" customWidth="1"/>
    <col min="5" max="5" width="15.5546875" style="36" customWidth="1"/>
    <col min="6" max="6" width="10.6640625" style="35" customWidth="1"/>
    <col min="7" max="7" width="40.6640625" style="35" customWidth="1"/>
    <col min="8" max="8" width="15.5546875" style="36" customWidth="1"/>
    <col min="9" max="9" width="10.6640625" style="35" customWidth="1"/>
    <col min="10" max="10" width="15.5546875" style="36" customWidth="1"/>
    <col min="11" max="11" width="40.6640625" style="35" customWidth="1"/>
    <col min="12" max="12" width="15.5546875" style="36" customWidth="1"/>
    <col min="13" max="13" width="10.6640625" style="35" customWidth="1"/>
    <col min="14" max="14" width="40.6640625" style="35" customWidth="1"/>
    <col min="15" max="15" width="15.5546875" style="36" customWidth="1"/>
    <col min="16" max="16" width="10.6640625" style="35" customWidth="1"/>
    <col min="17" max="17" width="40.6640625" style="35" customWidth="1"/>
    <col min="18" max="18" width="15.5546875" style="36" customWidth="1"/>
    <col min="19" max="19" width="10.6640625" style="35" customWidth="1"/>
    <col min="20" max="20" width="15.5546875" style="36" customWidth="1"/>
    <col min="21" max="21" width="40.6640625" style="35" customWidth="1"/>
    <col min="22" max="22" width="15.5546875" style="36" customWidth="1"/>
    <col min="23" max="23" width="10.6640625" style="35" customWidth="1"/>
    <col min="24" max="24" width="40.6640625" style="35" customWidth="1"/>
    <col min="25" max="25" width="15.5546875" style="36" customWidth="1"/>
    <col min="26" max="26" width="10.6640625" style="35" customWidth="1"/>
    <col min="27" max="27" width="40.6640625" style="35" customWidth="1"/>
    <col min="28" max="28" width="15.5546875" style="36" customWidth="1"/>
    <col min="29" max="29" width="10.6640625" style="35" customWidth="1"/>
    <col min="30" max="30" width="15.5546875" style="36" customWidth="1"/>
    <col min="31" max="31" width="40.6640625" style="35" customWidth="1"/>
    <col min="32" max="32" width="15.5546875" style="36" customWidth="1"/>
    <col min="33" max="33" width="10.6640625" style="35" customWidth="1"/>
    <col min="34" max="34" width="40.6640625" style="35" customWidth="1"/>
    <col min="35" max="35" width="15.5546875" style="36" customWidth="1"/>
    <col min="36" max="36" width="10.6640625" style="35" customWidth="1"/>
    <col min="37" max="37" width="40.6640625" style="35" customWidth="1"/>
    <col min="38" max="38" width="15.5546875" style="36" customWidth="1"/>
    <col min="39" max="39" width="10.6640625" style="35" customWidth="1"/>
    <col min="40" max="40" width="15.5546875" style="36" customWidth="1"/>
    <col min="41" max="41" width="40.6640625" style="35" customWidth="1"/>
    <col min="42" max="42" width="15.5546875" style="36" customWidth="1"/>
    <col min="43" max="43" width="10.6640625" style="35" customWidth="1"/>
    <col min="44" max="44" width="40.6640625" style="35" customWidth="1"/>
    <col min="45" max="45" width="15.5546875" style="36" customWidth="1"/>
    <col min="46" max="46" width="10.6640625" style="35" customWidth="1"/>
    <col min="47" max="47" width="40.6640625" style="35" customWidth="1"/>
    <col min="48" max="48" width="15.5546875" style="36" customWidth="1"/>
    <col min="49" max="49" width="10.6640625" style="35" customWidth="1"/>
    <col min="50" max="50" width="15.5546875" style="36" customWidth="1"/>
    <col min="51" max="51" width="40.6640625" style="35" customWidth="1"/>
    <col min="52" max="52" width="15.5546875" style="36" customWidth="1"/>
    <col min="53" max="53" width="10.6640625" style="35" customWidth="1"/>
    <col min="54" max="54" width="40.6640625" style="35" customWidth="1"/>
    <col min="55" max="55" width="15.5546875" style="36" customWidth="1"/>
    <col min="56" max="56" width="10.6640625" style="35" customWidth="1"/>
    <col min="57" max="57" width="40.6640625" style="35" customWidth="1"/>
    <col min="58" max="58" width="15.5546875" style="36" customWidth="1"/>
    <col min="59" max="59" width="10.6640625" style="35" customWidth="1"/>
    <col min="60" max="60" width="15.5546875" style="36" customWidth="1"/>
    <col min="61" max="61" width="40.6640625" style="35" customWidth="1"/>
    <col min="62" max="62" width="15.5546875" style="36" customWidth="1"/>
    <col min="63" max="63" width="10.6640625" style="35" customWidth="1"/>
    <col min="64" max="64" width="40.6640625" style="35" customWidth="1"/>
    <col min="65" max="65" width="15.5546875" style="36" customWidth="1"/>
    <col min="66" max="66" width="10.6640625" style="35" customWidth="1"/>
    <col min="67" max="67" width="40.6640625" style="35" customWidth="1"/>
    <col min="68" max="68" width="15.5546875" style="36" customWidth="1"/>
    <col min="69" max="69" width="10.6640625" style="35" customWidth="1"/>
    <col min="70" max="70" width="15.5546875" style="36" customWidth="1"/>
    <col min="71" max="71" width="40.6640625" style="35" customWidth="1"/>
    <col min="72" max="72" width="15.5546875" style="36" customWidth="1"/>
    <col min="73" max="73" width="10.6640625" style="35" customWidth="1"/>
    <col min="74" max="74" width="40.6640625" style="35" customWidth="1"/>
    <col min="75" max="75" width="15.5546875" style="36" customWidth="1"/>
    <col min="76" max="76" width="10.6640625" style="35" customWidth="1"/>
    <col min="77" max="77" width="40.6640625" style="35" customWidth="1"/>
    <col min="78" max="78" width="15.5546875" style="36" customWidth="1"/>
    <col min="79" max="79" width="10.6640625" style="35" customWidth="1"/>
    <col min="80" max="80" width="15.5546875" style="36" customWidth="1"/>
    <col min="81" max="81" width="40.6640625" style="35" customWidth="1"/>
    <col min="82" max="82" width="15.5546875" style="36" customWidth="1"/>
    <col min="83" max="83" width="10.6640625" style="35" customWidth="1"/>
    <col min="84" max="84" width="40.6640625" style="35" customWidth="1"/>
    <col min="85" max="85" width="15.5546875" style="36" customWidth="1"/>
    <col min="86" max="86" width="10.6640625" style="35" customWidth="1"/>
    <col min="87" max="87" width="40.6640625" style="35" customWidth="1"/>
    <col min="88" max="88" width="15.5546875" style="36" customWidth="1"/>
    <col min="89" max="89" width="10.6640625" style="35" customWidth="1"/>
    <col min="90" max="90" width="15.5546875" style="36" customWidth="1"/>
    <col min="91" max="91" width="40.6640625" style="35" customWidth="1"/>
    <col min="92" max="92" width="15.5546875" style="36" customWidth="1"/>
    <col min="93" max="93" width="10.6640625" style="35" customWidth="1"/>
    <col min="94" max="94" width="40.6640625" style="35" customWidth="1"/>
    <col min="95" max="95" width="15.5546875" style="36" customWidth="1"/>
    <col min="96" max="96" width="10.6640625" style="35" customWidth="1"/>
    <col min="97" max="97" width="40.6640625" style="35" customWidth="1"/>
    <col min="98" max="98" width="15.5546875" style="36" customWidth="1"/>
    <col min="99" max="99" width="10.6640625" style="35" customWidth="1"/>
    <col min="100" max="100" width="15.5546875" style="36" customWidth="1"/>
    <col min="101" max="101" width="40.6640625" style="35" customWidth="1"/>
    <col min="102" max="102" width="15.5546875" style="36" customWidth="1"/>
    <col min="103" max="103" width="10.6640625" style="35" customWidth="1"/>
    <col min="104" max="104" width="40.6640625" style="35" customWidth="1"/>
    <col min="105" max="105" width="15.5546875" style="36" customWidth="1"/>
    <col min="106" max="106" width="10.6640625" style="35" customWidth="1"/>
    <col min="107" max="107" width="40.6640625" style="35" customWidth="1"/>
    <col min="108" max="108" width="15.5546875" style="36" customWidth="1"/>
    <col min="109" max="109" width="10.6640625" style="35" customWidth="1"/>
    <col min="110" max="110" width="15.5546875" style="36" customWidth="1"/>
    <col min="111" max="111" width="40.6640625" style="35" hidden="1" customWidth="1"/>
    <col min="112" max="112" width="15.5546875" style="36" hidden="1" customWidth="1"/>
    <col min="113" max="113" width="10.6640625" style="35" hidden="1" customWidth="1"/>
    <col min="114" max="114" width="40.6640625" style="35" hidden="1" customWidth="1"/>
    <col min="115" max="115" width="15.5546875" style="36" hidden="1" customWidth="1"/>
    <col min="116" max="116" width="10.6640625" style="35" hidden="1" customWidth="1"/>
    <col min="117" max="117" width="40.6640625" style="35" hidden="1" customWidth="1"/>
    <col min="118" max="118" width="15.5546875" style="36" hidden="1" customWidth="1"/>
    <col min="119" max="119" width="10.6640625" style="35" hidden="1" customWidth="1"/>
    <col min="120" max="120" width="15.5546875" style="36" hidden="1" customWidth="1"/>
    <col min="121" max="121" width="40.6640625" style="35" hidden="1" customWidth="1"/>
    <col min="122" max="122" width="15.5546875" style="36" hidden="1" customWidth="1"/>
    <col min="123" max="123" width="10.6640625" style="35" hidden="1" customWidth="1"/>
    <col min="124" max="124" width="40.6640625" style="35" hidden="1" customWidth="1"/>
    <col min="125" max="125" width="15.5546875" style="36" hidden="1" customWidth="1"/>
    <col min="126" max="126" width="10.6640625" style="35" hidden="1" customWidth="1"/>
    <col min="127" max="127" width="40.6640625" style="35" hidden="1" customWidth="1"/>
    <col min="128" max="128" width="15.5546875" style="36" hidden="1" customWidth="1"/>
    <col min="129" max="129" width="10.6640625" style="35" hidden="1" customWidth="1"/>
    <col min="130" max="130" width="15.5546875" style="36" hidden="1" customWidth="1"/>
    <col min="131" max="131" width="40.6640625" style="35" hidden="1" customWidth="1"/>
    <col min="132" max="132" width="15.5546875" style="36" hidden="1" customWidth="1"/>
    <col min="133" max="133" width="10.6640625" style="35" hidden="1" customWidth="1"/>
    <col min="134" max="134" width="40.6640625" style="35" hidden="1" customWidth="1"/>
    <col min="135" max="135" width="15.5546875" style="36" hidden="1" customWidth="1"/>
    <col min="136" max="136" width="10.6640625" style="35" hidden="1" customWidth="1"/>
    <col min="137" max="137" width="40.6640625" style="35" hidden="1" customWidth="1"/>
    <col min="138" max="138" width="15.5546875" style="36" hidden="1" customWidth="1"/>
    <col min="139" max="139" width="10.6640625" style="35" hidden="1" customWidth="1"/>
    <col min="140" max="140" width="15.5546875" style="36" hidden="1" customWidth="1"/>
    <col min="141" max="141" width="40.6640625" style="35" hidden="1" customWidth="1"/>
    <col min="142" max="142" width="15.5546875" style="36" hidden="1" customWidth="1"/>
    <col min="143" max="143" width="10.6640625" style="35" hidden="1" customWidth="1"/>
    <col min="144" max="144" width="40.6640625" style="35" hidden="1" customWidth="1"/>
    <col min="145" max="145" width="15.5546875" style="36" hidden="1" customWidth="1"/>
    <col min="146" max="146" width="10.6640625" style="35" hidden="1" customWidth="1"/>
    <col min="147" max="147" width="40.6640625" style="35" hidden="1" customWidth="1"/>
    <col min="148" max="148" width="15.5546875" style="36" hidden="1" customWidth="1"/>
    <col min="149" max="149" width="10.6640625" style="35" hidden="1" customWidth="1"/>
    <col min="150" max="150" width="15.5546875" style="36" hidden="1" customWidth="1"/>
    <col min="151" max="151" width="40.6640625" style="35" customWidth="1"/>
    <col min="152" max="152" width="15.5546875" style="36" customWidth="1"/>
    <col min="153" max="153" width="10.6640625" style="35" customWidth="1"/>
    <col min="154" max="154" width="40.6640625" style="35" customWidth="1"/>
    <col min="155" max="155" width="15.5546875" style="36" customWidth="1"/>
    <col min="156" max="156" width="10.6640625" style="35" customWidth="1"/>
    <col min="157" max="157" width="40.6640625" style="35" customWidth="1"/>
    <col min="158" max="158" width="15.5546875" style="36" customWidth="1"/>
    <col min="159" max="159" width="10.6640625" style="35" customWidth="1"/>
    <col min="160" max="160" width="15.5546875" style="36" customWidth="1"/>
    <col min="161" max="161" width="40.6640625" style="35" customWidth="1"/>
    <col min="162" max="162" width="15.5546875" style="36" customWidth="1"/>
    <col min="163" max="163" width="10.6640625" style="35" customWidth="1"/>
    <col min="164" max="164" width="40.6640625" style="35" customWidth="1"/>
    <col min="165" max="165" width="15.5546875" style="36" customWidth="1"/>
    <col min="166" max="166" width="10.6640625" style="35" customWidth="1"/>
    <col min="167" max="167" width="40.6640625" style="35" customWidth="1"/>
    <col min="168" max="168" width="15.5546875" style="36" customWidth="1"/>
    <col min="169" max="169" width="10.6640625" style="35" customWidth="1"/>
    <col min="170" max="170" width="15.5546875" style="36" customWidth="1"/>
    <col min="171" max="171" width="40.6640625" style="35" customWidth="1"/>
    <col min="172" max="172" width="15.5546875" style="36" customWidth="1"/>
    <col min="173" max="173" width="10.6640625" style="35" customWidth="1"/>
    <col min="174" max="174" width="40.6640625" style="35" customWidth="1"/>
    <col min="175" max="175" width="15.5546875" style="36" customWidth="1"/>
    <col min="176" max="176" width="10.6640625" style="35" customWidth="1"/>
    <col min="177" max="177" width="40.6640625" style="35" customWidth="1"/>
    <col min="178" max="178" width="15.5546875" style="36" customWidth="1"/>
    <col min="179" max="179" width="10.6640625" style="35" customWidth="1"/>
    <col min="180" max="180" width="15.5546875" style="36" customWidth="1"/>
    <col min="181" max="181" width="40.6640625" style="35" customWidth="1"/>
    <col min="182" max="182" width="15.5546875" style="36" customWidth="1"/>
    <col min="183" max="183" width="10.6640625" style="35" customWidth="1"/>
    <col min="184" max="184" width="40.6640625" style="35" customWidth="1"/>
    <col min="185" max="185" width="15.5546875" style="36" customWidth="1"/>
    <col min="186" max="186" width="10.6640625" style="35" customWidth="1"/>
    <col min="187" max="187" width="40.6640625" style="35" customWidth="1"/>
    <col min="188" max="188" width="15.5546875" style="36" customWidth="1"/>
    <col min="189" max="189" width="10.6640625" style="35" customWidth="1"/>
    <col min="190" max="190" width="15.5546875" style="36" customWidth="1"/>
    <col min="191" max="191" width="40.6640625" style="35" customWidth="1"/>
    <col min="192" max="192" width="15.5546875" style="36" customWidth="1"/>
    <col min="193" max="193" width="10.6640625" style="35" customWidth="1"/>
    <col min="194" max="194" width="40.6640625" style="35" customWidth="1"/>
    <col min="195" max="195" width="15.5546875" style="36" customWidth="1"/>
    <col min="196" max="196" width="10.6640625" style="35" customWidth="1"/>
    <col min="197" max="197" width="40.6640625" style="35" customWidth="1"/>
    <col min="198" max="198" width="15.5546875" style="36" customWidth="1"/>
    <col min="199" max="199" width="10.6640625" style="35" customWidth="1"/>
    <col min="200" max="200" width="15.5546875" style="36" customWidth="1"/>
    <col min="201" max="201" width="40.6640625" style="35" customWidth="1"/>
    <col min="202" max="202" width="15.5546875" style="36" customWidth="1"/>
    <col min="203" max="203" width="10.6640625" style="35" customWidth="1"/>
    <col min="204" max="204" width="40.6640625" style="35" customWidth="1"/>
    <col min="205" max="205" width="15.5546875" style="36" customWidth="1"/>
    <col min="206" max="206" width="10.6640625" style="35" customWidth="1"/>
    <col min="207" max="207" width="40.6640625" style="35" customWidth="1"/>
    <col min="208" max="208" width="15.5546875" style="36" customWidth="1"/>
    <col min="209" max="209" width="10.6640625" style="35" customWidth="1"/>
    <col min="210" max="210" width="15.5546875" style="36" customWidth="1"/>
    <col min="211" max="211" width="40.6640625" style="35" customWidth="1"/>
    <col min="212" max="212" width="15.5546875" style="36" customWidth="1"/>
    <col min="213" max="213" width="10.6640625" style="35" customWidth="1"/>
    <col min="214" max="214" width="40.6640625" style="35" customWidth="1"/>
    <col min="215" max="215" width="15.5546875" style="36" customWidth="1"/>
    <col min="216" max="216" width="10.6640625" style="35" customWidth="1"/>
    <col min="217" max="217" width="40.6640625" style="35" customWidth="1"/>
    <col min="218" max="218" width="15.5546875" style="36" customWidth="1"/>
    <col min="219" max="219" width="10.6640625" style="35" customWidth="1"/>
    <col min="220" max="220" width="15.5546875" style="36" customWidth="1"/>
    <col min="221" max="221" width="40.6640625" style="35" customWidth="1"/>
    <col min="222" max="233" width="14.6640625" style="36" customWidth="1"/>
    <col min="234" max="234" width="40.6640625" style="35" customWidth="1"/>
    <col min="235" max="235" width="14.6640625" style="35" customWidth="1"/>
    <col min="236" max="239" width="14.6640625" style="36" customWidth="1"/>
    <col min="240" max="245" width="14.6640625" style="35" customWidth="1"/>
    <col min="246" max="246" width="14.6640625" style="36" customWidth="1"/>
    <col min="247" max="247" width="40.6640625" style="35" customWidth="1"/>
    <col min="248" max="248" width="15.5546875" style="36" customWidth="1"/>
    <col min="249" max="249" width="10.6640625" style="35" customWidth="1"/>
    <col min="250" max="250" width="40.6640625" style="35" customWidth="1"/>
    <col min="251" max="251" width="15.5546875" style="36" customWidth="1"/>
    <col min="252" max="252" width="10.6640625" style="35" customWidth="1"/>
    <col min="253" max="253" width="40.6640625" style="35" customWidth="1"/>
    <col min="254" max="254" width="15.5546875" style="36" customWidth="1"/>
    <col min="255" max="255" width="10.6640625" style="35" customWidth="1"/>
    <col min="256" max="256" width="15.5546875" style="36" customWidth="1"/>
    <col min="257" max="257" width="40.6640625" style="35" customWidth="1"/>
    <col min="258" max="258" width="15.5546875" style="36" customWidth="1"/>
    <col min="259" max="259" width="10.6640625" style="35" customWidth="1"/>
    <col min="260" max="260" width="40.6640625" style="35" customWidth="1"/>
    <col min="261" max="261" width="15.5546875" style="36" customWidth="1"/>
    <col min="262" max="262" width="10.6640625" style="35" customWidth="1"/>
    <col min="263" max="263" width="40.6640625" style="35" customWidth="1"/>
    <col min="264" max="264" width="15.5546875" style="36" customWidth="1"/>
    <col min="265" max="265" width="10.6640625" style="35" customWidth="1"/>
    <col min="266" max="266" width="15.5546875" style="36" customWidth="1"/>
    <col min="267" max="267" width="40.6640625" style="35" customWidth="1"/>
    <col min="268" max="268" width="15.5546875" style="36" customWidth="1"/>
    <col min="269" max="269" width="10.6640625" style="35" customWidth="1"/>
    <col min="270" max="270" width="40.6640625" style="35" customWidth="1"/>
    <col min="271" max="271" width="15.5546875" style="36" customWidth="1"/>
    <col min="272" max="272" width="10.6640625" style="35" customWidth="1"/>
    <col min="273" max="273" width="40.6640625" style="35" customWidth="1"/>
    <col min="274" max="274" width="15.5546875" style="36" customWidth="1"/>
    <col min="275" max="275" width="10.6640625" style="35" customWidth="1"/>
    <col min="276" max="276" width="15.5546875" style="36" customWidth="1"/>
    <col min="277" max="277" width="40.6640625" style="35" customWidth="1"/>
    <col min="278" max="278" width="15.5546875" style="36" customWidth="1"/>
    <col min="279" max="279" width="10.6640625" style="35" customWidth="1"/>
    <col min="280" max="280" width="40.6640625" style="35" customWidth="1"/>
    <col min="281" max="281" width="15.5546875" style="36" customWidth="1"/>
    <col min="282" max="282" width="10.6640625" style="35" customWidth="1"/>
    <col min="283" max="283" width="40.6640625" style="35" customWidth="1"/>
    <col min="284" max="284" width="15.5546875" style="36" customWidth="1"/>
    <col min="285" max="285" width="10.6640625" style="35" customWidth="1"/>
    <col min="286" max="286" width="15.5546875" style="36" customWidth="1"/>
    <col min="287" max="16384" width="9.109375" style="35"/>
  </cols>
  <sheetData>
    <row r="1" spans="1:286" s="4" customFormat="1" ht="90" customHeight="1" thickBot="1" x14ac:dyDescent="0.6">
      <c r="A1" s="64" t="s">
        <v>0</v>
      </c>
      <c r="B1" s="64"/>
      <c r="C1" s="1"/>
      <c r="D1" s="2"/>
      <c r="E1" s="3"/>
      <c r="F1" s="2"/>
      <c r="I1" s="2"/>
      <c r="J1" s="5"/>
      <c r="K1" s="64" t="s">
        <v>0</v>
      </c>
      <c r="L1" s="64"/>
      <c r="M1" s="1"/>
      <c r="N1" s="1"/>
      <c r="O1" s="6"/>
      <c r="P1" s="2"/>
      <c r="R1" s="5"/>
      <c r="S1" s="2"/>
      <c r="T1" s="5"/>
      <c r="U1" s="64" t="s">
        <v>0</v>
      </c>
      <c r="V1" s="64"/>
      <c r="W1" s="1"/>
      <c r="X1" s="1"/>
      <c r="Y1" s="6"/>
      <c r="Z1" s="2"/>
      <c r="AB1" s="5"/>
      <c r="AC1" s="2"/>
      <c r="AD1" s="5"/>
      <c r="AE1" s="64" t="s">
        <v>0</v>
      </c>
      <c r="AF1" s="64"/>
      <c r="AG1" s="1"/>
      <c r="AH1" s="1"/>
      <c r="AI1" s="6"/>
      <c r="AJ1" s="2"/>
      <c r="AL1" s="5"/>
      <c r="AM1" s="2"/>
      <c r="AN1" s="5"/>
      <c r="AO1" s="64" t="s">
        <v>0</v>
      </c>
      <c r="AP1" s="64"/>
      <c r="AQ1" s="1"/>
      <c r="AR1" s="1"/>
      <c r="AS1" s="6"/>
      <c r="AT1" s="2"/>
      <c r="AV1" s="5"/>
      <c r="AW1" s="2"/>
      <c r="AX1" s="5"/>
      <c r="AY1" s="64" t="s">
        <v>0</v>
      </c>
      <c r="AZ1" s="64"/>
      <c r="BA1" s="1"/>
      <c r="BB1" s="1"/>
      <c r="BC1" s="6"/>
      <c r="BD1" s="2"/>
      <c r="BF1" s="5"/>
      <c r="BG1" s="2"/>
      <c r="BH1" s="5"/>
      <c r="BI1" s="64" t="s">
        <v>0</v>
      </c>
      <c r="BJ1" s="64"/>
      <c r="BK1" s="1"/>
      <c r="BL1" s="1"/>
      <c r="BM1" s="6"/>
      <c r="BN1" s="2"/>
      <c r="BP1" s="5"/>
      <c r="BQ1" s="2"/>
      <c r="BR1" s="5"/>
      <c r="BS1" s="64" t="s">
        <v>0</v>
      </c>
      <c r="BT1" s="64"/>
      <c r="BU1" s="1"/>
      <c r="BV1" s="1"/>
      <c r="BW1" s="6"/>
      <c r="BX1" s="2"/>
      <c r="BZ1" s="5"/>
      <c r="CA1" s="2"/>
      <c r="CB1" s="5"/>
      <c r="CC1" s="64" t="s">
        <v>0</v>
      </c>
      <c r="CD1" s="64"/>
      <c r="CE1" s="1"/>
      <c r="CF1" s="1"/>
      <c r="CG1" s="6"/>
      <c r="CH1" s="2"/>
      <c r="CJ1" s="5"/>
      <c r="CK1" s="2"/>
      <c r="CL1" s="5"/>
      <c r="CM1" s="64" t="s">
        <v>0</v>
      </c>
      <c r="CN1" s="64"/>
      <c r="CO1" s="1"/>
      <c r="CP1" s="1"/>
      <c r="CQ1" s="6"/>
      <c r="CR1" s="2"/>
      <c r="CT1" s="5"/>
      <c r="CU1" s="2"/>
      <c r="CV1" s="5"/>
      <c r="CW1" s="64" t="s">
        <v>0</v>
      </c>
      <c r="CX1" s="64"/>
      <c r="CY1" s="1"/>
      <c r="CZ1" s="1"/>
      <c r="DA1" s="6"/>
      <c r="DB1" s="2"/>
      <c r="DD1" s="5"/>
      <c r="DE1" s="2"/>
      <c r="DF1" s="5"/>
      <c r="DG1" s="64" t="s">
        <v>0</v>
      </c>
      <c r="DH1" s="64"/>
      <c r="DI1" s="1"/>
      <c r="DJ1" s="1"/>
      <c r="DK1" s="6"/>
      <c r="DL1" s="2"/>
      <c r="DN1" s="5"/>
      <c r="DO1" s="2"/>
      <c r="DP1" s="5"/>
      <c r="DQ1" s="64" t="s">
        <v>0</v>
      </c>
      <c r="DR1" s="64"/>
      <c r="DS1" s="1"/>
      <c r="DT1" s="1"/>
      <c r="DU1" s="6"/>
      <c r="DV1" s="2"/>
      <c r="DX1" s="5"/>
      <c r="DY1" s="2"/>
      <c r="DZ1" s="5"/>
      <c r="EA1" s="64" t="s">
        <v>0</v>
      </c>
      <c r="EB1" s="64"/>
      <c r="EC1" s="1"/>
      <c r="ED1" s="1"/>
      <c r="EE1" s="6"/>
      <c r="EF1" s="2"/>
      <c r="EH1" s="5"/>
      <c r="EI1" s="2"/>
      <c r="EJ1" s="5"/>
      <c r="EK1" s="64" t="s">
        <v>0</v>
      </c>
      <c r="EL1" s="64"/>
      <c r="EM1" s="1"/>
      <c r="EN1" s="1"/>
      <c r="EO1" s="6"/>
      <c r="EP1" s="2"/>
      <c r="ER1" s="5"/>
      <c r="ES1" s="2"/>
      <c r="ET1" s="5"/>
      <c r="EU1" s="64" t="s">
        <v>0</v>
      </c>
      <c r="EV1" s="64"/>
      <c r="EW1" s="1"/>
      <c r="EX1" s="1"/>
      <c r="EY1" s="6"/>
      <c r="EZ1" s="2"/>
      <c r="FB1" s="5"/>
      <c r="FC1" s="2"/>
      <c r="FD1" s="5"/>
      <c r="FE1" s="64" t="s">
        <v>0</v>
      </c>
      <c r="FF1" s="64"/>
      <c r="FG1" s="1"/>
      <c r="FH1" s="1"/>
      <c r="FI1" s="6"/>
      <c r="FJ1" s="2"/>
      <c r="FL1" s="5"/>
      <c r="FM1" s="2"/>
      <c r="FN1" s="5"/>
      <c r="FO1" s="64" t="s">
        <v>0</v>
      </c>
      <c r="FP1" s="64"/>
      <c r="FQ1" s="1"/>
      <c r="FR1" s="1"/>
      <c r="FS1" s="6"/>
      <c r="FT1" s="2"/>
      <c r="FV1" s="5"/>
      <c r="FW1" s="2"/>
      <c r="FX1" s="5"/>
      <c r="FY1" s="64" t="s">
        <v>0</v>
      </c>
      <c r="FZ1" s="64"/>
      <c r="GA1" s="1"/>
      <c r="GB1" s="1"/>
      <c r="GC1" s="6"/>
      <c r="GD1" s="2"/>
      <c r="GF1" s="5"/>
      <c r="GG1" s="2"/>
      <c r="GH1" s="5"/>
      <c r="GI1" s="64" t="s">
        <v>0</v>
      </c>
      <c r="GJ1" s="64"/>
      <c r="GK1" s="1"/>
      <c r="GL1" s="1"/>
      <c r="GM1" s="6"/>
      <c r="GN1" s="2"/>
      <c r="GP1" s="5"/>
      <c r="GQ1" s="2"/>
      <c r="GR1" s="5"/>
      <c r="GS1" s="64" t="s">
        <v>0</v>
      </c>
      <c r="GT1" s="64"/>
      <c r="GU1" s="1"/>
      <c r="GV1" s="1"/>
      <c r="GW1" s="6"/>
      <c r="GX1" s="2"/>
      <c r="GZ1" s="5"/>
      <c r="HA1" s="2"/>
      <c r="HB1" s="5"/>
      <c r="HC1" s="64" t="s">
        <v>0</v>
      </c>
      <c r="HD1" s="64"/>
      <c r="HE1" s="1"/>
      <c r="HF1" s="1"/>
      <c r="HG1" s="6"/>
      <c r="HH1" s="2"/>
      <c r="HJ1" s="5"/>
      <c r="HK1" s="2"/>
      <c r="HL1" s="5"/>
      <c r="HM1" s="64" t="s">
        <v>0</v>
      </c>
      <c r="HN1" s="64"/>
      <c r="HO1" s="6"/>
      <c r="HP1" s="6"/>
      <c r="HQ1" s="5"/>
      <c r="HR1" s="6"/>
      <c r="HS1" s="3"/>
      <c r="HT1" s="5"/>
      <c r="HU1" s="5"/>
      <c r="HV1" s="5"/>
      <c r="HW1" s="5"/>
      <c r="HX1" s="3"/>
      <c r="HY1" s="5"/>
      <c r="HZ1" s="64" t="s">
        <v>0</v>
      </c>
      <c r="IA1" s="64"/>
      <c r="IB1" s="6"/>
      <c r="IC1" s="6"/>
      <c r="ID1" s="5"/>
      <c r="IE1" s="6"/>
      <c r="IF1" s="2"/>
      <c r="IK1" s="2"/>
      <c r="IL1" s="5"/>
      <c r="IM1" s="64" t="s">
        <v>0</v>
      </c>
      <c r="IN1" s="64"/>
      <c r="IO1" s="1"/>
      <c r="IP1" s="1"/>
      <c r="IQ1" s="6"/>
      <c r="IR1" s="2"/>
      <c r="IT1" s="5"/>
      <c r="IU1" s="2"/>
      <c r="IV1" s="5"/>
      <c r="IW1" s="64" t="s">
        <v>0</v>
      </c>
      <c r="IX1" s="64"/>
      <c r="IY1" s="1"/>
      <c r="IZ1" s="1"/>
      <c r="JA1" s="6"/>
      <c r="JB1" s="2"/>
      <c r="JD1" s="5"/>
      <c r="JE1" s="2"/>
      <c r="JF1" s="5"/>
      <c r="JG1" s="64" t="s">
        <v>0</v>
      </c>
      <c r="JH1" s="64"/>
      <c r="JI1" s="1"/>
      <c r="JJ1" s="1"/>
      <c r="JK1" s="6"/>
      <c r="JL1" s="2"/>
      <c r="JN1" s="5"/>
      <c r="JO1" s="2"/>
      <c r="JP1" s="5"/>
      <c r="JQ1" s="64" t="s">
        <v>0</v>
      </c>
      <c r="JR1" s="64"/>
      <c r="JS1" s="1"/>
      <c r="JT1" s="1"/>
      <c r="JU1" s="6"/>
      <c r="JV1" s="2"/>
      <c r="JX1" s="5"/>
      <c r="JY1" s="2"/>
      <c r="JZ1" s="5"/>
    </row>
    <row r="2" spans="1:286" s="7" customFormat="1" ht="30" customHeight="1" thickTop="1" x14ac:dyDescent="0.65">
      <c r="A2" s="65"/>
      <c r="B2" s="65"/>
      <c r="D2" s="65"/>
      <c r="E2" s="65"/>
      <c r="G2" s="65"/>
      <c r="H2" s="65"/>
      <c r="J2" s="8"/>
      <c r="K2" s="65"/>
      <c r="L2" s="65"/>
      <c r="N2" s="65"/>
      <c r="O2" s="65"/>
      <c r="Q2" s="65"/>
      <c r="R2" s="65"/>
      <c r="T2" s="8"/>
      <c r="U2" s="65"/>
      <c r="V2" s="65"/>
      <c r="X2" s="65"/>
      <c r="Y2" s="65"/>
      <c r="AA2" s="65"/>
      <c r="AB2" s="65"/>
      <c r="AD2" s="8"/>
      <c r="AE2" s="65"/>
      <c r="AF2" s="65"/>
      <c r="AH2" s="65"/>
      <c r="AI2" s="65"/>
      <c r="AK2" s="65"/>
      <c r="AL2" s="65"/>
      <c r="AN2" s="8"/>
      <c r="AO2" s="65"/>
      <c r="AP2" s="65"/>
      <c r="AR2" s="65"/>
      <c r="AS2" s="65"/>
      <c r="AU2" s="65"/>
      <c r="AV2" s="65"/>
      <c r="AX2" s="8"/>
      <c r="AY2" s="65"/>
      <c r="AZ2" s="65"/>
      <c r="BB2" s="65"/>
      <c r="BC2" s="65"/>
      <c r="BE2" s="65"/>
      <c r="BF2" s="65"/>
      <c r="BH2" s="8"/>
      <c r="BI2" s="65"/>
      <c r="BJ2" s="65"/>
      <c r="BL2" s="65"/>
      <c r="BM2" s="65"/>
      <c r="BO2" s="65"/>
      <c r="BP2" s="65"/>
      <c r="BR2" s="8"/>
      <c r="BS2" s="65"/>
      <c r="BT2" s="65"/>
      <c r="BV2" s="65"/>
      <c r="BW2" s="65"/>
      <c r="BY2" s="65"/>
      <c r="BZ2" s="65"/>
      <c r="CB2" s="8"/>
      <c r="CC2" s="65"/>
      <c r="CD2" s="65"/>
      <c r="CF2" s="65"/>
      <c r="CG2" s="65"/>
      <c r="CI2" s="65"/>
      <c r="CJ2" s="65"/>
      <c r="CL2" s="8"/>
      <c r="CM2" s="65"/>
      <c r="CN2" s="65"/>
      <c r="CP2" s="65"/>
      <c r="CQ2" s="65"/>
      <c r="CS2" s="65"/>
      <c r="CT2" s="65"/>
      <c r="CV2" s="8"/>
      <c r="CW2" s="65"/>
      <c r="CX2" s="65"/>
      <c r="CZ2" s="65"/>
      <c r="DA2" s="65"/>
      <c r="DC2" s="65"/>
      <c r="DD2" s="65"/>
      <c r="DF2" s="8"/>
      <c r="DG2" s="65"/>
      <c r="DH2" s="65"/>
      <c r="DJ2" s="65"/>
      <c r="DK2" s="65"/>
      <c r="DM2" s="65"/>
      <c r="DN2" s="65"/>
      <c r="DP2" s="8"/>
      <c r="DQ2" s="65"/>
      <c r="DR2" s="65"/>
      <c r="DT2" s="65"/>
      <c r="DU2" s="65"/>
      <c r="DW2" s="65"/>
      <c r="DX2" s="65"/>
      <c r="DZ2" s="8"/>
      <c r="EA2" s="65"/>
      <c r="EB2" s="65"/>
      <c r="ED2" s="65"/>
      <c r="EE2" s="65"/>
      <c r="EG2" s="65"/>
      <c r="EH2" s="65"/>
      <c r="EJ2" s="8"/>
      <c r="EK2" s="65"/>
      <c r="EL2" s="65"/>
      <c r="EN2" s="65"/>
      <c r="EO2" s="65"/>
      <c r="EQ2" s="65"/>
      <c r="ER2" s="65"/>
      <c r="ET2" s="8"/>
      <c r="EU2" s="65"/>
      <c r="EV2" s="65"/>
      <c r="EX2" s="65"/>
      <c r="EY2" s="65"/>
      <c r="FA2" s="65"/>
      <c r="FB2" s="65"/>
      <c r="FD2" s="8"/>
      <c r="FE2" s="65"/>
      <c r="FF2" s="65"/>
      <c r="FH2" s="65"/>
      <c r="FI2" s="65"/>
      <c r="FK2" s="65"/>
      <c r="FL2" s="65"/>
      <c r="FN2" s="8"/>
      <c r="FO2" s="65"/>
      <c r="FP2" s="65"/>
      <c r="FR2" s="65"/>
      <c r="FS2" s="65"/>
      <c r="FU2" s="65"/>
      <c r="FV2" s="65"/>
      <c r="FX2" s="8"/>
      <c r="FY2" s="65"/>
      <c r="FZ2" s="65"/>
      <c r="GB2" s="65"/>
      <c r="GC2" s="65"/>
      <c r="GE2" s="65"/>
      <c r="GF2" s="65"/>
      <c r="GH2" s="8"/>
      <c r="GI2" s="65"/>
      <c r="GJ2" s="65"/>
      <c r="GL2" s="65"/>
      <c r="GM2" s="65"/>
      <c r="GO2" s="65"/>
      <c r="GP2" s="65"/>
      <c r="GR2" s="8"/>
      <c r="GS2" s="65"/>
      <c r="GT2" s="65"/>
      <c r="GV2" s="65"/>
      <c r="GW2" s="65"/>
      <c r="GY2" s="65"/>
      <c r="GZ2" s="65"/>
      <c r="HB2" s="8"/>
      <c r="HC2" s="65"/>
      <c r="HD2" s="65"/>
      <c r="HF2" s="65"/>
      <c r="HG2" s="65"/>
      <c r="HI2" s="65"/>
      <c r="HJ2" s="65"/>
      <c r="HL2" s="8"/>
      <c r="HM2" s="8"/>
      <c r="HZ2" s="8"/>
      <c r="IM2" s="65"/>
      <c r="IN2" s="65"/>
      <c r="IP2" s="65"/>
      <c r="IQ2" s="65"/>
      <c r="IS2" s="65"/>
      <c r="IT2" s="65"/>
      <c r="IV2" s="8"/>
      <c r="IW2" s="65"/>
      <c r="IX2" s="65"/>
      <c r="IZ2" s="65"/>
      <c r="JA2" s="65"/>
      <c r="JC2" s="65"/>
      <c r="JD2" s="65"/>
      <c r="JF2" s="8"/>
      <c r="JG2" s="65"/>
      <c r="JH2" s="65"/>
      <c r="JJ2" s="65"/>
      <c r="JK2" s="65"/>
      <c r="JM2" s="65"/>
      <c r="JN2" s="65"/>
      <c r="JP2" s="8"/>
      <c r="JQ2" s="65"/>
      <c r="JR2" s="65"/>
      <c r="JT2" s="65"/>
      <c r="JU2" s="65"/>
      <c r="JW2" s="65"/>
      <c r="JX2" s="65"/>
      <c r="JZ2" s="8"/>
    </row>
    <row r="3" spans="1:286" s="9" customFormat="1" ht="49.95" customHeight="1" x14ac:dyDescent="0.3">
      <c r="A3" s="66" t="s">
        <v>1</v>
      </c>
      <c r="B3" s="66"/>
      <c r="D3" s="10"/>
      <c r="E3" s="10"/>
      <c r="K3" s="66" t="s">
        <v>1</v>
      </c>
      <c r="L3" s="66"/>
      <c r="N3" s="11"/>
      <c r="Q3" s="12"/>
      <c r="R3" s="12"/>
      <c r="U3" s="66" t="s">
        <v>1</v>
      </c>
      <c r="V3" s="66"/>
      <c r="X3" s="11"/>
      <c r="AA3" s="12"/>
      <c r="AB3" s="12"/>
      <c r="AE3" s="66" t="s">
        <v>1</v>
      </c>
      <c r="AF3" s="66"/>
      <c r="AH3" s="11"/>
      <c r="AK3" s="12"/>
      <c r="AL3" s="12"/>
      <c r="AO3" s="66" t="s">
        <v>1</v>
      </c>
      <c r="AP3" s="66"/>
      <c r="AR3" s="11"/>
      <c r="AU3" s="12"/>
      <c r="AV3" s="12"/>
      <c r="AY3" s="66" t="s">
        <v>1</v>
      </c>
      <c r="AZ3" s="66"/>
      <c r="BB3" s="11"/>
      <c r="BE3" s="12"/>
      <c r="BF3" s="12"/>
      <c r="BI3" s="66" t="s">
        <v>1</v>
      </c>
      <c r="BJ3" s="66"/>
      <c r="BL3" s="11"/>
      <c r="BO3" s="12"/>
      <c r="BP3" s="12"/>
      <c r="BS3" s="66" t="s">
        <v>1</v>
      </c>
      <c r="BT3" s="66"/>
      <c r="BV3" s="11"/>
      <c r="BY3" s="12"/>
      <c r="BZ3" s="12"/>
      <c r="CC3" s="66" t="s">
        <v>1</v>
      </c>
      <c r="CD3" s="66"/>
      <c r="CF3" s="11"/>
      <c r="CI3" s="12"/>
      <c r="CJ3" s="12"/>
      <c r="CM3" s="66" t="s">
        <v>1</v>
      </c>
      <c r="CN3" s="66"/>
      <c r="CP3" s="11"/>
      <c r="CS3" s="12"/>
      <c r="CT3" s="12"/>
      <c r="CW3" s="66" t="s">
        <v>1</v>
      </c>
      <c r="CX3" s="66"/>
      <c r="CZ3" s="11"/>
      <c r="DC3" s="12"/>
      <c r="DD3" s="12"/>
      <c r="DG3" s="66" t="s">
        <v>1</v>
      </c>
      <c r="DH3" s="66"/>
      <c r="DJ3" s="11"/>
      <c r="DM3" s="12"/>
      <c r="DN3" s="12"/>
      <c r="DQ3" s="66" t="s">
        <v>1</v>
      </c>
      <c r="DR3" s="66"/>
      <c r="DT3" s="11"/>
      <c r="DW3" s="12"/>
      <c r="DX3" s="12"/>
      <c r="EA3" s="66" t="s">
        <v>1</v>
      </c>
      <c r="EB3" s="66"/>
      <c r="ED3" s="11"/>
      <c r="EG3" s="12"/>
      <c r="EH3" s="12"/>
      <c r="EK3" s="66" t="s">
        <v>1</v>
      </c>
      <c r="EL3" s="66"/>
      <c r="EN3" s="11"/>
      <c r="EQ3" s="12"/>
      <c r="ER3" s="12"/>
      <c r="EU3" s="66" t="s">
        <v>1</v>
      </c>
      <c r="EV3" s="66"/>
      <c r="EX3" s="11"/>
      <c r="FA3" s="12"/>
      <c r="FB3" s="12"/>
      <c r="FE3" s="66" t="s">
        <v>1</v>
      </c>
      <c r="FF3" s="66"/>
      <c r="FH3" s="11"/>
      <c r="FK3" s="12"/>
      <c r="FL3" s="12"/>
      <c r="FO3" s="66" t="s">
        <v>1</v>
      </c>
      <c r="FP3" s="66"/>
      <c r="FR3" s="11"/>
      <c r="FU3" s="12"/>
      <c r="FV3" s="12"/>
      <c r="FY3" s="66" t="s">
        <v>1</v>
      </c>
      <c r="FZ3" s="66"/>
      <c r="GB3" s="11"/>
      <c r="GE3" s="12"/>
      <c r="GF3" s="12"/>
      <c r="GI3" s="66" t="s">
        <v>1</v>
      </c>
      <c r="GJ3" s="66"/>
      <c r="GL3" s="11"/>
      <c r="GO3" s="12"/>
      <c r="GP3" s="12"/>
      <c r="GS3" s="66" t="s">
        <v>1</v>
      </c>
      <c r="GT3" s="66"/>
      <c r="GV3" s="11"/>
      <c r="GY3" s="12"/>
      <c r="GZ3" s="12"/>
      <c r="HC3" s="66" t="s">
        <v>1</v>
      </c>
      <c r="HD3" s="66"/>
      <c r="HF3" s="11"/>
      <c r="HI3" s="12"/>
      <c r="HJ3" s="12"/>
      <c r="HM3" s="66" t="s">
        <v>1</v>
      </c>
      <c r="HN3" s="66"/>
      <c r="HT3" s="12"/>
      <c r="HU3" s="12"/>
      <c r="HV3" s="12"/>
      <c r="HW3" s="12"/>
      <c r="HX3" s="12"/>
      <c r="HZ3" s="66" t="s">
        <v>1</v>
      </c>
      <c r="IA3" s="66"/>
      <c r="IG3" s="12"/>
      <c r="IH3" s="12"/>
      <c r="II3" s="12"/>
      <c r="IJ3" s="12"/>
      <c r="IK3" s="12"/>
      <c r="IM3" s="66" t="s">
        <v>1</v>
      </c>
      <c r="IN3" s="66"/>
      <c r="IP3" s="11"/>
      <c r="IS3" s="12"/>
      <c r="IT3" s="12"/>
      <c r="IW3" s="66" t="s">
        <v>1</v>
      </c>
      <c r="IX3" s="66"/>
      <c r="IZ3" s="11"/>
      <c r="JC3" s="12"/>
      <c r="JD3" s="12"/>
      <c r="JG3" s="66" t="s">
        <v>1</v>
      </c>
      <c r="JH3" s="66"/>
      <c r="JJ3" s="11"/>
      <c r="JM3" s="12"/>
      <c r="JN3" s="12"/>
      <c r="JQ3" s="66" t="s">
        <v>1</v>
      </c>
      <c r="JR3" s="66"/>
      <c r="JT3" s="11"/>
      <c r="JW3" s="12"/>
      <c r="JX3" s="12"/>
    </row>
    <row r="4" spans="1:286" s="9" customFormat="1" ht="49.95" customHeight="1" x14ac:dyDescent="0.3">
      <c r="A4" s="66" t="s">
        <v>2</v>
      </c>
      <c r="B4" s="66"/>
      <c r="D4" s="10"/>
      <c r="E4" s="10"/>
      <c r="G4" s="12"/>
      <c r="H4" s="12"/>
      <c r="K4" s="66" t="s">
        <v>2</v>
      </c>
      <c r="L4" s="66"/>
      <c r="N4" s="11"/>
      <c r="O4" s="13"/>
      <c r="Q4" s="12"/>
      <c r="R4" s="12"/>
      <c r="U4" s="66" t="s">
        <v>2</v>
      </c>
      <c r="V4" s="66"/>
      <c r="X4" s="11"/>
      <c r="Y4" s="14"/>
      <c r="AA4" s="12"/>
      <c r="AB4" s="12"/>
      <c r="AE4" s="66" t="s">
        <v>2</v>
      </c>
      <c r="AF4" s="66"/>
      <c r="AH4" s="11"/>
      <c r="AI4" s="13"/>
      <c r="AK4" s="12"/>
      <c r="AL4" s="12"/>
      <c r="AO4" s="66" t="s">
        <v>2</v>
      </c>
      <c r="AP4" s="66"/>
      <c r="AR4" s="11"/>
      <c r="AS4" s="14"/>
      <c r="AU4" s="12"/>
      <c r="AV4" s="12"/>
      <c r="AY4" s="66" t="s">
        <v>2</v>
      </c>
      <c r="AZ4" s="66"/>
      <c r="BB4" s="11"/>
      <c r="BC4" s="14"/>
      <c r="BE4" s="12"/>
      <c r="BF4" s="12"/>
      <c r="BI4" s="66" t="s">
        <v>2</v>
      </c>
      <c r="BJ4" s="66"/>
      <c r="BL4" s="11"/>
      <c r="BM4" s="14"/>
      <c r="BO4" s="12"/>
      <c r="BP4" s="12"/>
      <c r="BS4" s="66" t="s">
        <v>2</v>
      </c>
      <c r="BT4" s="66"/>
      <c r="BV4" s="11"/>
      <c r="BW4" s="14"/>
      <c r="BY4" s="12"/>
      <c r="BZ4" s="12"/>
      <c r="CC4" s="66" t="s">
        <v>2</v>
      </c>
      <c r="CD4" s="66"/>
      <c r="CF4" s="11"/>
      <c r="CG4" s="14"/>
      <c r="CI4" s="12"/>
      <c r="CJ4" s="12"/>
      <c r="CM4" s="66" t="s">
        <v>2</v>
      </c>
      <c r="CN4" s="66"/>
      <c r="CP4" s="11"/>
      <c r="CQ4" s="14"/>
      <c r="CS4" s="12"/>
      <c r="CT4" s="12"/>
      <c r="CW4" s="66" t="s">
        <v>2</v>
      </c>
      <c r="CX4" s="66"/>
      <c r="CZ4" s="11"/>
      <c r="DA4" s="14"/>
      <c r="DC4" s="12"/>
      <c r="DD4" s="12"/>
      <c r="DG4" s="66" t="s">
        <v>2</v>
      </c>
      <c r="DH4" s="66"/>
      <c r="DJ4" s="11"/>
      <c r="DK4" s="14"/>
      <c r="DM4" s="12"/>
      <c r="DN4" s="12"/>
      <c r="DQ4" s="66" t="s">
        <v>2</v>
      </c>
      <c r="DR4" s="66"/>
      <c r="DT4" s="11"/>
      <c r="DU4" s="14"/>
      <c r="DW4" s="12"/>
      <c r="DX4" s="12"/>
      <c r="EA4" s="66" t="s">
        <v>2</v>
      </c>
      <c r="EB4" s="66"/>
      <c r="ED4" s="11"/>
      <c r="EE4" s="14"/>
      <c r="EG4" s="12"/>
      <c r="EH4" s="12"/>
      <c r="EK4" s="66" t="s">
        <v>2</v>
      </c>
      <c r="EL4" s="66"/>
      <c r="EN4" s="11"/>
      <c r="EO4" s="14"/>
      <c r="EQ4" s="12"/>
      <c r="ER4" s="12"/>
      <c r="EU4" s="66" t="s">
        <v>2</v>
      </c>
      <c r="EV4" s="66"/>
      <c r="EX4" s="11"/>
      <c r="EY4" s="14"/>
      <c r="FA4" s="12"/>
      <c r="FB4" s="12"/>
      <c r="FE4" s="66" t="s">
        <v>2</v>
      </c>
      <c r="FF4" s="66"/>
      <c r="FH4" s="11"/>
      <c r="FI4" s="14"/>
      <c r="FK4" s="12"/>
      <c r="FL4" s="12"/>
      <c r="FO4" s="66" t="s">
        <v>2</v>
      </c>
      <c r="FP4" s="66"/>
      <c r="FR4" s="11"/>
      <c r="FS4" s="14"/>
      <c r="FU4" s="12"/>
      <c r="FV4" s="12"/>
      <c r="FY4" s="66" t="s">
        <v>2</v>
      </c>
      <c r="FZ4" s="66"/>
      <c r="GB4" s="11"/>
      <c r="GC4" s="14"/>
      <c r="GE4" s="12"/>
      <c r="GF4" s="12"/>
      <c r="GI4" s="66" t="s">
        <v>2</v>
      </c>
      <c r="GJ4" s="66"/>
      <c r="GL4" s="11"/>
      <c r="GM4" s="14"/>
      <c r="GO4" s="12"/>
      <c r="GP4" s="12"/>
      <c r="GS4" s="66" t="s">
        <v>2</v>
      </c>
      <c r="GT4" s="66"/>
      <c r="GV4" s="11"/>
      <c r="GW4" s="14"/>
      <c r="GY4" s="12"/>
      <c r="GZ4" s="12"/>
      <c r="HC4" s="66" t="s">
        <v>2</v>
      </c>
      <c r="HD4" s="66"/>
      <c r="HF4" s="11"/>
      <c r="HG4" s="14"/>
      <c r="HI4" s="12"/>
      <c r="HJ4" s="12"/>
      <c r="HM4" s="66" t="s">
        <v>2</v>
      </c>
      <c r="HN4" s="66"/>
      <c r="HR4" s="12"/>
      <c r="HS4" s="12"/>
      <c r="HT4" s="12"/>
      <c r="HU4" s="12"/>
      <c r="HV4" s="12"/>
      <c r="HW4" s="12"/>
      <c r="HX4" s="12"/>
      <c r="HZ4" s="66" t="s">
        <v>2</v>
      </c>
      <c r="IA4" s="66"/>
      <c r="ID4" s="12"/>
      <c r="IE4" s="12"/>
      <c r="IF4" s="12"/>
      <c r="IG4" s="12"/>
      <c r="IH4" s="12"/>
      <c r="II4" s="12"/>
      <c r="IJ4" s="12"/>
      <c r="IK4" s="12"/>
      <c r="IM4" s="66" t="s">
        <v>2</v>
      </c>
      <c r="IN4" s="66"/>
      <c r="IP4" s="11"/>
      <c r="IQ4" s="13"/>
      <c r="IS4" s="12"/>
      <c r="IT4" s="12"/>
      <c r="IW4" s="66" t="s">
        <v>2</v>
      </c>
      <c r="IX4" s="66"/>
      <c r="IZ4" s="11"/>
      <c r="JA4" s="14"/>
      <c r="JC4" s="12"/>
      <c r="JD4" s="12"/>
      <c r="JG4" s="66" t="s">
        <v>2</v>
      </c>
      <c r="JH4" s="66"/>
      <c r="JJ4" s="11"/>
      <c r="JK4" s="14"/>
      <c r="JM4" s="12"/>
      <c r="JN4" s="12"/>
      <c r="JQ4" s="66" t="s">
        <v>2</v>
      </c>
      <c r="JR4" s="66"/>
      <c r="JT4" s="11"/>
      <c r="JU4" s="14"/>
      <c r="JW4" s="12"/>
      <c r="JX4" s="12"/>
    </row>
    <row r="5" spans="1:286" s="9" customFormat="1" ht="49.95" customHeight="1" x14ac:dyDescent="0.3">
      <c r="A5" s="66" t="s">
        <v>3</v>
      </c>
      <c r="B5" s="66"/>
      <c r="E5" s="12"/>
      <c r="G5" s="12"/>
      <c r="K5" s="66" t="s">
        <v>3</v>
      </c>
      <c r="L5" s="66"/>
      <c r="O5" s="12"/>
      <c r="Q5" s="12"/>
      <c r="R5" s="12"/>
      <c r="U5" s="66" t="s">
        <v>3</v>
      </c>
      <c r="V5" s="66"/>
      <c r="X5" s="12"/>
      <c r="Y5" s="12"/>
      <c r="AA5" s="12"/>
      <c r="AB5" s="12"/>
      <c r="AE5" s="66" t="s">
        <v>3</v>
      </c>
      <c r="AF5" s="66"/>
      <c r="AI5" s="12"/>
      <c r="AK5" s="12"/>
      <c r="AL5" s="12"/>
      <c r="AO5" s="66" t="s">
        <v>3</v>
      </c>
      <c r="AP5" s="66"/>
      <c r="AR5" s="12"/>
      <c r="AS5" s="12"/>
      <c r="AU5" s="12"/>
      <c r="AV5" s="12"/>
      <c r="AY5" s="66" t="s">
        <v>3</v>
      </c>
      <c r="AZ5" s="66"/>
      <c r="BB5" s="12"/>
      <c r="BC5" s="12"/>
      <c r="BE5" s="12"/>
      <c r="BF5" s="12"/>
      <c r="BI5" s="66" t="s">
        <v>3</v>
      </c>
      <c r="BJ5" s="66"/>
      <c r="BM5" s="12"/>
      <c r="BO5" s="12"/>
      <c r="BP5" s="12"/>
      <c r="BS5" s="66" t="s">
        <v>3</v>
      </c>
      <c r="BT5" s="66"/>
      <c r="BW5" s="12"/>
      <c r="BY5" s="12"/>
      <c r="BZ5" s="12"/>
      <c r="CC5" s="66" t="s">
        <v>3</v>
      </c>
      <c r="CD5" s="66"/>
      <c r="CG5" s="12"/>
      <c r="CI5" s="12"/>
      <c r="CJ5" s="12"/>
      <c r="CM5" s="66" t="s">
        <v>3</v>
      </c>
      <c r="CN5" s="66"/>
      <c r="CQ5" s="50"/>
      <c r="CS5" s="12"/>
      <c r="CT5" s="12"/>
      <c r="CW5" s="66" t="s">
        <v>3</v>
      </c>
      <c r="CX5" s="66"/>
      <c r="DA5" s="50"/>
      <c r="DC5" s="12"/>
      <c r="DD5" s="12"/>
      <c r="DG5" s="66" t="s">
        <v>3</v>
      </c>
      <c r="DH5" s="66"/>
      <c r="DM5" s="12"/>
      <c r="DN5" s="12"/>
      <c r="DQ5" s="66" t="s">
        <v>3</v>
      </c>
      <c r="DR5" s="66"/>
      <c r="DW5" s="12"/>
      <c r="DX5" s="12"/>
      <c r="EA5" s="66" t="s">
        <v>3</v>
      </c>
      <c r="EB5" s="66"/>
      <c r="EG5" s="12"/>
      <c r="EH5" s="12"/>
      <c r="EK5" s="66" t="s">
        <v>3</v>
      </c>
      <c r="EL5" s="66"/>
      <c r="EQ5" s="12"/>
      <c r="ER5" s="12"/>
      <c r="EU5" s="66" t="s">
        <v>3</v>
      </c>
      <c r="EV5" s="66"/>
      <c r="FA5" s="12"/>
      <c r="FB5" s="12"/>
      <c r="FE5" s="66" t="s">
        <v>3</v>
      </c>
      <c r="FF5" s="66"/>
      <c r="FK5" s="12"/>
      <c r="FL5" s="12"/>
      <c r="FO5" s="66" t="s">
        <v>3</v>
      </c>
      <c r="FP5" s="66"/>
      <c r="FU5" s="12"/>
      <c r="FV5" s="12"/>
      <c r="FY5" s="66" t="s">
        <v>3</v>
      </c>
      <c r="FZ5" s="66"/>
      <c r="GE5" s="12"/>
      <c r="GF5" s="12"/>
      <c r="GI5" s="66" t="s">
        <v>3</v>
      </c>
      <c r="GJ5" s="66"/>
      <c r="GO5" s="12"/>
      <c r="GP5" s="12"/>
      <c r="GS5" s="66" t="s">
        <v>3</v>
      </c>
      <c r="GT5" s="66"/>
      <c r="GY5" s="12"/>
      <c r="GZ5" s="12"/>
      <c r="HC5" s="66" t="s">
        <v>3</v>
      </c>
      <c r="HD5" s="66"/>
      <c r="HG5" s="12"/>
      <c r="HI5" s="12"/>
      <c r="HJ5" s="12"/>
      <c r="HM5" s="66" t="s">
        <v>3</v>
      </c>
      <c r="HN5" s="66"/>
      <c r="HQ5" s="12"/>
      <c r="HR5" s="12"/>
      <c r="HS5" s="12"/>
      <c r="HT5" s="12"/>
      <c r="HU5" s="12"/>
      <c r="HV5" s="12"/>
      <c r="HW5" s="12"/>
      <c r="HX5" s="12"/>
      <c r="HZ5" s="66" t="s">
        <v>3</v>
      </c>
      <c r="IA5" s="66"/>
      <c r="ID5" s="12"/>
      <c r="IE5" s="12"/>
      <c r="IF5" s="12"/>
      <c r="IG5" s="12"/>
      <c r="IH5" s="12"/>
      <c r="II5" s="12"/>
      <c r="IJ5" s="12"/>
      <c r="IK5" s="12"/>
      <c r="IM5" s="66" t="s">
        <v>3</v>
      </c>
      <c r="IN5" s="66"/>
      <c r="IQ5" s="51"/>
      <c r="IS5" s="12"/>
      <c r="IT5" s="12"/>
      <c r="IW5" s="66" t="s">
        <v>3</v>
      </c>
      <c r="IX5" s="66"/>
      <c r="IZ5" s="52"/>
      <c r="JA5" s="52"/>
      <c r="JC5" s="12"/>
      <c r="JD5" s="12"/>
      <c r="JG5" s="66" t="s">
        <v>3</v>
      </c>
      <c r="JH5" s="66"/>
      <c r="JJ5" s="52"/>
      <c r="JK5" s="52"/>
      <c r="JM5" s="12"/>
      <c r="JN5" s="12"/>
      <c r="JQ5" s="66" t="s">
        <v>3</v>
      </c>
      <c r="JR5" s="66"/>
      <c r="JT5" s="52"/>
      <c r="JU5" s="52"/>
      <c r="JW5" s="12"/>
      <c r="JX5" s="12"/>
    </row>
    <row r="6" spans="1:286" s="7" customFormat="1" ht="30" customHeight="1" thickBot="1" x14ac:dyDescent="0.7">
      <c r="A6" s="67"/>
      <c r="B6" s="67"/>
      <c r="C6" s="28"/>
      <c r="D6" s="67"/>
      <c r="E6" s="67"/>
      <c r="F6" s="28"/>
      <c r="G6" s="67"/>
      <c r="H6" s="67"/>
      <c r="I6" s="28"/>
      <c r="J6" s="27"/>
      <c r="K6" s="67"/>
      <c r="L6" s="67"/>
      <c r="M6" s="28"/>
      <c r="N6" s="67"/>
      <c r="O6" s="67"/>
      <c r="P6" s="28"/>
      <c r="Q6" s="67"/>
      <c r="R6" s="67"/>
      <c r="S6" s="28"/>
      <c r="T6" s="27"/>
      <c r="U6" s="67"/>
      <c r="V6" s="67"/>
      <c r="W6" s="28"/>
      <c r="X6" s="67"/>
      <c r="Y6" s="67"/>
      <c r="Z6" s="28"/>
      <c r="AA6" s="67"/>
      <c r="AB6" s="67"/>
      <c r="AC6" s="28"/>
      <c r="AD6" s="27"/>
      <c r="AE6" s="67"/>
      <c r="AF6" s="67"/>
      <c r="AG6" s="28"/>
      <c r="AH6" s="67"/>
      <c r="AI6" s="67"/>
      <c r="AJ6" s="28"/>
      <c r="AK6" s="67"/>
      <c r="AL6" s="67"/>
      <c r="AM6" s="28"/>
      <c r="AN6" s="27"/>
      <c r="AO6" s="67"/>
      <c r="AP6" s="67"/>
      <c r="AQ6" s="28"/>
      <c r="AR6" s="67"/>
      <c r="AS6" s="67"/>
      <c r="AT6" s="28"/>
      <c r="AU6" s="67"/>
      <c r="AV6" s="67"/>
      <c r="AW6" s="28"/>
      <c r="AX6" s="27"/>
      <c r="AY6" s="67"/>
      <c r="AZ6" s="67"/>
      <c r="BA6" s="28"/>
      <c r="BB6" s="67"/>
      <c r="BC6" s="67"/>
      <c r="BD6" s="28"/>
      <c r="BE6" s="67"/>
      <c r="BF6" s="67"/>
      <c r="BG6" s="28"/>
      <c r="BH6" s="27"/>
      <c r="BI6" s="67"/>
      <c r="BJ6" s="67"/>
      <c r="BK6" s="28"/>
      <c r="BL6" s="67"/>
      <c r="BM6" s="67"/>
      <c r="BN6" s="28"/>
      <c r="BO6" s="67"/>
      <c r="BP6" s="67"/>
      <c r="BQ6" s="28"/>
      <c r="BR6" s="27"/>
      <c r="BS6" s="67"/>
      <c r="BT6" s="67"/>
      <c r="BU6" s="28"/>
      <c r="BV6" s="67"/>
      <c r="BW6" s="67"/>
      <c r="BX6" s="28"/>
      <c r="BY6" s="67"/>
      <c r="BZ6" s="67"/>
      <c r="CA6" s="28"/>
      <c r="CB6" s="27"/>
      <c r="CC6" s="67"/>
      <c r="CD6" s="67"/>
      <c r="CE6" s="28"/>
      <c r="CF6" s="67"/>
      <c r="CG6" s="67"/>
      <c r="CH6" s="28"/>
      <c r="CI6" s="67"/>
      <c r="CJ6" s="67"/>
      <c r="CK6" s="28"/>
      <c r="CL6" s="27"/>
      <c r="CM6" s="67"/>
      <c r="CN6" s="67"/>
      <c r="CO6" s="28"/>
      <c r="CP6" s="67"/>
      <c r="CQ6" s="67"/>
      <c r="CR6" s="28"/>
      <c r="CS6" s="67"/>
      <c r="CT6" s="67"/>
      <c r="CU6" s="28"/>
      <c r="CV6" s="27"/>
      <c r="CW6" s="67"/>
      <c r="CX6" s="67"/>
      <c r="CY6" s="28"/>
      <c r="CZ6" s="67"/>
      <c r="DA6" s="67"/>
      <c r="DB6" s="28"/>
      <c r="DC6" s="67"/>
      <c r="DD6" s="67"/>
      <c r="DE6" s="28"/>
      <c r="DF6" s="27"/>
      <c r="DG6" s="67"/>
      <c r="DH6" s="67"/>
      <c r="DI6" s="28"/>
      <c r="DJ6" s="67"/>
      <c r="DK6" s="67"/>
      <c r="DL6" s="28"/>
      <c r="DM6" s="67"/>
      <c r="DN6" s="67"/>
      <c r="DO6" s="28"/>
      <c r="DP6" s="27"/>
      <c r="DQ6" s="67"/>
      <c r="DR6" s="67"/>
      <c r="DS6" s="28"/>
      <c r="DT6" s="67"/>
      <c r="DU6" s="67"/>
      <c r="DV6" s="28"/>
      <c r="DW6" s="67"/>
      <c r="DX6" s="67"/>
      <c r="DY6" s="28"/>
      <c r="DZ6" s="27"/>
      <c r="EA6" s="67"/>
      <c r="EB6" s="67"/>
      <c r="EC6" s="28"/>
      <c r="ED6" s="67"/>
      <c r="EE6" s="67"/>
      <c r="EF6" s="28"/>
      <c r="EG6" s="67"/>
      <c r="EH6" s="67"/>
      <c r="EI6" s="28"/>
      <c r="EJ6" s="27"/>
      <c r="EK6" s="67"/>
      <c r="EL6" s="67"/>
      <c r="EM6" s="28"/>
      <c r="EN6" s="67"/>
      <c r="EO6" s="67"/>
      <c r="EP6" s="28"/>
      <c r="EQ6" s="67"/>
      <c r="ER6" s="67"/>
      <c r="ES6" s="28"/>
      <c r="ET6" s="27"/>
      <c r="EU6" s="67"/>
      <c r="EV6" s="67"/>
      <c r="EW6" s="28"/>
      <c r="EX6" s="67"/>
      <c r="EY6" s="67"/>
      <c r="EZ6" s="28"/>
      <c r="FA6" s="67"/>
      <c r="FB6" s="67"/>
      <c r="FC6" s="28"/>
      <c r="FD6" s="27"/>
      <c r="FE6" s="67"/>
      <c r="FF6" s="67"/>
      <c r="FG6" s="28"/>
      <c r="FH6" s="67"/>
      <c r="FI6" s="67"/>
      <c r="FJ6" s="28"/>
      <c r="FK6" s="67"/>
      <c r="FL6" s="67"/>
      <c r="FM6" s="28"/>
      <c r="FN6" s="27"/>
      <c r="FO6" s="67"/>
      <c r="FP6" s="67"/>
      <c r="FQ6" s="28"/>
      <c r="FR6" s="67"/>
      <c r="FS6" s="67"/>
      <c r="FT6" s="28"/>
      <c r="FU6" s="67"/>
      <c r="FV6" s="67"/>
      <c r="FW6" s="28"/>
      <c r="FX6" s="27"/>
      <c r="FY6" s="67"/>
      <c r="FZ6" s="67"/>
      <c r="GA6" s="28"/>
      <c r="GB6" s="67"/>
      <c r="GC6" s="67"/>
      <c r="GD6" s="28"/>
      <c r="GE6" s="67"/>
      <c r="GF6" s="67"/>
      <c r="GG6" s="28"/>
      <c r="GH6" s="27"/>
      <c r="GI6" s="67"/>
      <c r="GJ6" s="67"/>
      <c r="GK6" s="28"/>
      <c r="GL6" s="67"/>
      <c r="GM6" s="67"/>
      <c r="GN6" s="28"/>
      <c r="GO6" s="67"/>
      <c r="GP6" s="67"/>
      <c r="GQ6" s="28"/>
      <c r="GR6" s="27"/>
      <c r="GS6" s="67"/>
      <c r="GT6" s="67"/>
      <c r="GU6" s="28"/>
      <c r="GV6" s="67"/>
      <c r="GW6" s="67"/>
      <c r="GX6" s="28"/>
      <c r="GY6" s="67"/>
      <c r="GZ6" s="67"/>
      <c r="HA6" s="28"/>
      <c r="HB6" s="27"/>
      <c r="HC6" s="67"/>
      <c r="HD6" s="67"/>
      <c r="HE6" s="28"/>
      <c r="HF6" s="67"/>
      <c r="HG6" s="67"/>
      <c r="HH6" s="28"/>
      <c r="HI6" s="67"/>
      <c r="HJ6" s="67"/>
      <c r="HK6" s="28"/>
      <c r="HL6" s="27"/>
      <c r="HM6" s="27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7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67"/>
      <c r="IN6" s="67"/>
      <c r="IO6" s="28"/>
      <c r="IP6" s="67"/>
      <c r="IQ6" s="67"/>
      <c r="IR6" s="28"/>
      <c r="IS6" s="67"/>
      <c r="IT6" s="67"/>
      <c r="IU6" s="28"/>
      <c r="IV6" s="27"/>
      <c r="IW6" s="67"/>
      <c r="IX6" s="67"/>
      <c r="IY6" s="28"/>
      <c r="IZ6" s="67"/>
      <c r="JA6" s="67"/>
      <c r="JB6" s="28"/>
      <c r="JC6" s="67"/>
      <c r="JD6" s="67"/>
      <c r="JE6" s="28"/>
      <c r="JF6" s="27"/>
      <c r="JG6" s="67"/>
      <c r="JH6" s="67"/>
      <c r="JI6" s="28"/>
      <c r="JJ6" s="67"/>
      <c r="JK6" s="67"/>
      <c r="JL6" s="28"/>
      <c r="JM6" s="67"/>
      <c r="JN6" s="67"/>
      <c r="JO6" s="28"/>
      <c r="JP6" s="27"/>
      <c r="JQ6" s="67"/>
      <c r="JR6" s="67"/>
      <c r="JS6" s="28"/>
      <c r="JT6" s="67"/>
      <c r="JU6" s="67"/>
      <c r="JV6" s="28"/>
      <c r="JW6" s="67"/>
      <c r="JX6" s="67"/>
      <c r="JY6" s="28"/>
      <c r="JZ6" s="27"/>
    </row>
    <row r="7" spans="1:286" s="16" customFormat="1" ht="64.95" customHeight="1" thickTop="1" thickBot="1" x14ac:dyDescent="0.35">
      <c r="A7" s="68" t="s">
        <v>4</v>
      </c>
      <c r="B7" s="68"/>
      <c r="C7" s="68"/>
      <c r="D7" s="68"/>
      <c r="E7" s="68"/>
      <c r="F7" s="68"/>
      <c r="G7" s="68"/>
      <c r="H7" s="68"/>
      <c r="I7" s="68"/>
      <c r="J7" s="68"/>
      <c r="K7" s="68" t="s">
        <v>5</v>
      </c>
      <c r="L7" s="68"/>
      <c r="M7" s="68"/>
      <c r="N7" s="68"/>
      <c r="O7" s="68"/>
      <c r="P7" s="68"/>
      <c r="Q7" s="68"/>
      <c r="R7" s="68"/>
      <c r="S7" s="68"/>
      <c r="T7" s="68"/>
      <c r="U7" s="68" t="s">
        <v>6</v>
      </c>
      <c r="V7" s="68"/>
      <c r="W7" s="68"/>
      <c r="X7" s="68"/>
      <c r="Y7" s="68"/>
      <c r="Z7" s="68"/>
      <c r="AA7" s="68"/>
      <c r="AB7" s="68"/>
      <c r="AC7" s="68"/>
      <c r="AD7" s="68"/>
      <c r="AE7" s="68" t="s">
        <v>7</v>
      </c>
      <c r="AF7" s="68"/>
      <c r="AG7" s="68"/>
      <c r="AH7" s="68"/>
      <c r="AI7" s="68"/>
      <c r="AJ7" s="68"/>
      <c r="AK7" s="68"/>
      <c r="AL7" s="68"/>
      <c r="AM7" s="68"/>
      <c r="AN7" s="68"/>
      <c r="AO7" s="68" t="s">
        <v>8</v>
      </c>
      <c r="AP7" s="68"/>
      <c r="AQ7" s="68"/>
      <c r="AR7" s="68"/>
      <c r="AS7" s="68"/>
      <c r="AT7" s="68"/>
      <c r="AU7" s="68"/>
      <c r="AV7" s="68"/>
      <c r="AW7" s="68"/>
      <c r="AX7" s="68"/>
      <c r="AY7" s="68" t="s">
        <v>9</v>
      </c>
      <c r="AZ7" s="68"/>
      <c r="BA7" s="68"/>
      <c r="BB7" s="68"/>
      <c r="BC7" s="68"/>
      <c r="BD7" s="68"/>
      <c r="BE7" s="68"/>
      <c r="BF7" s="68"/>
      <c r="BG7" s="68"/>
      <c r="BH7" s="68"/>
      <c r="BI7" s="68" t="s">
        <v>10</v>
      </c>
      <c r="BJ7" s="68"/>
      <c r="BK7" s="68"/>
      <c r="BL7" s="68"/>
      <c r="BM7" s="68"/>
      <c r="BN7" s="68"/>
      <c r="BO7" s="68"/>
      <c r="BP7" s="68"/>
      <c r="BQ7" s="68"/>
      <c r="BR7" s="68"/>
      <c r="BS7" s="68" t="s">
        <v>11</v>
      </c>
      <c r="BT7" s="68"/>
      <c r="BU7" s="68"/>
      <c r="BV7" s="68"/>
      <c r="BW7" s="68"/>
      <c r="BX7" s="68"/>
      <c r="BY7" s="68"/>
      <c r="BZ7" s="68"/>
      <c r="CA7" s="68"/>
      <c r="CB7" s="68"/>
      <c r="CC7" s="68" t="s">
        <v>12</v>
      </c>
      <c r="CD7" s="68"/>
      <c r="CE7" s="68"/>
      <c r="CF7" s="68"/>
      <c r="CG7" s="68"/>
      <c r="CH7" s="68"/>
      <c r="CI7" s="68"/>
      <c r="CJ7" s="68"/>
      <c r="CK7" s="68"/>
      <c r="CL7" s="68"/>
      <c r="CM7" s="68" t="s">
        <v>13</v>
      </c>
      <c r="CN7" s="68"/>
      <c r="CO7" s="68"/>
      <c r="CP7" s="68"/>
      <c r="CQ7" s="68"/>
      <c r="CR7" s="68"/>
      <c r="CS7" s="68"/>
      <c r="CT7" s="68"/>
      <c r="CU7" s="68"/>
      <c r="CV7" s="68"/>
      <c r="CW7" s="68" t="s">
        <v>14</v>
      </c>
      <c r="CX7" s="68"/>
      <c r="CY7" s="68"/>
      <c r="CZ7" s="68"/>
      <c r="DA7" s="68"/>
      <c r="DB7" s="68"/>
      <c r="DC7" s="68"/>
      <c r="DD7" s="68"/>
      <c r="DE7" s="68"/>
      <c r="DF7" s="68"/>
      <c r="DG7" s="68" t="s">
        <v>64</v>
      </c>
      <c r="DH7" s="68"/>
      <c r="DI7" s="68"/>
      <c r="DJ7" s="68"/>
      <c r="DK7" s="68"/>
      <c r="DL7" s="68"/>
      <c r="DM7" s="68"/>
      <c r="DN7" s="68"/>
      <c r="DO7" s="68"/>
      <c r="DP7" s="68"/>
      <c r="DQ7" s="68" t="s">
        <v>65</v>
      </c>
      <c r="DR7" s="68"/>
      <c r="DS7" s="68"/>
      <c r="DT7" s="68"/>
      <c r="DU7" s="68"/>
      <c r="DV7" s="68"/>
      <c r="DW7" s="68"/>
      <c r="DX7" s="68"/>
      <c r="DY7" s="68"/>
      <c r="DZ7" s="68"/>
      <c r="EA7" s="68" t="s">
        <v>66</v>
      </c>
      <c r="EB7" s="68"/>
      <c r="EC7" s="68"/>
      <c r="ED7" s="68"/>
      <c r="EE7" s="68"/>
      <c r="EF7" s="68"/>
      <c r="EG7" s="68"/>
      <c r="EH7" s="68"/>
      <c r="EI7" s="68"/>
      <c r="EJ7" s="68"/>
      <c r="EK7" s="68" t="s">
        <v>67</v>
      </c>
      <c r="EL7" s="68"/>
      <c r="EM7" s="68"/>
      <c r="EN7" s="68"/>
      <c r="EO7" s="68"/>
      <c r="EP7" s="68"/>
      <c r="EQ7" s="68"/>
      <c r="ER7" s="68"/>
      <c r="ES7" s="68"/>
      <c r="ET7" s="68"/>
      <c r="EU7" s="68" t="s">
        <v>15</v>
      </c>
      <c r="EV7" s="68"/>
      <c r="EW7" s="68"/>
      <c r="EX7" s="68"/>
      <c r="EY7" s="68"/>
      <c r="EZ7" s="68"/>
      <c r="FA7" s="68"/>
      <c r="FB7" s="68"/>
      <c r="FC7" s="68"/>
      <c r="FD7" s="68"/>
      <c r="FE7" s="68" t="s">
        <v>69</v>
      </c>
      <c r="FF7" s="68"/>
      <c r="FG7" s="68"/>
      <c r="FH7" s="68"/>
      <c r="FI7" s="68"/>
      <c r="FJ7" s="68"/>
      <c r="FK7" s="68"/>
      <c r="FL7" s="68"/>
      <c r="FM7" s="68"/>
      <c r="FN7" s="68"/>
      <c r="FO7" s="68" t="s">
        <v>16</v>
      </c>
      <c r="FP7" s="68"/>
      <c r="FQ7" s="68"/>
      <c r="FR7" s="68"/>
      <c r="FS7" s="68"/>
      <c r="FT7" s="68"/>
      <c r="FU7" s="68"/>
      <c r="FV7" s="68"/>
      <c r="FW7" s="68"/>
      <c r="FX7" s="68"/>
      <c r="FY7" s="68" t="s">
        <v>17</v>
      </c>
      <c r="FZ7" s="68"/>
      <c r="GA7" s="68"/>
      <c r="GB7" s="68"/>
      <c r="GC7" s="68"/>
      <c r="GD7" s="68"/>
      <c r="GE7" s="68"/>
      <c r="GF7" s="68"/>
      <c r="GG7" s="68"/>
      <c r="GH7" s="68"/>
      <c r="GI7" s="68" t="s">
        <v>18</v>
      </c>
      <c r="GJ7" s="68"/>
      <c r="GK7" s="68"/>
      <c r="GL7" s="68"/>
      <c r="GM7" s="68"/>
      <c r="GN7" s="68"/>
      <c r="GO7" s="68"/>
      <c r="GP7" s="68"/>
      <c r="GQ7" s="68"/>
      <c r="GR7" s="68"/>
      <c r="GS7" s="68" t="s">
        <v>68</v>
      </c>
      <c r="GT7" s="68"/>
      <c r="GU7" s="68"/>
      <c r="GV7" s="68"/>
      <c r="GW7" s="68"/>
      <c r="GX7" s="68"/>
      <c r="GY7" s="68"/>
      <c r="GZ7" s="68"/>
      <c r="HA7" s="68"/>
      <c r="HB7" s="68"/>
      <c r="HC7" s="68" t="s">
        <v>19</v>
      </c>
      <c r="HD7" s="68"/>
      <c r="HE7" s="68"/>
      <c r="HF7" s="68"/>
      <c r="HG7" s="68"/>
      <c r="HH7" s="68"/>
      <c r="HI7" s="68"/>
      <c r="HJ7" s="68"/>
      <c r="HK7" s="68"/>
      <c r="HL7" s="68"/>
      <c r="HM7" s="68" t="s">
        <v>19</v>
      </c>
      <c r="HN7" s="68"/>
      <c r="HO7" s="68"/>
      <c r="HP7" s="68"/>
      <c r="HQ7" s="68"/>
      <c r="HR7" s="68"/>
      <c r="HS7" s="68"/>
      <c r="HT7" s="68"/>
      <c r="HU7" s="68"/>
      <c r="HV7" s="68"/>
      <c r="HW7" s="68"/>
      <c r="HX7" s="68"/>
      <c r="HY7" s="68"/>
      <c r="HZ7" s="68" t="s">
        <v>19</v>
      </c>
      <c r="IA7" s="68"/>
      <c r="IB7" s="68"/>
      <c r="IC7" s="68"/>
      <c r="ID7" s="68"/>
      <c r="IE7" s="68"/>
      <c r="IF7" s="68"/>
      <c r="IG7" s="68"/>
      <c r="IH7" s="68"/>
      <c r="II7" s="68"/>
      <c r="IJ7" s="68"/>
      <c r="IK7" s="68"/>
      <c r="IL7" s="68"/>
      <c r="IM7" s="68" t="s">
        <v>77</v>
      </c>
      <c r="IN7" s="68"/>
      <c r="IO7" s="68"/>
      <c r="IP7" s="68"/>
      <c r="IQ7" s="68"/>
      <c r="IR7" s="68"/>
      <c r="IS7" s="68"/>
      <c r="IT7" s="68"/>
      <c r="IU7" s="68"/>
      <c r="IV7" s="68"/>
      <c r="IW7" s="68" t="s">
        <v>78</v>
      </c>
      <c r="IX7" s="68"/>
      <c r="IY7" s="68"/>
      <c r="IZ7" s="68"/>
      <c r="JA7" s="68"/>
      <c r="JB7" s="68"/>
      <c r="JC7" s="68"/>
      <c r="JD7" s="68"/>
      <c r="JE7" s="68"/>
      <c r="JF7" s="68"/>
      <c r="JG7" s="68" t="s">
        <v>20</v>
      </c>
      <c r="JH7" s="68"/>
      <c r="JI7" s="68"/>
      <c r="JJ7" s="68"/>
      <c r="JK7" s="68"/>
      <c r="JL7" s="68"/>
      <c r="JM7" s="68"/>
      <c r="JN7" s="68"/>
      <c r="JO7" s="68"/>
      <c r="JP7" s="68"/>
      <c r="JQ7" s="68" t="s">
        <v>21</v>
      </c>
      <c r="JR7" s="68"/>
      <c r="JS7" s="68"/>
      <c r="JT7" s="68"/>
      <c r="JU7" s="68"/>
      <c r="JV7" s="68"/>
      <c r="JW7" s="68"/>
      <c r="JX7" s="68"/>
      <c r="JY7" s="68"/>
      <c r="JZ7" s="68"/>
    </row>
    <row r="8" spans="1:286" s="17" customFormat="1" ht="54" customHeight="1" thickTop="1" thickBot="1" x14ac:dyDescent="0.7">
      <c r="A8" s="69" t="s">
        <v>22</v>
      </c>
      <c r="B8" s="69"/>
      <c r="D8" s="69"/>
      <c r="E8" s="69"/>
      <c r="G8" s="69" t="s">
        <v>23</v>
      </c>
      <c r="H8" s="69"/>
      <c r="J8" s="15"/>
      <c r="K8" s="69" t="s">
        <v>22</v>
      </c>
      <c r="L8" s="69"/>
      <c r="N8" s="69"/>
      <c r="O8" s="69"/>
      <c r="Q8" s="69" t="s">
        <v>23</v>
      </c>
      <c r="R8" s="69"/>
      <c r="T8" s="15"/>
      <c r="U8" s="69" t="s">
        <v>22</v>
      </c>
      <c r="V8" s="69"/>
      <c r="X8" s="69"/>
      <c r="Y8" s="69"/>
      <c r="AA8" s="69" t="s">
        <v>23</v>
      </c>
      <c r="AB8" s="69"/>
      <c r="AD8" s="15"/>
      <c r="AE8" s="69" t="s">
        <v>22</v>
      </c>
      <c r="AF8" s="69"/>
      <c r="AH8" s="69"/>
      <c r="AI8" s="69"/>
      <c r="AK8" s="69" t="s">
        <v>23</v>
      </c>
      <c r="AL8" s="69"/>
      <c r="AN8" s="15"/>
      <c r="AO8" s="69" t="s">
        <v>22</v>
      </c>
      <c r="AP8" s="69"/>
      <c r="AR8" s="69"/>
      <c r="AS8" s="69"/>
      <c r="AU8" s="69" t="s">
        <v>23</v>
      </c>
      <c r="AV8" s="69"/>
      <c r="AX8" s="15"/>
      <c r="AY8" s="69" t="s">
        <v>22</v>
      </c>
      <c r="AZ8" s="69"/>
      <c r="BB8" s="69"/>
      <c r="BC8" s="69"/>
      <c r="BE8" s="69" t="s">
        <v>23</v>
      </c>
      <c r="BF8" s="69"/>
      <c r="BH8" s="15"/>
      <c r="BI8" s="69" t="s">
        <v>22</v>
      </c>
      <c r="BJ8" s="69"/>
      <c r="BL8" s="69"/>
      <c r="BM8" s="69"/>
      <c r="BO8" s="69" t="s">
        <v>23</v>
      </c>
      <c r="BP8" s="69"/>
      <c r="BR8" s="15"/>
      <c r="BS8" s="69" t="s">
        <v>22</v>
      </c>
      <c r="BT8" s="69"/>
      <c r="BV8" s="69"/>
      <c r="BW8" s="69"/>
      <c r="BY8" s="69" t="s">
        <v>23</v>
      </c>
      <c r="BZ8" s="69"/>
      <c r="CB8" s="15"/>
      <c r="CC8" s="69" t="s">
        <v>22</v>
      </c>
      <c r="CD8" s="69"/>
      <c r="CF8" s="69"/>
      <c r="CG8" s="69"/>
      <c r="CI8" s="69" t="s">
        <v>23</v>
      </c>
      <c r="CJ8" s="69"/>
      <c r="CL8" s="15"/>
      <c r="CM8" s="69" t="s">
        <v>22</v>
      </c>
      <c r="CN8" s="69"/>
      <c r="CP8" s="69"/>
      <c r="CQ8" s="69"/>
      <c r="CS8" s="69" t="s">
        <v>23</v>
      </c>
      <c r="CT8" s="69"/>
      <c r="CV8" s="15"/>
      <c r="CW8" s="69" t="s">
        <v>22</v>
      </c>
      <c r="CX8" s="69"/>
      <c r="CZ8" s="69"/>
      <c r="DA8" s="69"/>
      <c r="DC8" s="69" t="s">
        <v>23</v>
      </c>
      <c r="DD8" s="69"/>
      <c r="DF8" s="15"/>
      <c r="DG8" s="69" t="s">
        <v>22</v>
      </c>
      <c r="DH8" s="69"/>
      <c r="DJ8" s="69"/>
      <c r="DK8" s="69"/>
      <c r="DM8" s="69" t="s">
        <v>23</v>
      </c>
      <c r="DN8" s="69"/>
      <c r="DP8" s="15"/>
      <c r="DQ8" s="69" t="s">
        <v>22</v>
      </c>
      <c r="DR8" s="69"/>
      <c r="DT8" s="69"/>
      <c r="DU8" s="69"/>
      <c r="DW8" s="69" t="s">
        <v>23</v>
      </c>
      <c r="DX8" s="69"/>
      <c r="DZ8" s="15"/>
      <c r="EA8" s="69" t="s">
        <v>22</v>
      </c>
      <c r="EB8" s="69"/>
      <c r="ED8" s="69"/>
      <c r="EE8" s="69"/>
      <c r="EG8" s="69" t="s">
        <v>23</v>
      </c>
      <c r="EH8" s="69"/>
      <c r="EJ8" s="15"/>
      <c r="EK8" s="69" t="s">
        <v>22</v>
      </c>
      <c r="EL8" s="69"/>
      <c r="EN8" s="69"/>
      <c r="EO8" s="69"/>
      <c r="EQ8" s="69" t="s">
        <v>23</v>
      </c>
      <c r="ER8" s="69"/>
      <c r="ET8" s="15"/>
      <c r="EU8" s="69" t="s">
        <v>22</v>
      </c>
      <c r="EV8" s="69"/>
      <c r="EX8" s="69"/>
      <c r="EY8" s="69"/>
      <c r="FA8" s="69" t="s">
        <v>23</v>
      </c>
      <c r="FB8" s="69"/>
      <c r="FD8" s="15"/>
      <c r="FE8" s="69" t="s">
        <v>22</v>
      </c>
      <c r="FF8" s="69"/>
      <c r="FH8" s="69"/>
      <c r="FI8" s="69"/>
      <c r="FK8" s="69" t="s">
        <v>23</v>
      </c>
      <c r="FL8" s="69"/>
      <c r="FN8" s="15"/>
      <c r="FO8" s="69" t="s">
        <v>24</v>
      </c>
      <c r="FP8" s="69"/>
      <c r="FR8" s="69" t="s">
        <v>25</v>
      </c>
      <c r="FS8" s="69"/>
      <c r="FU8" s="69" t="s">
        <v>23</v>
      </c>
      <c r="FV8" s="69"/>
      <c r="FX8" s="15"/>
      <c r="FY8" s="69" t="s">
        <v>24</v>
      </c>
      <c r="FZ8" s="69"/>
      <c r="GB8" s="69" t="s">
        <v>25</v>
      </c>
      <c r="GC8" s="69"/>
      <c r="GE8" s="69" t="s">
        <v>23</v>
      </c>
      <c r="GF8" s="69"/>
      <c r="GH8" s="15"/>
      <c r="GI8" s="69" t="s">
        <v>24</v>
      </c>
      <c r="GJ8" s="69"/>
      <c r="GL8" s="69" t="s">
        <v>25</v>
      </c>
      <c r="GM8" s="69"/>
      <c r="GO8" s="69" t="s">
        <v>23</v>
      </c>
      <c r="GP8" s="69"/>
      <c r="GR8" s="15"/>
      <c r="GS8" s="69" t="s">
        <v>24</v>
      </c>
      <c r="GT8" s="69"/>
      <c r="GV8" s="69" t="s">
        <v>25</v>
      </c>
      <c r="GW8" s="69"/>
      <c r="GY8" s="69" t="s">
        <v>23</v>
      </c>
      <c r="GZ8" s="69"/>
      <c r="HB8" s="15"/>
      <c r="HC8" s="69" t="s">
        <v>22</v>
      </c>
      <c r="HD8" s="69"/>
      <c r="HF8" s="69"/>
      <c r="HG8" s="69"/>
      <c r="HI8" s="69" t="s">
        <v>23</v>
      </c>
      <c r="HJ8" s="69"/>
      <c r="HL8" s="15"/>
      <c r="HM8" s="72">
        <f>G9</f>
        <v>46207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2">
        <f>G9</f>
        <v>46207</v>
      </c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69" t="s">
        <v>22</v>
      </c>
      <c r="IN8" s="69"/>
      <c r="IP8" s="69"/>
      <c r="IQ8" s="69"/>
      <c r="IS8" s="69" t="s">
        <v>23</v>
      </c>
      <c r="IT8" s="69"/>
      <c r="IV8" s="15"/>
      <c r="IW8" s="69" t="s">
        <v>22</v>
      </c>
      <c r="IX8" s="69"/>
      <c r="IZ8" s="69"/>
      <c r="JA8" s="69"/>
      <c r="JC8" s="69" t="s">
        <v>23</v>
      </c>
      <c r="JD8" s="69"/>
      <c r="JF8" s="15"/>
      <c r="JG8" s="69" t="s">
        <v>26</v>
      </c>
      <c r="JH8" s="69"/>
      <c r="JJ8" s="69" t="s">
        <v>27</v>
      </c>
      <c r="JK8" s="69"/>
      <c r="JM8" s="69" t="s">
        <v>4</v>
      </c>
      <c r="JN8" s="69"/>
      <c r="JP8" s="15"/>
      <c r="JQ8" s="69" t="s">
        <v>26</v>
      </c>
      <c r="JR8" s="69"/>
      <c r="JT8" s="69" t="s">
        <v>27</v>
      </c>
      <c r="JU8" s="69"/>
      <c r="JW8" s="69" t="s">
        <v>4</v>
      </c>
      <c r="JX8" s="69"/>
      <c r="JZ8" s="15"/>
    </row>
    <row r="9" spans="1:286" s="17" customFormat="1" ht="54" customHeight="1" thickTop="1" x14ac:dyDescent="0.65">
      <c r="A9" s="71">
        <v>46204</v>
      </c>
      <c r="B9" s="71"/>
      <c r="D9" s="70"/>
      <c r="E9" s="70"/>
      <c r="G9" s="70">
        <f>A9+3</f>
        <v>46207</v>
      </c>
      <c r="H9" s="70"/>
      <c r="K9" s="71">
        <f>A9</f>
        <v>46204</v>
      </c>
      <c r="L9" s="71"/>
      <c r="N9" s="70"/>
      <c r="O9" s="70"/>
      <c r="Q9" s="70">
        <f>G9</f>
        <v>46207</v>
      </c>
      <c r="R9" s="70"/>
      <c r="U9" s="71">
        <f>A9</f>
        <v>46204</v>
      </c>
      <c r="V9" s="71"/>
      <c r="X9" s="70"/>
      <c r="Y9" s="70"/>
      <c r="AA9" s="70">
        <f>G9</f>
        <v>46207</v>
      </c>
      <c r="AB9" s="70"/>
      <c r="AE9" s="71">
        <f>A9</f>
        <v>46204</v>
      </c>
      <c r="AF9" s="71"/>
      <c r="AH9" s="70"/>
      <c r="AI9" s="70"/>
      <c r="AK9" s="70">
        <f>G9</f>
        <v>46207</v>
      </c>
      <c r="AL9" s="70"/>
      <c r="AO9" s="71">
        <f>A9</f>
        <v>46204</v>
      </c>
      <c r="AP9" s="71"/>
      <c r="AR9" s="70"/>
      <c r="AS9" s="70"/>
      <c r="AU9" s="70">
        <f>G9</f>
        <v>46207</v>
      </c>
      <c r="AV9" s="70"/>
      <c r="AY9" s="71">
        <f>A9</f>
        <v>46204</v>
      </c>
      <c r="AZ9" s="71"/>
      <c r="BB9" s="70"/>
      <c r="BC9" s="70"/>
      <c r="BE9" s="70">
        <f>G9</f>
        <v>46207</v>
      </c>
      <c r="BF9" s="70"/>
      <c r="BI9" s="71">
        <f>A9</f>
        <v>46204</v>
      </c>
      <c r="BJ9" s="71"/>
      <c r="BL9" s="70"/>
      <c r="BM9" s="70"/>
      <c r="BO9" s="70">
        <f>G9</f>
        <v>46207</v>
      </c>
      <c r="BP9" s="70"/>
      <c r="BS9" s="71">
        <f>A9</f>
        <v>46204</v>
      </c>
      <c r="BT9" s="71"/>
      <c r="BV9" s="70"/>
      <c r="BW9" s="70"/>
      <c r="BY9" s="70">
        <f>G9</f>
        <v>46207</v>
      </c>
      <c r="BZ9" s="70"/>
      <c r="CC9" s="71">
        <f>A9</f>
        <v>46204</v>
      </c>
      <c r="CD9" s="71"/>
      <c r="CF9" s="70"/>
      <c r="CG9" s="70"/>
      <c r="CI9" s="70">
        <f>G9</f>
        <v>46207</v>
      </c>
      <c r="CJ9" s="70"/>
      <c r="CM9" s="71">
        <f>A9</f>
        <v>46204</v>
      </c>
      <c r="CN9" s="71"/>
      <c r="CP9" s="70"/>
      <c r="CQ9" s="70"/>
      <c r="CS9" s="70">
        <f>G9</f>
        <v>46207</v>
      </c>
      <c r="CT9" s="70"/>
      <c r="CW9" s="71">
        <f>A9</f>
        <v>46204</v>
      </c>
      <c r="CX9" s="71"/>
      <c r="CZ9" s="70"/>
      <c r="DA9" s="70"/>
      <c r="DC9" s="70">
        <f>G9</f>
        <v>46207</v>
      </c>
      <c r="DD9" s="70"/>
      <c r="DG9" s="71">
        <f>A9</f>
        <v>46204</v>
      </c>
      <c r="DH9" s="71"/>
      <c r="DJ9" s="70"/>
      <c r="DK9" s="70"/>
      <c r="DM9" s="70">
        <f>G9</f>
        <v>46207</v>
      </c>
      <c r="DN9" s="70"/>
      <c r="DQ9" s="71">
        <f>A9</f>
        <v>46204</v>
      </c>
      <c r="DR9" s="71"/>
      <c r="DT9" s="70"/>
      <c r="DU9" s="70"/>
      <c r="DW9" s="70">
        <f>G9</f>
        <v>46207</v>
      </c>
      <c r="DX9" s="70"/>
      <c r="EA9" s="71">
        <f>U9</f>
        <v>46204</v>
      </c>
      <c r="EB9" s="71"/>
      <c r="ED9" s="70"/>
      <c r="EE9" s="70"/>
      <c r="EG9" s="70">
        <f>G9</f>
        <v>46207</v>
      </c>
      <c r="EH9" s="70"/>
      <c r="EK9" s="71">
        <f>A9</f>
        <v>46204</v>
      </c>
      <c r="EL9" s="71"/>
      <c r="EN9" s="70"/>
      <c r="EO9" s="70"/>
      <c r="EQ9" s="70">
        <f>G9</f>
        <v>46207</v>
      </c>
      <c r="ER9" s="70"/>
      <c r="EU9" s="71">
        <f>A9</f>
        <v>46204</v>
      </c>
      <c r="EV9" s="71"/>
      <c r="EX9" s="70"/>
      <c r="EY9" s="70"/>
      <c r="FA9" s="70">
        <f>G9</f>
        <v>46207</v>
      </c>
      <c r="FB9" s="70"/>
      <c r="FE9" s="71">
        <f>A9</f>
        <v>46204</v>
      </c>
      <c r="FF9" s="71"/>
      <c r="FH9" s="70"/>
      <c r="FI9" s="70"/>
      <c r="FK9" s="70">
        <f>G9</f>
        <v>46207</v>
      </c>
      <c r="FL9" s="70"/>
      <c r="FO9" s="71">
        <f>A9-2</f>
        <v>46202</v>
      </c>
      <c r="FP9" s="71"/>
      <c r="FR9" s="70">
        <f>A9+1</f>
        <v>46205</v>
      </c>
      <c r="FS9" s="70"/>
      <c r="FU9" s="70">
        <f>G9</f>
        <v>46207</v>
      </c>
      <c r="FV9" s="70"/>
      <c r="FY9" s="71">
        <f>A9-2</f>
        <v>46202</v>
      </c>
      <c r="FZ9" s="71"/>
      <c r="GB9" s="70">
        <f>A9+1</f>
        <v>46205</v>
      </c>
      <c r="GC9" s="70"/>
      <c r="GE9" s="70">
        <f>G9</f>
        <v>46207</v>
      </c>
      <c r="GF9" s="70"/>
      <c r="GI9" s="71">
        <f>A9-2</f>
        <v>46202</v>
      </c>
      <c r="GJ9" s="71"/>
      <c r="GL9" s="70">
        <f>A9+1</f>
        <v>46205</v>
      </c>
      <c r="GM9" s="70"/>
      <c r="GO9" s="70">
        <f>G9</f>
        <v>46207</v>
      </c>
      <c r="GP9" s="70"/>
      <c r="GS9" s="71">
        <f>A9-2</f>
        <v>46202</v>
      </c>
      <c r="GT9" s="71"/>
      <c r="GV9" s="70">
        <f>A9+1</f>
        <v>46205</v>
      </c>
      <c r="GW9" s="70"/>
      <c r="GY9" s="70">
        <f>G9</f>
        <v>46207</v>
      </c>
      <c r="GZ9" s="70"/>
      <c r="HC9" s="71">
        <f>A9</f>
        <v>46204</v>
      </c>
      <c r="HD9" s="71"/>
      <c r="HF9" s="70"/>
      <c r="HG9" s="70"/>
      <c r="HI9" s="70">
        <f>G9</f>
        <v>46207</v>
      </c>
      <c r="HJ9" s="70"/>
      <c r="HN9" s="10"/>
      <c r="HP9" s="10"/>
      <c r="HQ9" s="9"/>
      <c r="HR9" s="9"/>
      <c r="HT9" s="9"/>
      <c r="HU9" s="9"/>
      <c r="HV9" s="9"/>
      <c r="HW9" s="9"/>
      <c r="IA9" s="9"/>
      <c r="IC9" s="10"/>
      <c r="ID9" s="9"/>
      <c r="IE9" s="9"/>
      <c r="IG9" s="9"/>
      <c r="IH9" s="9"/>
      <c r="II9" s="9"/>
      <c r="IJ9" s="9"/>
      <c r="IM9" s="71">
        <f>A9</f>
        <v>46204</v>
      </c>
      <c r="IN9" s="71"/>
      <c r="IP9" s="70"/>
      <c r="IQ9" s="70"/>
      <c r="IS9" s="70">
        <f>IM9+3</f>
        <v>46207</v>
      </c>
      <c r="IT9" s="70"/>
      <c r="IW9" s="71">
        <f>A9</f>
        <v>46204</v>
      </c>
      <c r="IX9" s="71"/>
      <c r="IZ9" s="70"/>
      <c r="JA9" s="70"/>
      <c r="JC9" s="70">
        <f>IW9+3</f>
        <v>46207</v>
      </c>
      <c r="JD9" s="70"/>
      <c r="JG9" s="71">
        <f>A9-2</f>
        <v>46202</v>
      </c>
      <c r="JH9" s="71"/>
      <c r="JJ9" s="70"/>
      <c r="JK9" s="70"/>
      <c r="JM9" s="70"/>
      <c r="JN9" s="70"/>
      <c r="JQ9" s="71">
        <f>A9+1</f>
        <v>46205</v>
      </c>
      <c r="JR9" s="71"/>
      <c r="JT9" s="70"/>
      <c r="JU9" s="70"/>
      <c r="JW9" s="70"/>
      <c r="JX9" s="70"/>
    </row>
    <row r="10" spans="1:286" s="20" customFormat="1" ht="54" customHeight="1" x14ac:dyDescent="0.3">
      <c r="A10" s="18" t="s">
        <v>28</v>
      </c>
      <c r="B10" s="19" t="s">
        <v>29</v>
      </c>
      <c r="D10" s="18" t="s">
        <v>28</v>
      </c>
      <c r="E10" s="19" t="s">
        <v>29</v>
      </c>
      <c r="G10" s="18" t="s">
        <v>28</v>
      </c>
      <c r="H10" s="19" t="s">
        <v>29</v>
      </c>
      <c r="J10" s="19" t="s">
        <v>19</v>
      </c>
      <c r="K10" s="18" t="s">
        <v>28</v>
      </c>
      <c r="L10" s="19" t="s">
        <v>29</v>
      </c>
      <c r="N10" s="18" t="s">
        <v>28</v>
      </c>
      <c r="O10" s="19" t="s">
        <v>29</v>
      </c>
      <c r="Q10" s="18" t="s">
        <v>28</v>
      </c>
      <c r="R10" s="19" t="s">
        <v>29</v>
      </c>
      <c r="T10" s="19" t="s">
        <v>19</v>
      </c>
      <c r="U10" s="18" t="s">
        <v>28</v>
      </c>
      <c r="V10" s="19" t="s">
        <v>29</v>
      </c>
      <c r="X10" s="18" t="s">
        <v>28</v>
      </c>
      <c r="Y10" s="19" t="s">
        <v>29</v>
      </c>
      <c r="AA10" s="18" t="s">
        <v>28</v>
      </c>
      <c r="AB10" s="19" t="s">
        <v>29</v>
      </c>
      <c r="AD10" s="19" t="s">
        <v>19</v>
      </c>
      <c r="AE10" s="18" t="s">
        <v>28</v>
      </c>
      <c r="AF10" s="19" t="s">
        <v>29</v>
      </c>
      <c r="AH10" s="18" t="s">
        <v>28</v>
      </c>
      <c r="AI10" s="19" t="s">
        <v>29</v>
      </c>
      <c r="AK10" s="18" t="s">
        <v>28</v>
      </c>
      <c r="AL10" s="19" t="s">
        <v>29</v>
      </c>
      <c r="AN10" s="19" t="s">
        <v>19</v>
      </c>
      <c r="AO10" s="18" t="s">
        <v>28</v>
      </c>
      <c r="AP10" s="19" t="s">
        <v>29</v>
      </c>
      <c r="AR10" s="18" t="s">
        <v>28</v>
      </c>
      <c r="AS10" s="19" t="s">
        <v>29</v>
      </c>
      <c r="AU10" s="18" t="s">
        <v>28</v>
      </c>
      <c r="AV10" s="19" t="s">
        <v>29</v>
      </c>
      <c r="AX10" s="19" t="s">
        <v>19</v>
      </c>
      <c r="AY10" s="18" t="s">
        <v>28</v>
      </c>
      <c r="AZ10" s="19" t="s">
        <v>29</v>
      </c>
      <c r="BB10" s="18" t="s">
        <v>28</v>
      </c>
      <c r="BC10" s="19" t="s">
        <v>29</v>
      </c>
      <c r="BE10" s="18" t="s">
        <v>28</v>
      </c>
      <c r="BF10" s="19" t="s">
        <v>29</v>
      </c>
      <c r="BH10" s="19" t="s">
        <v>19</v>
      </c>
      <c r="BI10" s="18" t="s">
        <v>28</v>
      </c>
      <c r="BJ10" s="19" t="s">
        <v>29</v>
      </c>
      <c r="BL10" s="18" t="s">
        <v>28</v>
      </c>
      <c r="BM10" s="19" t="s">
        <v>29</v>
      </c>
      <c r="BO10" s="18" t="s">
        <v>28</v>
      </c>
      <c r="BP10" s="19" t="s">
        <v>29</v>
      </c>
      <c r="BR10" s="19" t="s">
        <v>19</v>
      </c>
      <c r="BS10" s="18" t="s">
        <v>28</v>
      </c>
      <c r="BT10" s="19" t="s">
        <v>29</v>
      </c>
      <c r="BV10" s="18" t="s">
        <v>28</v>
      </c>
      <c r="BW10" s="19" t="s">
        <v>29</v>
      </c>
      <c r="BY10" s="18" t="s">
        <v>28</v>
      </c>
      <c r="BZ10" s="19" t="s">
        <v>29</v>
      </c>
      <c r="CB10" s="19" t="s">
        <v>19</v>
      </c>
      <c r="CC10" s="18" t="s">
        <v>28</v>
      </c>
      <c r="CD10" s="19" t="s">
        <v>29</v>
      </c>
      <c r="CF10" s="18" t="s">
        <v>28</v>
      </c>
      <c r="CG10" s="19" t="s">
        <v>29</v>
      </c>
      <c r="CI10" s="18" t="s">
        <v>28</v>
      </c>
      <c r="CJ10" s="19" t="s">
        <v>29</v>
      </c>
      <c r="CL10" s="19" t="s">
        <v>19</v>
      </c>
      <c r="CM10" s="18" t="s">
        <v>28</v>
      </c>
      <c r="CN10" s="19" t="s">
        <v>29</v>
      </c>
      <c r="CP10" s="18" t="s">
        <v>28</v>
      </c>
      <c r="CQ10" s="19" t="s">
        <v>29</v>
      </c>
      <c r="CS10" s="18" t="s">
        <v>28</v>
      </c>
      <c r="CT10" s="19" t="s">
        <v>29</v>
      </c>
      <c r="CV10" s="19" t="s">
        <v>19</v>
      </c>
      <c r="CW10" s="18" t="s">
        <v>28</v>
      </c>
      <c r="CX10" s="19" t="s">
        <v>29</v>
      </c>
      <c r="CZ10" s="18" t="s">
        <v>28</v>
      </c>
      <c r="DA10" s="19" t="s">
        <v>29</v>
      </c>
      <c r="DC10" s="18" t="s">
        <v>28</v>
      </c>
      <c r="DD10" s="19" t="s">
        <v>29</v>
      </c>
      <c r="DF10" s="19" t="s">
        <v>19</v>
      </c>
      <c r="DG10" s="18" t="s">
        <v>28</v>
      </c>
      <c r="DH10" s="19" t="s">
        <v>29</v>
      </c>
      <c r="DJ10" s="18" t="s">
        <v>28</v>
      </c>
      <c r="DK10" s="19" t="s">
        <v>29</v>
      </c>
      <c r="DM10" s="18" t="s">
        <v>28</v>
      </c>
      <c r="DN10" s="19" t="s">
        <v>29</v>
      </c>
      <c r="DP10" s="19" t="s">
        <v>19</v>
      </c>
      <c r="DQ10" s="18" t="s">
        <v>28</v>
      </c>
      <c r="DR10" s="19" t="s">
        <v>29</v>
      </c>
      <c r="DT10" s="18"/>
      <c r="DU10" s="19"/>
      <c r="DW10" s="18" t="s">
        <v>28</v>
      </c>
      <c r="DX10" s="19" t="s">
        <v>29</v>
      </c>
      <c r="DZ10" s="19" t="s">
        <v>19</v>
      </c>
      <c r="EA10" s="18" t="s">
        <v>28</v>
      </c>
      <c r="EB10" s="19" t="s">
        <v>29</v>
      </c>
      <c r="ED10" s="18" t="s">
        <v>28</v>
      </c>
      <c r="EE10" s="19" t="s">
        <v>29</v>
      </c>
      <c r="EG10" s="18" t="s">
        <v>28</v>
      </c>
      <c r="EH10" s="19" t="s">
        <v>29</v>
      </c>
      <c r="EJ10" s="19" t="s">
        <v>19</v>
      </c>
      <c r="EK10" s="18" t="s">
        <v>28</v>
      </c>
      <c r="EL10" s="19" t="s">
        <v>29</v>
      </c>
      <c r="EN10" s="18" t="s">
        <v>28</v>
      </c>
      <c r="EO10" s="19" t="s">
        <v>29</v>
      </c>
      <c r="EQ10" s="18" t="s">
        <v>28</v>
      </c>
      <c r="ER10" s="19" t="s">
        <v>29</v>
      </c>
      <c r="ET10" s="19" t="s">
        <v>19</v>
      </c>
      <c r="EU10" s="18" t="s">
        <v>28</v>
      </c>
      <c r="EV10" s="19" t="s">
        <v>29</v>
      </c>
      <c r="EX10" s="18" t="s">
        <v>28</v>
      </c>
      <c r="EY10" s="19" t="s">
        <v>29</v>
      </c>
      <c r="FA10" s="18" t="s">
        <v>28</v>
      </c>
      <c r="FB10" s="19" t="s">
        <v>29</v>
      </c>
      <c r="FD10" s="19" t="s">
        <v>19</v>
      </c>
      <c r="FE10" s="18" t="s">
        <v>28</v>
      </c>
      <c r="FF10" s="19" t="s">
        <v>29</v>
      </c>
      <c r="FH10" s="18" t="s">
        <v>28</v>
      </c>
      <c r="FI10" s="19" t="s">
        <v>29</v>
      </c>
      <c r="FK10" s="18" t="s">
        <v>28</v>
      </c>
      <c r="FL10" s="19" t="s">
        <v>29</v>
      </c>
      <c r="FN10" s="19" t="s">
        <v>19</v>
      </c>
      <c r="FO10" s="18" t="s">
        <v>28</v>
      </c>
      <c r="FP10" s="19" t="s">
        <v>29</v>
      </c>
      <c r="FR10" s="18" t="s">
        <v>28</v>
      </c>
      <c r="FS10" s="19" t="s">
        <v>29</v>
      </c>
      <c r="FU10" s="18" t="s">
        <v>28</v>
      </c>
      <c r="FV10" s="19" t="s">
        <v>29</v>
      </c>
      <c r="FX10" s="19" t="s">
        <v>19</v>
      </c>
      <c r="FY10" s="18" t="s">
        <v>28</v>
      </c>
      <c r="FZ10" s="19" t="s">
        <v>29</v>
      </c>
      <c r="GB10" s="18" t="s">
        <v>28</v>
      </c>
      <c r="GC10" s="19" t="s">
        <v>29</v>
      </c>
      <c r="GE10" s="18" t="s">
        <v>28</v>
      </c>
      <c r="GF10" s="19" t="s">
        <v>29</v>
      </c>
      <c r="GH10" s="19" t="s">
        <v>19</v>
      </c>
      <c r="GI10" s="18" t="s">
        <v>28</v>
      </c>
      <c r="GJ10" s="19" t="s">
        <v>29</v>
      </c>
      <c r="GL10" s="18" t="s">
        <v>28</v>
      </c>
      <c r="GM10" s="19" t="s">
        <v>29</v>
      </c>
      <c r="GO10" s="18" t="s">
        <v>28</v>
      </c>
      <c r="GP10" s="19" t="s">
        <v>29</v>
      </c>
      <c r="GR10" s="19" t="s">
        <v>19</v>
      </c>
      <c r="GS10" s="18" t="s">
        <v>28</v>
      </c>
      <c r="GT10" s="19" t="s">
        <v>29</v>
      </c>
      <c r="GV10" s="18" t="s">
        <v>28</v>
      </c>
      <c r="GW10" s="19" t="s">
        <v>29</v>
      </c>
      <c r="GY10" s="18" t="s">
        <v>28</v>
      </c>
      <c r="GZ10" s="19" t="s">
        <v>29</v>
      </c>
      <c r="HB10" s="19" t="s">
        <v>19</v>
      </c>
      <c r="HC10" s="21" t="s">
        <v>28</v>
      </c>
      <c r="HD10" s="19" t="s">
        <v>29</v>
      </c>
      <c r="HF10" s="18" t="s">
        <v>28</v>
      </c>
      <c r="HG10" s="19" t="s">
        <v>29</v>
      </c>
      <c r="HI10" s="18" t="s">
        <v>28</v>
      </c>
      <c r="HJ10" s="19" t="s">
        <v>29</v>
      </c>
      <c r="HL10" s="19" t="s">
        <v>19</v>
      </c>
      <c r="HM10" s="22" t="s">
        <v>28</v>
      </c>
      <c r="HN10" s="37" t="s">
        <v>30</v>
      </c>
      <c r="HO10" s="23" t="s">
        <v>31</v>
      </c>
      <c r="HP10" s="37" t="s">
        <v>32</v>
      </c>
      <c r="HQ10" s="23" t="s">
        <v>33</v>
      </c>
      <c r="HR10" s="37" t="s">
        <v>34</v>
      </c>
      <c r="HS10" s="23" t="s">
        <v>35</v>
      </c>
      <c r="HT10" s="37" t="s">
        <v>36</v>
      </c>
      <c r="HU10" s="23" t="s">
        <v>37</v>
      </c>
      <c r="HV10" s="37" t="s">
        <v>38</v>
      </c>
      <c r="HW10" s="23" t="s">
        <v>39</v>
      </c>
      <c r="HX10" s="37" t="s">
        <v>40</v>
      </c>
      <c r="HY10" s="23" t="s">
        <v>70</v>
      </c>
      <c r="HZ10" s="22" t="s">
        <v>28</v>
      </c>
      <c r="IA10" s="37" t="s">
        <v>71</v>
      </c>
      <c r="IB10" s="23" t="s">
        <v>72</v>
      </c>
      <c r="IC10" s="37" t="s">
        <v>73</v>
      </c>
      <c r="ID10" s="23" t="s">
        <v>61</v>
      </c>
      <c r="IE10" s="37" t="s">
        <v>62</v>
      </c>
      <c r="IF10" s="23" t="s">
        <v>63</v>
      </c>
      <c r="IG10" s="37" t="s">
        <v>74</v>
      </c>
      <c r="IH10" s="23" t="s">
        <v>75</v>
      </c>
      <c r="II10" s="37" t="s">
        <v>76</v>
      </c>
      <c r="IJ10" s="23"/>
      <c r="IK10" s="37"/>
      <c r="IL10" s="23" t="s">
        <v>19</v>
      </c>
      <c r="IM10" s="18" t="s">
        <v>28</v>
      </c>
      <c r="IN10" s="19" t="s">
        <v>29</v>
      </c>
      <c r="IP10" s="18" t="s">
        <v>28</v>
      </c>
      <c r="IQ10" s="19" t="s">
        <v>29</v>
      </c>
      <c r="IS10" s="18" t="s">
        <v>28</v>
      </c>
      <c r="IT10" s="19" t="s">
        <v>29</v>
      </c>
      <c r="IV10" s="19" t="s">
        <v>19</v>
      </c>
      <c r="IW10" s="18" t="s">
        <v>28</v>
      </c>
      <c r="IX10" s="19" t="s">
        <v>29</v>
      </c>
      <c r="IZ10" s="18" t="s">
        <v>28</v>
      </c>
      <c r="JA10" s="19" t="s">
        <v>29</v>
      </c>
      <c r="JC10" s="18" t="s">
        <v>28</v>
      </c>
      <c r="JD10" s="19" t="s">
        <v>29</v>
      </c>
      <c r="JF10" s="19" t="s">
        <v>19</v>
      </c>
      <c r="JG10" s="18" t="s">
        <v>28</v>
      </c>
      <c r="JH10" s="19" t="s">
        <v>29</v>
      </c>
      <c r="JJ10" s="18" t="s">
        <v>28</v>
      </c>
      <c r="JK10" s="19" t="s">
        <v>29</v>
      </c>
      <c r="JM10" s="18" t="s">
        <v>28</v>
      </c>
      <c r="JN10" s="19" t="s">
        <v>29</v>
      </c>
      <c r="JP10" s="41" t="s">
        <v>19</v>
      </c>
      <c r="JQ10" s="18" t="s">
        <v>28</v>
      </c>
      <c r="JR10" s="19" t="s">
        <v>29</v>
      </c>
      <c r="JT10" s="18" t="s">
        <v>28</v>
      </c>
      <c r="JU10" s="19" t="s">
        <v>29</v>
      </c>
      <c r="JW10" s="18" t="s">
        <v>28</v>
      </c>
      <c r="JX10" s="19" t="s">
        <v>29</v>
      </c>
      <c r="JZ10" s="41" t="s">
        <v>19</v>
      </c>
    </row>
    <row r="11" spans="1:286" s="7" customFormat="1" ht="54" customHeight="1" x14ac:dyDescent="0.65">
      <c r="A11" s="42" t="s">
        <v>41</v>
      </c>
      <c r="B11" s="43">
        <v>7</v>
      </c>
      <c r="D11" s="42"/>
      <c r="E11" s="43"/>
      <c r="G11" s="42" t="str">
        <f t="shared" ref="G11:G29" si="0">A11</f>
        <v>STEAK TACO</v>
      </c>
      <c r="H11" s="43">
        <v>8</v>
      </c>
      <c r="J11" s="44">
        <f t="shared" ref="J11:J29" si="1">B11+E11+H11</f>
        <v>15</v>
      </c>
      <c r="K11" s="42" t="str">
        <f t="shared" ref="K11:K29" si="2">A11</f>
        <v>STEAK TACO</v>
      </c>
      <c r="L11" s="43">
        <v>24</v>
      </c>
      <c r="N11" s="42"/>
      <c r="O11" s="43"/>
      <c r="Q11" s="42" t="str">
        <f t="shared" ref="Q11:Q29" si="3">A11</f>
        <v>STEAK TACO</v>
      </c>
      <c r="R11" s="43">
        <v>12</v>
      </c>
      <c r="T11" s="44">
        <f t="shared" ref="T11:T29" si="4">L11+O11+R11</f>
        <v>36</v>
      </c>
      <c r="U11" s="42" t="str">
        <f t="shared" ref="U11:U29" si="5">A11</f>
        <v>STEAK TACO</v>
      </c>
      <c r="V11" s="43">
        <v>11</v>
      </c>
      <c r="X11" s="42"/>
      <c r="Y11" s="43"/>
      <c r="AA11" s="42" t="str">
        <f t="shared" ref="AA11:AA29" si="6">A11</f>
        <v>STEAK TACO</v>
      </c>
      <c r="AB11" s="43">
        <v>8</v>
      </c>
      <c r="AD11" s="44">
        <f t="shared" ref="AD11:AD29" si="7">V11+Y11+AB11</f>
        <v>19</v>
      </c>
      <c r="AE11" s="42" t="str">
        <f t="shared" ref="AE11:AE29" si="8">A11</f>
        <v>STEAK TACO</v>
      </c>
      <c r="AF11" s="43">
        <v>14</v>
      </c>
      <c r="AH11" s="42"/>
      <c r="AI11" s="43"/>
      <c r="AK11" s="42" t="str">
        <f t="shared" ref="AK11:AK29" si="9">A11</f>
        <v>STEAK TACO</v>
      </c>
      <c r="AL11" s="43">
        <v>12</v>
      </c>
      <c r="AN11" s="44">
        <f t="shared" ref="AN11:AN29" si="10">AF11+AI11+AL11</f>
        <v>26</v>
      </c>
      <c r="AO11" s="42" t="str">
        <f t="shared" ref="AO11:AO29" si="11">A11</f>
        <v>STEAK TACO</v>
      </c>
      <c r="AP11" s="43">
        <v>8</v>
      </c>
      <c r="AR11" s="42"/>
      <c r="AS11" s="43"/>
      <c r="AU11" s="42" t="str">
        <f t="shared" ref="AU11:AU29" si="12">A11</f>
        <v>STEAK TACO</v>
      </c>
      <c r="AV11" s="43">
        <v>6</v>
      </c>
      <c r="AX11" s="44">
        <f t="shared" ref="AX11:AX29" si="13">AP11+AS11+AV11</f>
        <v>14</v>
      </c>
      <c r="AY11" s="42" t="str">
        <f t="shared" ref="AY11:AY29" si="14">A11</f>
        <v>STEAK TACO</v>
      </c>
      <c r="AZ11" s="43">
        <v>12</v>
      </c>
      <c r="BB11" s="42"/>
      <c r="BC11" s="43"/>
      <c r="BE11" s="42" t="str">
        <f t="shared" ref="BE11:BE29" si="15">A11</f>
        <v>STEAK TACO</v>
      </c>
      <c r="BF11" s="43">
        <v>3</v>
      </c>
      <c r="BH11" s="44">
        <f t="shared" ref="BH11:BH29" si="16">AZ11+BC11+BF11</f>
        <v>15</v>
      </c>
      <c r="BI11" s="42" t="str">
        <f t="shared" ref="BI11:BI29" si="17">A11</f>
        <v>STEAK TACO</v>
      </c>
      <c r="BJ11" s="43">
        <v>9</v>
      </c>
      <c r="BL11" s="42"/>
      <c r="BM11" s="43"/>
      <c r="BO11" s="42" t="str">
        <f t="shared" ref="BO11:BO29" si="18">A11</f>
        <v>STEAK TACO</v>
      </c>
      <c r="BP11" s="43">
        <v>6</v>
      </c>
      <c r="BR11" s="44">
        <f t="shared" ref="BR11:BR29" si="19">BJ11+BM11+BP11</f>
        <v>15</v>
      </c>
      <c r="BS11" s="42" t="str">
        <f t="shared" ref="BS11:BS29" si="20">A11</f>
        <v>STEAK TACO</v>
      </c>
      <c r="BT11" s="43">
        <v>12</v>
      </c>
      <c r="BV11" s="42"/>
      <c r="BW11" s="43"/>
      <c r="BY11" s="42" t="str">
        <f t="shared" ref="BY11:BY29" si="21">A11</f>
        <v>STEAK TACO</v>
      </c>
      <c r="BZ11" s="43">
        <v>18</v>
      </c>
      <c r="CB11" s="44">
        <f t="shared" ref="CB11:CB29" si="22">BT11+BW11+BZ11</f>
        <v>30</v>
      </c>
      <c r="CC11" s="42" t="str">
        <f t="shared" ref="CC11:CC29" si="23">A11</f>
        <v>STEAK TACO</v>
      </c>
      <c r="CD11" s="43">
        <v>8</v>
      </c>
      <c r="CF11" s="42"/>
      <c r="CG11" s="43"/>
      <c r="CI11" s="42" t="str">
        <f t="shared" ref="CI11:CI29" si="24">A11</f>
        <v>STEAK TACO</v>
      </c>
      <c r="CJ11" s="43">
        <v>9</v>
      </c>
      <c r="CL11" s="44">
        <f t="shared" ref="CL11:CL29" si="25">CD11+CG11+CJ11</f>
        <v>17</v>
      </c>
      <c r="CM11" s="42" t="str">
        <f t="shared" ref="CM11:CM29" si="26">A11</f>
        <v>STEAK TACO</v>
      </c>
      <c r="CN11" s="43">
        <v>5</v>
      </c>
      <c r="CP11" s="42"/>
      <c r="CQ11" s="43"/>
      <c r="CS11" s="42" t="str">
        <f t="shared" ref="CS11:CS29" si="27">A11</f>
        <v>STEAK TACO</v>
      </c>
      <c r="CT11" s="43">
        <v>4</v>
      </c>
      <c r="CV11" s="44">
        <f t="shared" ref="CV11:CV29" si="28">CN11+CQ11+CT11</f>
        <v>9</v>
      </c>
      <c r="CW11" s="42" t="str">
        <f t="shared" ref="CW11:CW29" si="29">A11</f>
        <v>STEAK TACO</v>
      </c>
      <c r="CX11" s="43">
        <v>8</v>
      </c>
      <c r="CZ11" s="42"/>
      <c r="DA11" s="43"/>
      <c r="DC11" s="42" t="str">
        <f t="shared" ref="DC11:DC16" si="30">AE11</f>
        <v>STEAK TACO</v>
      </c>
      <c r="DD11" s="43">
        <v>10</v>
      </c>
      <c r="DF11" s="44">
        <f t="shared" ref="DF11:DF29" si="31">CX11+DA11+DD11</f>
        <v>18</v>
      </c>
      <c r="DG11" s="42" t="str">
        <f t="shared" ref="DG11:DG29" si="32">A11</f>
        <v>STEAK TACO</v>
      </c>
      <c r="DH11" s="43"/>
      <c r="DJ11" s="42"/>
      <c r="DK11" s="43"/>
      <c r="DM11" s="42" t="str">
        <f t="shared" ref="DM11:DM29" si="33">A11</f>
        <v>STEAK TACO</v>
      </c>
      <c r="DN11" s="43"/>
      <c r="DP11" s="44">
        <f t="shared" ref="DP11:DP29" si="34">DH11+DK11+DN11</f>
        <v>0</v>
      </c>
      <c r="DQ11" s="42" t="str">
        <f t="shared" ref="DQ11:DQ29" si="35">AE11</f>
        <v>STEAK TACO</v>
      </c>
      <c r="DR11" s="43"/>
      <c r="DT11" s="42"/>
      <c r="DU11" s="43"/>
      <c r="DW11" s="42" t="str">
        <f t="shared" ref="DW11:DW29" si="36">AE11</f>
        <v>STEAK TACO</v>
      </c>
      <c r="DX11" s="43"/>
      <c r="DZ11" s="44">
        <f t="shared" ref="DZ11:DZ29" si="37">DR11+DU11+DX11</f>
        <v>0</v>
      </c>
      <c r="EA11" s="42" t="str">
        <f t="shared" ref="EA11:EA29" si="38">A11</f>
        <v>STEAK TACO</v>
      </c>
      <c r="EB11" s="43"/>
      <c r="ED11" s="42" t="str">
        <f t="shared" ref="ED11:ED29" si="39">A11</f>
        <v>STEAK TACO</v>
      </c>
      <c r="EE11" s="43"/>
      <c r="EG11" s="42" t="str">
        <f t="shared" ref="EG11:EG29" si="40">A11</f>
        <v>STEAK TACO</v>
      </c>
      <c r="EH11" s="43"/>
      <c r="EJ11" s="44">
        <f t="shared" ref="EJ11:EJ29" si="41">EB11+EE11+EH11</f>
        <v>0</v>
      </c>
      <c r="EK11" s="42" t="str">
        <f t="shared" ref="EK11:EK29" si="42">A11</f>
        <v>STEAK TACO</v>
      </c>
      <c r="EL11" s="43"/>
      <c r="EN11" s="42" t="str">
        <f t="shared" ref="EN11:EN29" si="43">A11</f>
        <v>STEAK TACO</v>
      </c>
      <c r="EO11" s="43"/>
      <c r="EQ11" s="42" t="str">
        <f t="shared" ref="EQ11:EQ29" si="44">A11</f>
        <v>STEAK TACO</v>
      </c>
      <c r="ER11" s="43"/>
      <c r="ET11" s="44">
        <f t="shared" ref="ET11:ET29" si="45">EL11+EO11+ER11</f>
        <v>0</v>
      </c>
      <c r="EU11" s="42" t="str">
        <f t="shared" ref="EU11:EU29" si="46">A11</f>
        <v>STEAK TACO</v>
      </c>
      <c r="EV11" s="43">
        <v>6</v>
      </c>
      <c r="EX11" s="42" t="str">
        <f t="shared" ref="EX11:EX29" si="47">A11</f>
        <v>STEAK TACO</v>
      </c>
      <c r="EY11" s="43"/>
      <c r="FA11" s="42" t="str">
        <f t="shared" ref="FA11:FA29" si="48">A11</f>
        <v>STEAK TACO</v>
      </c>
      <c r="FB11" s="43"/>
      <c r="FD11" s="44">
        <f t="shared" ref="FD11:FD29" si="49">EV11+EY11+FB11</f>
        <v>6</v>
      </c>
      <c r="FE11" s="42" t="str">
        <f t="shared" ref="FE11:FE29" si="50">A11</f>
        <v>STEAK TACO</v>
      </c>
      <c r="FF11" s="43">
        <v>10</v>
      </c>
      <c r="FH11" s="42" t="str">
        <f t="shared" ref="FH11:FH29" si="51">A11</f>
        <v>STEAK TACO</v>
      </c>
      <c r="FI11" s="43"/>
      <c r="FK11" s="42" t="str">
        <f t="shared" ref="FK11:FK29" si="52">A11</f>
        <v>STEAK TACO</v>
      </c>
      <c r="FL11" s="43"/>
      <c r="FN11" s="44">
        <f t="shared" ref="FN11:FN29" si="53">FF11+FI11+FL11</f>
        <v>10</v>
      </c>
      <c r="FO11" s="42" t="str">
        <f t="shared" ref="FO11:FO29" si="54">K11</f>
        <v>STEAK TACO</v>
      </c>
      <c r="FP11" s="43"/>
      <c r="FR11" s="42" t="str">
        <f t="shared" ref="FR11:FR29" si="55">K11</f>
        <v>STEAK TACO</v>
      </c>
      <c r="FS11" s="43"/>
      <c r="FU11" s="42" t="str">
        <f t="shared" ref="FU11:FU29" si="56">K11</f>
        <v>STEAK TACO</v>
      </c>
      <c r="FV11" s="43"/>
      <c r="FX11" s="44">
        <f t="shared" ref="FX11:FX29" si="57">FP11+FS11+FV11</f>
        <v>0</v>
      </c>
      <c r="FY11" s="42" t="str">
        <f t="shared" ref="FY11:FY29" si="58">U11</f>
        <v>STEAK TACO</v>
      </c>
      <c r="FZ11" s="43"/>
      <c r="GB11" s="42" t="str">
        <f t="shared" ref="GB11:GB29" si="59">U11</f>
        <v>STEAK TACO</v>
      </c>
      <c r="GC11" s="43"/>
      <c r="GE11" s="42" t="str">
        <f t="shared" ref="GE11:GE29" si="60">U11</f>
        <v>STEAK TACO</v>
      </c>
      <c r="GF11" s="43"/>
      <c r="GH11" s="44">
        <f t="shared" ref="GH11:GH29" si="61">FZ11+GC11+GF11</f>
        <v>0</v>
      </c>
      <c r="GI11" s="42" t="str">
        <f t="shared" ref="GI11:GI29" si="62">AE11</f>
        <v>STEAK TACO</v>
      </c>
      <c r="GJ11" s="43"/>
      <c r="GL11" s="42" t="str">
        <f t="shared" ref="GL11:GL29" si="63">AE11</f>
        <v>STEAK TACO</v>
      </c>
      <c r="GM11" s="43"/>
      <c r="GO11" s="42" t="str">
        <f t="shared" ref="GO11:GO29" si="64">AE11</f>
        <v>STEAK TACO</v>
      </c>
      <c r="GP11" s="43"/>
      <c r="GR11" s="44">
        <f>GJ11+GM11+GP11</f>
        <v>0</v>
      </c>
      <c r="GS11" s="42" t="str">
        <f t="shared" ref="GS11:GS29" si="65">AO11</f>
        <v>STEAK TACO</v>
      </c>
      <c r="GT11" s="43"/>
      <c r="GV11" s="42" t="str">
        <f t="shared" ref="GV11:GV29" si="66">AO11</f>
        <v>STEAK TACO</v>
      </c>
      <c r="GW11" s="43"/>
      <c r="GY11" s="42" t="str">
        <f t="shared" ref="GY11:GY29" si="67">AO11</f>
        <v>STEAK TACO</v>
      </c>
      <c r="GZ11" s="43"/>
      <c r="HB11" s="44">
        <f t="shared" ref="HB11:HB29" si="68">GT11+GW11+GZ11</f>
        <v>0</v>
      </c>
      <c r="HC11" s="42" t="str">
        <f t="shared" ref="HC11:HC29" si="69">A11</f>
        <v>STEAK TACO</v>
      </c>
      <c r="HD11" s="43">
        <f t="shared" ref="HD11:HD12" si="70">B11+L11+V11+AF11+AP11+AZ11+BJ11+BT11+CD11+CN11+CX11+DH11+DR11+EB11+EL11+EV11+FF11</f>
        <v>134</v>
      </c>
      <c r="HF11" s="42" t="str">
        <f t="shared" ref="HF11:HF29" si="71">A11</f>
        <v>STEAK TACO</v>
      </c>
      <c r="HG11" s="43">
        <f>E11+O11+Y11+AI11+AS11+BC11+BM11+BW11+CG11+CQ11+DA11+DK11+DU11+EE11+EO11+EY11+FI11</f>
        <v>0</v>
      </c>
      <c r="HI11" s="42" t="str">
        <f t="shared" ref="HI11:HI29" si="72">A11</f>
        <v>STEAK TACO</v>
      </c>
      <c r="HJ11" s="43">
        <f>H11+R11+AB11+AL11+AV11+BF11+BP11+BZ11+CJ11+CT11+DD11+DN11+DX11+EH11+ER11+FB11+FL11</f>
        <v>96</v>
      </c>
      <c r="HL11" s="43">
        <f>J11+T11+AD11+AN11+AX11+BH11+BR11+CB11+CL11+CV11+DF11+DP11+DZ11+EJ11+ET11+FD11+FN11+FX11+GH11+GR11+HB11</f>
        <v>230</v>
      </c>
      <c r="HM11" s="42" t="str">
        <f t="shared" ref="HM11:HM29" si="73">A11</f>
        <v>STEAK TACO</v>
      </c>
      <c r="HN11" s="45">
        <f t="shared" ref="HN11:HN29" si="74">J11</f>
        <v>15</v>
      </c>
      <c r="HO11" s="44">
        <f t="shared" ref="HO11:HO29" si="75">T11</f>
        <v>36</v>
      </c>
      <c r="HP11" s="45">
        <f t="shared" ref="HP11:HP29" si="76">AD11</f>
        <v>19</v>
      </c>
      <c r="HQ11" s="44">
        <f t="shared" ref="HQ11:HQ29" si="77">AN11</f>
        <v>26</v>
      </c>
      <c r="HR11" s="45">
        <f t="shared" ref="HR11:HR29" si="78">AX11</f>
        <v>14</v>
      </c>
      <c r="HS11" s="44">
        <f t="shared" ref="HS11:HS29" si="79">BH11</f>
        <v>15</v>
      </c>
      <c r="HT11" s="45">
        <f t="shared" ref="HT11:HT29" si="80">BR11</f>
        <v>15</v>
      </c>
      <c r="HU11" s="44">
        <f t="shared" ref="HU11:HU29" si="81">CB11</f>
        <v>30</v>
      </c>
      <c r="HV11" s="45">
        <f t="shared" ref="HV11:HV29" si="82">CL11</f>
        <v>17</v>
      </c>
      <c r="HW11" s="44">
        <f t="shared" ref="HW11:HW29" si="83">CV11</f>
        <v>9</v>
      </c>
      <c r="HX11" s="45">
        <f t="shared" ref="HX11:HX29" si="84">DF11</f>
        <v>18</v>
      </c>
      <c r="HY11" s="44">
        <f t="shared" ref="HY11:HY29" si="85">DP11</f>
        <v>0</v>
      </c>
      <c r="HZ11" s="42" t="str">
        <f t="shared" ref="HZ11:HZ29" si="86">A11</f>
        <v>STEAK TACO</v>
      </c>
      <c r="IA11" s="45">
        <f t="shared" ref="IA11:IA29" si="87">DZ11</f>
        <v>0</v>
      </c>
      <c r="IB11" s="44">
        <f>EJ11</f>
        <v>0</v>
      </c>
      <c r="IC11" s="45">
        <f>ET11</f>
        <v>0</v>
      </c>
      <c r="ID11" s="44">
        <f>FD11</f>
        <v>6</v>
      </c>
      <c r="IE11" s="45">
        <f>FN11</f>
        <v>10</v>
      </c>
      <c r="IF11" s="44">
        <f>FX11</f>
        <v>0</v>
      </c>
      <c r="IG11" s="45">
        <f>GH11</f>
        <v>0</v>
      </c>
      <c r="IH11" s="44">
        <f>GR11</f>
        <v>0</v>
      </c>
      <c r="II11" s="45">
        <f>HB11</f>
        <v>0</v>
      </c>
      <c r="IJ11" s="44"/>
      <c r="IK11" s="45"/>
      <c r="IL11" s="44">
        <f>SUM(HN11:HY11)+SUM(IA11:IK11)</f>
        <v>230</v>
      </c>
      <c r="IM11" s="42" t="str">
        <f t="shared" ref="IM11:IM29" si="88">A11</f>
        <v>STEAK TACO</v>
      </c>
      <c r="IN11" s="43">
        <f>B11+L11+V11+AF11+AZ11+BJ11+CD11+EL11+EV11+FF11</f>
        <v>101</v>
      </c>
      <c r="IP11" s="42" t="str">
        <f>A11</f>
        <v>STEAK TACO</v>
      </c>
      <c r="IQ11" s="43">
        <f>E11+O11+Y11+AI11+BC11+BM11+CG11+EO11+EY11+FI11</f>
        <v>0</v>
      </c>
      <c r="IS11" s="42" t="str">
        <f t="shared" ref="IS11:IS29" si="89">A11</f>
        <v>STEAK TACO</v>
      </c>
      <c r="IT11" s="43">
        <f>H11+R11+AB11+AL11+BF11+BP11+CJ11+ER11+FB11+FL11</f>
        <v>58</v>
      </c>
      <c r="IV11" s="44"/>
      <c r="IW11" s="42" t="str">
        <f t="shared" ref="IW11:IW29" si="90">A11</f>
        <v>STEAK TACO</v>
      </c>
      <c r="IX11" s="43">
        <f>AP11+BT11</f>
        <v>20</v>
      </c>
      <c r="IZ11" s="42" t="str">
        <f>A11</f>
        <v>STEAK TACO</v>
      </c>
      <c r="JA11" s="43">
        <f>AS11+BW11+CQ11+DA11+DK11+DU11</f>
        <v>0</v>
      </c>
      <c r="JC11" s="42" t="str">
        <f t="shared" ref="JC11:JC29" si="91">A11</f>
        <v>STEAK TACO</v>
      </c>
      <c r="JD11" s="43">
        <f>AV11+BZ11+CT11+DD11+DN11+DX11</f>
        <v>38</v>
      </c>
      <c r="JF11" s="44"/>
      <c r="JG11" s="42" t="str">
        <f t="shared" ref="JG11:JG29" si="92">K11</f>
        <v>STEAK TACO</v>
      </c>
      <c r="JH11" s="43">
        <f>FP11</f>
        <v>0</v>
      </c>
      <c r="JJ11" s="42" t="str">
        <f t="shared" ref="JJ11:JJ29" si="93">K11</f>
        <v>STEAK TACO</v>
      </c>
      <c r="JK11" s="43">
        <f>FZ11</f>
        <v>0</v>
      </c>
      <c r="JM11" s="42" t="str">
        <f t="shared" ref="JM11:JM29" si="94">K11</f>
        <v>STEAK TACO</v>
      </c>
      <c r="JN11" s="43">
        <f>GJ11</f>
        <v>0</v>
      </c>
      <c r="JP11" s="44">
        <f>JH11+JK11+JN11</f>
        <v>0</v>
      </c>
      <c r="JQ11" s="42" t="str">
        <f t="shared" ref="JQ11:JQ29" si="95">U11</f>
        <v>STEAK TACO</v>
      </c>
      <c r="JR11" s="43">
        <f>FS11</f>
        <v>0</v>
      </c>
      <c r="JT11" s="42" t="str">
        <f t="shared" ref="JT11:JT29" si="96">K11</f>
        <v>STEAK TACO</v>
      </c>
      <c r="JU11" s="43">
        <f>GC11</f>
        <v>0</v>
      </c>
      <c r="JW11" s="42" t="str">
        <f t="shared" ref="JW11:JW29" si="97">U11</f>
        <v>STEAK TACO</v>
      </c>
      <c r="JX11" s="43">
        <f>GM11</f>
        <v>0</v>
      </c>
      <c r="JZ11" s="44">
        <f>JR11+JU11+JX11</f>
        <v>0</v>
      </c>
    </row>
    <row r="12" spans="1:286" s="7" customFormat="1" ht="54" customHeight="1" x14ac:dyDescent="0.65">
      <c r="A12" s="46" t="s">
        <v>42</v>
      </c>
      <c r="B12" s="43">
        <v>4</v>
      </c>
      <c r="D12" s="46"/>
      <c r="E12" s="43"/>
      <c r="G12" s="42" t="str">
        <f t="shared" si="0"/>
        <v>CHICKEN</v>
      </c>
      <c r="H12" s="43">
        <v>5</v>
      </c>
      <c r="J12" s="43">
        <f t="shared" si="1"/>
        <v>9</v>
      </c>
      <c r="K12" s="42" t="str">
        <f t="shared" si="2"/>
        <v>CHICKEN</v>
      </c>
      <c r="L12" s="43">
        <v>11</v>
      </c>
      <c r="N12" s="46"/>
      <c r="O12" s="43"/>
      <c r="Q12" s="42" t="str">
        <f t="shared" si="3"/>
        <v>CHICKEN</v>
      </c>
      <c r="R12" s="43">
        <v>8</v>
      </c>
      <c r="T12" s="43">
        <f t="shared" si="4"/>
        <v>19</v>
      </c>
      <c r="U12" s="42" t="str">
        <f t="shared" si="5"/>
        <v>CHICKEN</v>
      </c>
      <c r="V12" s="43">
        <v>6</v>
      </c>
      <c r="X12" s="46"/>
      <c r="Y12" s="43"/>
      <c r="AA12" s="42" t="str">
        <f t="shared" si="6"/>
        <v>CHICKEN</v>
      </c>
      <c r="AB12" s="43">
        <v>5</v>
      </c>
      <c r="AD12" s="43">
        <f t="shared" si="7"/>
        <v>11</v>
      </c>
      <c r="AE12" s="42" t="str">
        <f t="shared" si="8"/>
        <v>CHICKEN</v>
      </c>
      <c r="AF12" s="43">
        <v>6</v>
      </c>
      <c r="AH12" s="46"/>
      <c r="AI12" s="43"/>
      <c r="AK12" s="42" t="str">
        <f t="shared" si="9"/>
        <v>CHICKEN</v>
      </c>
      <c r="AL12" s="43">
        <v>6</v>
      </c>
      <c r="AN12" s="43">
        <f t="shared" si="10"/>
        <v>12</v>
      </c>
      <c r="AO12" s="42" t="str">
        <f t="shared" si="11"/>
        <v>CHICKEN</v>
      </c>
      <c r="AP12" s="43">
        <v>2</v>
      </c>
      <c r="AR12" s="46"/>
      <c r="AS12" s="43"/>
      <c r="AU12" s="42" t="str">
        <f t="shared" si="12"/>
        <v>CHICKEN</v>
      </c>
      <c r="AV12" s="43">
        <v>2</v>
      </c>
      <c r="AX12" s="43">
        <f t="shared" si="13"/>
        <v>4</v>
      </c>
      <c r="AY12" s="42" t="str">
        <f t="shared" si="14"/>
        <v>CHICKEN</v>
      </c>
      <c r="AZ12" s="43">
        <v>5</v>
      </c>
      <c r="BB12" s="46"/>
      <c r="BC12" s="43"/>
      <c r="BE12" s="42" t="str">
        <f t="shared" si="15"/>
        <v>CHICKEN</v>
      </c>
      <c r="BF12" s="43">
        <v>3</v>
      </c>
      <c r="BH12" s="43">
        <f t="shared" si="16"/>
        <v>8</v>
      </c>
      <c r="BI12" s="42" t="str">
        <f t="shared" si="17"/>
        <v>CHICKEN</v>
      </c>
      <c r="BJ12" s="43">
        <v>4</v>
      </c>
      <c r="BL12" s="46"/>
      <c r="BM12" s="43"/>
      <c r="BO12" s="42" t="str">
        <f t="shared" si="18"/>
        <v>CHICKEN</v>
      </c>
      <c r="BP12" s="43">
        <v>2</v>
      </c>
      <c r="BR12" s="43">
        <f t="shared" si="19"/>
        <v>6</v>
      </c>
      <c r="BS12" s="42" t="str">
        <f t="shared" si="20"/>
        <v>CHICKEN</v>
      </c>
      <c r="BT12" s="43">
        <v>4</v>
      </c>
      <c r="BV12" s="46"/>
      <c r="BW12" s="43"/>
      <c r="BY12" s="42" t="str">
        <f t="shared" si="21"/>
        <v>CHICKEN</v>
      </c>
      <c r="BZ12" s="43">
        <v>7</v>
      </c>
      <c r="CB12" s="43">
        <f t="shared" si="22"/>
        <v>11</v>
      </c>
      <c r="CC12" s="42" t="str">
        <f t="shared" si="23"/>
        <v>CHICKEN</v>
      </c>
      <c r="CD12" s="43">
        <v>6</v>
      </c>
      <c r="CF12" s="46"/>
      <c r="CG12" s="43"/>
      <c r="CI12" s="42" t="str">
        <f t="shared" si="24"/>
        <v>CHICKEN</v>
      </c>
      <c r="CJ12" s="43">
        <v>7</v>
      </c>
      <c r="CL12" s="43">
        <f t="shared" si="25"/>
        <v>13</v>
      </c>
      <c r="CM12" s="42" t="str">
        <f t="shared" si="26"/>
        <v>CHICKEN</v>
      </c>
      <c r="CN12" s="43">
        <v>4</v>
      </c>
      <c r="CP12" s="42"/>
      <c r="CQ12" s="43"/>
      <c r="CS12" s="42" t="str">
        <f t="shared" si="27"/>
        <v>CHICKEN</v>
      </c>
      <c r="CT12" s="43">
        <v>3</v>
      </c>
      <c r="CV12" s="43">
        <f t="shared" si="28"/>
        <v>7</v>
      </c>
      <c r="CW12" s="42" t="str">
        <f t="shared" si="29"/>
        <v>CHICKEN</v>
      </c>
      <c r="CX12" s="43">
        <v>4</v>
      </c>
      <c r="CZ12" s="46"/>
      <c r="DA12" s="43"/>
      <c r="DC12" s="42" t="str">
        <f t="shared" si="30"/>
        <v>CHICKEN</v>
      </c>
      <c r="DD12" s="43">
        <v>4</v>
      </c>
      <c r="DF12" s="43">
        <f t="shared" si="31"/>
        <v>8</v>
      </c>
      <c r="DG12" s="42" t="str">
        <f t="shared" si="32"/>
        <v>CHICKEN</v>
      </c>
      <c r="DH12" s="43"/>
      <c r="DJ12" s="42"/>
      <c r="DK12" s="43"/>
      <c r="DM12" s="42" t="str">
        <f t="shared" si="33"/>
        <v>CHICKEN</v>
      </c>
      <c r="DN12" s="43"/>
      <c r="DP12" s="43">
        <f t="shared" si="34"/>
        <v>0</v>
      </c>
      <c r="DQ12" s="42" t="str">
        <f t="shared" si="35"/>
        <v>CHICKEN</v>
      </c>
      <c r="DR12" s="43"/>
      <c r="DT12" s="42"/>
      <c r="DU12" s="43"/>
      <c r="DW12" s="42" t="str">
        <f t="shared" si="36"/>
        <v>CHICKEN</v>
      </c>
      <c r="DX12" s="43"/>
      <c r="DZ12" s="43">
        <f t="shared" si="37"/>
        <v>0</v>
      </c>
      <c r="EA12" s="42" t="str">
        <f t="shared" si="38"/>
        <v>CHICKEN</v>
      </c>
      <c r="EB12" s="43"/>
      <c r="ED12" s="42" t="str">
        <f t="shared" si="39"/>
        <v>CHICKEN</v>
      </c>
      <c r="EE12" s="43"/>
      <c r="EG12" s="42" t="str">
        <f t="shared" si="40"/>
        <v>CHICKEN</v>
      </c>
      <c r="EH12" s="43"/>
      <c r="EJ12" s="43">
        <f t="shared" si="41"/>
        <v>0</v>
      </c>
      <c r="EK12" s="42" t="str">
        <f t="shared" si="42"/>
        <v>CHICKEN</v>
      </c>
      <c r="EL12" s="43"/>
      <c r="EN12" s="42" t="str">
        <f t="shared" si="43"/>
        <v>CHICKEN</v>
      </c>
      <c r="EO12" s="43"/>
      <c r="EQ12" s="42" t="str">
        <f t="shared" si="44"/>
        <v>CHICKEN</v>
      </c>
      <c r="ER12" s="43"/>
      <c r="ET12" s="43">
        <f t="shared" si="45"/>
        <v>0</v>
      </c>
      <c r="EU12" s="42" t="str">
        <f t="shared" si="46"/>
        <v>CHICKEN</v>
      </c>
      <c r="EV12" s="43">
        <v>1</v>
      </c>
      <c r="EX12" s="42" t="str">
        <f t="shared" si="47"/>
        <v>CHICKEN</v>
      </c>
      <c r="EY12" s="43"/>
      <c r="FA12" s="42" t="str">
        <f t="shared" si="48"/>
        <v>CHICKEN</v>
      </c>
      <c r="FB12" s="43"/>
      <c r="FD12" s="43">
        <f t="shared" si="49"/>
        <v>1</v>
      </c>
      <c r="FE12" s="42" t="str">
        <f t="shared" si="50"/>
        <v>CHICKEN</v>
      </c>
      <c r="FF12" s="43"/>
      <c r="FH12" s="42" t="str">
        <f t="shared" si="51"/>
        <v>CHICKEN</v>
      </c>
      <c r="FI12" s="43"/>
      <c r="FK12" s="42" t="str">
        <f t="shared" si="52"/>
        <v>CHICKEN</v>
      </c>
      <c r="FL12" s="43"/>
      <c r="FN12" s="43">
        <f t="shared" si="53"/>
        <v>0</v>
      </c>
      <c r="FO12" s="42" t="str">
        <f t="shared" si="54"/>
        <v>CHICKEN</v>
      </c>
      <c r="FP12" s="43"/>
      <c r="FR12" s="42" t="str">
        <f t="shared" si="55"/>
        <v>CHICKEN</v>
      </c>
      <c r="FS12" s="43"/>
      <c r="FU12" s="42" t="str">
        <f t="shared" si="56"/>
        <v>CHICKEN</v>
      </c>
      <c r="FV12" s="43"/>
      <c r="FX12" s="43">
        <f t="shared" si="57"/>
        <v>0</v>
      </c>
      <c r="FY12" s="42" t="str">
        <f t="shared" si="58"/>
        <v>CHICKEN</v>
      </c>
      <c r="FZ12" s="43"/>
      <c r="GB12" s="42" t="str">
        <f t="shared" si="59"/>
        <v>CHICKEN</v>
      </c>
      <c r="GC12" s="43"/>
      <c r="GE12" s="42" t="str">
        <f t="shared" si="60"/>
        <v>CHICKEN</v>
      </c>
      <c r="GF12" s="43"/>
      <c r="GH12" s="43">
        <f t="shared" si="61"/>
        <v>0</v>
      </c>
      <c r="GI12" s="42" t="str">
        <f t="shared" si="62"/>
        <v>CHICKEN</v>
      </c>
      <c r="GJ12" s="43"/>
      <c r="GL12" s="42" t="str">
        <f t="shared" si="63"/>
        <v>CHICKEN</v>
      </c>
      <c r="GM12" s="43"/>
      <c r="GO12" s="42" t="str">
        <f t="shared" si="64"/>
        <v>CHICKEN</v>
      </c>
      <c r="GP12" s="43"/>
      <c r="GR12" s="43">
        <f t="shared" ref="GR12:GR29" si="98">GJ12+GM12+GP12</f>
        <v>0</v>
      </c>
      <c r="GS12" s="42" t="str">
        <f t="shared" si="65"/>
        <v>CHICKEN</v>
      </c>
      <c r="GT12" s="43"/>
      <c r="GV12" s="42" t="str">
        <f t="shared" si="66"/>
        <v>CHICKEN</v>
      </c>
      <c r="GW12" s="43"/>
      <c r="GY12" s="42" t="str">
        <f t="shared" si="67"/>
        <v>CHICKEN</v>
      </c>
      <c r="GZ12" s="43"/>
      <c r="HB12" s="43">
        <f t="shared" si="68"/>
        <v>0</v>
      </c>
      <c r="HC12" s="42" t="str">
        <f t="shared" si="69"/>
        <v>CHICKEN</v>
      </c>
      <c r="HD12" s="43">
        <f t="shared" si="70"/>
        <v>57</v>
      </c>
      <c r="HF12" s="42" t="str">
        <f t="shared" si="71"/>
        <v>CHICKEN</v>
      </c>
      <c r="HG12" s="43">
        <f t="shared" ref="HG12:HG29" si="99">E12+O12+Y12+AI12+AS12+BC12+BM12+BW12+CG12+CQ12+DA12+DK12+DU12+EE12+EO12+EY12+FI12</f>
        <v>0</v>
      </c>
      <c r="HI12" s="42" t="str">
        <f t="shared" si="72"/>
        <v>CHICKEN</v>
      </c>
      <c r="HJ12" s="43">
        <f t="shared" ref="HJ12:HJ29" si="100">H12+R12+AB12+AL12+AV12+BF12+BP12+BZ12+CJ12+CT12+DD12+DN12+DX12+EH12+ER12+FB12+FL12</f>
        <v>52</v>
      </c>
      <c r="HL12" s="43">
        <f t="shared" ref="HL12:HL29" si="101">J12+T12+AD12+AN12+AX12+BH12+BR12+CB12+CL12+CV12+DF12+DP12+DZ12+EJ12+ET12+FD12+FN12+FX12+GH12+GR12+HB12</f>
        <v>109</v>
      </c>
      <c r="HM12" s="42" t="str">
        <f t="shared" si="73"/>
        <v>CHICKEN</v>
      </c>
      <c r="HN12" s="45">
        <f t="shared" si="74"/>
        <v>9</v>
      </c>
      <c r="HO12" s="44">
        <f t="shared" si="75"/>
        <v>19</v>
      </c>
      <c r="HP12" s="45">
        <f t="shared" si="76"/>
        <v>11</v>
      </c>
      <c r="HQ12" s="44">
        <f t="shared" si="77"/>
        <v>12</v>
      </c>
      <c r="HR12" s="45">
        <f t="shared" si="78"/>
        <v>4</v>
      </c>
      <c r="HS12" s="44">
        <f t="shared" si="79"/>
        <v>8</v>
      </c>
      <c r="HT12" s="45">
        <f t="shared" si="80"/>
        <v>6</v>
      </c>
      <c r="HU12" s="44">
        <f t="shared" si="81"/>
        <v>11</v>
      </c>
      <c r="HV12" s="45">
        <f t="shared" si="82"/>
        <v>13</v>
      </c>
      <c r="HW12" s="44">
        <f t="shared" si="83"/>
        <v>7</v>
      </c>
      <c r="HX12" s="45">
        <f t="shared" si="84"/>
        <v>8</v>
      </c>
      <c r="HY12" s="44">
        <f t="shared" si="85"/>
        <v>0</v>
      </c>
      <c r="HZ12" s="42" t="str">
        <f t="shared" si="86"/>
        <v>CHICKEN</v>
      </c>
      <c r="IA12" s="45">
        <f t="shared" si="87"/>
        <v>0</v>
      </c>
      <c r="IB12" s="44">
        <f t="shared" ref="IB12:IB29" si="102">EJ12</f>
        <v>0</v>
      </c>
      <c r="IC12" s="45">
        <f t="shared" ref="IC12:IC29" si="103">ET12</f>
        <v>0</v>
      </c>
      <c r="ID12" s="44">
        <f t="shared" ref="ID12:ID29" si="104">FD12</f>
        <v>1</v>
      </c>
      <c r="IE12" s="45">
        <f t="shared" ref="IE12:IE29" si="105">FN12</f>
        <v>0</v>
      </c>
      <c r="IF12" s="44">
        <f t="shared" ref="IF12:IF29" si="106">FX12</f>
        <v>0</v>
      </c>
      <c r="IG12" s="45">
        <f t="shared" ref="IG12:IG29" si="107">GH12</f>
        <v>0</v>
      </c>
      <c r="IH12" s="44">
        <f t="shared" ref="IH12:IH29" si="108">GR12</f>
        <v>0</v>
      </c>
      <c r="II12" s="45">
        <f t="shared" ref="II12:II29" si="109">HB12</f>
        <v>0</v>
      </c>
      <c r="IJ12" s="44"/>
      <c r="IK12" s="45"/>
      <c r="IL12" s="44">
        <f t="shared" ref="IL12:IL29" si="110">SUM(HN12:HY12)+SUM(IA12:IK12)</f>
        <v>109</v>
      </c>
      <c r="IM12" s="42" t="str">
        <f t="shared" si="88"/>
        <v>CHICKEN</v>
      </c>
      <c r="IN12" s="43">
        <f t="shared" ref="IN12:IN29" si="111">B12+L12+V12+AF12+AZ12+BJ12+CD12+EL12+EV12+FF12</f>
        <v>43</v>
      </c>
      <c r="IP12" s="42" t="str">
        <f t="shared" ref="IP12:IP29" si="112">A12</f>
        <v>CHICKEN</v>
      </c>
      <c r="IQ12" s="43">
        <f t="shared" ref="IQ12:IQ29" si="113">E12+O12+Y12+AI12+BC12+BM12+CG12+EO12+EY12+FI12</f>
        <v>0</v>
      </c>
      <c r="IS12" s="42" t="str">
        <f t="shared" si="89"/>
        <v>CHICKEN</v>
      </c>
      <c r="IT12" s="43">
        <f t="shared" ref="IT12:IT29" si="114">H12+R12+AB12+AL12+BF12+BP12+CJ12+ER12+FB12+FL12</f>
        <v>36</v>
      </c>
      <c r="IV12" s="43"/>
      <c r="IW12" s="42" t="str">
        <f t="shared" si="90"/>
        <v>CHICKEN</v>
      </c>
      <c r="IX12" s="43">
        <f t="shared" ref="IX12:IX29" si="115">AP12+BT12</f>
        <v>6</v>
      </c>
      <c r="IZ12" s="42" t="str">
        <f t="shared" ref="IZ12:IZ29" si="116">A12</f>
        <v>CHICKEN</v>
      </c>
      <c r="JA12" s="43">
        <f t="shared" ref="JA12:JA29" si="117">AS12+BW12+CQ12+DA12+DK12+DU12</f>
        <v>0</v>
      </c>
      <c r="JC12" s="42" t="str">
        <f t="shared" si="91"/>
        <v>CHICKEN</v>
      </c>
      <c r="JD12" s="43">
        <f t="shared" ref="JD12:JD29" si="118">AV12+BZ12+CT12+DD12+DN12+DX12</f>
        <v>16</v>
      </c>
      <c r="JF12" s="43"/>
      <c r="JG12" s="42" t="str">
        <f t="shared" si="92"/>
        <v>CHICKEN</v>
      </c>
      <c r="JH12" s="43">
        <f t="shared" ref="JH12:JH29" si="119">FP12</f>
        <v>0</v>
      </c>
      <c r="JJ12" s="42" t="str">
        <f t="shared" si="93"/>
        <v>CHICKEN</v>
      </c>
      <c r="JK12" s="43">
        <f t="shared" ref="JK12:JK29" si="120">FZ12</f>
        <v>0</v>
      </c>
      <c r="JM12" s="42" t="str">
        <f t="shared" si="94"/>
        <v>CHICKEN</v>
      </c>
      <c r="JN12" s="43">
        <f t="shared" ref="JN12:JN29" si="121">GJ12</f>
        <v>0</v>
      </c>
      <c r="JP12" s="44">
        <f t="shared" ref="JP12:JP29" si="122">JH12+JK12+JN12</f>
        <v>0</v>
      </c>
      <c r="JQ12" s="42" t="str">
        <f t="shared" si="95"/>
        <v>CHICKEN</v>
      </c>
      <c r="JR12" s="43">
        <f t="shared" ref="JR12:JR29" si="123">FS12</f>
        <v>0</v>
      </c>
      <c r="JT12" s="42" t="str">
        <f t="shared" si="96"/>
        <v>CHICKEN</v>
      </c>
      <c r="JU12" s="43">
        <f t="shared" ref="JU12:JU29" si="124">GC12</f>
        <v>0</v>
      </c>
      <c r="JW12" s="42" t="str">
        <f t="shared" si="97"/>
        <v>CHICKEN</v>
      </c>
      <c r="JX12" s="43">
        <f t="shared" ref="JX12:JX29" si="125">GM12</f>
        <v>0</v>
      </c>
      <c r="JZ12" s="44">
        <f>JR12+JU12+JX12</f>
        <v>0</v>
      </c>
    </row>
    <row r="13" spans="1:286" s="7" customFormat="1" ht="54" customHeight="1" x14ac:dyDescent="0.65">
      <c r="A13" s="46" t="s">
        <v>43</v>
      </c>
      <c r="B13" s="43">
        <v>3</v>
      </c>
      <c r="D13" s="46"/>
      <c r="E13" s="43"/>
      <c r="G13" s="42" t="str">
        <f t="shared" si="0"/>
        <v>ALPASTOR</v>
      </c>
      <c r="H13" s="43">
        <v>2</v>
      </c>
      <c r="J13" s="43">
        <f t="shared" si="1"/>
        <v>5</v>
      </c>
      <c r="K13" s="42" t="str">
        <f t="shared" si="2"/>
        <v>ALPASTOR</v>
      </c>
      <c r="L13" s="43">
        <v>9</v>
      </c>
      <c r="N13" s="46"/>
      <c r="O13" s="43"/>
      <c r="Q13" s="42" t="str">
        <f t="shared" si="3"/>
        <v>ALPASTOR</v>
      </c>
      <c r="R13" s="43">
        <v>5</v>
      </c>
      <c r="T13" s="43">
        <f t="shared" si="4"/>
        <v>14</v>
      </c>
      <c r="U13" s="42" t="str">
        <f t="shared" si="5"/>
        <v>ALPASTOR</v>
      </c>
      <c r="V13" s="43">
        <v>7</v>
      </c>
      <c r="X13" s="46"/>
      <c r="Y13" s="43"/>
      <c r="AA13" s="42" t="str">
        <f t="shared" si="6"/>
        <v>ALPASTOR</v>
      </c>
      <c r="AB13" s="43">
        <v>5</v>
      </c>
      <c r="AD13" s="43">
        <f t="shared" si="7"/>
        <v>12</v>
      </c>
      <c r="AE13" s="42" t="str">
        <f t="shared" si="8"/>
        <v>ALPASTOR</v>
      </c>
      <c r="AF13" s="43">
        <v>8</v>
      </c>
      <c r="AH13" s="46"/>
      <c r="AI13" s="43"/>
      <c r="AK13" s="42" t="str">
        <f t="shared" si="9"/>
        <v>ALPASTOR</v>
      </c>
      <c r="AL13" s="43">
        <v>7</v>
      </c>
      <c r="AN13" s="43">
        <f t="shared" si="10"/>
        <v>15</v>
      </c>
      <c r="AO13" s="42" t="str">
        <f t="shared" si="11"/>
        <v>ALPASTOR</v>
      </c>
      <c r="AP13" s="43">
        <v>4</v>
      </c>
      <c r="AR13" s="46"/>
      <c r="AS13" s="43"/>
      <c r="AU13" s="42" t="str">
        <f t="shared" si="12"/>
        <v>ALPASTOR</v>
      </c>
      <c r="AV13" s="43">
        <v>1</v>
      </c>
      <c r="AX13" s="43">
        <f t="shared" si="13"/>
        <v>5</v>
      </c>
      <c r="AY13" s="42" t="str">
        <f t="shared" si="14"/>
        <v>ALPASTOR</v>
      </c>
      <c r="AZ13" s="43">
        <v>5</v>
      </c>
      <c r="BB13" s="46"/>
      <c r="BC13" s="43"/>
      <c r="BE13" s="42" t="str">
        <f t="shared" si="15"/>
        <v>ALPASTOR</v>
      </c>
      <c r="BF13" s="43">
        <v>4</v>
      </c>
      <c r="BH13" s="43">
        <f t="shared" si="16"/>
        <v>9</v>
      </c>
      <c r="BI13" s="42" t="str">
        <f t="shared" si="17"/>
        <v>ALPASTOR</v>
      </c>
      <c r="BJ13" s="43">
        <v>4</v>
      </c>
      <c r="BL13" s="46"/>
      <c r="BM13" s="43"/>
      <c r="BO13" s="42" t="str">
        <f t="shared" si="18"/>
        <v>ALPASTOR</v>
      </c>
      <c r="BP13" s="43">
        <v>4</v>
      </c>
      <c r="BR13" s="43">
        <f t="shared" si="19"/>
        <v>8</v>
      </c>
      <c r="BS13" s="42" t="str">
        <f t="shared" si="20"/>
        <v>ALPASTOR</v>
      </c>
      <c r="BT13" s="43">
        <v>5</v>
      </c>
      <c r="BV13" s="46"/>
      <c r="BW13" s="43"/>
      <c r="BY13" s="42" t="str">
        <f t="shared" si="21"/>
        <v>ALPASTOR</v>
      </c>
      <c r="BZ13" s="43">
        <v>3</v>
      </c>
      <c r="CB13" s="43">
        <f t="shared" si="22"/>
        <v>8</v>
      </c>
      <c r="CC13" s="42" t="str">
        <f t="shared" si="23"/>
        <v>ALPASTOR</v>
      </c>
      <c r="CD13" s="43">
        <v>4</v>
      </c>
      <c r="CF13" s="46"/>
      <c r="CG13" s="43"/>
      <c r="CI13" s="42" t="str">
        <f t="shared" si="24"/>
        <v>ALPASTOR</v>
      </c>
      <c r="CJ13" s="43">
        <v>5</v>
      </c>
      <c r="CL13" s="43">
        <f t="shared" si="25"/>
        <v>9</v>
      </c>
      <c r="CM13" s="42" t="str">
        <f t="shared" si="26"/>
        <v>ALPASTOR</v>
      </c>
      <c r="CN13" s="43">
        <v>4</v>
      </c>
      <c r="CP13" s="42"/>
      <c r="CQ13" s="43"/>
      <c r="CS13" s="42" t="str">
        <f t="shared" si="27"/>
        <v>ALPASTOR</v>
      </c>
      <c r="CT13" s="43">
        <v>4</v>
      </c>
      <c r="CV13" s="43">
        <f t="shared" si="28"/>
        <v>8</v>
      </c>
      <c r="CW13" s="42" t="str">
        <f t="shared" si="29"/>
        <v>ALPASTOR</v>
      </c>
      <c r="CX13" s="43">
        <v>6</v>
      </c>
      <c r="CZ13" s="46"/>
      <c r="DA13" s="43"/>
      <c r="DC13" s="42" t="str">
        <f t="shared" si="30"/>
        <v>ALPASTOR</v>
      </c>
      <c r="DD13" s="43">
        <v>5</v>
      </c>
      <c r="DF13" s="43">
        <f t="shared" si="31"/>
        <v>11</v>
      </c>
      <c r="DG13" s="42" t="str">
        <f t="shared" si="32"/>
        <v>ALPASTOR</v>
      </c>
      <c r="DH13" s="43"/>
      <c r="DJ13" s="42"/>
      <c r="DK13" s="43"/>
      <c r="DM13" s="42" t="str">
        <f t="shared" si="33"/>
        <v>ALPASTOR</v>
      </c>
      <c r="DN13" s="43"/>
      <c r="DP13" s="43">
        <f t="shared" si="34"/>
        <v>0</v>
      </c>
      <c r="DQ13" s="42" t="str">
        <f t="shared" si="35"/>
        <v>ALPASTOR</v>
      </c>
      <c r="DR13" s="43"/>
      <c r="DT13" s="42"/>
      <c r="DU13" s="43"/>
      <c r="DW13" s="42" t="str">
        <f t="shared" si="36"/>
        <v>ALPASTOR</v>
      </c>
      <c r="DX13" s="43"/>
      <c r="DZ13" s="43">
        <f t="shared" si="37"/>
        <v>0</v>
      </c>
      <c r="EA13" s="42" t="str">
        <f t="shared" si="38"/>
        <v>ALPASTOR</v>
      </c>
      <c r="EB13" s="43"/>
      <c r="ED13" s="42" t="str">
        <f t="shared" si="39"/>
        <v>ALPASTOR</v>
      </c>
      <c r="EE13" s="43"/>
      <c r="EG13" s="42" t="str">
        <f t="shared" si="40"/>
        <v>ALPASTOR</v>
      </c>
      <c r="EH13" s="43"/>
      <c r="EJ13" s="43">
        <f t="shared" si="41"/>
        <v>0</v>
      </c>
      <c r="EK13" s="42" t="str">
        <f t="shared" si="42"/>
        <v>ALPASTOR</v>
      </c>
      <c r="EL13" s="43"/>
      <c r="EN13" s="42" t="str">
        <f t="shared" si="43"/>
        <v>ALPASTOR</v>
      </c>
      <c r="EO13" s="43"/>
      <c r="EQ13" s="42" t="str">
        <f t="shared" si="44"/>
        <v>ALPASTOR</v>
      </c>
      <c r="ER13" s="43"/>
      <c r="ET13" s="43">
        <f t="shared" si="45"/>
        <v>0</v>
      </c>
      <c r="EU13" s="42" t="str">
        <f t="shared" si="46"/>
        <v>ALPASTOR</v>
      </c>
      <c r="EV13" s="43">
        <v>3</v>
      </c>
      <c r="EX13" s="42" t="str">
        <f t="shared" si="47"/>
        <v>ALPASTOR</v>
      </c>
      <c r="EY13" s="43"/>
      <c r="FA13" s="42" t="str">
        <f t="shared" si="48"/>
        <v>ALPASTOR</v>
      </c>
      <c r="FB13" s="43"/>
      <c r="FD13" s="43">
        <f t="shared" si="49"/>
        <v>3</v>
      </c>
      <c r="FE13" s="42" t="str">
        <f t="shared" si="50"/>
        <v>ALPASTOR</v>
      </c>
      <c r="FF13" s="43">
        <v>3</v>
      </c>
      <c r="FH13" s="42" t="str">
        <f t="shared" si="51"/>
        <v>ALPASTOR</v>
      </c>
      <c r="FI13" s="43"/>
      <c r="FK13" s="42" t="str">
        <f t="shared" si="52"/>
        <v>ALPASTOR</v>
      </c>
      <c r="FL13" s="43"/>
      <c r="FN13" s="43">
        <f t="shared" si="53"/>
        <v>3</v>
      </c>
      <c r="FO13" s="42" t="str">
        <f t="shared" si="54"/>
        <v>ALPASTOR</v>
      </c>
      <c r="FP13" s="43">
        <v>4</v>
      </c>
      <c r="FR13" s="42" t="str">
        <f t="shared" si="55"/>
        <v>ALPASTOR</v>
      </c>
      <c r="FS13" s="43">
        <v>8</v>
      </c>
      <c r="FU13" s="42" t="str">
        <f t="shared" si="56"/>
        <v>ALPASTOR</v>
      </c>
      <c r="FV13" s="43"/>
      <c r="FX13" s="43">
        <f t="shared" si="57"/>
        <v>12</v>
      </c>
      <c r="FY13" s="42" t="str">
        <f t="shared" si="58"/>
        <v>ALPASTOR</v>
      </c>
      <c r="FZ13" s="43">
        <v>4</v>
      </c>
      <c r="GB13" s="42" t="str">
        <f t="shared" si="59"/>
        <v>ALPASTOR</v>
      </c>
      <c r="GC13" s="43">
        <v>4</v>
      </c>
      <c r="GE13" s="42" t="str">
        <f t="shared" si="60"/>
        <v>ALPASTOR</v>
      </c>
      <c r="GF13" s="43"/>
      <c r="GH13" s="43">
        <f t="shared" si="61"/>
        <v>8</v>
      </c>
      <c r="GI13" s="42" t="str">
        <f t="shared" si="62"/>
        <v>ALPASTOR</v>
      </c>
      <c r="GJ13" s="43">
        <v>3</v>
      </c>
      <c r="GL13" s="42" t="str">
        <f t="shared" si="63"/>
        <v>ALPASTOR</v>
      </c>
      <c r="GM13" s="43">
        <v>4</v>
      </c>
      <c r="GO13" s="42" t="str">
        <f t="shared" si="64"/>
        <v>ALPASTOR</v>
      </c>
      <c r="GP13" s="43"/>
      <c r="GR13" s="43">
        <f t="shared" si="98"/>
        <v>7</v>
      </c>
      <c r="GS13" s="42" t="str">
        <f t="shared" si="65"/>
        <v>ALPASTOR</v>
      </c>
      <c r="GT13" s="43"/>
      <c r="GV13" s="42" t="str">
        <f t="shared" si="66"/>
        <v>ALPASTOR</v>
      </c>
      <c r="GW13" s="43"/>
      <c r="GY13" s="42" t="str">
        <f t="shared" si="67"/>
        <v>ALPASTOR</v>
      </c>
      <c r="GZ13" s="43"/>
      <c r="HB13" s="43">
        <f t="shared" si="68"/>
        <v>0</v>
      </c>
      <c r="HC13" s="42" t="str">
        <f t="shared" si="69"/>
        <v>ALPASTOR</v>
      </c>
      <c r="HD13" s="43">
        <f>B13+L13+V13+AF13+AP13+AZ13+BJ13+BT13+CD13+CN13+CX13+DH13+DR13+EB13+EL13+EV13+FF13</f>
        <v>65</v>
      </c>
      <c r="HF13" s="42" t="str">
        <f t="shared" si="71"/>
        <v>ALPASTOR</v>
      </c>
      <c r="HG13" s="43">
        <f t="shared" si="99"/>
        <v>0</v>
      </c>
      <c r="HI13" s="42" t="str">
        <f t="shared" si="72"/>
        <v>ALPASTOR</v>
      </c>
      <c r="HJ13" s="43">
        <f t="shared" si="100"/>
        <v>45</v>
      </c>
      <c r="HL13" s="43">
        <f t="shared" si="101"/>
        <v>137</v>
      </c>
      <c r="HM13" s="42" t="str">
        <f t="shared" si="73"/>
        <v>ALPASTOR</v>
      </c>
      <c r="HN13" s="45">
        <f t="shared" si="74"/>
        <v>5</v>
      </c>
      <c r="HO13" s="44">
        <f t="shared" si="75"/>
        <v>14</v>
      </c>
      <c r="HP13" s="45">
        <f t="shared" si="76"/>
        <v>12</v>
      </c>
      <c r="HQ13" s="44">
        <f t="shared" si="77"/>
        <v>15</v>
      </c>
      <c r="HR13" s="45">
        <f t="shared" si="78"/>
        <v>5</v>
      </c>
      <c r="HS13" s="44">
        <f t="shared" si="79"/>
        <v>9</v>
      </c>
      <c r="HT13" s="45">
        <f t="shared" si="80"/>
        <v>8</v>
      </c>
      <c r="HU13" s="44">
        <f t="shared" si="81"/>
        <v>8</v>
      </c>
      <c r="HV13" s="45">
        <f t="shared" si="82"/>
        <v>9</v>
      </c>
      <c r="HW13" s="44">
        <f t="shared" si="83"/>
        <v>8</v>
      </c>
      <c r="HX13" s="45">
        <f t="shared" si="84"/>
        <v>11</v>
      </c>
      <c r="HY13" s="44">
        <f t="shared" si="85"/>
        <v>0</v>
      </c>
      <c r="HZ13" s="42" t="str">
        <f t="shared" si="86"/>
        <v>ALPASTOR</v>
      </c>
      <c r="IA13" s="45">
        <f t="shared" si="87"/>
        <v>0</v>
      </c>
      <c r="IB13" s="44">
        <f t="shared" si="102"/>
        <v>0</v>
      </c>
      <c r="IC13" s="45">
        <f t="shared" si="103"/>
        <v>0</v>
      </c>
      <c r="ID13" s="44">
        <f t="shared" si="104"/>
        <v>3</v>
      </c>
      <c r="IE13" s="45">
        <f t="shared" si="105"/>
        <v>3</v>
      </c>
      <c r="IF13" s="44">
        <f t="shared" si="106"/>
        <v>12</v>
      </c>
      <c r="IG13" s="45">
        <f t="shared" si="107"/>
        <v>8</v>
      </c>
      <c r="IH13" s="44">
        <f t="shared" si="108"/>
        <v>7</v>
      </c>
      <c r="II13" s="45">
        <f t="shared" si="109"/>
        <v>0</v>
      </c>
      <c r="IJ13" s="44"/>
      <c r="IK13" s="45"/>
      <c r="IL13" s="44">
        <f t="shared" si="110"/>
        <v>137</v>
      </c>
      <c r="IM13" s="42" t="str">
        <f t="shared" si="88"/>
        <v>ALPASTOR</v>
      </c>
      <c r="IN13" s="43">
        <f t="shared" si="111"/>
        <v>46</v>
      </c>
      <c r="IP13" s="42" t="str">
        <f t="shared" si="112"/>
        <v>ALPASTOR</v>
      </c>
      <c r="IQ13" s="43">
        <f t="shared" si="113"/>
        <v>0</v>
      </c>
      <c r="IS13" s="42" t="str">
        <f t="shared" si="89"/>
        <v>ALPASTOR</v>
      </c>
      <c r="IT13" s="43">
        <f t="shared" si="114"/>
        <v>32</v>
      </c>
      <c r="IV13" s="43"/>
      <c r="IW13" s="42" t="str">
        <f t="shared" si="90"/>
        <v>ALPASTOR</v>
      </c>
      <c r="IX13" s="43">
        <f t="shared" si="115"/>
        <v>9</v>
      </c>
      <c r="IZ13" s="42" t="str">
        <f t="shared" si="116"/>
        <v>ALPASTOR</v>
      </c>
      <c r="JA13" s="43">
        <f t="shared" si="117"/>
        <v>0</v>
      </c>
      <c r="JC13" s="42" t="str">
        <f t="shared" si="91"/>
        <v>ALPASTOR</v>
      </c>
      <c r="JD13" s="43">
        <f t="shared" si="118"/>
        <v>13</v>
      </c>
      <c r="JF13" s="43"/>
      <c r="JG13" s="42" t="str">
        <f t="shared" si="92"/>
        <v>ALPASTOR</v>
      </c>
      <c r="JH13" s="43">
        <f t="shared" si="119"/>
        <v>4</v>
      </c>
      <c r="JJ13" s="42" t="str">
        <f t="shared" si="93"/>
        <v>ALPASTOR</v>
      </c>
      <c r="JK13" s="43">
        <f t="shared" si="120"/>
        <v>4</v>
      </c>
      <c r="JM13" s="42" t="str">
        <f t="shared" si="94"/>
        <v>ALPASTOR</v>
      </c>
      <c r="JN13" s="43">
        <f t="shared" si="121"/>
        <v>3</v>
      </c>
      <c r="JP13" s="44">
        <f t="shared" si="122"/>
        <v>11</v>
      </c>
      <c r="JQ13" s="42" t="str">
        <f t="shared" si="95"/>
        <v>ALPASTOR</v>
      </c>
      <c r="JR13" s="43">
        <f t="shared" si="123"/>
        <v>8</v>
      </c>
      <c r="JT13" s="42" t="str">
        <f t="shared" si="96"/>
        <v>ALPASTOR</v>
      </c>
      <c r="JU13" s="43">
        <f t="shared" si="124"/>
        <v>4</v>
      </c>
      <c r="JW13" s="42" t="str">
        <f t="shared" si="97"/>
        <v>ALPASTOR</v>
      </c>
      <c r="JX13" s="43">
        <f t="shared" si="125"/>
        <v>4</v>
      </c>
      <c r="JZ13" s="44">
        <f t="shared" ref="JZ13:JZ29" si="126">JR13+JU13+JX13</f>
        <v>16</v>
      </c>
    </row>
    <row r="14" spans="1:286" s="7" customFormat="1" ht="54" customHeight="1" x14ac:dyDescent="0.65">
      <c r="A14" s="46" t="s">
        <v>44</v>
      </c>
      <c r="B14" s="43">
        <v>1</v>
      </c>
      <c r="D14" s="46"/>
      <c r="E14" s="43"/>
      <c r="G14" s="42" t="str">
        <f t="shared" si="0"/>
        <v>CARNE ASADA</v>
      </c>
      <c r="H14" s="43">
        <v>1</v>
      </c>
      <c r="J14" s="43">
        <f t="shared" si="1"/>
        <v>2</v>
      </c>
      <c r="K14" s="42" t="str">
        <f t="shared" si="2"/>
        <v>CARNE ASADA</v>
      </c>
      <c r="L14" s="43">
        <v>2</v>
      </c>
      <c r="N14" s="47"/>
      <c r="O14" s="43"/>
      <c r="Q14" s="42" t="str">
        <f t="shared" si="3"/>
        <v>CARNE ASADA</v>
      </c>
      <c r="R14" s="43">
        <v>2</v>
      </c>
      <c r="T14" s="43">
        <f t="shared" si="4"/>
        <v>4</v>
      </c>
      <c r="U14" s="42" t="str">
        <f t="shared" si="5"/>
        <v>CARNE ASADA</v>
      </c>
      <c r="V14" s="43">
        <v>2</v>
      </c>
      <c r="X14" s="46"/>
      <c r="Y14" s="43"/>
      <c r="AA14" s="42" t="str">
        <f t="shared" si="6"/>
        <v>CARNE ASADA</v>
      </c>
      <c r="AB14" s="43">
        <v>1</v>
      </c>
      <c r="AD14" s="43">
        <f t="shared" si="7"/>
        <v>3</v>
      </c>
      <c r="AE14" s="42" t="str">
        <f t="shared" si="8"/>
        <v>CARNE ASADA</v>
      </c>
      <c r="AF14" s="43">
        <v>2</v>
      </c>
      <c r="AH14" s="47"/>
      <c r="AI14" s="43"/>
      <c r="AK14" s="42" t="str">
        <f t="shared" si="9"/>
        <v>CARNE ASADA</v>
      </c>
      <c r="AL14" s="43">
        <v>1</v>
      </c>
      <c r="AN14" s="43">
        <f t="shared" si="10"/>
        <v>3</v>
      </c>
      <c r="AO14" s="42" t="str">
        <f t="shared" si="11"/>
        <v>CARNE ASADA</v>
      </c>
      <c r="AP14" s="43">
        <v>1</v>
      </c>
      <c r="AR14" s="46"/>
      <c r="AS14" s="43"/>
      <c r="AU14" s="42" t="str">
        <f t="shared" si="12"/>
        <v>CARNE ASADA</v>
      </c>
      <c r="AV14" s="43"/>
      <c r="AX14" s="43">
        <f t="shared" si="13"/>
        <v>1</v>
      </c>
      <c r="AY14" s="42" t="str">
        <f t="shared" si="14"/>
        <v>CARNE ASADA</v>
      </c>
      <c r="AZ14" s="43">
        <v>1</v>
      </c>
      <c r="BB14" s="47"/>
      <c r="BC14" s="43"/>
      <c r="BE14" s="42" t="str">
        <f t="shared" si="15"/>
        <v>CARNE ASADA</v>
      </c>
      <c r="BF14" s="43">
        <v>1</v>
      </c>
      <c r="BH14" s="43">
        <f t="shared" si="16"/>
        <v>2</v>
      </c>
      <c r="BI14" s="42" t="str">
        <f t="shared" si="17"/>
        <v>CARNE ASADA</v>
      </c>
      <c r="BJ14" s="43">
        <v>1</v>
      </c>
      <c r="BL14" s="46"/>
      <c r="BM14" s="43"/>
      <c r="BO14" s="42" t="str">
        <f t="shared" si="18"/>
        <v>CARNE ASADA</v>
      </c>
      <c r="BP14" s="43">
        <v>1</v>
      </c>
      <c r="BR14" s="43">
        <f t="shared" si="19"/>
        <v>2</v>
      </c>
      <c r="BS14" s="42" t="str">
        <f t="shared" si="20"/>
        <v>CARNE ASADA</v>
      </c>
      <c r="BT14" s="43">
        <v>2</v>
      </c>
      <c r="BV14" s="47"/>
      <c r="BW14" s="43"/>
      <c r="BY14" s="42" t="str">
        <f t="shared" si="21"/>
        <v>CARNE ASADA</v>
      </c>
      <c r="BZ14" s="43">
        <v>2</v>
      </c>
      <c r="CB14" s="43">
        <f t="shared" si="22"/>
        <v>4</v>
      </c>
      <c r="CC14" s="42" t="str">
        <f t="shared" si="23"/>
        <v>CARNE ASADA</v>
      </c>
      <c r="CD14" s="43">
        <v>1</v>
      </c>
      <c r="CF14" s="46"/>
      <c r="CG14" s="43"/>
      <c r="CI14" s="42" t="str">
        <f t="shared" si="24"/>
        <v>CARNE ASADA</v>
      </c>
      <c r="CJ14" s="43">
        <v>1</v>
      </c>
      <c r="CL14" s="43">
        <f t="shared" si="25"/>
        <v>2</v>
      </c>
      <c r="CM14" s="42" t="str">
        <f t="shared" si="26"/>
        <v>CARNE ASADA</v>
      </c>
      <c r="CN14" s="43">
        <v>1</v>
      </c>
      <c r="CP14" s="42"/>
      <c r="CQ14" s="43"/>
      <c r="CS14" s="42" t="str">
        <f t="shared" si="27"/>
        <v>CARNE ASADA</v>
      </c>
      <c r="CT14" s="43"/>
      <c r="CV14" s="43">
        <f t="shared" si="28"/>
        <v>1</v>
      </c>
      <c r="CW14" s="42" t="str">
        <f t="shared" si="29"/>
        <v>CARNE ASADA</v>
      </c>
      <c r="CX14" s="43">
        <v>1</v>
      </c>
      <c r="CZ14" s="47"/>
      <c r="DA14" s="43"/>
      <c r="DC14" s="42" t="str">
        <f t="shared" si="30"/>
        <v>CARNE ASADA</v>
      </c>
      <c r="DD14" s="43">
        <v>1</v>
      </c>
      <c r="DF14" s="43">
        <f t="shared" si="31"/>
        <v>2</v>
      </c>
      <c r="DG14" s="42" t="str">
        <f t="shared" si="32"/>
        <v>CARNE ASADA</v>
      </c>
      <c r="DH14" s="43"/>
      <c r="DJ14" s="42"/>
      <c r="DK14" s="43"/>
      <c r="DM14" s="42" t="str">
        <f t="shared" si="33"/>
        <v>CARNE ASADA</v>
      </c>
      <c r="DN14" s="43"/>
      <c r="DP14" s="43">
        <f t="shared" si="34"/>
        <v>0</v>
      </c>
      <c r="DQ14" s="42" t="str">
        <f t="shared" si="35"/>
        <v>CARNE ASADA</v>
      </c>
      <c r="DR14" s="43"/>
      <c r="DT14" s="42"/>
      <c r="DU14" s="43"/>
      <c r="DW14" s="42" t="str">
        <f t="shared" si="36"/>
        <v>CARNE ASADA</v>
      </c>
      <c r="DX14" s="43"/>
      <c r="DZ14" s="43">
        <f t="shared" si="37"/>
        <v>0</v>
      </c>
      <c r="EA14" s="42" t="str">
        <f t="shared" si="38"/>
        <v>CARNE ASADA</v>
      </c>
      <c r="EB14" s="43"/>
      <c r="ED14" s="42" t="str">
        <f t="shared" si="39"/>
        <v>CARNE ASADA</v>
      </c>
      <c r="EE14" s="43"/>
      <c r="EG14" s="42" t="str">
        <f t="shared" si="40"/>
        <v>CARNE ASADA</v>
      </c>
      <c r="EH14" s="43"/>
      <c r="EJ14" s="43">
        <f t="shared" si="41"/>
        <v>0</v>
      </c>
      <c r="EK14" s="42" t="str">
        <f t="shared" si="42"/>
        <v>CARNE ASADA</v>
      </c>
      <c r="EL14" s="43"/>
      <c r="EN14" s="42" t="str">
        <f t="shared" si="43"/>
        <v>CARNE ASADA</v>
      </c>
      <c r="EO14" s="43"/>
      <c r="EQ14" s="42" t="str">
        <f t="shared" si="44"/>
        <v>CARNE ASADA</v>
      </c>
      <c r="ER14" s="43"/>
      <c r="ET14" s="43">
        <f t="shared" si="45"/>
        <v>0</v>
      </c>
      <c r="EU14" s="42" t="str">
        <f t="shared" si="46"/>
        <v>CARNE ASADA</v>
      </c>
      <c r="EV14" s="43"/>
      <c r="EX14" s="42" t="str">
        <f t="shared" si="47"/>
        <v>CARNE ASADA</v>
      </c>
      <c r="EY14" s="43"/>
      <c r="FA14" s="42" t="str">
        <f t="shared" si="48"/>
        <v>CARNE ASADA</v>
      </c>
      <c r="FB14" s="43"/>
      <c r="FD14" s="43">
        <f t="shared" si="49"/>
        <v>0</v>
      </c>
      <c r="FE14" s="42" t="str">
        <f t="shared" si="50"/>
        <v>CARNE ASADA</v>
      </c>
      <c r="FF14" s="43"/>
      <c r="FH14" s="42" t="str">
        <f t="shared" si="51"/>
        <v>CARNE ASADA</v>
      </c>
      <c r="FI14" s="43"/>
      <c r="FK14" s="42" t="str">
        <f t="shared" si="52"/>
        <v>CARNE ASADA</v>
      </c>
      <c r="FL14" s="43">
        <v>1</v>
      </c>
      <c r="FN14" s="43">
        <f t="shared" si="53"/>
        <v>1</v>
      </c>
      <c r="FO14" s="42" t="str">
        <f t="shared" si="54"/>
        <v>CARNE ASADA</v>
      </c>
      <c r="FP14" s="43">
        <v>2</v>
      </c>
      <c r="FR14" s="42" t="str">
        <f t="shared" si="55"/>
        <v>CARNE ASADA</v>
      </c>
      <c r="FS14" s="43">
        <v>2</v>
      </c>
      <c r="FU14" s="42" t="str">
        <f t="shared" si="56"/>
        <v>CARNE ASADA</v>
      </c>
      <c r="FV14" s="43"/>
      <c r="FX14" s="43">
        <f t="shared" si="57"/>
        <v>4</v>
      </c>
      <c r="FY14" s="42" t="str">
        <f t="shared" si="58"/>
        <v>CARNE ASADA</v>
      </c>
      <c r="FZ14" s="43"/>
      <c r="GB14" s="42" t="str">
        <f t="shared" si="59"/>
        <v>CARNE ASADA</v>
      </c>
      <c r="GC14" s="43"/>
      <c r="GE14" s="42" t="str">
        <f t="shared" si="60"/>
        <v>CARNE ASADA</v>
      </c>
      <c r="GF14" s="43"/>
      <c r="GH14" s="43">
        <f t="shared" si="61"/>
        <v>0</v>
      </c>
      <c r="GI14" s="42" t="str">
        <f t="shared" si="62"/>
        <v>CARNE ASADA</v>
      </c>
      <c r="GJ14" s="43">
        <v>2</v>
      </c>
      <c r="GL14" s="42" t="str">
        <f t="shared" si="63"/>
        <v>CARNE ASADA</v>
      </c>
      <c r="GM14" s="43">
        <v>2</v>
      </c>
      <c r="GO14" s="42" t="str">
        <f t="shared" si="64"/>
        <v>CARNE ASADA</v>
      </c>
      <c r="GP14" s="43"/>
      <c r="GR14" s="43">
        <f t="shared" si="98"/>
        <v>4</v>
      </c>
      <c r="GS14" s="42" t="str">
        <f t="shared" si="65"/>
        <v>CARNE ASADA</v>
      </c>
      <c r="GT14" s="43"/>
      <c r="GV14" s="42" t="str">
        <f t="shared" si="66"/>
        <v>CARNE ASADA</v>
      </c>
      <c r="GW14" s="43"/>
      <c r="GY14" s="42" t="str">
        <f t="shared" si="67"/>
        <v>CARNE ASADA</v>
      </c>
      <c r="GZ14" s="43"/>
      <c r="HB14" s="43">
        <f t="shared" si="68"/>
        <v>0</v>
      </c>
      <c r="HC14" s="42" t="str">
        <f t="shared" si="69"/>
        <v>CARNE ASADA</v>
      </c>
      <c r="HD14" s="43">
        <f t="shared" ref="HD14:HD29" si="127">B14+L14+V14+AF14+AP14+AZ14+BJ14+BT14+CD14+CN14+CX14+DH14+DR14+EB14+EL14+EV14+FF14</f>
        <v>15</v>
      </c>
      <c r="HF14" s="42" t="str">
        <f t="shared" si="71"/>
        <v>CARNE ASADA</v>
      </c>
      <c r="HG14" s="43">
        <f t="shared" si="99"/>
        <v>0</v>
      </c>
      <c r="HI14" s="42" t="str">
        <f t="shared" si="72"/>
        <v>CARNE ASADA</v>
      </c>
      <c r="HJ14" s="43">
        <f t="shared" si="100"/>
        <v>12</v>
      </c>
      <c r="HL14" s="43">
        <f t="shared" si="101"/>
        <v>35</v>
      </c>
      <c r="HM14" s="42" t="str">
        <f t="shared" si="73"/>
        <v>CARNE ASADA</v>
      </c>
      <c r="HN14" s="45">
        <f t="shared" si="74"/>
        <v>2</v>
      </c>
      <c r="HO14" s="44">
        <f t="shared" si="75"/>
        <v>4</v>
      </c>
      <c r="HP14" s="45">
        <f t="shared" si="76"/>
        <v>3</v>
      </c>
      <c r="HQ14" s="44">
        <f t="shared" si="77"/>
        <v>3</v>
      </c>
      <c r="HR14" s="45">
        <f t="shared" si="78"/>
        <v>1</v>
      </c>
      <c r="HS14" s="44">
        <f t="shared" si="79"/>
        <v>2</v>
      </c>
      <c r="HT14" s="45">
        <f t="shared" si="80"/>
        <v>2</v>
      </c>
      <c r="HU14" s="44">
        <f t="shared" si="81"/>
        <v>4</v>
      </c>
      <c r="HV14" s="45">
        <f t="shared" si="82"/>
        <v>2</v>
      </c>
      <c r="HW14" s="44">
        <f t="shared" si="83"/>
        <v>1</v>
      </c>
      <c r="HX14" s="45">
        <f t="shared" si="84"/>
        <v>2</v>
      </c>
      <c r="HY14" s="44">
        <f t="shared" si="85"/>
        <v>0</v>
      </c>
      <c r="HZ14" s="42" t="str">
        <f t="shared" si="86"/>
        <v>CARNE ASADA</v>
      </c>
      <c r="IA14" s="45">
        <f t="shared" si="87"/>
        <v>0</v>
      </c>
      <c r="IB14" s="44">
        <f t="shared" si="102"/>
        <v>0</v>
      </c>
      <c r="IC14" s="45">
        <f t="shared" si="103"/>
        <v>0</v>
      </c>
      <c r="ID14" s="44">
        <f t="shared" si="104"/>
        <v>0</v>
      </c>
      <c r="IE14" s="45">
        <f t="shared" si="105"/>
        <v>1</v>
      </c>
      <c r="IF14" s="44">
        <f t="shared" si="106"/>
        <v>4</v>
      </c>
      <c r="IG14" s="45">
        <f t="shared" si="107"/>
        <v>0</v>
      </c>
      <c r="IH14" s="44">
        <f t="shared" si="108"/>
        <v>4</v>
      </c>
      <c r="II14" s="45">
        <f t="shared" si="109"/>
        <v>0</v>
      </c>
      <c r="IJ14" s="44"/>
      <c r="IK14" s="45"/>
      <c r="IL14" s="44">
        <f t="shared" si="110"/>
        <v>35</v>
      </c>
      <c r="IM14" s="42" t="str">
        <f t="shared" si="88"/>
        <v>CARNE ASADA</v>
      </c>
      <c r="IN14" s="43">
        <f t="shared" si="111"/>
        <v>10</v>
      </c>
      <c r="IP14" s="42" t="str">
        <f t="shared" si="112"/>
        <v>CARNE ASADA</v>
      </c>
      <c r="IQ14" s="43">
        <f t="shared" si="113"/>
        <v>0</v>
      </c>
      <c r="IS14" s="42" t="str">
        <f t="shared" si="89"/>
        <v>CARNE ASADA</v>
      </c>
      <c r="IT14" s="43">
        <f t="shared" si="114"/>
        <v>9</v>
      </c>
      <c r="IV14" s="43"/>
      <c r="IW14" s="42" t="str">
        <f t="shared" si="90"/>
        <v>CARNE ASADA</v>
      </c>
      <c r="IX14" s="43">
        <f t="shared" si="115"/>
        <v>3</v>
      </c>
      <c r="IZ14" s="42" t="str">
        <f t="shared" si="116"/>
        <v>CARNE ASADA</v>
      </c>
      <c r="JA14" s="43">
        <f t="shared" si="117"/>
        <v>0</v>
      </c>
      <c r="JC14" s="42" t="str">
        <f t="shared" si="91"/>
        <v>CARNE ASADA</v>
      </c>
      <c r="JD14" s="43">
        <f t="shared" si="118"/>
        <v>3</v>
      </c>
      <c r="JF14" s="43"/>
      <c r="JG14" s="42" t="str">
        <f t="shared" si="92"/>
        <v>CARNE ASADA</v>
      </c>
      <c r="JH14" s="43">
        <f t="shared" si="119"/>
        <v>2</v>
      </c>
      <c r="JJ14" s="42" t="str">
        <f t="shared" si="93"/>
        <v>CARNE ASADA</v>
      </c>
      <c r="JK14" s="43">
        <f t="shared" si="120"/>
        <v>0</v>
      </c>
      <c r="JM14" s="42" t="str">
        <f t="shared" si="94"/>
        <v>CARNE ASADA</v>
      </c>
      <c r="JN14" s="43">
        <f t="shared" si="121"/>
        <v>2</v>
      </c>
      <c r="JP14" s="44">
        <f t="shared" si="122"/>
        <v>4</v>
      </c>
      <c r="JQ14" s="42" t="str">
        <f t="shared" si="95"/>
        <v>CARNE ASADA</v>
      </c>
      <c r="JR14" s="43">
        <f t="shared" si="123"/>
        <v>2</v>
      </c>
      <c r="JT14" s="42" t="str">
        <f t="shared" si="96"/>
        <v>CARNE ASADA</v>
      </c>
      <c r="JU14" s="43">
        <f t="shared" si="124"/>
        <v>0</v>
      </c>
      <c r="JW14" s="42" t="str">
        <f t="shared" si="97"/>
        <v>CARNE ASADA</v>
      </c>
      <c r="JX14" s="43">
        <f t="shared" si="125"/>
        <v>2</v>
      </c>
      <c r="JZ14" s="44">
        <f t="shared" si="126"/>
        <v>4</v>
      </c>
    </row>
    <row r="15" spans="1:286" s="7" customFormat="1" ht="54" customHeight="1" x14ac:dyDescent="0.65">
      <c r="A15" s="46" t="s">
        <v>45</v>
      </c>
      <c r="B15" s="43"/>
      <c r="D15" s="46"/>
      <c r="E15" s="43"/>
      <c r="G15" s="42" t="str">
        <f t="shared" si="0"/>
        <v>FAJITAS</v>
      </c>
      <c r="H15" s="43"/>
      <c r="J15" s="43">
        <f t="shared" si="1"/>
        <v>0</v>
      </c>
      <c r="K15" s="42" t="str">
        <f t="shared" si="2"/>
        <v>FAJITAS</v>
      </c>
      <c r="L15" s="43">
        <v>1</v>
      </c>
      <c r="N15" s="46"/>
      <c r="O15" s="43"/>
      <c r="Q15" s="42" t="str">
        <f t="shared" si="3"/>
        <v>FAJITAS</v>
      </c>
      <c r="R15" s="43">
        <v>1</v>
      </c>
      <c r="T15" s="43">
        <f t="shared" si="4"/>
        <v>2</v>
      </c>
      <c r="U15" s="42" t="str">
        <f t="shared" si="5"/>
        <v>FAJITAS</v>
      </c>
      <c r="V15" s="43">
        <v>1</v>
      </c>
      <c r="X15" s="46"/>
      <c r="Y15" s="43"/>
      <c r="AA15" s="42" t="str">
        <f t="shared" si="6"/>
        <v>FAJITAS</v>
      </c>
      <c r="AB15" s="43">
        <v>1</v>
      </c>
      <c r="AD15" s="43">
        <f t="shared" si="7"/>
        <v>2</v>
      </c>
      <c r="AE15" s="42" t="str">
        <f t="shared" si="8"/>
        <v>FAJITAS</v>
      </c>
      <c r="AF15" s="43">
        <v>1</v>
      </c>
      <c r="AH15" s="46"/>
      <c r="AI15" s="43"/>
      <c r="AK15" s="42" t="str">
        <f t="shared" si="9"/>
        <v>FAJITAS</v>
      </c>
      <c r="AL15" s="43">
        <v>1</v>
      </c>
      <c r="AN15" s="43">
        <f t="shared" si="10"/>
        <v>2</v>
      </c>
      <c r="AO15" s="42" t="str">
        <f t="shared" si="11"/>
        <v>FAJITAS</v>
      </c>
      <c r="AP15" s="43"/>
      <c r="AR15" s="46"/>
      <c r="AS15" s="43"/>
      <c r="AU15" s="42" t="str">
        <f t="shared" si="12"/>
        <v>FAJITAS</v>
      </c>
      <c r="AV15" s="43">
        <v>0.5</v>
      </c>
      <c r="AX15" s="43">
        <f t="shared" si="13"/>
        <v>0.5</v>
      </c>
      <c r="AY15" s="42" t="str">
        <f t="shared" si="14"/>
        <v>FAJITAS</v>
      </c>
      <c r="AZ15" s="43"/>
      <c r="BB15" s="46"/>
      <c r="BC15" s="43"/>
      <c r="BE15" s="42" t="str">
        <f t="shared" si="15"/>
        <v>FAJITAS</v>
      </c>
      <c r="BF15" s="43"/>
      <c r="BH15" s="43">
        <f t="shared" si="16"/>
        <v>0</v>
      </c>
      <c r="BI15" s="42" t="str">
        <f t="shared" si="17"/>
        <v>FAJITAS</v>
      </c>
      <c r="BJ15" s="43"/>
      <c r="BL15" s="46"/>
      <c r="BM15" s="43"/>
      <c r="BO15" s="42" t="str">
        <f t="shared" si="18"/>
        <v>FAJITAS</v>
      </c>
      <c r="BP15" s="43">
        <v>0.5</v>
      </c>
      <c r="BR15" s="43">
        <f t="shared" si="19"/>
        <v>0.5</v>
      </c>
      <c r="BS15" s="42" t="str">
        <f t="shared" si="20"/>
        <v>FAJITAS</v>
      </c>
      <c r="BT15" s="43">
        <v>1</v>
      </c>
      <c r="BV15" s="47"/>
      <c r="BW15" s="43"/>
      <c r="BY15" s="42" t="str">
        <f t="shared" si="21"/>
        <v>FAJITAS</v>
      </c>
      <c r="BZ15" s="43"/>
      <c r="CB15" s="43">
        <f t="shared" si="22"/>
        <v>1</v>
      </c>
      <c r="CC15" s="42" t="str">
        <f t="shared" si="23"/>
        <v>FAJITAS</v>
      </c>
      <c r="CD15" s="43">
        <v>0.5</v>
      </c>
      <c r="CF15" s="46"/>
      <c r="CG15" s="43"/>
      <c r="CI15" s="42" t="str">
        <f t="shared" si="24"/>
        <v>FAJITAS</v>
      </c>
      <c r="CJ15" s="43">
        <v>0.5</v>
      </c>
      <c r="CL15" s="43">
        <f t="shared" si="25"/>
        <v>1</v>
      </c>
      <c r="CM15" s="42" t="str">
        <f t="shared" si="26"/>
        <v>FAJITAS</v>
      </c>
      <c r="CN15" s="43"/>
      <c r="CP15" s="42"/>
      <c r="CQ15" s="43"/>
      <c r="CS15" s="42" t="str">
        <f t="shared" si="27"/>
        <v>FAJITAS</v>
      </c>
      <c r="CT15" s="43"/>
      <c r="CV15" s="43">
        <f t="shared" si="28"/>
        <v>0</v>
      </c>
      <c r="CW15" s="42" t="str">
        <f t="shared" si="29"/>
        <v>FAJITAS</v>
      </c>
      <c r="CX15" s="43"/>
      <c r="CZ15" s="47"/>
      <c r="DA15" s="43"/>
      <c r="DC15" s="42" t="str">
        <f t="shared" si="30"/>
        <v>FAJITAS</v>
      </c>
      <c r="DD15" s="43"/>
      <c r="DF15" s="43">
        <f t="shared" si="31"/>
        <v>0</v>
      </c>
      <c r="DG15" s="42" t="str">
        <f t="shared" si="32"/>
        <v>FAJITAS</v>
      </c>
      <c r="DH15" s="43"/>
      <c r="DJ15" s="42"/>
      <c r="DK15" s="43"/>
      <c r="DM15" s="42" t="str">
        <f t="shared" si="33"/>
        <v>FAJITAS</v>
      </c>
      <c r="DN15" s="43"/>
      <c r="DP15" s="43">
        <f t="shared" si="34"/>
        <v>0</v>
      </c>
      <c r="DQ15" s="42" t="str">
        <f t="shared" si="35"/>
        <v>FAJITAS</v>
      </c>
      <c r="DR15" s="43"/>
      <c r="DT15" s="42"/>
      <c r="DU15" s="43"/>
      <c r="DW15" s="42" t="str">
        <f t="shared" si="36"/>
        <v>FAJITAS</v>
      </c>
      <c r="DX15" s="43"/>
      <c r="DZ15" s="43">
        <f t="shared" si="37"/>
        <v>0</v>
      </c>
      <c r="EA15" s="42" t="str">
        <f t="shared" si="38"/>
        <v>FAJITAS</v>
      </c>
      <c r="EB15" s="43"/>
      <c r="ED15" s="42" t="str">
        <f t="shared" si="39"/>
        <v>FAJITAS</v>
      </c>
      <c r="EE15" s="43"/>
      <c r="EG15" s="42" t="str">
        <f t="shared" si="40"/>
        <v>FAJITAS</v>
      </c>
      <c r="EH15" s="43"/>
      <c r="EJ15" s="43">
        <f t="shared" si="41"/>
        <v>0</v>
      </c>
      <c r="EK15" s="42" t="str">
        <f t="shared" si="42"/>
        <v>FAJITAS</v>
      </c>
      <c r="EL15" s="43"/>
      <c r="EN15" s="42" t="str">
        <f t="shared" si="43"/>
        <v>FAJITAS</v>
      </c>
      <c r="EO15" s="43"/>
      <c r="EQ15" s="42" t="str">
        <f t="shared" si="44"/>
        <v>FAJITAS</v>
      </c>
      <c r="ER15" s="43"/>
      <c r="ET15" s="43">
        <f t="shared" si="45"/>
        <v>0</v>
      </c>
      <c r="EU15" s="42" t="str">
        <f t="shared" si="46"/>
        <v>FAJITAS</v>
      </c>
      <c r="EV15" s="43"/>
      <c r="EX15" s="42" t="str">
        <f t="shared" si="47"/>
        <v>FAJITAS</v>
      </c>
      <c r="EY15" s="43"/>
      <c r="FA15" s="42" t="str">
        <f t="shared" si="48"/>
        <v>FAJITAS</v>
      </c>
      <c r="FB15" s="43"/>
      <c r="FD15" s="43">
        <f t="shared" si="49"/>
        <v>0</v>
      </c>
      <c r="FE15" s="42" t="str">
        <f t="shared" si="50"/>
        <v>FAJITAS</v>
      </c>
      <c r="FF15" s="43"/>
      <c r="FH15" s="42" t="str">
        <f t="shared" si="51"/>
        <v>FAJITAS</v>
      </c>
      <c r="FI15" s="43"/>
      <c r="FK15" s="42" t="str">
        <f t="shared" si="52"/>
        <v>FAJITAS</v>
      </c>
      <c r="FL15" s="43"/>
      <c r="FN15" s="43">
        <f t="shared" si="53"/>
        <v>0</v>
      </c>
      <c r="FO15" s="42" t="str">
        <f t="shared" si="54"/>
        <v>FAJITAS</v>
      </c>
      <c r="FP15" s="43"/>
      <c r="FR15" s="42" t="str">
        <f t="shared" si="55"/>
        <v>FAJITAS</v>
      </c>
      <c r="FS15" s="43"/>
      <c r="FU15" s="42" t="str">
        <f t="shared" si="56"/>
        <v>FAJITAS</v>
      </c>
      <c r="FV15" s="43"/>
      <c r="FX15" s="43">
        <f t="shared" si="57"/>
        <v>0</v>
      </c>
      <c r="FY15" s="42" t="str">
        <f t="shared" si="58"/>
        <v>FAJITAS</v>
      </c>
      <c r="FZ15" s="43"/>
      <c r="GB15" s="42" t="str">
        <f t="shared" si="59"/>
        <v>FAJITAS</v>
      </c>
      <c r="GC15" s="43"/>
      <c r="GE15" s="42" t="str">
        <f t="shared" si="60"/>
        <v>FAJITAS</v>
      </c>
      <c r="GF15" s="43"/>
      <c r="GH15" s="43">
        <f t="shared" si="61"/>
        <v>0</v>
      </c>
      <c r="GI15" s="42" t="str">
        <f t="shared" si="62"/>
        <v>FAJITAS</v>
      </c>
      <c r="GJ15" s="43"/>
      <c r="GL15" s="42" t="str">
        <f t="shared" si="63"/>
        <v>FAJITAS</v>
      </c>
      <c r="GM15" s="43"/>
      <c r="GO15" s="42" t="str">
        <f t="shared" si="64"/>
        <v>FAJITAS</v>
      </c>
      <c r="GP15" s="43"/>
      <c r="GR15" s="43">
        <f t="shared" si="98"/>
        <v>0</v>
      </c>
      <c r="GS15" s="42" t="str">
        <f t="shared" si="65"/>
        <v>FAJITAS</v>
      </c>
      <c r="GT15" s="43"/>
      <c r="GV15" s="42" t="str">
        <f t="shared" si="66"/>
        <v>FAJITAS</v>
      </c>
      <c r="GW15" s="43"/>
      <c r="GY15" s="42" t="str">
        <f t="shared" si="67"/>
        <v>FAJITAS</v>
      </c>
      <c r="GZ15" s="43"/>
      <c r="HB15" s="43">
        <f t="shared" si="68"/>
        <v>0</v>
      </c>
      <c r="HC15" s="42" t="str">
        <f t="shared" si="69"/>
        <v>FAJITAS</v>
      </c>
      <c r="HD15" s="43">
        <f t="shared" si="127"/>
        <v>4.5</v>
      </c>
      <c r="HF15" s="42" t="str">
        <f t="shared" si="71"/>
        <v>FAJITAS</v>
      </c>
      <c r="HG15" s="43">
        <f t="shared" si="99"/>
        <v>0</v>
      </c>
      <c r="HI15" s="42" t="str">
        <f t="shared" si="72"/>
        <v>FAJITAS</v>
      </c>
      <c r="HJ15" s="43">
        <f t="shared" si="100"/>
        <v>4.5</v>
      </c>
      <c r="HL15" s="43">
        <f t="shared" si="101"/>
        <v>9</v>
      </c>
      <c r="HM15" s="42" t="str">
        <f t="shared" si="73"/>
        <v>FAJITAS</v>
      </c>
      <c r="HN15" s="45">
        <f t="shared" si="74"/>
        <v>0</v>
      </c>
      <c r="HO15" s="44">
        <f t="shared" si="75"/>
        <v>2</v>
      </c>
      <c r="HP15" s="45">
        <f t="shared" si="76"/>
        <v>2</v>
      </c>
      <c r="HQ15" s="44">
        <f t="shared" si="77"/>
        <v>2</v>
      </c>
      <c r="HR15" s="45">
        <f t="shared" si="78"/>
        <v>0.5</v>
      </c>
      <c r="HS15" s="44">
        <f t="shared" si="79"/>
        <v>0</v>
      </c>
      <c r="HT15" s="45">
        <f t="shared" si="80"/>
        <v>0.5</v>
      </c>
      <c r="HU15" s="44">
        <f t="shared" si="81"/>
        <v>1</v>
      </c>
      <c r="HV15" s="45">
        <f t="shared" si="82"/>
        <v>1</v>
      </c>
      <c r="HW15" s="44">
        <f t="shared" si="83"/>
        <v>0</v>
      </c>
      <c r="HX15" s="45">
        <f t="shared" si="84"/>
        <v>0</v>
      </c>
      <c r="HY15" s="44">
        <f t="shared" si="85"/>
        <v>0</v>
      </c>
      <c r="HZ15" s="42" t="str">
        <f t="shared" si="86"/>
        <v>FAJITAS</v>
      </c>
      <c r="IA15" s="45">
        <f t="shared" si="87"/>
        <v>0</v>
      </c>
      <c r="IB15" s="44">
        <f t="shared" si="102"/>
        <v>0</v>
      </c>
      <c r="IC15" s="45">
        <f t="shared" si="103"/>
        <v>0</v>
      </c>
      <c r="ID15" s="44">
        <f t="shared" si="104"/>
        <v>0</v>
      </c>
      <c r="IE15" s="45">
        <f t="shared" si="105"/>
        <v>0</v>
      </c>
      <c r="IF15" s="44">
        <f t="shared" si="106"/>
        <v>0</v>
      </c>
      <c r="IG15" s="45">
        <f t="shared" si="107"/>
        <v>0</v>
      </c>
      <c r="IH15" s="44">
        <f t="shared" si="108"/>
        <v>0</v>
      </c>
      <c r="II15" s="45">
        <f t="shared" si="109"/>
        <v>0</v>
      </c>
      <c r="IJ15" s="44"/>
      <c r="IK15" s="45"/>
      <c r="IL15" s="44">
        <f t="shared" si="110"/>
        <v>9</v>
      </c>
      <c r="IM15" s="42" t="str">
        <f t="shared" si="88"/>
        <v>FAJITAS</v>
      </c>
      <c r="IN15" s="43">
        <f t="shared" si="111"/>
        <v>3.5</v>
      </c>
      <c r="IP15" s="42" t="str">
        <f t="shared" si="112"/>
        <v>FAJITAS</v>
      </c>
      <c r="IQ15" s="43">
        <f t="shared" si="113"/>
        <v>0</v>
      </c>
      <c r="IS15" s="42" t="str">
        <f t="shared" si="89"/>
        <v>FAJITAS</v>
      </c>
      <c r="IT15" s="43">
        <f t="shared" si="114"/>
        <v>4</v>
      </c>
      <c r="IV15" s="43"/>
      <c r="IW15" s="42" t="str">
        <f t="shared" si="90"/>
        <v>FAJITAS</v>
      </c>
      <c r="IX15" s="43">
        <f t="shared" si="115"/>
        <v>1</v>
      </c>
      <c r="IZ15" s="42" t="str">
        <f t="shared" si="116"/>
        <v>FAJITAS</v>
      </c>
      <c r="JA15" s="43">
        <f t="shared" si="117"/>
        <v>0</v>
      </c>
      <c r="JC15" s="42" t="str">
        <f t="shared" si="91"/>
        <v>FAJITAS</v>
      </c>
      <c r="JD15" s="43">
        <f t="shared" si="118"/>
        <v>0.5</v>
      </c>
      <c r="JF15" s="43"/>
      <c r="JG15" s="42" t="str">
        <f t="shared" si="92"/>
        <v>FAJITAS</v>
      </c>
      <c r="JH15" s="43">
        <f t="shared" si="119"/>
        <v>0</v>
      </c>
      <c r="JJ15" s="42" t="str">
        <f t="shared" si="93"/>
        <v>FAJITAS</v>
      </c>
      <c r="JK15" s="43">
        <f t="shared" si="120"/>
        <v>0</v>
      </c>
      <c r="JM15" s="42" t="str">
        <f t="shared" si="94"/>
        <v>FAJITAS</v>
      </c>
      <c r="JN15" s="43">
        <f t="shared" si="121"/>
        <v>0</v>
      </c>
      <c r="JP15" s="44">
        <f t="shared" si="122"/>
        <v>0</v>
      </c>
      <c r="JQ15" s="42" t="str">
        <f t="shared" si="95"/>
        <v>FAJITAS</v>
      </c>
      <c r="JR15" s="43">
        <f t="shared" si="123"/>
        <v>0</v>
      </c>
      <c r="JT15" s="42" t="str">
        <f t="shared" si="96"/>
        <v>FAJITAS</v>
      </c>
      <c r="JU15" s="43">
        <f t="shared" si="124"/>
        <v>0</v>
      </c>
      <c r="JW15" s="42" t="str">
        <f t="shared" si="97"/>
        <v>FAJITAS</v>
      </c>
      <c r="JX15" s="43">
        <f t="shared" si="125"/>
        <v>0</v>
      </c>
      <c r="JZ15" s="44">
        <f t="shared" si="126"/>
        <v>0</v>
      </c>
    </row>
    <row r="16" spans="1:286" s="7" customFormat="1" ht="54" customHeight="1" x14ac:dyDescent="0.65">
      <c r="A16" s="46" t="s">
        <v>46</v>
      </c>
      <c r="B16" s="43"/>
      <c r="D16" s="46"/>
      <c r="E16" s="43"/>
      <c r="G16" s="42" t="str">
        <f t="shared" si="0"/>
        <v>MILANESA</v>
      </c>
      <c r="H16" s="43"/>
      <c r="J16" s="43">
        <f t="shared" si="1"/>
        <v>0</v>
      </c>
      <c r="K16" s="42" t="str">
        <f t="shared" si="2"/>
        <v>MILANESA</v>
      </c>
      <c r="L16" s="43"/>
      <c r="N16" s="46"/>
      <c r="O16" s="43"/>
      <c r="Q16" s="42" t="str">
        <f t="shared" si="3"/>
        <v>MILANESA</v>
      </c>
      <c r="R16" s="43"/>
      <c r="T16" s="43">
        <f t="shared" si="4"/>
        <v>0</v>
      </c>
      <c r="U16" s="42" t="str">
        <f t="shared" si="5"/>
        <v>MILANESA</v>
      </c>
      <c r="V16" s="43">
        <v>1</v>
      </c>
      <c r="X16" s="46"/>
      <c r="Y16" s="43"/>
      <c r="AA16" s="42" t="str">
        <f t="shared" si="6"/>
        <v>MILANESA</v>
      </c>
      <c r="AB16" s="43"/>
      <c r="AD16" s="43">
        <f t="shared" si="7"/>
        <v>1</v>
      </c>
      <c r="AE16" s="42" t="str">
        <f t="shared" si="8"/>
        <v>MILANESA</v>
      </c>
      <c r="AF16" s="43"/>
      <c r="AH16" s="46"/>
      <c r="AI16" s="43"/>
      <c r="AK16" s="42" t="str">
        <f t="shared" si="9"/>
        <v>MILANESA</v>
      </c>
      <c r="AL16" s="43"/>
      <c r="AN16" s="43">
        <f t="shared" si="10"/>
        <v>0</v>
      </c>
      <c r="AO16" s="42" t="str">
        <f t="shared" si="11"/>
        <v>MILANESA</v>
      </c>
      <c r="AP16" s="43"/>
      <c r="AR16" s="46"/>
      <c r="AS16" s="43"/>
      <c r="AU16" s="42" t="str">
        <f t="shared" si="12"/>
        <v>MILANESA</v>
      </c>
      <c r="AV16" s="43"/>
      <c r="AX16" s="43">
        <f t="shared" si="13"/>
        <v>0</v>
      </c>
      <c r="AY16" s="42" t="str">
        <f t="shared" si="14"/>
        <v>MILANESA</v>
      </c>
      <c r="AZ16" s="43"/>
      <c r="BB16" s="46"/>
      <c r="BC16" s="43"/>
      <c r="BE16" s="42" t="str">
        <f t="shared" si="15"/>
        <v>MILANESA</v>
      </c>
      <c r="BF16" s="43">
        <v>1</v>
      </c>
      <c r="BH16" s="43">
        <f t="shared" si="16"/>
        <v>1</v>
      </c>
      <c r="BI16" s="42" t="str">
        <f t="shared" si="17"/>
        <v>MILANESA</v>
      </c>
      <c r="BJ16" s="43"/>
      <c r="BL16" s="46"/>
      <c r="BM16" s="43"/>
      <c r="BO16" s="42" t="str">
        <f t="shared" si="18"/>
        <v>MILANESA</v>
      </c>
      <c r="BP16" s="43"/>
      <c r="BR16" s="43">
        <f t="shared" si="19"/>
        <v>0</v>
      </c>
      <c r="BS16" s="42" t="str">
        <f t="shared" si="20"/>
        <v>MILANESA</v>
      </c>
      <c r="BT16" s="43"/>
      <c r="BV16" s="46"/>
      <c r="BW16" s="43"/>
      <c r="BY16" s="42" t="str">
        <f t="shared" si="21"/>
        <v>MILANESA</v>
      </c>
      <c r="BZ16" s="43"/>
      <c r="CB16" s="43">
        <f t="shared" si="22"/>
        <v>0</v>
      </c>
      <c r="CC16" s="42" t="str">
        <f t="shared" si="23"/>
        <v>MILANESA</v>
      </c>
      <c r="CD16" s="43"/>
      <c r="CF16" s="46"/>
      <c r="CG16" s="43"/>
      <c r="CI16" s="42" t="str">
        <f t="shared" si="24"/>
        <v>MILANESA</v>
      </c>
      <c r="CJ16" s="43"/>
      <c r="CL16" s="43">
        <f t="shared" si="25"/>
        <v>0</v>
      </c>
      <c r="CM16" s="42" t="str">
        <f t="shared" si="26"/>
        <v>MILANESA</v>
      </c>
      <c r="CN16" s="43"/>
      <c r="CP16" s="42"/>
      <c r="CQ16" s="43"/>
      <c r="CS16" s="42" t="str">
        <f t="shared" si="27"/>
        <v>MILANESA</v>
      </c>
      <c r="CT16" s="43"/>
      <c r="CV16" s="43">
        <f t="shared" si="28"/>
        <v>0</v>
      </c>
      <c r="CW16" s="42" t="str">
        <f t="shared" si="29"/>
        <v>MILANESA</v>
      </c>
      <c r="CX16" s="43"/>
      <c r="CZ16" s="46"/>
      <c r="DA16" s="43"/>
      <c r="DC16" s="42" t="str">
        <f t="shared" si="30"/>
        <v>MILANESA</v>
      </c>
      <c r="DD16" s="43"/>
      <c r="DF16" s="43">
        <f t="shared" si="31"/>
        <v>0</v>
      </c>
      <c r="DG16" s="42" t="str">
        <f t="shared" si="32"/>
        <v>MILANESA</v>
      </c>
      <c r="DH16" s="43"/>
      <c r="DJ16" s="42"/>
      <c r="DK16" s="43"/>
      <c r="DM16" s="42" t="str">
        <f t="shared" si="33"/>
        <v>MILANESA</v>
      </c>
      <c r="DN16" s="43"/>
      <c r="DP16" s="43">
        <f t="shared" si="34"/>
        <v>0</v>
      </c>
      <c r="DQ16" s="42" t="str">
        <f t="shared" si="35"/>
        <v>MILANESA</v>
      </c>
      <c r="DR16" s="43"/>
      <c r="DT16" s="42"/>
      <c r="DU16" s="43"/>
      <c r="DW16" s="42" t="str">
        <f t="shared" si="36"/>
        <v>MILANESA</v>
      </c>
      <c r="DX16" s="43"/>
      <c r="DZ16" s="43">
        <f t="shared" si="37"/>
        <v>0</v>
      </c>
      <c r="EA16" s="42" t="str">
        <f t="shared" si="38"/>
        <v>MILANESA</v>
      </c>
      <c r="EB16" s="43"/>
      <c r="ED16" s="42" t="str">
        <f t="shared" si="39"/>
        <v>MILANESA</v>
      </c>
      <c r="EE16" s="43"/>
      <c r="EG16" s="42" t="str">
        <f t="shared" si="40"/>
        <v>MILANESA</v>
      </c>
      <c r="EH16" s="43"/>
      <c r="EJ16" s="43">
        <f t="shared" si="41"/>
        <v>0</v>
      </c>
      <c r="EK16" s="42" t="str">
        <f t="shared" si="42"/>
        <v>MILANESA</v>
      </c>
      <c r="EL16" s="43"/>
      <c r="EN16" s="42" t="str">
        <f t="shared" si="43"/>
        <v>MILANESA</v>
      </c>
      <c r="EO16" s="43"/>
      <c r="EQ16" s="42" t="str">
        <f t="shared" si="44"/>
        <v>MILANESA</v>
      </c>
      <c r="ER16" s="43"/>
      <c r="ET16" s="43">
        <f t="shared" si="45"/>
        <v>0</v>
      </c>
      <c r="EU16" s="42" t="str">
        <f t="shared" si="46"/>
        <v>MILANESA</v>
      </c>
      <c r="EV16" s="43"/>
      <c r="EX16" s="42" t="str">
        <f t="shared" si="47"/>
        <v>MILANESA</v>
      </c>
      <c r="EY16" s="43"/>
      <c r="FA16" s="42" t="str">
        <f t="shared" si="48"/>
        <v>MILANESA</v>
      </c>
      <c r="FB16" s="43"/>
      <c r="FD16" s="43">
        <f t="shared" si="49"/>
        <v>0</v>
      </c>
      <c r="FE16" s="42" t="str">
        <f t="shared" si="50"/>
        <v>MILANESA</v>
      </c>
      <c r="FF16" s="43"/>
      <c r="FH16" s="42" t="str">
        <f t="shared" si="51"/>
        <v>MILANESA</v>
      </c>
      <c r="FI16" s="43"/>
      <c r="FK16" s="42" t="str">
        <f t="shared" si="52"/>
        <v>MILANESA</v>
      </c>
      <c r="FL16" s="43"/>
      <c r="FN16" s="43">
        <f t="shared" si="53"/>
        <v>0</v>
      </c>
      <c r="FO16" s="42" t="str">
        <f t="shared" si="54"/>
        <v>MILANESA</v>
      </c>
      <c r="FP16" s="43">
        <v>1</v>
      </c>
      <c r="FR16" s="42" t="str">
        <f t="shared" si="55"/>
        <v>MILANESA</v>
      </c>
      <c r="FS16" s="43"/>
      <c r="FU16" s="42" t="str">
        <f t="shared" si="56"/>
        <v>MILANESA</v>
      </c>
      <c r="FV16" s="43"/>
      <c r="FX16" s="43">
        <f t="shared" si="57"/>
        <v>1</v>
      </c>
      <c r="FY16" s="42" t="str">
        <f t="shared" si="58"/>
        <v>MILANESA</v>
      </c>
      <c r="FZ16" s="43"/>
      <c r="GB16" s="42" t="str">
        <f t="shared" si="59"/>
        <v>MILANESA</v>
      </c>
      <c r="GC16" s="43"/>
      <c r="GE16" s="42" t="str">
        <f t="shared" si="60"/>
        <v>MILANESA</v>
      </c>
      <c r="GF16" s="43"/>
      <c r="GH16" s="43">
        <f t="shared" si="61"/>
        <v>0</v>
      </c>
      <c r="GI16" s="42" t="str">
        <f t="shared" si="62"/>
        <v>MILANESA</v>
      </c>
      <c r="GJ16" s="43"/>
      <c r="GL16" s="42" t="str">
        <f t="shared" si="63"/>
        <v>MILANESA</v>
      </c>
      <c r="GM16" s="43"/>
      <c r="GO16" s="42" t="str">
        <f t="shared" si="64"/>
        <v>MILANESA</v>
      </c>
      <c r="GP16" s="43"/>
      <c r="GR16" s="43">
        <f t="shared" si="98"/>
        <v>0</v>
      </c>
      <c r="GS16" s="42" t="str">
        <f t="shared" si="65"/>
        <v>MILANESA</v>
      </c>
      <c r="GT16" s="43"/>
      <c r="GV16" s="42" t="str">
        <f t="shared" si="66"/>
        <v>MILANESA</v>
      </c>
      <c r="GW16" s="43"/>
      <c r="GY16" s="42" t="str">
        <f t="shared" si="67"/>
        <v>MILANESA</v>
      </c>
      <c r="GZ16" s="43"/>
      <c r="HB16" s="43">
        <f t="shared" si="68"/>
        <v>0</v>
      </c>
      <c r="HC16" s="42" t="str">
        <f t="shared" si="69"/>
        <v>MILANESA</v>
      </c>
      <c r="HD16" s="43">
        <f t="shared" si="127"/>
        <v>1</v>
      </c>
      <c r="HF16" s="42" t="str">
        <f t="shared" si="71"/>
        <v>MILANESA</v>
      </c>
      <c r="HG16" s="43">
        <f t="shared" si="99"/>
        <v>0</v>
      </c>
      <c r="HI16" s="42" t="str">
        <f t="shared" si="72"/>
        <v>MILANESA</v>
      </c>
      <c r="HJ16" s="43">
        <f t="shared" si="100"/>
        <v>1</v>
      </c>
      <c r="HL16" s="43">
        <f t="shared" si="101"/>
        <v>3</v>
      </c>
      <c r="HM16" s="42" t="str">
        <f t="shared" si="73"/>
        <v>MILANESA</v>
      </c>
      <c r="HN16" s="45">
        <f t="shared" si="74"/>
        <v>0</v>
      </c>
      <c r="HO16" s="44">
        <f t="shared" si="75"/>
        <v>0</v>
      </c>
      <c r="HP16" s="45">
        <f t="shared" si="76"/>
        <v>1</v>
      </c>
      <c r="HQ16" s="44">
        <f t="shared" si="77"/>
        <v>0</v>
      </c>
      <c r="HR16" s="45">
        <f t="shared" si="78"/>
        <v>0</v>
      </c>
      <c r="HS16" s="44">
        <f t="shared" si="79"/>
        <v>1</v>
      </c>
      <c r="HT16" s="45">
        <f t="shared" si="80"/>
        <v>0</v>
      </c>
      <c r="HU16" s="44">
        <f t="shared" si="81"/>
        <v>0</v>
      </c>
      <c r="HV16" s="45">
        <f t="shared" si="82"/>
        <v>0</v>
      </c>
      <c r="HW16" s="44">
        <f t="shared" si="83"/>
        <v>0</v>
      </c>
      <c r="HX16" s="45">
        <f t="shared" si="84"/>
        <v>0</v>
      </c>
      <c r="HY16" s="44">
        <f t="shared" si="85"/>
        <v>0</v>
      </c>
      <c r="HZ16" s="42" t="str">
        <f t="shared" si="86"/>
        <v>MILANESA</v>
      </c>
      <c r="IA16" s="45">
        <f t="shared" si="87"/>
        <v>0</v>
      </c>
      <c r="IB16" s="44">
        <f t="shared" si="102"/>
        <v>0</v>
      </c>
      <c r="IC16" s="45">
        <f t="shared" si="103"/>
        <v>0</v>
      </c>
      <c r="ID16" s="44">
        <f t="shared" si="104"/>
        <v>0</v>
      </c>
      <c r="IE16" s="45">
        <f t="shared" si="105"/>
        <v>0</v>
      </c>
      <c r="IF16" s="44">
        <f t="shared" si="106"/>
        <v>1</v>
      </c>
      <c r="IG16" s="45">
        <f t="shared" si="107"/>
        <v>0</v>
      </c>
      <c r="IH16" s="44">
        <f t="shared" si="108"/>
        <v>0</v>
      </c>
      <c r="II16" s="45">
        <f t="shared" si="109"/>
        <v>0</v>
      </c>
      <c r="IJ16" s="44"/>
      <c r="IK16" s="45"/>
      <c r="IL16" s="44">
        <f t="shared" si="110"/>
        <v>3</v>
      </c>
      <c r="IM16" s="42" t="str">
        <f t="shared" si="88"/>
        <v>MILANESA</v>
      </c>
      <c r="IN16" s="43">
        <f t="shared" si="111"/>
        <v>1</v>
      </c>
      <c r="IP16" s="42" t="str">
        <f t="shared" si="112"/>
        <v>MILANESA</v>
      </c>
      <c r="IQ16" s="43">
        <f t="shared" si="113"/>
        <v>0</v>
      </c>
      <c r="IS16" s="42" t="str">
        <f t="shared" si="89"/>
        <v>MILANESA</v>
      </c>
      <c r="IT16" s="43">
        <f t="shared" si="114"/>
        <v>1</v>
      </c>
      <c r="IV16" s="43"/>
      <c r="IW16" s="42" t="str">
        <f t="shared" si="90"/>
        <v>MILANESA</v>
      </c>
      <c r="IX16" s="43">
        <f t="shared" si="115"/>
        <v>0</v>
      </c>
      <c r="IZ16" s="42" t="str">
        <f t="shared" si="116"/>
        <v>MILANESA</v>
      </c>
      <c r="JA16" s="43">
        <f t="shared" si="117"/>
        <v>0</v>
      </c>
      <c r="JC16" s="42" t="str">
        <f t="shared" si="91"/>
        <v>MILANESA</v>
      </c>
      <c r="JD16" s="43">
        <f t="shared" si="118"/>
        <v>0</v>
      </c>
      <c r="JF16" s="43"/>
      <c r="JG16" s="42" t="str">
        <f t="shared" si="92"/>
        <v>MILANESA</v>
      </c>
      <c r="JH16" s="43">
        <f t="shared" si="119"/>
        <v>1</v>
      </c>
      <c r="JJ16" s="42" t="str">
        <f t="shared" si="93"/>
        <v>MILANESA</v>
      </c>
      <c r="JK16" s="43">
        <f t="shared" si="120"/>
        <v>0</v>
      </c>
      <c r="JM16" s="42" t="str">
        <f t="shared" si="94"/>
        <v>MILANESA</v>
      </c>
      <c r="JN16" s="43">
        <f t="shared" si="121"/>
        <v>0</v>
      </c>
      <c r="JP16" s="44">
        <f t="shared" si="122"/>
        <v>1</v>
      </c>
      <c r="JQ16" s="42" t="str">
        <f t="shared" si="95"/>
        <v>MILANESA</v>
      </c>
      <c r="JR16" s="43">
        <f t="shared" si="123"/>
        <v>0</v>
      </c>
      <c r="JT16" s="42" t="str">
        <f t="shared" si="96"/>
        <v>MILANESA</v>
      </c>
      <c r="JU16" s="43">
        <f t="shared" si="124"/>
        <v>0</v>
      </c>
      <c r="JW16" s="42" t="str">
        <f t="shared" si="97"/>
        <v>MILANESA</v>
      </c>
      <c r="JX16" s="43">
        <f t="shared" si="125"/>
        <v>0</v>
      </c>
      <c r="JZ16" s="44">
        <f t="shared" si="126"/>
        <v>0</v>
      </c>
    </row>
    <row r="17" spans="1:286" s="48" customFormat="1" ht="54" customHeight="1" x14ac:dyDescent="0.65">
      <c r="A17" s="46" t="s">
        <v>47</v>
      </c>
      <c r="B17" s="43"/>
      <c r="D17" s="46"/>
      <c r="E17" s="43"/>
      <c r="G17" s="42" t="str">
        <f t="shared" si="0"/>
        <v>TAMAL ROJO</v>
      </c>
      <c r="H17" s="43"/>
      <c r="J17" s="43">
        <f t="shared" si="1"/>
        <v>0</v>
      </c>
      <c r="K17" s="42" t="str">
        <f t="shared" si="2"/>
        <v>TAMAL ROJO</v>
      </c>
      <c r="L17" s="43"/>
      <c r="N17" s="46"/>
      <c r="O17" s="43"/>
      <c r="Q17" s="42" t="str">
        <f t="shared" si="3"/>
        <v>TAMAL ROJO</v>
      </c>
      <c r="R17" s="43"/>
      <c r="T17" s="43">
        <f t="shared" si="4"/>
        <v>0</v>
      </c>
      <c r="U17" s="42" t="str">
        <f t="shared" si="5"/>
        <v>TAMAL ROJO</v>
      </c>
      <c r="V17" s="43"/>
      <c r="X17" s="46"/>
      <c r="Y17" s="43"/>
      <c r="AA17" s="42" t="str">
        <f t="shared" si="6"/>
        <v>TAMAL ROJO</v>
      </c>
      <c r="AB17" s="43"/>
      <c r="AD17" s="43">
        <f t="shared" si="7"/>
        <v>0</v>
      </c>
      <c r="AE17" s="42" t="str">
        <f t="shared" si="8"/>
        <v>TAMAL ROJO</v>
      </c>
      <c r="AF17" s="43"/>
      <c r="AH17" s="46"/>
      <c r="AI17" s="43"/>
      <c r="AK17" s="42" t="str">
        <f t="shared" si="9"/>
        <v>TAMAL ROJO</v>
      </c>
      <c r="AL17" s="43"/>
      <c r="AN17" s="43">
        <f t="shared" si="10"/>
        <v>0</v>
      </c>
      <c r="AO17" s="42" t="str">
        <f t="shared" si="11"/>
        <v>TAMAL ROJO</v>
      </c>
      <c r="AP17" s="43"/>
      <c r="AR17" s="46"/>
      <c r="AS17" s="43"/>
      <c r="AU17" s="42" t="str">
        <f t="shared" si="12"/>
        <v>TAMAL ROJO</v>
      </c>
      <c r="AV17" s="43"/>
      <c r="AX17" s="43">
        <f t="shared" si="13"/>
        <v>0</v>
      </c>
      <c r="AY17" s="42" t="str">
        <f t="shared" si="14"/>
        <v>TAMAL ROJO</v>
      </c>
      <c r="AZ17" s="43"/>
      <c r="BB17" s="46"/>
      <c r="BC17" s="43"/>
      <c r="BE17" s="42" t="str">
        <f t="shared" si="15"/>
        <v>TAMAL ROJO</v>
      </c>
      <c r="BF17" s="43"/>
      <c r="BH17" s="43">
        <f t="shared" si="16"/>
        <v>0</v>
      </c>
      <c r="BI17" s="42" t="str">
        <f t="shared" si="17"/>
        <v>TAMAL ROJO</v>
      </c>
      <c r="BJ17" s="43"/>
      <c r="BL17" s="46"/>
      <c r="BM17" s="43"/>
      <c r="BO17" s="42" t="str">
        <f t="shared" si="18"/>
        <v>TAMAL ROJO</v>
      </c>
      <c r="BP17" s="43"/>
      <c r="BR17" s="43">
        <f t="shared" si="19"/>
        <v>0</v>
      </c>
      <c r="BS17" s="42" t="str">
        <f t="shared" si="20"/>
        <v>TAMAL ROJO</v>
      </c>
      <c r="BT17" s="43">
        <v>1</v>
      </c>
      <c r="BV17" s="46"/>
      <c r="BW17" s="43"/>
      <c r="BY17" s="42" t="str">
        <f t="shared" si="21"/>
        <v>TAMAL ROJO</v>
      </c>
      <c r="BZ17" s="43"/>
      <c r="CB17" s="43">
        <f t="shared" si="22"/>
        <v>1</v>
      </c>
      <c r="CC17" s="42" t="str">
        <f t="shared" si="23"/>
        <v>TAMAL ROJO</v>
      </c>
      <c r="CD17" s="43"/>
      <c r="CF17" s="46"/>
      <c r="CG17" s="43"/>
      <c r="CI17" s="42" t="str">
        <f t="shared" si="24"/>
        <v>TAMAL ROJO</v>
      </c>
      <c r="CJ17" s="43"/>
      <c r="CL17" s="43">
        <f t="shared" si="25"/>
        <v>0</v>
      </c>
      <c r="CM17" s="42" t="str">
        <f t="shared" si="26"/>
        <v>TAMAL ROJO</v>
      </c>
      <c r="CN17" s="43"/>
      <c r="CP17" s="42"/>
      <c r="CQ17" s="43"/>
      <c r="CS17" s="42" t="str">
        <f t="shared" si="27"/>
        <v>TAMAL ROJO</v>
      </c>
      <c r="CT17" s="43"/>
      <c r="CV17" s="43">
        <f t="shared" si="28"/>
        <v>0</v>
      </c>
      <c r="CW17" s="42" t="str">
        <f t="shared" si="29"/>
        <v>TAMAL ROJO</v>
      </c>
      <c r="CX17" s="43">
        <v>1</v>
      </c>
      <c r="CZ17" s="42"/>
      <c r="DA17" s="43"/>
      <c r="DC17" s="42" t="str">
        <f t="shared" ref="DC17:DC29" si="128">A17</f>
        <v>TAMAL ROJO</v>
      </c>
      <c r="DD17" s="43"/>
      <c r="DF17" s="43">
        <f t="shared" si="31"/>
        <v>1</v>
      </c>
      <c r="DG17" s="42" t="str">
        <f t="shared" si="32"/>
        <v>TAMAL ROJO</v>
      </c>
      <c r="DH17" s="43"/>
      <c r="DJ17" s="42"/>
      <c r="DK17" s="43"/>
      <c r="DM17" s="42" t="str">
        <f t="shared" si="33"/>
        <v>TAMAL ROJO</v>
      </c>
      <c r="DN17" s="43"/>
      <c r="DP17" s="43">
        <f t="shared" si="34"/>
        <v>0</v>
      </c>
      <c r="DQ17" s="42" t="str">
        <f t="shared" si="35"/>
        <v>TAMAL ROJO</v>
      </c>
      <c r="DR17" s="43"/>
      <c r="DT17" s="42"/>
      <c r="DU17" s="43"/>
      <c r="DW17" s="42" t="str">
        <f t="shared" si="36"/>
        <v>TAMAL ROJO</v>
      </c>
      <c r="DX17" s="43"/>
      <c r="DZ17" s="43">
        <f t="shared" si="37"/>
        <v>0</v>
      </c>
      <c r="EA17" s="42" t="str">
        <f t="shared" si="38"/>
        <v>TAMAL ROJO</v>
      </c>
      <c r="EB17" s="43"/>
      <c r="ED17" s="42" t="str">
        <f t="shared" si="39"/>
        <v>TAMAL ROJO</v>
      </c>
      <c r="EE17" s="43"/>
      <c r="EG17" s="42" t="str">
        <f t="shared" si="40"/>
        <v>TAMAL ROJO</v>
      </c>
      <c r="EH17" s="43"/>
      <c r="EJ17" s="43">
        <f t="shared" si="41"/>
        <v>0</v>
      </c>
      <c r="EK17" s="42" t="str">
        <f t="shared" si="42"/>
        <v>TAMAL ROJO</v>
      </c>
      <c r="EL17" s="43"/>
      <c r="EN17" s="42" t="str">
        <f t="shared" si="43"/>
        <v>TAMAL ROJO</v>
      </c>
      <c r="EO17" s="43"/>
      <c r="EQ17" s="42" t="str">
        <f t="shared" si="44"/>
        <v>TAMAL ROJO</v>
      </c>
      <c r="ER17" s="43"/>
      <c r="ET17" s="43">
        <f t="shared" si="45"/>
        <v>0</v>
      </c>
      <c r="EU17" s="42" t="str">
        <f t="shared" si="46"/>
        <v>TAMAL ROJO</v>
      </c>
      <c r="EV17" s="43"/>
      <c r="EX17" s="42" t="str">
        <f t="shared" si="47"/>
        <v>TAMAL ROJO</v>
      </c>
      <c r="EY17" s="43"/>
      <c r="FA17" s="42" t="str">
        <f t="shared" si="48"/>
        <v>TAMAL ROJO</v>
      </c>
      <c r="FB17" s="43"/>
      <c r="FD17" s="43">
        <f t="shared" si="49"/>
        <v>0</v>
      </c>
      <c r="FE17" s="42" t="str">
        <f t="shared" si="50"/>
        <v>TAMAL ROJO</v>
      </c>
      <c r="FF17" s="43"/>
      <c r="FH17" s="42" t="str">
        <f t="shared" si="51"/>
        <v>TAMAL ROJO</v>
      </c>
      <c r="FI17" s="43"/>
      <c r="FK17" s="42" t="str">
        <f t="shared" si="52"/>
        <v>TAMAL ROJO</v>
      </c>
      <c r="FL17" s="43"/>
      <c r="FN17" s="43">
        <f t="shared" si="53"/>
        <v>0</v>
      </c>
      <c r="FO17" s="42" t="str">
        <f t="shared" si="54"/>
        <v>TAMAL ROJO</v>
      </c>
      <c r="FP17" s="43"/>
      <c r="FR17" s="42" t="str">
        <f t="shared" si="55"/>
        <v>TAMAL ROJO</v>
      </c>
      <c r="FS17" s="43"/>
      <c r="FU17" s="42" t="str">
        <f t="shared" si="56"/>
        <v>TAMAL ROJO</v>
      </c>
      <c r="FV17" s="43"/>
      <c r="FX17" s="43">
        <f t="shared" si="57"/>
        <v>0</v>
      </c>
      <c r="FY17" s="42" t="str">
        <f t="shared" si="58"/>
        <v>TAMAL ROJO</v>
      </c>
      <c r="FZ17" s="43"/>
      <c r="GB17" s="42" t="str">
        <f t="shared" si="59"/>
        <v>TAMAL ROJO</v>
      </c>
      <c r="GC17" s="43"/>
      <c r="GE17" s="42" t="str">
        <f t="shared" si="60"/>
        <v>TAMAL ROJO</v>
      </c>
      <c r="GF17" s="43"/>
      <c r="GH17" s="43">
        <f t="shared" si="61"/>
        <v>0</v>
      </c>
      <c r="GI17" s="42" t="str">
        <f t="shared" si="62"/>
        <v>TAMAL ROJO</v>
      </c>
      <c r="GJ17" s="43"/>
      <c r="GL17" s="42" t="str">
        <f t="shared" si="63"/>
        <v>TAMAL ROJO</v>
      </c>
      <c r="GM17" s="43"/>
      <c r="GO17" s="42" t="str">
        <f t="shared" si="64"/>
        <v>TAMAL ROJO</v>
      </c>
      <c r="GP17" s="43"/>
      <c r="GR17" s="43">
        <f t="shared" si="98"/>
        <v>0</v>
      </c>
      <c r="GS17" s="42" t="str">
        <f t="shared" si="65"/>
        <v>TAMAL ROJO</v>
      </c>
      <c r="GT17" s="43"/>
      <c r="GV17" s="42" t="str">
        <f t="shared" si="66"/>
        <v>TAMAL ROJO</v>
      </c>
      <c r="GW17" s="43"/>
      <c r="GY17" s="42" t="str">
        <f t="shared" si="67"/>
        <v>TAMAL ROJO</v>
      </c>
      <c r="GZ17" s="43"/>
      <c r="HB17" s="43">
        <f t="shared" si="68"/>
        <v>0</v>
      </c>
      <c r="HC17" s="42" t="str">
        <f t="shared" si="69"/>
        <v>TAMAL ROJO</v>
      </c>
      <c r="HD17" s="43">
        <f t="shared" si="127"/>
        <v>2</v>
      </c>
      <c r="HF17" s="42" t="str">
        <f t="shared" si="71"/>
        <v>TAMAL ROJO</v>
      </c>
      <c r="HG17" s="43">
        <f t="shared" si="99"/>
        <v>0</v>
      </c>
      <c r="HI17" s="42" t="str">
        <f t="shared" si="72"/>
        <v>TAMAL ROJO</v>
      </c>
      <c r="HJ17" s="43">
        <f t="shared" si="100"/>
        <v>0</v>
      </c>
      <c r="HL17" s="43">
        <f t="shared" si="101"/>
        <v>2</v>
      </c>
      <c r="HM17" s="42" t="str">
        <f t="shared" si="73"/>
        <v>TAMAL ROJO</v>
      </c>
      <c r="HN17" s="45">
        <f t="shared" si="74"/>
        <v>0</v>
      </c>
      <c r="HO17" s="44">
        <f t="shared" si="75"/>
        <v>0</v>
      </c>
      <c r="HP17" s="45">
        <f t="shared" si="76"/>
        <v>0</v>
      </c>
      <c r="HQ17" s="44">
        <f t="shared" si="77"/>
        <v>0</v>
      </c>
      <c r="HR17" s="45">
        <f t="shared" si="78"/>
        <v>0</v>
      </c>
      <c r="HS17" s="44">
        <f t="shared" si="79"/>
        <v>0</v>
      </c>
      <c r="HT17" s="45">
        <f t="shared" si="80"/>
        <v>0</v>
      </c>
      <c r="HU17" s="44">
        <f t="shared" si="81"/>
        <v>1</v>
      </c>
      <c r="HV17" s="45">
        <f t="shared" si="82"/>
        <v>0</v>
      </c>
      <c r="HW17" s="44">
        <f t="shared" si="83"/>
        <v>0</v>
      </c>
      <c r="HX17" s="45">
        <f t="shared" si="84"/>
        <v>1</v>
      </c>
      <c r="HY17" s="44">
        <f t="shared" si="85"/>
        <v>0</v>
      </c>
      <c r="HZ17" s="42" t="str">
        <f t="shared" si="86"/>
        <v>TAMAL ROJO</v>
      </c>
      <c r="IA17" s="45">
        <f t="shared" si="87"/>
        <v>0</v>
      </c>
      <c r="IB17" s="44">
        <f t="shared" si="102"/>
        <v>0</v>
      </c>
      <c r="IC17" s="45">
        <f t="shared" si="103"/>
        <v>0</v>
      </c>
      <c r="ID17" s="44">
        <f t="shared" si="104"/>
        <v>0</v>
      </c>
      <c r="IE17" s="45">
        <f t="shared" si="105"/>
        <v>0</v>
      </c>
      <c r="IF17" s="44">
        <f t="shared" si="106"/>
        <v>0</v>
      </c>
      <c r="IG17" s="45">
        <f t="shared" si="107"/>
        <v>0</v>
      </c>
      <c r="IH17" s="44">
        <f t="shared" si="108"/>
        <v>0</v>
      </c>
      <c r="II17" s="45">
        <f t="shared" si="109"/>
        <v>0</v>
      </c>
      <c r="IJ17" s="44"/>
      <c r="IK17" s="45"/>
      <c r="IL17" s="44">
        <f t="shared" si="110"/>
        <v>2</v>
      </c>
      <c r="IM17" s="42" t="str">
        <f t="shared" si="88"/>
        <v>TAMAL ROJO</v>
      </c>
      <c r="IN17" s="43">
        <f t="shared" si="111"/>
        <v>0</v>
      </c>
      <c r="IP17" s="42" t="str">
        <f t="shared" si="112"/>
        <v>TAMAL ROJO</v>
      </c>
      <c r="IQ17" s="43">
        <f t="shared" si="113"/>
        <v>0</v>
      </c>
      <c r="IS17" s="42" t="str">
        <f t="shared" si="89"/>
        <v>TAMAL ROJO</v>
      </c>
      <c r="IT17" s="43">
        <f t="shared" si="114"/>
        <v>0</v>
      </c>
      <c r="IV17" s="43"/>
      <c r="IW17" s="42" t="str">
        <f t="shared" si="90"/>
        <v>TAMAL ROJO</v>
      </c>
      <c r="IX17" s="43">
        <f t="shared" si="115"/>
        <v>1</v>
      </c>
      <c r="IZ17" s="42" t="str">
        <f t="shared" si="116"/>
        <v>TAMAL ROJO</v>
      </c>
      <c r="JA17" s="43">
        <f t="shared" si="117"/>
        <v>0</v>
      </c>
      <c r="JC17" s="42" t="str">
        <f t="shared" si="91"/>
        <v>TAMAL ROJO</v>
      </c>
      <c r="JD17" s="43">
        <f t="shared" si="118"/>
        <v>0</v>
      </c>
      <c r="JF17" s="43"/>
      <c r="JG17" s="42" t="str">
        <f t="shared" si="92"/>
        <v>TAMAL ROJO</v>
      </c>
      <c r="JH17" s="43">
        <f t="shared" si="119"/>
        <v>0</v>
      </c>
      <c r="JJ17" s="42" t="str">
        <f t="shared" si="93"/>
        <v>TAMAL ROJO</v>
      </c>
      <c r="JK17" s="43">
        <f t="shared" si="120"/>
        <v>0</v>
      </c>
      <c r="JM17" s="42" t="str">
        <f t="shared" si="94"/>
        <v>TAMAL ROJO</v>
      </c>
      <c r="JN17" s="43">
        <f t="shared" si="121"/>
        <v>0</v>
      </c>
      <c r="JP17" s="44">
        <f t="shared" si="122"/>
        <v>0</v>
      </c>
      <c r="JQ17" s="42" t="str">
        <f t="shared" si="95"/>
        <v>TAMAL ROJO</v>
      </c>
      <c r="JR17" s="43">
        <f t="shared" si="123"/>
        <v>0</v>
      </c>
      <c r="JT17" s="42" t="str">
        <f t="shared" si="96"/>
        <v>TAMAL ROJO</v>
      </c>
      <c r="JU17" s="43">
        <f t="shared" si="124"/>
        <v>0</v>
      </c>
      <c r="JW17" s="42" t="str">
        <f t="shared" si="97"/>
        <v>TAMAL ROJO</v>
      </c>
      <c r="JX17" s="43">
        <f t="shared" si="125"/>
        <v>0</v>
      </c>
      <c r="JZ17" s="44">
        <f t="shared" si="126"/>
        <v>0</v>
      </c>
    </row>
    <row r="18" spans="1:286" s="7" customFormat="1" ht="54" customHeight="1" x14ac:dyDescent="0.65">
      <c r="A18" s="46" t="s">
        <v>48</v>
      </c>
      <c r="B18" s="43">
        <v>1</v>
      </c>
      <c r="D18" s="46"/>
      <c r="E18" s="43"/>
      <c r="G18" s="42" t="str">
        <f t="shared" si="0"/>
        <v>CHILE RELLENO</v>
      </c>
      <c r="H18" s="43"/>
      <c r="J18" s="43">
        <f t="shared" si="1"/>
        <v>1</v>
      </c>
      <c r="K18" s="42" t="str">
        <f t="shared" si="2"/>
        <v>CHILE RELLENO</v>
      </c>
      <c r="L18" s="43"/>
      <c r="N18" s="46"/>
      <c r="O18" s="43"/>
      <c r="Q18" s="42" t="str">
        <f t="shared" si="3"/>
        <v>CHILE RELLENO</v>
      </c>
      <c r="R18" s="43">
        <v>1</v>
      </c>
      <c r="T18" s="43">
        <f t="shared" si="4"/>
        <v>1</v>
      </c>
      <c r="U18" s="42" t="str">
        <f t="shared" si="5"/>
        <v>CHILE RELLENO</v>
      </c>
      <c r="V18" s="43"/>
      <c r="X18" s="46"/>
      <c r="Y18" s="43"/>
      <c r="AA18" s="42" t="str">
        <f t="shared" si="6"/>
        <v>CHILE RELLENO</v>
      </c>
      <c r="AB18" s="43"/>
      <c r="AD18" s="43">
        <f t="shared" si="7"/>
        <v>0</v>
      </c>
      <c r="AE18" s="42" t="str">
        <f t="shared" si="8"/>
        <v>CHILE RELLENO</v>
      </c>
      <c r="AF18" s="43"/>
      <c r="AH18" s="46"/>
      <c r="AI18" s="43"/>
      <c r="AK18" s="42" t="str">
        <f t="shared" si="9"/>
        <v>CHILE RELLENO</v>
      </c>
      <c r="AL18" s="43"/>
      <c r="AN18" s="43">
        <f t="shared" si="10"/>
        <v>0</v>
      </c>
      <c r="AO18" s="42" t="str">
        <f t="shared" si="11"/>
        <v>CHILE RELLENO</v>
      </c>
      <c r="AP18" s="43"/>
      <c r="AR18" s="46"/>
      <c r="AS18" s="43"/>
      <c r="AU18" s="42" t="str">
        <f t="shared" si="12"/>
        <v>CHILE RELLENO</v>
      </c>
      <c r="AV18" s="43"/>
      <c r="AX18" s="43">
        <f t="shared" si="13"/>
        <v>0</v>
      </c>
      <c r="AY18" s="42" t="str">
        <f t="shared" si="14"/>
        <v>CHILE RELLENO</v>
      </c>
      <c r="AZ18" s="43"/>
      <c r="BB18" s="46"/>
      <c r="BC18" s="43"/>
      <c r="BE18" s="42" t="str">
        <f t="shared" si="15"/>
        <v>CHILE RELLENO</v>
      </c>
      <c r="BF18" s="43"/>
      <c r="BH18" s="43">
        <f t="shared" si="16"/>
        <v>0</v>
      </c>
      <c r="BI18" s="42" t="str">
        <f t="shared" si="17"/>
        <v>CHILE RELLENO</v>
      </c>
      <c r="BJ18" s="43"/>
      <c r="BL18" s="46"/>
      <c r="BM18" s="43"/>
      <c r="BO18" s="42" t="str">
        <f t="shared" si="18"/>
        <v>CHILE RELLENO</v>
      </c>
      <c r="BP18" s="43"/>
      <c r="BR18" s="43">
        <f t="shared" si="19"/>
        <v>0</v>
      </c>
      <c r="BS18" s="42" t="str">
        <f t="shared" si="20"/>
        <v>CHILE RELLENO</v>
      </c>
      <c r="BT18" s="43">
        <v>1</v>
      </c>
      <c r="BV18" s="46"/>
      <c r="BW18" s="43"/>
      <c r="BY18" s="42" t="str">
        <f t="shared" si="21"/>
        <v>CHILE RELLENO</v>
      </c>
      <c r="BZ18" s="43"/>
      <c r="CB18" s="43">
        <f t="shared" si="22"/>
        <v>1</v>
      </c>
      <c r="CC18" s="42" t="str">
        <f t="shared" si="23"/>
        <v>CHILE RELLENO</v>
      </c>
      <c r="CD18" s="43"/>
      <c r="CF18" s="46"/>
      <c r="CG18" s="43"/>
      <c r="CI18" s="42" t="str">
        <f t="shared" si="24"/>
        <v>CHILE RELLENO</v>
      </c>
      <c r="CJ18" s="43"/>
      <c r="CL18" s="43">
        <f t="shared" si="25"/>
        <v>0</v>
      </c>
      <c r="CM18" s="42" t="str">
        <f t="shared" si="26"/>
        <v>CHILE RELLENO</v>
      </c>
      <c r="CN18" s="43"/>
      <c r="CP18" s="42"/>
      <c r="CQ18" s="43"/>
      <c r="CS18" s="42" t="str">
        <f t="shared" si="27"/>
        <v>CHILE RELLENO</v>
      </c>
      <c r="CT18" s="43"/>
      <c r="CV18" s="43">
        <f t="shared" si="28"/>
        <v>0</v>
      </c>
      <c r="CW18" s="42" t="str">
        <f t="shared" si="29"/>
        <v>CHILE RELLENO</v>
      </c>
      <c r="CX18" s="43"/>
      <c r="CZ18" s="42"/>
      <c r="DA18" s="43"/>
      <c r="DC18" s="42" t="str">
        <f t="shared" si="128"/>
        <v>CHILE RELLENO</v>
      </c>
      <c r="DD18" s="43"/>
      <c r="DF18" s="43">
        <f t="shared" si="31"/>
        <v>0</v>
      </c>
      <c r="DG18" s="42" t="str">
        <f t="shared" si="32"/>
        <v>CHILE RELLENO</v>
      </c>
      <c r="DH18" s="43"/>
      <c r="DJ18" s="42"/>
      <c r="DK18" s="43"/>
      <c r="DM18" s="42" t="str">
        <f t="shared" si="33"/>
        <v>CHILE RELLENO</v>
      </c>
      <c r="DN18" s="43"/>
      <c r="DP18" s="43">
        <f t="shared" si="34"/>
        <v>0</v>
      </c>
      <c r="DQ18" s="42" t="str">
        <f t="shared" si="35"/>
        <v>CHILE RELLENO</v>
      </c>
      <c r="DR18" s="43"/>
      <c r="DT18" s="42"/>
      <c r="DU18" s="43"/>
      <c r="DW18" s="42" t="str">
        <f t="shared" si="36"/>
        <v>CHILE RELLENO</v>
      </c>
      <c r="DX18" s="43"/>
      <c r="DZ18" s="43">
        <f t="shared" si="37"/>
        <v>0</v>
      </c>
      <c r="EA18" s="42" t="str">
        <f t="shared" si="38"/>
        <v>CHILE RELLENO</v>
      </c>
      <c r="EB18" s="43"/>
      <c r="ED18" s="42" t="str">
        <f t="shared" si="39"/>
        <v>CHILE RELLENO</v>
      </c>
      <c r="EE18" s="43"/>
      <c r="EG18" s="42" t="str">
        <f t="shared" si="40"/>
        <v>CHILE RELLENO</v>
      </c>
      <c r="EH18" s="43"/>
      <c r="EJ18" s="43">
        <f t="shared" si="41"/>
        <v>0</v>
      </c>
      <c r="EK18" s="42" t="str">
        <f t="shared" si="42"/>
        <v>CHILE RELLENO</v>
      </c>
      <c r="EL18" s="43"/>
      <c r="EN18" s="42" t="str">
        <f t="shared" si="43"/>
        <v>CHILE RELLENO</v>
      </c>
      <c r="EO18" s="43"/>
      <c r="EQ18" s="42" t="str">
        <f t="shared" si="44"/>
        <v>CHILE RELLENO</v>
      </c>
      <c r="ER18" s="43"/>
      <c r="ET18" s="43">
        <f t="shared" si="45"/>
        <v>0</v>
      </c>
      <c r="EU18" s="42" t="str">
        <f t="shared" si="46"/>
        <v>CHILE RELLENO</v>
      </c>
      <c r="EV18" s="43"/>
      <c r="EX18" s="42" t="str">
        <f t="shared" si="47"/>
        <v>CHILE RELLENO</v>
      </c>
      <c r="EY18" s="43"/>
      <c r="FA18" s="42" t="str">
        <f t="shared" si="48"/>
        <v>CHILE RELLENO</v>
      </c>
      <c r="FB18" s="43"/>
      <c r="FD18" s="43">
        <f t="shared" si="49"/>
        <v>0</v>
      </c>
      <c r="FE18" s="42" t="str">
        <f t="shared" si="50"/>
        <v>CHILE RELLENO</v>
      </c>
      <c r="FF18" s="43">
        <v>1</v>
      </c>
      <c r="FH18" s="42" t="str">
        <f t="shared" si="51"/>
        <v>CHILE RELLENO</v>
      </c>
      <c r="FI18" s="43"/>
      <c r="FK18" s="42" t="str">
        <f t="shared" si="52"/>
        <v>CHILE RELLENO</v>
      </c>
      <c r="FL18" s="43"/>
      <c r="FN18" s="43">
        <f t="shared" si="53"/>
        <v>1</v>
      </c>
      <c r="FO18" s="42" t="str">
        <f t="shared" si="54"/>
        <v>CHILE RELLENO</v>
      </c>
      <c r="FP18" s="43">
        <v>1</v>
      </c>
      <c r="FR18" s="42" t="str">
        <f t="shared" si="55"/>
        <v>CHILE RELLENO</v>
      </c>
      <c r="FS18" s="43"/>
      <c r="FU18" s="42" t="str">
        <f t="shared" si="56"/>
        <v>CHILE RELLENO</v>
      </c>
      <c r="FV18" s="43"/>
      <c r="FX18" s="43">
        <f t="shared" si="57"/>
        <v>1</v>
      </c>
      <c r="FY18" s="42" t="str">
        <f t="shared" si="58"/>
        <v>CHILE RELLENO</v>
      </c>
      <c r="FZ18" s="43">
        <v>1</v>
      </c>
      <c r="GB18" s="42" t="str">
        <f t="shared" si="59"/>
        <v>CHILE RELLENO</v>
      </c>
      <c r="GC18" s="43">
        <v>1</v>
      </c>
      <c r="GE18" s="42" t="str">
        <f t="shared" si="60"/>
        <v>CHILE RELLENO</v>
      </c>
      <c r="GF18" s="43"/>
      <c r="GH18" s="43">
        <f t="shared" si="61"/>
        <v>2</v>
      </c>
      <c r="GI18" s="42" t="str">
        <f t="shared" si="62"/>
        <v>CHILE RELLENO</v>
      </c>
      <c r="GJ18" s="43"/>
      <c r="GL18" s="42" t="str">
        <f t="shared" si="63"/>
        <v>CHILE RELLENO</v>
      </c>
      <c r="GM18" s="43">
        <v>1</v>
      </c>
      <c r="GO18" s="42" t="str">
        <f t="shared" si="64"/>
        <v>CHILE RELLENO</v>
      </c>
      <c r="GP18" s="43"/>
      <c r="GR18" s="43">
        <f t="shared" si="98"/>
        <v>1</v>
      </c>
      <c r="GS18" s="42" t="str">
        <f t="shared" si="65"/>
        <v>CHILE RELLENO</v>
      </c>
      <c r="GT18" s="43"/>
      <c r="GV18" s="42" t="str">
        <f t="shared" si="66"/>
        <v>CHILE RELLENO</v>
      </c>
      <c r="GW18" s="43"/>
      <c r="GY18" s="42" t="str">
        <f t="shared" si="67"/>
        <v>CHILE RELLENO</v>
      </c>
      <c r="GZ18" s="43"/>
      <c r="HB18" s="43">
        <f t="shared" si="68"/>
        <v>0</v>
      </c>
      <c r="HC18" s="42" t="str">
        <f t="shared" si="69"/>
        <v>CHILE RELLENO</v>
      </c>
      <c r="HD18" s="43">
        <f t="shared" si="127"/>
        <v>3</v>
      </c>
      <c r="HF18" s="42" t="str">
        <f t="shared" si="71"/>
        <v>CHILE RELLENO</v>
      </c>
      <c r="HG18" s="43">
        <f t="shared" si="99"/>
        <v>0</v>
      </c>
      <c r="HI18" s="42" t="str">
        <f t="shared" si="72"/>
        <v>CHILE RELLENO</v>
      </c>
      <c r="HJ18" s="43">
        <f t="shared" si="100"/>
        <v>1</v>
      </c>
      <c r="HL18" s="43">
        <f t="shared" si="101"/>
        <v>8</v>
      </c>
      <c r="HM18" s="42" t="str">
        <f t="shared" si="73"/>
        <v>CHILE RELLENO</v>
      </c>
      <c r="HN18" s="45">
        <f t="shared" si="74"/>
        <v>1</v>
      </c>
      <c r="HO18" s="44">
        <f t="shared" si="75"/>
        <v>1</v>
      </c>
      <c r="HP18" s="45">
        <f t="shared" si="76"/>
        <v>0</v>
      </c>
      <c r="HQ18" s="44">
        <f t="shared" si="77"/>
        <v>0</v>
      </c>
      <c r="HR18" s="45">
        <f t="shared" si="78"/>
        <v>0</v>
      </c>
      <c r="HS18" s="44">
        <f t="shared" si="79"/>
        <v>0</v>
      </c>
      <c r="HT18" s="45">
        <f t="shared" si="80"/>
        <v>0</v>
      </c>
      <c r="HU18" s="44">
        <f t="shared" si="81"/>
        <v>1</v>
      </c>
      <c r="HV18" s="45">
        <f t="shared" si="82"/>
        <v>0</v>
      </c>
      <c r="HW18" s="44">
        <f t="shared" si="83"/>
        <v>0</v>
      </c>
      <c r="HX18" s="45">
        <f t="shared" si="84"/>
        <v>0</v>
      </c>
      <c r="HY18" s="44">
        <f t="shared" si="85"/>
        <v>0</v>
      </c>
      <c r="HZ18" s="42" t="str">
        <f t="shared" si="86"/>
        <v>CHILE RELLENO</v>
      </c>
      <c r="IA18" s="45">
        <f t="shared" si="87"/>
        <v>0</v>
      </c>
      <c r="IB18" s="44">
        <f t="shared" si="102"/>
        <v>0</v>
      </c>
      <c r="IC18" s="45">
        <f t="shared" si="103"/>
        <v>0</v>
      </c>
      <c r="ID18" s="44">
        <f t="shared" si="104"/>
        <v>0</v>
      </c>
      <c r="IE18" s="45">
        <f t="shared" si="105"/>
        <v>1</v>
      </c>
      <c r="IF18" s="44">
        <f t="shared" si="106"/>
        <v>1</v>
      </c>
      <c r="IG18" s="45">
        <f t="shared" si="107"/>
        <v>2</v>
      </c>
      <c r="IH18" s="44">
        <f t="shared" si="108"/>
        <v>1</v>
      </c>
      <c r="II18" s="45">
        <f t="shared" si="109"/>
        <v>0</v>
      </c>
      <c r="IJ18" s="44"/>
      <c r="IK18" s="45"/>
      <c r="IL18" s="44">
        <f t="shared" si="110"/>
        <v>8</v>
      </c>
      <c r="IM18" s="42" t="str">
        <f t="shared" si="88"/>
        <v>CHILE RELLENO</v>
      </c>
      <c r="IN18" s="43">
        <f t="shared" si="111"/>
        <v>2</v>
      </c>
      <c r="IP18" s="42" t="str">
        <f t="shared" si="112"/>
        <v>CHILE RELLENO</v>
      </c>
      <c r="IQ18" s="43">
        <f t="shared" si="113"/>
        <v>0</v>
      </c>
      <c r="IS18" s="42" t="str">
        <f t="shared" si="89"/>
        <v>CHILE RELLENO</v>
      </c>
      <c r="IT18" s="43">
        <f t="shared" si="114"/>
        <v>1</v>
      </c>
      <c r="IV18" s="43"/>
      <c r="IW18" s="42" t="str">
        <f t="shared" si="90"/>
        <v>CHILE RELLENO</v>
      </c>
      <c r="IX18" s="43">
        <f t="shared" si="115"/>
        <v>1</v>
      </c>
      <c r="IZ18" s="42" t="str">
        <f t="shared" si="116"/>
        <v>CHILE RELLENO</v>
      </c>
      <c r="JA18" s="43">
        <f t="shared" si="117"/>
        <v>0</v>
      </c>
      <c r="JC18" s="42" t="str">
        <f t="shared" si="91"/>
        <v>CHILE RELLENO</v>
      </c>
      <c r="JD18" s="43">
        <f t="shared" si="118"/>
        <v>0</v>
      </c>
      <c r="JF18" s="43"/>
      <c r="JG18" s="42" t="str">
        <f t="shared" si="92"/>
        <v>CHILE RELLENO</v>
      </c>
      <c r="JH18" s="43">
        <f t="shared" si="119"/>
        <v>1</v>
      </c>
      <c r="JJ18" s="42" t="str">
        <f t="shared" si="93"/>
        <v>CHILE RELLENO</v>
      </c>
      <c r="JK18" s="43">
        <f t="shared" si="120"/>
        <v>1</v>
      </c>
      <c r="JM18" s="42" t="str">
        <f t="shared" si="94"/>
        <v>CHILE RELLENO</v>
      </c>
      <c r="JN18" s="43">
        <f t="shared" si="121"/>
        <v>0</v>
      </c>
      <c r="JP18" s="44">
        <f t="shared" si="122"/>
        <v>2</v>
      </c>
      <c r="JQ18" s="42" t="str">
        <f t="shared" si="95"/>
        <v>CHILE RELLENO</v>
      </c>
      <c r="JR18" s="43">
        <f t="shared" si="123"/>
        <v>0</v>
      </c>
      <c r="JT18" s="42" t="str">
        <f t="shared" si="96"/>
        <v>CHILE RELLENO</v>
      </c>
      <c r="JU18" s="43">
        <f t="shared" si="124"/>
        <v>1</v>
      </c>
      <c r="JW18" s="42" t="str">
        <f t="shared" si="97"/>
        <v>CHILE RELLENO</v>
      </c>
      <c r="JX18" s="43">
        <f t="shared" si="125"/>
        <v>1</v>
      </c>
      <c r="JZ18" s="44">
        <f t="shared" si="126"/>
        <v>2</v>
      </c>
    </row>
    <row r="19" spans="1:286" s="7" customFormat="1" ht="54" customHeight="1" x14ac:dyDescent="0.65">
      <c r="A19" s="46" t="s">
        <v>49</v>
      </c>
      <c r="B19" s="43">
        <v>1</v>
      </c>
      <c r="D19" s="46"/>
      <c r="E19" s="43"/>
      <c r="G19" s="42" t="str">
        <f t="shared" si="0"/>
        <v>TACO DORADO</v>
      </c>
      <c r="H19" s="43"/>
      <c r="J19" s="43">
        <f t="shared" si="1"/>
        <v>1</v>
      </c>
      <c r="K19" s="42" t="str">
        <f t="shared" si="2"/>
        <v>TACO DORADO</v>
      </c>
      <c r="L19" s="43"/>
      <c r="N19" s="46"/>
      <c r="O19" s="43"/>
      <c r="Q19" s="42" t="str">
        <f t="shared" si="3"/>
        <v>TACO DORADO</v>
      </c>
      <c r="R19" s="43"/>
      <c r="T19" s="43">
        <f t="shared" si="4"/>
        <v>0</v>
      </c>
      <c r="U19" s="42" t="str">
        <f t="shared" si="5"/>
        <v>TACO DORADO</v>
      </c>
      <c r="V19" s="43"/>
      <c r="X19" s="46"/>
      <c r="Y19" s="43"/>
      <c r="AA19" s="42" t="str">
        <f t="shared" si="6"/>
        <v>TACO DORADO</v>
      </c>
      <c r="AB19" s="43"/>
      <c r="AD19" s="43">
        <f t="shared" si="7"/>
        <v>0</v>
      </c>
      <c r="AE19" s="42" t="str">
        <f t="shared" si="8"/>
        <v>TACO DORADO</v>
      </c>
      <c r="AF19" s="43">
        <v>1</v>
      </c>
      <c r="AH19" s="46"/>
      <c r="AI19" s="43"/>
      <c r="AK19" s="42" t="str">
        <f t="shared" si="9"/>
        <v>TACO DORADO</v>
      </c>
      <c r="AL19" s="43"/>
      <c r="AN19" s="43">
        <f t="shared" si="10"/>
        <v>1</v>
      </c>
      <c r="AO19" s="42" t="str">
        <f t="shared" si="11"/>
        <v>TACO DORADO</v>
      </c>
      <c r="AP19" s="43"/>
      <c r="AR19" s="46"/>
      <c r="AS19" s="43"/>
      <c r="AU19" s="42" t="str">
        <f t="shared" si="12"/>
        <v>TACO DORADO</v>
      </c>
      <c r="AV19" s="43"/>
      <c r="AX19" s="43">
        <f t="shared" si="13"/>
        <v>0</v>
      </c>
      <c r="AY19" s="42" t="str">
        <f t="shared" si="14"/>
        <v>TACO DORADO</v>
      </c>
      <c r="AZ19" s="43">
        <v>1</v>
      </c>
      <c r="BB19" s="46"/>
      <c r="BC19" s="43"/>
      <c r="BE19" s="42" t="str">
        <f t="shared" si="15"/>
        <v>TACO DORADO</v>
      </c>
      <c r="BF19" s="43"/>
      <c r="BH19" s="43">
        <f t="shared" si="16"/>
        <v>1</v>
      </c>
      <c r="BI19" s="42" t="str">
        <f t="shared" si="17"/>
        <v>TACO DORADO</v>
      </c>
      <c r="BJ19" s="43">
        <v>1</v>
      </c>
      <c r="BL19" s="46"/>
      <c r="BM19" s="43"/>
      <c r="BO19" s="42" t="str">
        <f t="shared" si="18"/>
        <v>TACO DORADO</v>
      </c>
      <c r="BP19" s="43"/>
      <c r="BR19" s="43">
        <f t="shared" si="19"/>
        <v>1</v>
      </c>
      <c r="BS19" s="42" t="str">
        <f t="shared" si="20"/>
        <v>TACO DORADO</v>
      </c>
      <c r="BT19" s="43">
        <v>1</v>
      </c>
      <c r="BV19" s="46"/>
      <c r="BW19" s="43"/>
      <c r="BY19" s="42" t="str">
        <f t="shared" si="21"/>
        <v>TACO DORADO</v>
      </c>
      <c r="BZ19" s="43">
        <v>1</v>
      </c>
      <c r="CB19" s="43">
        <f t="shared" si="22"/>
        <v>2</v>
      </c>
      <c r="CC19" s="42" t="str">
        <f t="shared" si="23"/>
        <v>TACO DORADO</v>
      </c>
      <c r="CD19" s="43"/>
      <c r="CF19" s="46"/>
      <c r="CG19" s="43"/>
      <c r="CI19" s="42" t="str">
        <f t="shared" si="24"/>
        <v>TACO DORADO</v>
      </c>
      <c r="CJ19" s="43">
        <v>1</v>
      </c>
      <c r="CL19" s="43">
        <f t="shared" si="25"/>
        <v>1</v>
      </c>
      <c r="CM19" s="42" t="str">
        <f t="shared" si="26"/>
        <v>TACO DORADO</v>
      </c>
      <c r="CN19" s="43"/>
      <c r="CP19" s="42"/>
      <c r="CQ19" s="43"/>
      <c r="CS19" s="42" t="str">
        <f t="shared" si="27"/>
        <v>TACO DORADO</v>
      </c>
      <c r="CT19" s="43">
        <v>1</v>
      </c>
      <c r="CV19" s="43">
        <f t="shared" si="28"/>
        <v>1</v>
      </c>
      <c r="CW19" s="42" t="str">
        <f t="shared" si="29"/>
        <v>TACO DORADO</v>
      </c>
      <c r="CX19" s="43"/>
      <c r="CZ19" s="42"/>
      <c r="DA19" s="43"/>
      <c r="DC19" s="42" t="str">
        <f t="shared" si="128"/>
        <v>TACO DORADO</v>
      </c>
      <c r="DD19" s="43"/>
      <c r="DF19" s="43">
        <f t="shared" si="31"/>
        <v>0</v>
      </c>
      <c r="DG19" s="42" t="str">
        <f t="shared" si="32"/>
        <v>TACO DORADO</v>
      </c>
      <c r="DH19" s="43"/>
      <c r="DJ19" s="42"/>
      <c r="DK19" s="43"/>
      <c r="DM19" s="42" t="str">
        <f t="shared" si="33"/>
        <v>TACO DORADO</v>
      </c>
      <c r="DN19" s="43"/>
      <c r="DP19" s="43">
        <f t="shared" si="34"/>
        <v>0</v>
      </c>
      <c r="DQ19" s="42" t="str">
        <f t="shared" si="35"/>
        <v>TACO DORADO</v>
      </c>
      <c r="DR19" s="43"/>
      <c r="DT19" s="42"/>
      <c r="DU19" s="43"/>
      <c r="DW19" s="42" t="str">
        <f t="shared" si="36"/>
        <v>TACO DORADO</v>
      </c>
      <c r="DX19" s="43"/>
      <c r="DZ19" s="43">
        <f t="shared" si="37"/>
        <v>0</v>
      </c>
      <c r="EA19" s="42" t="str">
        <f t="shared" si="38"/>
        <v>TACO DORADO</v>
      </c>
      <c r="EB19" s="43"/>
      <c r="ED19" s="42" t="str">
        <f t="shared" si="39"/>
        <v>TACO DORADO</v>
      </c>
      <c r="EE19" s="43"/>
      <c r="EG19" s="42" t="str">
        <f t="shared" si="40"/>
        <v>TACO DORADO</v>
      </c>
      <c r="EH19" s="43"/>
      <c r="EJ19" s="43">
        <f t="shared" si="41"/>
        <v>0</v>
      </c>
      <c r="EK19" s="42" t="str">
        <f t="shared" si="42"/>
        <v>TACO DORADO</v>
      </c>
      <c r="EL19" s="43"/>
      <c r="EN19" s="42" t="str">
        <f t="shared" si="43"/>
        <v>TACO DORADO</v>
      </c>
      <c r="EO19" s="43"/>
      <c r="EQ19" s="42" t="str">
        <f t="shared" si="44"/>
        <v>TACO DORADO</v>
      </c>
      <c r="ER19" s="43"/>
      <c r="ET19" s="43">
        <f t="shared" si="45"/>
        <v>0</v>
      </c>
      <c r="EU19" s="42" t="str">
        <f t="shared" si="46"/>
        <v>TACO DORADO</v>
      </c>
      <c r="EV19" s="43"/>
      <c r="EX19" s="42" t="str">
        <f t="shared" si="47"/>
        <v>TACO DORADO</v>
      </c>
      <c r="EY19" s="43"/>
      <c r="FA19" s="42" t="str">
        <f t="shared" si="48"/>
        <v>TACO DORADO</v>
      </c>
      <c r="FB19" s="43"/>
      <c r="FD19" s="43">
        <f t="shared" si="49"/>
        <v>0</v>
      </c>
      <c r="FE19" s="42" t="str">
        <f t="shared" si="50"/>
        <v>TACO DORADO</v>
      </c>
      <c r="FF19" s="43"/>
      <c r="FH19" s="42" t="str">
        <f t="shared" si="51"/>
        <v>TACO DORADO</v>
      </c>
      <c r="FI19" s="43"/>
      <c r="FK19" s="42" t="str">
        <f t="shared" si="52"/>
        <v>TACO DORADO</v>
      </c>
      <c r="FL19" s="43"/>
      <c r="FN19" s="43">
        <f t="shared" si="53"/>
        <v>0</v>
      </c>
      <c r="FO19" s="42" t="str">
        <f t="shared" si="54"/>
        <v>TACO DORADO</v>
      </c>
      <c r="FP19" s="43"/>
      <c r="FR19" s="42" t="str">
        <f t="shared" si="55"/>
        <v>TACO DORADO</v>
      </c>
      <c r="FS19" s="43"/>
      <c r="FU19" s="42" t="str">
        <f t="shared" si="56"/>
        <v>TACO DORADO</v>
      </c>
      <c r="FV19" s="43"/>
      <c r="FX19" s="43">
        <f t="shared" si="57"/>
        <v>0</v>
      </c>
      <c r="FY19" s="42" t="str">
        <f t="shared" si="58"/>
        <v>TACO DORADO</v>
      </c>
      <c r="FZ19" s="43"/>
      <c r="GB19" s="42" t="str">
        <f t="shared" si="59"/>
        <v>TACO DORADO</v>
      </c>
      <c r="GC19" s="43"/>
      <c r="GE19" s="42" t="str">
        <f t="shared" si="60"/>
        <v>TACO DORADO</v>
      </c>
      <c r="GF19" s="43"/>
      <c r="GH19" s="43">
        <f t="shared" si="61"/>
        <v>0</v>
      </c>
      <c r="GI19" s="42" t="str">
        <f t="shared" si="62"/>
        <v>TACO DORADO</v>
      </c>
      <c r="GJ19" s="43"/>
      <c r="GL19" s="42" t="str">
        <f t="shared" si="63"/>
        <v>TACO DORADO</v>
      </c>
      <c r="GM19" s="43"/>
      <c r="GO19" s="42" t="str">
        <f t="shared" si="64"/>
        <v>TACO DORADO</v>
      </c>
      <c r="GP19" s="43"/>
      <c r="GR19" s="43">
        <f t="shared" si="98"/>
        <v>0</v>
      </c>
      <c r="GS19" s="42" t="str">
        <f t="shared" si="65"/>
        <v>TACO DORADO</v>
      </c>
      <c r="GT19" s="43"/>
      <c r="GV19" s="42" t="str">
        <f t="shared" si="66"/>
        <v>TACO DORADO</v>
      </c>
      <c r="GW19" s="43"/>
      <c r="GY19" s="42" t="str">
        <f t="shared" si="67"/>
        <v>TACO DORADO</v>
      </c>
      <c r="GZ19" s="43"/>
      <c r="HB19" s="43">
        <f t="shared" si="68"/>
        <v>0</v>
      </c>
      <c r="HC19" s="42" t="str">
        <f t="shared" si="69"/>
        <v>TACO DORADO</v>
      </c>
      <c r="HD19" s="43">
        <f t="shared" si="127"/>
        <v>5</v>
      </c>
      <c r="HF19" s="42" t="str">
        <f t="shared" si="71"/>
        <v>TACO DORADO</v>
      </c>
      <c r="HG19" s="43">
        <f t="shared" si="99"/>
        <v>0</v>
      </c>
      <c r="HI19" s="42" t="str">
        <f t="shared" si="72"/>
        <v>TACO DORADO</v>
      </c>
      <c r="HJ19" s="43">
        <f t="shared" si="100"/>
        <v>3</v>
      </c>
      <c r="HL19" s="43">
        <f t="shared" si="101"/>
        <v>8</v>
      </c>
      <c r="HM19" s="42" t="str">
        <f t="shared" si="73"/>
        <v>TACO DORADO</v>
      </c>
      <c r="HN19" s="45">
        <f t="shared" si="74"/>
        <v>1</v>
      </c>
      <c r="HO19" s="44">
        <f t="shared" si="75"/>
        <v>0</v>
      </c>
      <c r="HP19" s="45">
        <f t="shared" si="76"/>
        <v>0</v>
      </c>
      <c r="HQ19" s="44">
        <f t="shared" si="77"/>
        <v>1</v>
      </c>
      <c r="HR19" s="45">
        <f t="shared" si="78"/>
        <v>0</v>
      </c>
      <c r="HS19" s="44">
        <f t="shared" si="79"/>
        <v>1</v>
      </c>
      <c r="HT19" s="45">
        <f t="shared" si="80"/>
        <v>1</v>
      </c>
      <c r="HU19" s="44">
        <f t="shared" si="81"/>
        <v>2</v>
      </c>
      <c r="HV19" s="45">
        <f t="shared" si="82"/>
        <v>1</v>
      </c>
      <c r="HW19" s="44">
        <f t="shared" si="83"/>
        <v>1</v>
      </c>
      <c r="HX19" s="45">
        <f t="shared" si="84"/>
        <v>0</v>
      </c>
      <c r="HY19" s="44">
        <f t="shared" si="85"/>
        <v>0</v>
      </c>
      <c r="HZ19" s="42" t="str">
        <f t="shared" si="86"/>
        <v>TACO DORADO</v>
      </c>
      <c r="IA19" s="45">
        <f t="shared" si="87"/>
        <v>0</v>
      </c>
      <c r="IB19" s="44">
        <f t="shared" si="102"/>
        <v>0</v>
      </c>
      <c r="IC19" s="45">
        <f t="shared" si="103"/>
        <v>0</v>
      </c>
      <c r="ID19" s="44">
        <f t="shared" si="104"/>
        <v>0</v>
      </c>
      <c r="IE19" s="45">
        <f t="shared" si="105"/>
        <v>0</v>
      </c>
      <c r="IF19" s="44">
        <f t="shared" si="106"/>
        <v>0</v>
      </c>
      <c r="IG19" s="45">
        <f t="shared" si="107"/>
        <v>0</v>
      </c>
      <c r="IH19" s="44">
        <f t="shared" si="108"/>
        <v>0</v>
      </c>
      <c r="II19" s="45">
        <f t="shared" si="109"/>
        <v>0</v>
      </c>
      <c r="IJ19" s="44"/>
      <c r="IK19" s="45"/>
      <c r="IL19" s="44">
        <f t="shared" si="110"/>
        <v>8</v>
      </c>
      <c r="IM19" s="42" t="str">
        <f t="shared" si="88"/>
        <v>TACO DORADO</v>
      </c>
      <c r="IN19" s="43">
        <f t="shared" si="111"/>
        <v>4</v>
      </c>
      <c r="IP19" s="42" t="str">
        <f t="shared" si="112"/>
        <v>TACO DORADO</v>
      </c>
      <c r="IQ19" s="43">
        <f t="shared" si="113"/>
        <v>0</v>
      </c>
      <c r="IS19" s="42" t="str">
        <f t="shared" si="89"/>
        <v>TACO DORADO</v>
      </c>
      <c r="IT19" s="43">
        <f t="shared" si="114"/>
        <v>1</v>
      </c>
      <c r="IV19" s="43"/>
      <c r="IW19" s="42" t="str">
        <f t="shared" si="90"/>
        <v>TACO DORADO</v>
      </c>
      <c r="IX19" s="43">
        <f t="shared" si="115"/>
        <v>1</v>
      </c>
      <c r="IZ19" s="42" t="str">
        <f t="shared" si="116"/>
        <v>TACO DORADO</v>
      </c>
      <c r="JA19" s="43">
        <f t="shared" si="117"/>
        <v>0</v>
      </c>
      <c r="JC19" s="42" t="str">
        <f t="shared" si="91"/>
        <v>TACO DORADO</v>
      </c>
      <c r="JD19" s="43">
        <f t="shared" si="118"/>
        <v>2</v>
      </c>
      <c r="JF19" s="43"/>
      <c r="JG19" s="42" t="str">
        <f t="shared" si="92"/>
        <v>TACO DORADO</v>
      </c>
      <c r="JH19" s="43">
        <f t="shared" si="119"/>
        <v>0</v>
      </c>
      <c r="JJ19" s="42" t="str">
        <f t="shared" si="93"/>
        <v>TACO DORADO</v>
      </c>
      <c r="JK19" s="43">
        <f t="shared" si="120"/>
        <v>0</v>
      </c>
      <c r="JM19" s="42" t="str">
        <f t="shared" si="94"/>
        <v>TACO DORADO</v>
      </c>
      <c r="JN19" s="43">
        <f t="shared" si="121"/>
        <v>0</v>
      </c>
      <c r="JP19" s="44">
        <f t="shared" si="122"/>
        <v>0</v>
      </c>
      <c r="JQ19" s="42" t="str">
        <f t="shared" si="95"/>
        <v>TACO DORADO</v>
      </c>
      <c r="JR19" s="43">
        <f t="shared" si="123"/>
        <v>0</v>
      </c>
      <c r="JT19" s="42" t="str">
        <f t="shared" si="96"/>
        <v>TACO DORADO</v>
      </c>
      <c r="JU19" s="43">
        <f t="shared" si="124"/>
        <v>0</v>
      </c>
      <c r="JW19" s="42" t="str">
        <f t="shared" si="97"/>
        <v>TACO DORADO</v>
      </c>
      <c r="JX19" s="43">
        <f t="shared" si="125"/>
        <v>0</v>
      </c>
      <c r="JZ19" s="44">
        <f t="shared" si="126"/>
        <v>0</v>
      </c>
    </row>
    <row r="20" spans="1:286" s="7" customFormat="1" ht="54" customHeight="1" x14ac:dyDescent="0.65">
      <c r="A20" s="46" t="s">
        <v>50</v>
      </c>
      <c r="B20" s="43">
        <v>1</v>
      </c>
      <c r="D20" s="46"/>
      <c r="E20" s="43"/>
      <c r="G20" s="42" t="str">
        <f t="shared" si="0"/>
        <v>ADOBO PICADILLO</v>
      </c>
      <c r="H20" s="43">
        <v>1</v>
      </c>
      <c r="J20" s="43">
        <f t="shared" si="1"/>
        <v>2</v>
      </c>
      <c r="K20" s="42" t="str">
        <f t="shared" si="2"/>
        <v>ADOBO PICADILLO</v>
      </c>
      <c r="L20" s="43">
        <v>2</v>
      </c>
      <c r="N20" s="46"/>
      <c r="O20" s="43"/>
      <c r="Q20" s="42" t="str">
        <f t="shared" si="3"/>
        <v>ADOBO PICADILLO</v>
      </c>
      <c r="R20" s="43"/>
      <c r="T20" s="43">
        <f t="shared" si="4"/>
        <v>2</v>
      </c>
      <c r="U20" s="42" t="str">
        <f t="shared" si="5"/>
        <v>ADOBO PICADILLO</v>
      </c>
      <c r="V20" s="43">
        <v>1</v>
      </c>
      <c r="X20" s="46"/>
      <c r="Y20" s="43"/>
      <c r="AA20" s="42" t="str">
        <f t="shared" si="6"/>
        <v>ADOBO PICADILLO</v>
      </c>
      <c r="AB20" s="43"/>
      <c r="AD20" s="43">
        <f t="shared" si="7"/>
        <v>1</v>
      </c>
      <c r="AE20" s="42" t="str">
        <f t="shared" si="8"/>
        <v>ADOBO PICADILLO</v>
      </c>
      <c r="AF20" s="43"/>
      <c r="AH20" s="46"/>
      <c r="AI20" s="43"/>
      <c r="AK20" s="42" t="str">
        <f t="shared" si="9"/>
        <v>ADOBO PICADILLO</v>
      </c>
      <c r="AL20" s="43"/>
      <c r="AN20" s="43">
        <f t="shared" si="10"/>
        <v>0</v>
      </c>
      <c r="AO20" s="42" t="str">
        <f t="shared" si="11"/>
        <v>ADOBO PICADILLO</v>
      </c>
      <c r="AP20" s="43"/>
      <c r="AR20" s="46"/>
      <c r="AS20" s="43"/>
      <c r="AU20" s="42" t="str">
        <f t="shared" si="12"/>
        <v>ADOBO PICADILLO</v>
      </c>
      <c r="AV20" s="43"/>
      <c r="AX20" s="43">
        <f t="shared" si="13"/>
        <v>0</v>
      </c>
      <c r="AY20" s="42" t="str">
        <f t="shared" si="14"/>
        <v>ADOBO PICADILLO</v>
      </c>
      <c r="AZ20" s="43"/>
      <c r="BB20" s="46"/>
      <c r="BC20" s="43"/>
      <c r="BE20" s="42" t="str">
        <f t="shared" si="15"/>
        <v>ADOBO PICADILLO</v>
      </c>
      <c r="BF20" s="43">
        <v>1</v>
      </c>
      <c r="BH20" s="43">
        <f t="shared" si="16"/>
        <v>1</v>
      </c>
      <c r="BI20" s="42" t="str">
        <f t="shared" si="17"/>
        <v>ADOBO PICADILLO</v>
      </c>
      <c r="BJ20" s="43">
        <v>1</v>
      </c>
      <c r="BL20" s="46"/>
      <c r="BM20" s="43"/>
      <c r="BO20" s="42" t="str">
        <f t="shared" si="18"/>
        <v>ADOBO PICADILLO</v>
      </c>
      <c r="BP20" s="43">
        <v>1</v>
      </c>
      <c r="BR20" s="43">
        <f t="shared" si="19"/>
        <v>2</v>
      </c>
      <c r="BS20" s="42" t="str">
        <f t="shared" si="20"/>
        <v>ADOBO PICADILLO</v>
      </c>
      <c r="BT20" s="43"/>
      <c r="BV20" s="46"/>
      <c r="BW20" s="43"/>
      <c r="BY20" s="42" t="str">
        <f t="shared" si="21"/>
        <v>ADOBO PICADILLO</v>
      </c>
      <c r="BZ20" s="43">
        <v>1</v>
      </c>
      <c r="CB20" s="43">
        <f t="shared" si="22"/>
        <v>1</v>
      </c>
      <c r="CC20" s="42" t="str">
        <f t="shared" si="23"/>
        <v>ADOBO PICADILLO</v>
      </c>
      <c r="CD20" s="43">
        <v>1</v>
      </c>
      <c r="CF20" s="46"/>
      <c r="CG20" s="43"/>
      <c r="CI20" s="42" t="str">
        <f t="shared" si="24"/>
        <v>ADOBO PICADILLO</v>
      </c>
      <c r="CJ20" s="43"/>
      <c r="CL20" s="43">
        <f t="shared" si="25"/>
        <v>1</v>
      </c>
      <c r="CM20" s="42" t="str">
        <f t="shared" si="26"/>
        <v>ADOBO PICADILLO</v>
      </c>
      <c r="CN20" s="43"/>
      <c r="CP20" s="42"/>
      <c r="CQ20" s="43"/>
      <c r="CS20" s="42" t="str">
        <f t="shared" si="27"/>
        <v>ADOBO PICADILLO</v>
      </c>
      <c r="CT20" s="43">
        <v>1</v>
      </c>
      <c r="CV20" s="43">
        <f t="shared" si="28"/>
        <v>1</v>
      </c>
      <c r="CW20" s="42" t="str">
        <f t="shared" si="29"/>
        <v>ADOBO PICADILLO</v>
      </c>
      <c r="CX20" s="43">
        <v>1</v>
      </c>
      <c r="CZ20" s="42"/>
      <c r="DA20" s="43"/>
      <c r="DC20" s="42" t="str">
        <f t="shared" si="128"/>
        <v>ADOBO PICADILLO</v>
      </c>
      <c r="DD20" s="43"/>
      <c r="DF20" s="43">
        <f t="shared" si="31"/>
        <v>1</v>
      </c>
      <c r="DG20" s="42" t="str">
        <f t="shared" si="32"/>
        <v>ADOBO PICADILLO</v>
      </c>
      <c r="DH20" s="43"/>
      <c r="DJ20" s="49"/>
      <c r="DK20" s="43"/>
      <c r="DM20" s="42" t="str">
        <f t="shared" si="33"/>
        <v>ADOBO PICADILLO</v>
      </c>
      <c r="DN20" s="43"/>
      <c r="DP20" s="43">
        <f t="shared" si="34"/>
        <v>0</v>
      </c>
      <c r="DQ20" s="42" t="str">
        <f t="shared" si="35"/>
        <v>ADOBO PICADILLO</v>
      </c>
      <c r="DR20" s="43"/>
      <c r="DT20" s="42"/>
      <c r="DU20" s="43"/>
      <c r="DW20" s="42" t="str">
        <f t="shared" si="36"/>
        <v>ADOBO PICADILLO</v>
      </c>
      <c r="DX20" s="43"/>
      <c r="DZ20" s="43">
        <f t="shared" si="37"/>
        <v>0</v>
      </c>
      <c r="EA20" s="42" t="str">
        <f t="shared" si="38"/>
        <v>ADOBO PICADILLO</v>
      </c>
      <c r="EB20" s="43"/>
      <c r="ED20" s="42" t="str">
        <f t="shared" si="39"/>
        <v>ADOBO PICADILLO</v>
      </c>
      <c r="EE20" s="43"/>
      <c r="EG20" s="42" t="str">
        <f t="shared" si="40"/>
        <v>ADOBO PICADILLO</v>
      </c>
      <c r="EH20" s="43"/>
      <c r="EJ20" s="43">
        <f t="shared" si="41"/>
        <v>0</v>
      </c>
      <c r="EK20" s="42" t="str">
        <f t="shared" si="42"/>
        <v>ADOBO PICADILLO</v>
      </c>
      <c r="EL20" s="43"/>
      <c r="EN20" s="42" t="str">
        <f t="shared" si="43"/>
        <v>ADOBO PICADILLO</v>
      </c>
      <c r="EO20" s="43"/>
      <c r="EQ20" s="42" t="str">
        <f t="shared" si="44"/>
        <v>ADOBO PICADILLO</v>
      </c>
      <c r="ER20" s="43"/>
      <c r="ET20" s="43">
        <f t="shared" si="45"/>
        <v>0</v>
      </c>
      <c r="EU20" s="42" t="str">
        <f t="shared" si="46"/>
        <v>ADOBO PICADILLO</v>
      </c>
      <c r="EV20" s="43"/>
      <c r="EX20" s="42" t="str">
        <f t="shared" si="47"/>
        <v>ADOBO PICADILLO</v>
      </c>
      <c r="EY20" s="43"/>
      <c r="FA20" s="42" t="str">
        <f t="shared" si="48"/>
        <v>ADOBO PICADILLO</v>
      </c>
      <c r="FB20" s="43"/>
      <c r="FD20" s="43">
        <f t="shared" si="49"/>
        <v>0</v>
      </c>
      <c r="FE20" s="42" t="str">
        <f t="shared" si="50"/>
        <v>ADOBO PICADILLO</v>
      </c>
      <c r="FF20" s="43"/>
      <c r="FH20" s="42" t="str">
        <f t="shared" si="51"/>
        <v>ADOBO PICADILLO</v>
      </c>
      <c r="FI20" s="43"/>
      <c r="FK20" s="42" t="str">
        <f t="shared" si="52"/>
        <v>ADOBO PICADILLO</v>
      </c>
      <c r="FL20" s="43"/>
      <c r="FN20" s="43">
        <f t="shared" si="53"/>
        <v>0</v>
      </c>
      <c r="FO20" s="42" t="str">
        <f t="shared" si="54"/>
        <v>ADOBO PICADILLO</v>
      </c>
      <c r="FP20" s="43"/>
      <c r="FR20" s="42" t="str">
        <f t="shared" si="55"/>
        <v>ADOBO PICADILLO</v>
      </c>
      <c r="FS20" s="43"/>
      <c r="FU20" s="42" t="str">
        <f t="shared" si="56"/>
        <v>ADOBO PICADILLO</v>
      </c>
      <c r="FV20" s="43"/>
      <c r="FX20" s="43">
        <f t="shared" si="57"/>
        <v>0</v>
      </c>
      <c r="FY20" s="42" t="str">
        <f t="shared" si="58"/>
        <v>ADOBO PICADILLO</v>
      </c>
      <c r="FZ20" s="43"/>
      <c r="GB20" s="42" t="str">
        <f t="shared" si="59"/>
        <v>ADOBO PICADILLO</v>
      </c>
      <c r="GC20" s="43"/>
      <c r="GE20" s="42" t="str">
        <f t="shared" si="60"/>
        <v>ADOBO PICADILLO</v>
      </c>
      <c r="GF20" s="43"/>
      <c r="GH20" s="43">
        <f t="shared" si="61"/>
        <v>0</v>
      </c>
      <c r="GI20" s="42" t="str">
        <f t="shared" si="62"/>
        <v>ADOBO PICADILLO</v>
      </c>
      <c r="GJ20" s="43"/>
      <c r="GL20" s="42" t="str">
        <f t="shared" si="63"/>
        <v>ADOBO PICADILLO</v>
      </c>
      <c r="GM20" s="43"/>
      <c r="GO20" s="42" t="str">
        <f t="shared" si="64"/>
        <v>ADOBO PICADILLO</v>
      </c>
      <c r="GP20" s="43"/>
      <c r="GR20" s="43">
        <f t="shared" si="98"/>
        <v>0</v>
      </c>
      <c r="GS20" s="42" t="str">
        <f t="shared" si="65"/>
        <v>ADOBO PICADILLO</v>
      </c>
      <c r="GT20" s="43"/>
      <c r="GV20" s="42" t="str">
        <f t="shared" si="66"/>
        <v>ADOBO PICADILLO</v>
      </c>
      <c r="GW20" s="43"/>
      <c r="GY20" s="42" t="str">
        <f t="shared" si="67"/>
        <v>ADOBO PICADILLO</v>
      </c>
      <c r="GZ20" s="43"/>
      <c r="HB20" s="43">
        <f t="shared" si="68"/>
        <v>0</v>
      </c>
      <c r="HC20" s="42" t="str">
        <f t="shared" si="69"/>
        <v>ADOBO PICADILLO</v>
      </c>
      <c r="HD20" s="43">
        <f t="shared" si="127"/>
        <v>7</v>
      </c>
      <c r="HF20" s="42" t="str">
        <f t="shared" si="71"/>
        <v>ADOBO PICADILLO</v>
      </c>
      <c r="HG20" s="43">
        <f t="shared" si="99"/>
        <v>0</v>
      </c>
      <c r="HI20" s="42" t="str">
        <f t="shared" si="72"/>
        <v>ADOBO PICADILLO</v>
      </c>
      <c r="HJ20" s="43">
        <f t="shared" si="100"/>
        <v>5</v>
      </c>
      <c r="HL20" s="43">
        <f t="shared" si="101"/>
        <v>12</v>
      </c>
      <c r="HM20" s="42" t="str">
        <f t="shared" si="73"/>
        <v>ADOBO PICADILLO</v>
      </c>
      <c r="HN20" s="45">
        <f t="shared" si="74"/>
        <v>2</v>
      </c>
      <c r="HO20" s="44">
        <f t="shared" si="75"/>
        <v>2</v>
      </c>
      <c r="HP20" s="45">
        <f t="shared" si="76"/>
        <v>1</v>
      </c>
      <c r="HQ20" s="44">
        <f t="shared" si="77"/>
        <v>0</v>
      </c>
      <c r="HR20" s="45">
        <f t="shared" si="78"/>
        <v>0</v>
      </c>
      <c r="HS20" s="44">
        <f t="shared" si="79"/>
        <v>1</v>
      </c>
      <c r="HT20" s="45">
        <f t="shared" si="80"/>
        <v>2</v>
      </c>
      <c r="HU20" s="44">
        <f t="shared" si="81"/>
        <v>1</v>
      </c>
      <c r="HV20" s="45">
        <f t="shared" si="82"/>
        <v>1</v>
      </c>
      <c r="HW20" s="44">
        <f t="shared" si="83"/>
        <v>1</v>
      </c>
      <c r="HX20" s="45">
        <f t="shared" si="84"/>
        <v>1</v>
      </c>
      <c r="HY20" s="44">
        <f t="shared" si="85"/>
        <v>0</v>
      </c>
      <c r="HZ20" s="42" t="str">
        <f t="shared" si="86"/>
        <v>ADOBO PICADILLO</v>
      </c>
      <c r="IA20" s="45">
        <f t="shared" si="87"/>
        <v>0</v>
      </c>
      <c r="IB20" s="44">
        <f t="shared" si="102"/>
        <v>0</v>
      </c>
      <c r="IC20" s="45">
        <f t="shared" si="103"/>
        <v>0</v>
      </c>
      <c r="ID20" s="44">
        <f t="shared" si="104"/>
        <v>0</v>
      </c>
      <c r="IE20" s="45">
        <f t="shared" si="105"/>
        <v>0</v>
      </c>
      <c r="IF20" s="44">
        <f t="shared" si="106"/>
        <v>0</v>
      </c>
      <c r="IG20" s="45">
        <f t="shared" si="107"/>
        <v>0</v>
      </c>
      <c r="IH20" s="44">
        <f t="shared" si="108"/>
        <v>0</v>
      </c>
      <c r="II20" s="45">
        <f t="shared" si="109"/>
        <v>0</v>
      </c>
      <c r="IJ20" s="44"/>
      <c r="IK20" s="45"/>
      <c r="IL20" s="44">
        <f t="shared" si="110"/>
        <v>12</v>
      </c>
      <c r="IM20" s="42" t="str">
        <f t="shared" si="88"/>
        <v>ADOBO PICADILLO</v>
      </c>
      <c r="IN20" s="43">
        <f t="shared" si="111"/>
        <v>6</v>
      </c>
      <c r="IP20" s="42" t="str">
        <f t="shared" si="112"/>
        <v>ADOBO PICADILLO</v>
      </c>
      <c r="IQ20" s="43">
        <f t="shared" si="113"/>
        <v>0</v>
      </c>
      <c r="IS20" s="42" t="str">
        <f t="shared" si="89"/>
        <v>ADOBO PICADILLO</v>
      </c>
      <c r="IT20" s="43">
        <f t="shared" si="114"/>
        <v>3</v>
      </c>
      <c r="IV20" s="43"/>
      <c r="IW20" s="42" t="str">
        <f t="shared" si="90"/>
        <v>ADOBO PICADILLO</v>
      </c>
      <c r="IX20" s="43">
        <f t="shared" si="115"/>
        <v>0</v>
      </c>
      <c r="IZ20" s="42" t="str">
        <f t="shared" si="116"/>
        <v>ADOBO PICADILLO</v>
      </c>
      <c r="JA20" s="43">
        <f t="shared" si="117"/>
        <v>0</v>
      </c>
      <c r="JC20" s="42" t="str">
        <f t="shared" si="91"/>
        <v>ADOBO PICADILLO</v>
      </c>
      <c r="JD20" s="43">
        <f t="shared" si="118"/>
        <v>2</v>
      </c>
      <c r="JF20" s="43"/>
      <c r="JG20" s="42" t="str">
        <f t="shared" si="92"/>
        <v>ADOBO PICADILLO</v>
      </c>
      <c r="JH20" s="43">
        <f t="shared" si="119"/>
        <v>0</v>
      </c>
      <c r="JJ20" s="42" t="str">
        <f t="shared" si="93"/>
        <v>ADOBO PICADILLO</v>
      </c>
      <c r="JK20" s="43">
        <f t="shared" si="120"/>
        <v>0</v>
      </c>
      <c r="JM20" s="42" t="str">
        <f t="shared" si="94"/>
        <v>ADOBO PICADILLO</v>
      </c>
      <c r="JN20" s="43">
        <f t="shared" si="121"/>
        <v>0</v>
      </c>
      <c r="JP20" s="44">
        <f t="shared" si="122"/>
        <v>0</v>
      </c>
      <c r="JQ20" s="42" t="str">
        <f t="shared" si="95"/>
        <v>ADOBO PICADILLO</v>
      </c>
      <c r="JR20" s="43">
        <f t="shared" si="123"/>
        <v>0</v>
      </c>
      <c r="JT20" s="42" t="str">
        <f t="shared" si="96"/>
        <v>ADOBO PICADILLO</v>
      </c>
      <c r="JU20" s="43">
        <f t="shared" si="124"/>
        <v>0</v>
      </c>
      <c r="JW20" s="42" t="str">
        <f t="shared" si="97"/>
        <v>ADOBO PICADILLO</v>
      </c>
      <c r="JX20" s="43">
        <f t="shared" si="125"/>
        <v>0</v>
      </c>
      <c r="JZ20" s="44">
        <f t="shared" si="126"/>
        <v>0</v>
      </c>
    </row>
    <row r="21" spans="1:286" s="7" customFormat="1" ht="54" customHeight="1" x14ac:dyDescent="0.65">
      <c r="A21" s="46" t="s">
        <v>51</v>
      </c>
      <c r="B21" s="43"/>
      <c r="D21" s="46"/>
      <c r="E21" s="43"/>
      <c r="G21" s="42" t="str">
        <f t="shared" si="0"/>
        <v>CARNITAS</v>
      </c>
      <c r="H21" s="43">
        <v>2</v>
      </c>
      <c r="J21" s="43">
        <f t="shared" si="1"/>
        <v>2</v>
      </c>
      <c r="K21" s="42" t="str">
        <f t="shared" si="2"/>
        <v>CARNITAS</v>
      </c>
      <c r="L21" s="43">
        <v>2</v>
      </c>
      <c r="N21" s="46"/>
      <c r="O21" s="43"/>
      <c r="Q21" s="42" t="str">
        <f t="shared" si="3"/>
        <v>CARNITAS</v>
      </c>
      <c r="R21" s="43"/>
      <c r="T21" s="43">
        <f t="shared" si="4"/>
        <v>2</v>
      </c>
      <c r="U21" s="42" t="str">
        <f t="shared" si="5"/>
        <v>CARNITAS</v>
      </c>
      <c r="V21" s="43">
        <v>2</v>
      </c>
      <c r="X21" s="46"/>
      <c r="Y21" s="43"/>
      <c r="AA21" s="42" t="str">
        <f t="shared" si="6"/>
        <v>CARNITAS</v>
      </c>
      <c r="AB21" s="43">
        <v>2</v>
      </c>
      <c r="AD21" s="43">
        <f t="shared" si="7"/>
        <v>4</v>
      </c>
      <c r="AE21" s="42" t="str">
        <f t="shared" si="8"/>
        <v>CARNITAS</v>
      </c>
      <c r="AF21" s="43"/>
      <c r="AH21" s="46"/>
      <c r="AI21" s="43"/>
      <c r="AK21" s="42" t="str">
        <f t="shared" si="9"/>
        <v>CARNITAS</v>
      </c>
      <c r="AL21" s="43"/>
      <c r="AN21" s="43">
        <f t="shared" si="10"/>
        <v>0</v>
      </c>
      <c r="AO21" s="42" t="str">
        <f t="shared" si="11"/>
        <v>CARNITAS</v>
      </c>
      <c r="AP21" s="43"/>
      <c r="AR21" s="46"/>
      <c r="AS21" s="43"/>
      <c r="AU21" s="42" t="str">
        <f t="shared" si="12"/>
        <v>CARNITAS</v>
      </c>
      <c r="AV21" s="43"/>
      <c r="AX21" s="43">
        <f t="shared" si="13"/>
        <v>0</v>
      </c>
      <c r="AY21" s="42" t="str">
        <f t="shared" si="14"/>
        <v>CARNITAS</v>
      </c>
      <c r="AZ21" s="43">
        <v>2</v>
      </c>
      <c r="BB21" s="46"/>
      <c r="BC21" s="43"/>
      <c r="BE21" s="42" t="str">
        <f t="shared" si="15"/>
        <v>CARNITAS</v>
      </c>
      <c r="BF21" s="43"/>
      <c r="BH21" s="43">
        <f t="shared" si="16"/>
        <v>2</v>
      </c>
      <c r="BI21" s="42" t="str">
        <f t="shared" si="17"/>
        <v>CARNITAS</v>
      </c>
      <c r="BJ21" s="43"/>
      <c r="BL21" s="46"/>
      <c r="BM21" s="43"/>
      <c r="BO21" s="42" t="str">
        <f t="shared" si="18"/>
        <v>CARNITAS</v>
      </c>
      <c r="BP21" s="43">
        <v>2</v>
      </c>
      <c r="BR21" s="43">
        <f t="shared" si="19"/>
        <v>2</v>
      </c>
      <c r="BS21" s="42" t="str">
        <f t="shared" si="20"/>
        <v>CARNITAS</v>
      </c>
      <c r="BT21" s="43">
        <v>2</v>
      </c>
      <c r="BV21" s="46"/>
      <c r="BW21" s="43"/>
      <c r="BY21" s="42" t="str">
        <f t="shared" si="21"/>
        <v>CARNITAS</v>
      </c>
      <c r="BZ21" s="43">
        <v>2</v>
      </c>
      <c r="CB21" s="43">
        <f t="shared" si="22"/>
        <v>4</v>
      </c>
      <c r="CC21" s="42" t="str">
        <f t="shared" si="23"/>
        <v>CARNITAS</v>
      </c>
      <c r="CD21" s="43">
        <v>2</v>
      </c>
      <c r="CF21" s="46"/>
      <c r="CG21" s="43"/>
      <c r="CI21" s="42" t="str">
        <f t="shared" si="24"/>
        <v>CARNITAS</v>
      </c>
      <c r="CJ21" s="43">
        <v>2</v>
      </c>
      <c r="CL21" s="43">
        <f t="shared" si="25"/>
        <v>4</v>
      </c>
      <c r="CM21" s="42" t="str">
        <f t="shared" si="26"/>
        <v>CARNITAS</v>
      </c>
      <c r="CN21" s="43">
        <v>2</v>
      </c>
      <c r="CP21" s="42"/>
      <c r="CQ21" s="43"/>
      <c r="CS21" s="42" t="str">
        <f t="shared" si="27"/>
        <v>CARNITAS</v>
      </c>
      <c r="CT21" s="43"/>
      <c r="CV21" s="43">
        <f t="shared" si="28"/>
        <v>2</v>
      </c>
      <c r="CW21" s="42" t="str">
        <f t="shared" si="29"/>
        <v>CARNITAS</v>
      </c>
      <c r="CX21" s="43"/>
      <c r="CZ21" s="42"/>
      <c r="DA21" s="43"/>
      <c r="DC21" s="42" t="str">
        <f t="shared" si="128"/>
        <v>CARNITAS</v>
      </c>
      <c r="DD21" s="43">
        <v>2</v>
      </c>
      <c r="DF21" s="43">
        <f t="shared" si="31"/>
        <v>2</v>
      </c>
      <c r="DG21" s="42" t="str">
        <f t="shared" si="32"/>
        <v>CARNITAS</v>
      </c>
      <c r="DH21" s="43"/>
      <c r="DJ21" s="49"/>
      <c r="DK21" s="43"/>
      <c r="DM21" s="42" t="str">
        <f t="shared" si="33"/>
        <v>CARNITAS</v>
      </c>
      <c r="DN21" s="43"/>
      <c r="DP21" s="43">
        <f t="shared" si="34"/>
        <v>0</v>
      </c>
      <c r="DQ21" s="42" t="str">
        <f t="shared" si="35"/>
        <v>CARNITAS</v>
      </c>
      <c r="DR21" s="43"/>
      <c r="DT21" s="42"/>
      <c r="DU21" s="43"/>
      <c r="DW21" s="42" t="str">
        <f t="shared" si="36"/>
        <v>CARNITAS</v>
      </c>
      <c r="DX21" s="43"/>
      <c r="DZ21" s="43">
        <f t="shared" si="37"/>
        <v>0</v>
      </c>
      <c r="EA21" s="42" t="str">
        <f t="shared" si="38"/>
        <v>CARNITAS</v>
      </c>
      <c r="EB21" s="43"/>
      <c r="ED21" s="42" t="str">
        <f t="shared" si="39"/>
        <v>CARNITAS</v>
      </c>
      <c r="EE21" s="43"/>
      <c r="EG21" s="42" t="str">
        <f t="shared" si="40"/>
        <v>CARNITAS</v>
      </c>
      <c r="EH21" s="43"/>
      <c r="EJ21" s="43">
        <f t="shared" si="41"/>
        <v>0</v>
      </c>
      <c r="EK21" s="42" t="str">
        <f t="shared" si="42"/>
        <v>CARNITAS</v>
      </c>
      <c r="EL21" s="43"/>
      <c r="EN21" s="42" t="str">
        <f t="shared" si="43"/>
        <v>CARNITAS</v>
      </c>
      <c r="EO21" s="43"/>
      <c r="EQ21" s="42" t="str">
        <f t="shared" si="44"/>
        <v>CARNITAS</v>
      </c>
      <c r="ER21" s="43"/>
      <c r="ET21" s="43">
        <f t="shared" si="45"/>
        <v>0</v>
      </c>
      <c r="EU21" s="42" t="str">
        <f t="shared" si="46"/>
        <v>CARNITAS</v>
      </c>
      <c r="EV21" s="43"/>
      <c r="EX21" s="42" t="str">
        <f t="shared" si="47"/>
        <v>CARNITAS</v>
      </c>
      <c r="EY21" s="43"/>
      <c r="FA21" s="42" t="str">
        <f t="shared" si="48"/>
        <v>CARNITAS</v>
      </c>
      <c r="FB21" s="43"/>
      <c r="FD21" s="43">
        <f t="shared" si="49"/>
        <v>0</v>
      </c>
      <c r="FE21" s="42" t="str">
        <f t="shared" si="50"/>
        <v>CARNITAS</v>
      </c>
      <c r="FF21" s="43"/>
      <c r="FH21" s="42" t="str">
        <f t="shared" si="51"/>
        <v>CARNITAS</v>
      </c>
      <c r="FI21" s="43"/>
      <c r="FK21" s="42" t="str">
        <f t="shared" si="52"/>
        <v>CARNITAS</v>
      </c>
      <c r="FL21" s="43"/>
      <c r="FN21" s="43">
        <f t="shared" si="53"/>
        <v>0</v>
      </c>
      <c r="FO21" s="42" t="str">
        <f t="shared" si="54"/>
        <v>CARNITAS</v>
      </c>
      <c r="FP21" s="43"/>
      <c r="FR21" s="42" t="str">
        <f t="shared" si="55"/>
        <v>CARNITAS</v>
      </c>
      <c r="FS21" s="43"/>
      <c r="FU21" s="42" t="str">
        <f t="shared" si="56"/>
        <v>CARNITAS</v>
      </c>
      <c r="FV21" s="43"/>
      <c r="FX21" s="43">
        <f t="shared" si="57"/>
        <v>0</v>
      </c>
      <c r="FY21" s="42" t="str">
        <f t="shared" si="58"/>
        <v>CARNITAS</v>
      </c>
      <c r="FZ21" s="43"/>
      <c r="GB21" s="42" t="str">
        <f t="shared" si="59"/>
        <v>CARNITAS</v>
      </c>
      <c r="GC21" s="43"/>
      <c r="GE21" s="42" t="str">
        <f t="shared" si="60"/>
        <v>CARNITAS</v>
      </c>
      <c r="GF21" s="43"/>
      <c r="GH21" s="43">
        <f t="shared" si="61"/>
        <v>0</v>
      </c>
      <c r="GI21" s="42" t="str">
        <f t="shared" si="62"/>
        <v>CARNITAS</v>
      </c>
      <c r="GJ21" s="43"/>
      <c r="GL21" s="42" t="str">
        <f t="shared" si="63"/>
        <v>CARNITAS</v>
      </c>
      <c r="GM21" s="43"/>
      <c r="GO21" s="42" t="str">
        <f t="shared" si="64"/>
        <v>CARNITAS</v>
      </c>
      <c r="GP21" s="43"/>
      <c r="GR21" s="43">
        <f t="shared" si="98"/>
        <v>0</v>
      </c>
      <c r="GS21" s="42" t="str">
        <f t="shared" si="65"/>
        <v>CARNITAS</v>
      </c>
      <c r="GT21" s="43"/>
      <c r="GV21" s="42" t="str">
        <f t="shared" si="66"/>
        <v>CARNITAS</v>
      </c>
      <c r="GW21" s="43"/>
      <c r="GY21" s="42" t="str">
        <f t="shared" si="67"/>
        <v>CARNITAS</v>
      </c>
      <c r="GZ21" s="43"/>
      <c r="HB21" s="43">
        <f t="shared" si="68"/>
        <v>0</v>
      </c>
      <c r="HC21" s="42" t="str">
        <f t="shared" si="69"/>
        <v>CARNITAS</v>
      </c>
      <c r="HD21" s="43">
        <f t="shared" si="127"/>
        <v>12</v>
      </c>
      <c r="HF21" s="42" t="str">
        <f t="shared" si="71"/>
        <v>CARNITAS</v>
      </c>
      <c r="HG21" s="43">
        <f t="shared" si="99"/>
        <v>0</v>
      </c>
      <c r="HI21" s="42" t="str">
        <f t="shared" si="72"/>
        <v>CARNITAS</v>
      </c>
      <c r="HJ21" s="43">
        <f t="shared" si="100"/>
        <v>12</v>
      </c>
      <c r="HL21" s="43">
        <f t="shared" si="101"/>
        <v>24</v>
      </c>
      <c r="HM21" s="42" t="str">
        <f t="shared" si="73"/>
        <v>CARNITAS</v>
      </c>
      <c r="HN21" s="45">
        <f t="shared" si="74"/>
        <v>2</v>
      </c>
      <c r="HO21" s="44">
        <f t="shared" si="75"/>
        <v>2</v>
      </c>
      <c r="HP21" s="45">
        <f t="shared" si="76"/>
        <v>4</v>
      </c>
      <c r="HQ21" s="44">
        <f t="shared" si="77"/>
        <v>0</v>
      </c>
      <c r="HR21" s="45">
        <f t="shared" si="78"/>
        <v>0</v>
      </c>
      <c r="HS21" s="44">
        <f t="shared" si="79"/>
        <v>2</v>
      </c>
      <c r="HT21" s="45">
        <f t="shared" si="80"/>
        <v>2</v>
      </c>
      <c r="HU21" s="44">
        <f t="shared" si="81"/>
        <v>4</v>
      </c>
      <c r="HV21" s="45">
        <f t="shared" si="82"/>
        <v>4</v>
      </c>
      <c r="HW21" s="44">
        <f t="shared" si="83"/>
        <v>2</v>
      </c>
      <c r="HX21" s="45">
        <f t="shared" si="84"/>
        <v>2</v>
      </c>
      <c r="HY21" s="44">
        <f t="shared" si="85"/>
        <v>0</v>
      </c>
      <c r="HZ21" s="42" t="str">
        <f t="shared" si="86"/>
        <v>CARNITAS</v>
      </c>
      <c r="IA21" s="45">
        <f t="shared" si="87"/>
        <v>0</v>
      </c>
      <c r="IB21" s="44">
        <f t="shared" si="102"/>
        <v>0</v>
      </c>
      <c r="IC21" s="45">
        <f t="shared" si="103"/>
        <v>0</v>
      </c>
      <c r="ID21" s="44">
        <f t="shared" si="104"/>
        <v>0</v>
      </c>
      <c r="IE21" s="45">
        <f t="shared" si="105"/>
        <v>0</v>
      </c>
      <c r="IF21" s="44">
        <f t="shared" si="106"/>
        <v>0</v>
      </c>
      <c r="IG21" s="45">
        <f t="shared" si="107"/>
        <v>0</v>
      </c>
      <c r="IH21" s="44">
        <f t="shared" si="108"/>
        <v>0</v>
      </c>
      <c r="II21" s="45">
        <f t="shared" si="109"/>
        <v>0</v>
      </c>
      <c r="IJ21" s="44"/>
      <c r="IK21" s="45"/>
      <c r="IL21" s="44">
        <f t="shared" si="110"/>
        <v>24</v>
      </c>
      <c r="IM21" s="42" t="str">
        <f t="shared" si="88"/>
        <v>CARNITAS</v>
      </c>
      <c r="IN21" s="43">
        <f t="shared" si="111"/>
        <v>8</v>
      </c>
      <c r="IP21" s="42" t="str">
        <f t="shared" si="112"/>
        <v>CARNITAS</v>
      </c>
      <c r="IQ21" s="43">
        <f t="shared" si="113"/>
        <v>0</v>
      </c>
      <c r="IS21" s="42" t="str">
        <f t="shared" si="89"/>
        <v>CARNITAS</v>
      </c>
      <c r="IT21" s="43">
        <f t="shared" si="114"/>
        <v>8</v>
      </c>
      <c r="IV21" s="43"/>
      <c r="IW21" s="42" t="str">
        <f t="shared" si="90"/>
        <v>CARNITAS</v>
      </c>
      <c r="IX21" s="43">
        <f t="shared" si="115"/>
        <v>2</v>
      </c>
      <c r="IZ21" s="42" t="str">
        <f t="shared" si="116"/>
        <v>CARNITAS</v>
      </c>
      <c r="JA21" s="43">
        <f t="shared" si="117"/>
        <v>0</v>
      </c>
      <c r="JC21" s="42" t="str">
        <f t="shared" si="91"/>
        <v>CARNITAS</v>
      </c>
      <c r="JD21" s="43">
        <f t="shared" si="118"/>
        <v>4</v>
      </c>
      <c r="JF21" s="43"/>
      <c r="JG21" s="42" t="str">
        <f t="shared" si="92"/>
        <v>CARNITAS</v>
      </c>
      <c r="JH21" s="43">
        <f t="shared" si="119"/>
        <v>0</v>
      </c>
      <c r="JJ21" s="42" t="str">
        <f t="shared" si="93"/>
        <v>CARNITAS</v>
      </c>
      <c r="JK21" s="43">
        <f t="shared" si="120"/>
        <v>0</v>
      </c>
      <c r="JM21" s="42" t="str">
        <f t="shared" si="94"/>
        <v>CARNITAS</v>
      </c>
      <c r="JN21" s="43">
        <f t="shared" si="121"/>
        <v>0</v>
      </c>
      <c r="JP21" s="44">
        <f t="shared" si="122"/>
        <v>0</v>
      </c>
      <c r="JQ21" s="42" t="str">
        <f t="shared" si="95"/>
        <v>CARNITAS</v>
      </c>
      <c r="JR21" s="43">
        <f t="shared" si="123"/>
        <v>0</v>
      </c>
      <c r="JT21" s="42" t="str">
        <f t="shared" si="96"/>
        <v>CARNITAS</v>
      </c>
      <c r="JU21" s="43">
        <f t="shared" si="124"/>
        <v>0</v>
      </c>
      <c r="JW21" s="42" t="str">
        <f t="shared" si="97"/>
        <v>CARNITAS</v>
      </c>
      <c r="JX21" s="43">
        <f t="shared" si="125"/>
        <v>0</v>
      </c>
      <c r="JZ21" s="44">
        <f t="shared" si="126"/>
        <v>0</v>
      </c>
    </row>
    <row r="22" spans="1:286" s="7" customFormat="1" ht="54" customHeight="1" x14ac:dyDescent="0.65">
      <c r="A22" s="46" t="s">
        <v>52</v>
      </c>
      <c r="B22" s="43"/>
      <c r="D22" s="46"/>
      <c r="E22" s="43"/>
      <c r="G22" s="42" t="str">
        <f t="shared" si="0"/>
        <v>CATERING</v>
      </c>
      <c r="H22" s="43"/>
      <c r="J22" s="43">
        <f t="shared" si="1"/>
        <v>0</v>
      </c>
      <c r="K22" s="42" t="str">
        <f t="shared" si="2"/>
        <v>CATERING</v>
      </c>
      <c r="L22" s="43"/>
      <c r="N22" s="46"/>
      <c r="O22" s="43"/>
      <c r="Q22" s="42" t="str">
        <f t="shared" si="3"/>
        <v>CATERING</v>
      </c>
      <c r="R22" s="43"/>
      <c r="T22" s="43">
        <f t="shared" si="4"/>
        <v>0</v>
      </c>
      <c r="U22" s="42" t="str">
        <f t="shared" si="5"/>
        <v>CATERING</v>
      </c>
      <c r="V22" s="43"/>
      <c r="X22" s="46"/>
      <c r="Y22" s="43"/>
      <c r="AA22" s="42" t="str">
        <f t="shared" si="6"/>
        <v>CATERING</v>
      </c>
      <c r="AB22" s="43"/>
      <c r="AD22" s="43">
        <f t="shared" si="7"/>
        <v>0</v>
      </c>
      <c r="AE22" s="42" t="str">
        <f t="shared" si="8"/>
        <v>CATERING</v>
      </c>
      <c r="AF22" s="43"/>
      <c r="AH22" s="46"/>
      <c r="AI22" s="43"/>
      <c r="AK22" s="42" t="str">
        <f t="shared" si="9"/>
        <v>CATERING</v>
      </c>
      <c r="AL22" s="43"/>
      <c r="AN22" s="43">
        <f t="shared" si="10"/>
        <v>0</v>
      </c>
      <c r="AO22" s="42" t="str">
        <f t="shared" si="11"/>
        <v>CATERING</v>
      </c>
      <c r="AP22" s="43"/>
      <c r="AR22" s="46"/>
      <c r="AS22" s="43"/>
      <c r="AU22" s="42" t="str">
        <f t="shared" si="12"/>
        <v>CATERING</v>
      </c>
      <c r="AV22" s="43"/>
      <c r="AX22" s="43">
        <f t="shared" si="13"/>
        <v>0</v>
      </c>
      <c r="AY22" s="42" t="str">
        <f t="shared" si="14"/>
        <v>CATERING</v>
      </c>
      <c r="AZ22" s="43"/>
      <c r="BB22" s="46"/>
      <c r="BC22" s="43"/>
      <c r="BE22" s="42" t="str">
        <f t="shared" si="15"/>
        <v>CATERING</v>
      </c>
      <c r="BF22" s="43"/>
      <c r="BH22" s="43">
        <f t="shared" si="16"/>
        <v>0</v>
      </c>
      <c r="BI22" s="42" t="str">
        <f t="shared" si="17"/>
        <v>CATERING</v>
      </c>
      <c r="BJ22" s="43"/>
      <c r="BL22" s="46"/>
      <c r="BM22" s="43"/>
      <c r="BO22" s="42" t="str">
        <f t="shared" si="18"/>
        <v>CATERING</v>
      </c>
      <c r="BP22" s="43"/>
      <c r="BR22" s="43">
        <f t="shared" si="19"/>
        <v>0</v>
      </c>
      <c r="BS22" s="42" t="str">
        <f t="shared" si="20"/>
        <v>CATERING</v>
      </c>
      <c r="BT22" s="43"/>
      <c r="BV22" s="46"/>
      <c r="BW22" s="43"/>
      <c r="BY22" s="42" t="str">
        <f t="shared" si="21"/>
        <v>CATERING</v>
      </c>
      <c r="BZ22" s="43"/>
      <c r="CB22" s="43">
        <f t="shared" si="22"/>
        <v>0</v>
      </c>
      <c r="CC22" s="42" t="str">
        <f t="shared" si="23"/>
        <v>CATERING</v>
      </c>
      <c r="CD22" s="43"/>
      <c r="CF22" s="46"/>
      <c r="CG22" s="43"/>
      <c r="CI22" s="42" t="str">
        <f t="shared" si="24"/>
        <v>CATERING</v>
      </c>
      <c r="CJ22" s="43"/>
      <c r="CL22" s="43">
        <f t="shared" si="25"/>
        <v>0</v>
      </c>
      <c r="CM22" s="42" t="str">
        <f t="shared" si="26"/>
        <v>CATERING</v>
      </c>
      <c r="CN22" s="43"/>
      <c r="CP22" s="42"/>
      <c r="CQ22" s="43"/>
      <c r="CS22" s="42" t="str">
        <f t="shared" si="27"/>
        <v>CATERING</v>
      </c>
      <c r="CT22" s="43"/>
      <c r="CV22" s="43">
        <f t="shared" si="28"/>
        <v>0</v>
      </c>
      <c r="CW22" s="42" t="str">
        <f t="shared" si="29"/>
        <v>CATERING</v>
      </c>
      <c r="CX22" s="43">
        <v>1</v>
      </c>
      <c r="CZ22" s="42"/>
      <c r="DA22" s="43"/>
      <c r="DC22" s="42" t="str">
        <f t="shared" si="128"/>
        <v>CATERING</v>
      </c>
      <c r="DD22" s="43">
        <v>1</v>
      </c>
      <c r="DF22" s="43">
        <f t="shared" si="31"/>
        <v>2</v>
      </c>
      <c r="DG22" s="42" t="str">
        <f t="shared" si="32"/>
        <v>CATERING</v>
      </c>
      <c r="DH22" s="43"/>
      <c r="DJ22" s="49"/>
      <c r="DK22" s="43"/>
      <c r="DM22" s="42" t="str">
        <f t="shared" si="33"/>
        <v>CATERING</v>
      </c>
      <c r="DN22" s="43"/>
      <c r="DP22" s="43">
        <f t="shared" si="34"/>
        <v>0</v>
      </c>
      <c r="DQ22" s="42" t="str">
        <f t="shared" si="35"/>
        <v>CATERING</v>
      </c>
      <c r="DR22" s="43"/>
      <c r="DT22" s="42"/>
      <c r="DU22" s="43"/>
      <c r="DW22" s="42" t="str">
        <f t="shared" si="36"/>
        <v>CATERING</v>
      </c>
      <c r="DX22" s="43"/>
      <c r="DZ22" s="43">
        <f t="shared" si="37"/>
        <v>0</v>
      </c>
      <c r="EA22" s="42" t="str">
        <f t="shared" si="38"/>
        <v>CATERING</v>
      </c>
      <c r="EB22" s="43"/>
      <c r="ED22" s="42" t="str">
        <f t="shared" si="39"/>
        <v>CATERING</v>
      </c>
      <c r="EE22" s="43"/>
      <c r="EG22" s="42" t="str">
        <f t="shared" si="40"/>
        <v>CATERING</v>
      </c>
      <c r="EH22" s="43"/>
      <c r="EJ22" s="43">
        <f t="shared" si="41"/>
        <v>0</v>
      </c>
      <c r="EK22" s="42" t="str">
        <f t="shared" si="42"/>
        <v>CATERING</v>
      </c>
      <c r="EL22" s="43"/>
      <c r="EN22" s="42" t="str">
        <f t="shared" si="43"/>
        <v>CATERING</v>
      </c>
      <c r="EO22" s="43"/>
      <c r="EQ22" s="42" t="str">
        <f t="shared" si="44"/>
        <v>CATERING</v>
      </c>
      <c r="ER22" s="43"/>
      <c r="ET22" s="43">
        <f t="shared" si="45"/>
        <v>0</v>
      </c>
      <c r="EU22" s="42" t="str">
        <f t="shared" si="46"/>
        <v>CATERING</v>
      </c>
      <c r="EV22" s="43"/>
      <c r="EX22" s="42" t="str">
        <f t="shared" si="47"/>
        <v>CATERING</v>
      </c>
      <c r="EY22" s="43"/>
      <c r="FA22" s="42" t="str">
        <f t="shared" si="48"/>
        <v>CATERING</v>
      </c>
      <c r="FB22" s="43"/>
      <c r="FD22" s="43">
        <f t="shared" si="49"/>
        <v>0</v>
      </c>
      <c r="FE22" s="42" t="str">
        <f t="shared" si="50"/>
        <v>CATERING</v>
      </c>
      <c r="FF22" s="43"/>
      <c r="FH22" s="42" t="str">
        <f t="shared" si="51"/>
        <v>CATERING</v>
      </c>
      <c r="FI22" s="43"/>
      <c r="FK22" s="42" t="str">
        <f t="shared" si="52"/>
        <v>CATERING</v>
      </c>
      <c r="FL22" s="43"/>
      <c r="FN22" s="43">
        <f t="shared" si="53"/>
        <v>0</v>
      </c>
      <c r="FO22" s="42" t="str">
        <f t="shared" si="54"/>
        <v>CATERING</v>
      </c>
      <c r="FP22" s="43"/>
      <c r="FR22" s="42" t="str">
        <f t="shared" si="55"/>
        <v>CATERING</v>
      </c>
      <c r="FS22" s="43"/>
      <c r="FU22" s="42" t="str">
        <f t="shared" si="56"/>
        <v>CATERING</v>
      </c>
      <c r="FV22" s="43"/>
      <c r="FX22" s="43">
        <f t="shared" si="57"/>
        <v>0</v>
      </c>
      <c r="FY22" s="42" t="str">
        <f t="shared" si="58"/>
        <v>CATERING</v>
      </c>
      <c r="FZ22" s="43"/>
      <c r="GB22" s="42" t="str">
        <f t="shared" si="59"/>
        <v>CATERING</v>
      </c>
      <c r="GC22" s="43"/>
      <c r="GE22" s="42" t="str">
        <f t="shared" si="60"/>
        <v>CATERING</v>
      </c>
      <c r="GF22" s="43"/>
      <c r="GH22" s="43">
        <f t="shared" si="61"/>
        <v>0</v>
      </c>
      <c r="GI22" s="42" t="str">
        <f t="shared" si="62"/>
        <v>CATERING</v>
      </c>
      <c r="GJ22" s="43"/>
      <c r="GL22" s="42" t="str">
        <f t="shared" si="63"/>
        <v>CATERING</v>
      </c>
      <c r="GM22" s="43"/>
      <c r="GO22" s="42" t="str">
        <f t="shared" si="64"/>
        <v>CATERING</v>
      </c>
      <c r="GP22" s="43"/>
      <c r="GR22" s="43">
        <f t="shared" si="98"/>
        <v>0</v>
      </c>
      <c r="GS22" s="42" t="str">
        <f t="shared" si="65"/>
        <v>CATERING</v>
      </c>
      <c r="GT22" s="43"/>
      <c r="GV22" s="42" t="str">
        <f t="shared" si="66"/>
        <v>CATERING</v>
      </c>
      <c r="GW22" s="43"/>
      <c r="GY22" s="42" t="str">
        <f t="shared" si="67"/>
        <v>CATERING</v>
      </c>
      <c r="GZ22" s="43"/>
      <c r="HB22" s="43">
        <f t="shared" si="68"/>
        <v>0</v>
      </c>
      <c r="HC22" s="42" t="str">
        <f t="shared" si="69"/>
        <v>CATERING</v>
      </c>
      <c r="HD22" s="43">
        <f t="shared" si="127"/>
        <v>1</v>
      </c>
      <c r="HF22" s="42" t="str">
        <f t="shared" si="71"/>
        <v>CATERING</v>
      </c>
      <c r="HG22" s="43">
        <f t="shared" si="99"/>
        <v>0</v>
      </c>
      <c r="HI22" s="42" t="str">
        <f t="shared" si="72"/>
        <v>CATERING</v>
      </c>
      <c r="HJ22" s="43">
        <f t="shared" si="100"/>
        <v>1</v>
      </c>
      <c r="HL22" s="43">
        <f t="shared" si="101"/>
        <v>2</v>
      </c>
      <c r="HM22" s="42" t="str">
        <f t="shared" si="73"/>
        <v>CATERING</v>
      </c>
      <c r="HN22" s="45">
        <f t="shared" si="74"/>
        <v>0</v>
      </c>
      <c r="HO22" s="44">
        <f t="shared" si="75"/>
        <v>0</v>
      </c>
      <c r="HP22" s="45">
        <f t="shared" si="76"/>
        <v>0</v>
      </c>
      <c r="HQ22" s="44">
        <f t="shared" si="77"/>
        <v>0</v>
      </c>
      <c r="HR22" s="45">
        <f t="shared" si="78"/>
        <v>0</v>
      </c>
      <c r="HS22" s="44">
        <f t="shared" si="79"/>
        <v>0</v>
      </c>
      <c r="HT22" s="45">
        <f t="shared" si="80"/>
        <v>0</v>
      </c>
      <c r="HU22" s="44">
        <f t="shared" si="81"/>
        <v>0</v>
      </c>
      <c r="HV22" s="45">
        <f t="shared" si="82"/>
        <v>0</v>
      </c>
      <c r="HW22" s="44">
        <f t="shared" si="83"/>
        <v>0</v>
      </c>
      <c r="HX22" s="45">
        <f t="shared" si="84"/>
        <v>2</v>
      </c>
      <c r="HY22" s="44">
        <f t="shared" si="85"/>
        <v>0</v>
      </c>
      <c r="HZ22" s="42" t="str">
        <f t="shared" si="86"/>
        <v>CATERING</v>
      </c>
      <c r="IA22" s="45">
        <f t="shared" si="87"/>
        <v>0</v>
      </c>
      <c r="IB22" s="44">
        <f t="shared" si="102"/>
        <v>0</v>
      </c>
      <c r="IC22" s="45">
        <f t="shared" si="103"/>
        <v>0</v>
      </c>
      <c r="ID22" s="44">
        <f t="shared" si="104"/>
        <v>0</v>
      </c>
      <c r="IE22" s="45">
        <f t="shared" si="105"/>
        <v>0</v>
      </c>
      <c r="IF22" s="44">
        <f t="shared" si="106"/>
        <v>0</v>
      </c>
      <c r="IG22" s="45">
        <f t="shared" si="107"/>
        <v>0</v>
      </c>
      <c r="IH22" s="44">
        <f t="shared" si="108"/>
        <v>0</v>
      </c>
      <c r="II22" s="45">
        <f t="shared" si="109"/>
        <v>0</v>
      </c>
      <c r="IJ22" s="44"/>
      <c r="IK22" s="45"/>
      <c r="IL22" s="44">
        <f t="shared" si="110"/>
        <v>2</v>
      </c>
      <c r="IM22" s="42" t="str">
        <f t="shared" si="88"/>
        <v>CATERING</v>
      </c>
      <c r="IN22" s="43">
        <f t="shared" si="111"/>
        <v>0</v>
      </c>
      <c r="IP22" s="42" t="str">
        <f t="shared" si="112"/>
        <v>CATERING</v>
      </c>
      <c r="IQ22" s="43">
        <f t="shared" si="113"/>
        <v>0</v>
      </c>
      <c r="IS22" s="42" t="str">
        <f t="shared" si="89"/>
        <v>CATERING</v>
      </c>
      <c r="IT22" s="43">
        <f t="shared" si="114"/>
        <v>0</v>
      </c>
      <c r="IV22" s="43"/>
      <c r="IW22" s="42" t="str">
        <f t="shared" si="90"/>
        <v>CATERING</v>
      </c>
      <c r="IX22" s="43">
        <f t="shared" si="115"/>
        <v>0</v>
      </c>
      <c r="IZ22" s="42" t="str">
        <f t="shared" si="116"/>
        <v>CATERING</v>
      </c>
      <c r="JA22" s="43">
        <f t="shared" si="117"/>
        <v>0</v>
      </c>
      <c r="JC22" s="42" t="str">
        <f t="shared" si="91"/>
        <v>CATERING</v>
      </c>
      <c r="JD22" s="43">
        <f t="shared" si="118"/>
        <v>1</v>
      </c>
      <c r="JF22" s="43"/>
      <c r="JG22" s="42" t="str">
        <f t="shared" si="92"/>
        <v>CATERING</v>
      </c>
      <c r="JH22" s="43">
        <f t="shared" si="119"/>
        <v>0</v>
      </c>
      <c r="JJ22" s="42" t="str">
        <f t="shared" si="93"/>
        <v>CATERING</v>
      </c>
      <c r="JK22" s="43">
        <f t="shared" si="120"/>
        <v>0</v>
      </c>
      <c r="JM22" s="42" t="str">
        <f t="shared" si="94"/>
        <v>CATERING</v>
      </c>
      <c r="JN22" s="43">
        <f t="shared" si="121"/>
        <v>0</v>
      </c>
      <c r="JP22" s="44">
        <f t="shared" si="122"/>
        <v>0</v>
      </c>
      <c r="JQ22" s="42" t="str">
        <f t="shared" si="95"/>
        <v>CATERING</v>
      </c>
      <c r="JR22" s="43">
        <f t="shared" si="123"/>
        <v>0</v>
      </c>
      <c r="JT22" s="42" t="str">
        <f t="shared" si="96"/>
        <v>CATERING</v>
      </c>
      <c r="JU22" s="43">
        <f t="shared" si="124"/>
        <v>0</v>
      </c>
      <c r="JW22" s="42" t="str">
        <f t="shared" si="97"/>
        <v>CATERING</v>
      </c>
      <c r="JX22" s="43">
        <f t="shared" si="125"/>
        <v>0</v>
      </c>
      <c r="JZ22" s="44">
        <f t="shared" si="126"/>
        <v>0</v>
      </c>
    </row>
    <row r="23" spans="1:286" s="7" customFormat="1" ht="54" customHeight="1" x14ac:dyDescent="0.65">
      <c r="A23" s="46" t="s">
        <v>53</v>
      </c>
      <c r="B23" s="43"/>
      <c r="D23" s="46"/>
      <c r="E23" s="43"/>
      <c r="G23" s="42" t="str">
        <f t="shared" si="0"/>
        <v>FOIL 12X1000</v>
      </c>
      <c r="H23" s="43"/>
      <c r="J23" s="43">
        <f t="shared" si="1"/>
        <v>0</v>
      </c>
      <c r="K23" s="42" t="str">
        <f t="shared" si="2"/>
        <v>FOIL 12X1000</v>
      </c>
      <c r="L23" s="43"/>
      <c r="N23" s="46"/>
      <c r="O23" s="43"/>
      <c r="Q23" s="42" t="str">
        <f t="shared" si="3"/>
        <v>FOIL 12X1000</v>
      </c>
      <c r="R23" s="43"/>
      <c r="T23" s="43">
        <f t="shared" si="4"/>
        <v>0</v>
      </c>
      <c r="U23" s="42" t="str">
        <f t="shared" si="5"/>
        <v>FOIL 12X1000</v>
      </c>
      <c r="V23" s="43"/>
      <c r="X23" s="46"/>
      <c r="Y23" s="43"/>
      <c r="AA23" s="42" t="str">
        <f t="shared" si="6"/>
        <v>FOIL 12X1000</v>
      </c>
      <c r="AB23" s="43"/>
      <c r="AD23" s="43">
        <f t="shared" si="7"/>
        <v>0</v>
      </c>
      <c r="AE23" s="42" t="str">
        <f t="shared" si="8"/>
        <v>FOIL 12X1000</v>
      </c>
      <c r="AF23" s="43"/>
      <c r="AH23" s="46"/>
      <c r="AI23" s="43"/>
      <c r="AK23" s="42" t="str">
        <f t="shared" si="9"/>
        <v>FOIL 12X1000</v>
      </c>
      <c r="AL23" s="43"/>
      <c r="AN23" s="43">
        <f t="shared" si="10"/>
        <v>0</v>
      </c>
      <c r="AO23" s="42" t="str">
        <f t="shared" si="11"/>
        <v>FOIL 12X1000</v>
      </c>
      <c r="AP23" s="43"/>
      <c r="AR23" s="46"/>
      <c r="AS23" s="43"/>
      <c r="AU23" s="42" t="str">
        <f t="shared" si="12"/>
        <v>FOIL 12X1000</v>
      </c>
      <c r="AV23" s="43"/>
      <c r="AX23" s="43">
        <f t="shared" si="13"/>
        <v>0</v>
      </c>
      <c r="AY23" s="42" t="str">
        <f t="shared" si="14"/>
        <v>FOIL 12X1000</v>
      </c>
      <c r="AZ23" s="43"/>
      <c r="BB23" s="46"/>
      <c r="BC23" s="43"/>
      <c r="BE23" s="42" t="str">
        <f t="shared" si="15"/>
        <v>FOIL 12X1000</v>
      </c>
      <c r="BF23" s="43"/>
      <c r="BH23" s="43">
        <f t="shared" si="16"/>
        <v>0</v>
      </c>
      <c r="BI23" s="42" t="str">
        <f t="shared" si="17"/>
        <v>FOIL 12X1000</v>
      </c>
      <c r="BJ23" s="43"/>
      <c r="BL23" s="46"/>
      <c r="BM23" s="43"/>
      <c r="BO23" s="42" t="str">
        <f t="shared" si="18"/>
        <v>FOIL 12X1000</v>
      </c>
      <c r="BP23" s="43"/>
      <c r="BR23" s="43">
        <f t="shared" si="19"/>
        <v>0</v>
      </c>
      <c r="BS23" s="42" t="str">
        <f t="shared" si="20"/>
        <v>FOIL 12X1000</v>
      </c>
      <c r="BT23" s="43"/>
      <c r="BV23" s="46"/>
      <c r="BW23" s="43"/>
      <c r="BY23" s="42" t="str">
        <f t="shared" si="21"/>
        <v>FOIL 12X1000</v>
      </c>
      <c r="BZ23" s="43"/>
      <c r="CB23" s="43">
        <f t="shared" si="22"/>
        <v>0</v>
      </c>
      <c r="CC23" s="42" t="str">
        <f t="shared" si="23"/>
        <v>FOIL 12X1000</v>
      </c>
      <c r="CD23" s="43"/>
      <c r="CF23" s="46"/>
      <c r="CG23" s="43"/>
      <c r="CI23" s="42" t="str">
        <f t="shared" si="24"/>
        <v>FOIL 12X1000</v>
      </c>
      <c r="CJ23" s="43"/>
      <c r="CL23" s="43">
        <f t="shared" si="25"/>
        <v>0</v>
      </c>
      <c r="CM23" s="42" t="str">
        <f t="shared" si="26"/>
        <v>FOIL 12X1000</v>
      </c>
      <c r="CN23" s="43"/>
      <c r="CP23" s="42"/>
      <c r="CQ23" s="43"/>
      <c r="CS23" s="42" t="str">
        <f t="shared" si="27"/>
        <v>FOIL 12X1000</v>
      </c>
      <c r="CT23" s="43"/>
      <c r="CV23" s="43">
        <f t="shared" si="28"/>
        <v>0</v>
      </c>
      <c r="CW23" s="42" t="str">
        <f t="shared" si="29"/>
        <v>FOIL 12X1000</v>
      </c>
      <c r="CX23" s="43"/>
      <c r="CZ23" s="42"/>
      <c r="DA23" s="43"/>
      <c r="DC23" s="42" t="str">
        <f t="shared" si="128"/>
        <v>FOIL 12X1000</v>
      </c>
      <c r="DD23" s="43"/>
      <c r="DF23" s="43">
        <f t="shared" si="31"/>
        <v>0</v>
      </c>
      <c r="DG23" s="42" t="str">
        <f t="shared" si="32"/>
        <v>FOIL 12X1000</v>
      </c>
      <c r="DH23" s="43"/>
      <c r="DJ23" s="49"/>
      <c r="DK23" s="43"/>
      <c r="DM23" s="42" t="str">
        <f t="shared" si="33"/>
        <v>FOIL 12X1000</v>
      </c>
      <c r="DN23" s="43"/>
      <c r="DP23" s="43">
        <f t="shared" si="34"/>
        <v>0</v>
      </c>
      <c r="DQ23" s="42" t="str">
        <f t="shared" si="35"/>
        <v>FOIL 12X1000</v>
      </c>
      <c r="DR23" s="43"/>
      <c r="DT23" s="42"/>
      <c r="DU23" s="43"/>
      <c r="DW23" s="42" t="str">
        <f t="shared" si="36"/>
        <v>FOIL 12X1000</v>
      </c>
      <c r="DX23" s="43"/>
      <c r="DZ23" s="43">
        <f t="shared" si="37"/>
        <v>0</v>
      </c>
      <c r="EA23" s="42" t="str">
        <f t="shared" si="38"/>
        <v>FOIL 12X1000</v>
      </c>
      <c r="EB23" s="43"/>
      <c r="ED23" s="42" t="str">
        <f t="shared" si="39"/>
        <v>FOIL 12X1000</v>
      </c>
      <c r="EE23" s="43"/>
      <c r="EG23" s="42" t="str">
        <f t="shared" si="40"/>
        <v>FOIL 12X1000</v>
      </c>
      <c r="EH23" s="43"/>
      <c r="EJ23" s="43">
        <f t="shared" si="41"/>
        <v>0</v>
      </c>
      <c r="EK23" s="42" t="str">
        <f t="shared" si="42"/>
        <v>FOIL 12X1000</v>
      </c>
      <c r="EL23" s="43"/>
      <c r="EN23" s="42" t="str">
        <f t="shared" si="43"/>
        <v>FOIL 12X1000</v>
      </c>
      <c r="EO23" s="43"/>
      <c r="EQ23" s="42" t="str">
        <f t="shared" si="44"/>
        <v>FOIL 12X1000</v>
      </c>
      <c r="ER23" s="43"/>
      <c r="ET23" s="43">
        <f t="shared" si="45"/>
        <v>0</v>
      </c>
      <c r="EU23" s="42" t="str">
        <f t="shared" si="46"/>
        <v>FOIL 12X1000</v>
      </c>
      <c r="EV23" s="43"/>
      <c r="EX23" s="42" t="str">
        <f t="shared" si="47"/>
        <v>FOIL 12X1000</v>
      </c>
      <c r="EY23" s="43"/>
      <c r="FA23" s="42" t="str">
        <f t="shared" si="48"/>
        <v>FOIL 12X1000</v>
      </c>
      <c r="FB23" s="43"/>
      <c r="FD23" s="43">
        <f t="shared" si="49"/>
        <v>0</v>
      </c>
      <c r="FE23" s="42" t="str">
        <f t="shared" si="50"/>
        <v>FOIL 12X1000</v>
      </c>
      <c r="FF23" s="43"/>
      <c r="FH23" s="42" t="str">
        <f t="shared" si="51"/>
        <v>FOIL 12X1000</v>
      </c>
      <c r="FI23" s="43"/>
      <c r="FK23" s="42" t="str">
        <f t="shared" si="52"/>
        <v>FOIL 12X1000</v>
      </c>
      <c r="FL23" s="43"/>
      <c r="FN23" s="43">
        <f t="shared" si="53"/>
        <v>0</v>
      </c>
      <c r="FO23" s="42" t="str">
        <f t="shared" si="54"/>
        <v>FOIL 12X1000</v>
      </c>
      <c r="FP23" s="43">
        <v>4</v>
      </c>
      <c r="FR23" s="42" t="str">
        <f t="shared" si="55"/>
        <v>FOIL 12X1000</v>
      </c>
      <c r="FS23" s="43">
        <v>3</v>
      </c>
      <c r="FU23" s="42" t="str">
        <f t="shared" si="56"/>
        <v>FOIL 12X1000</v>
      </c>
      <c r="FV23" s="43"/>
      <c r="FX23" s="43">
        <f t="shared" si="57"/>
        <v>7</v>
      </c>
      <c r="FY23" s="42" t="str">
        <f t="shared" si="58"/>
        <v>FOIL 12X1000</v>
      </c>
      <c r="FZ23" s="43"/>
      <c r="GB23" s="42" t="str">
        <f t="shared" si="59"/>
        <v>FOIL 12X1000</v>
      </c>
      <c r="GC23" s="43"/>
      <c r="GE23" s="42" t="str">
        <f t="shared" si="60"/>
        <v>FOIL 12X1000</v>
      </c>
      <c r="GF23" s="43"/>
      <c r="GH23" s="43">
        <f t="shared" si="61"/>
        <v>0</v>
      </c>
      <c r="GI23" s="42" t="str">
        <f t="shared" si="62"/>
        <v>FOIL 12X1000</v>
      </c>
      <c r="GJ23" s="43"/>
      <c r="GL23" s="42" t="str">
        <f t="shared" si="63"/>
        <v>FOIL 12X1000</v>
      </c>
      <c r="GM23" s="43"/>
      <c r="GO23" s="42" t="str">
        <f t="shared" si="64"/>
        <v>FOIL 12X1000</v>
      </c>
      <c r="GP23" s="43"/>
      <c r="GR23" s="43">
        <f t="shared" si="98"/>
        <v>0</v>
      </c>
      <c r="GS23" s="42" t="str">
        <f t="shared" si="65"/>
        <v>FOIL 12X1000</v>
      </c>
      <c r="GT23" s="43"/>
      <c r="GV23" s="42" t="str">
        <f t="shared" si="66"/>
        <v>FOIL 12X1000</v>
      </c>
      <c r="GW23" s="43">
        <v>4</v>
      </c>
      <c r="GY23" s="42" t="str">
        <f t="shared" si="67"/>
        <v>FOIL 12X1000</v>
      </c>
      <c r="GZ23" s="43"/>
      <c r="HB23" s="43">
        <f t="shared" si="68"/>
        <v>4</v>
      </c>
      <c r="HC23" s="42" t="str">
        <f t="shared" si="69"/>
        <v>FOIL 12X1000</v>
      </c>
      <c r="HD23" s="43">
        <f t="shared" si="127"/>
        <v>0</v>
      </c>
      <c r="HF23" s="42" t="str">
        <f t="shared" si="71"/>
        <v>FOIL 12X1000</v>
      </c>
      <c r="HG23" s="43">
        <f t="shared" si="99"/>
        <v>0</v>
      </c>
      <c r="HI23" s="42" t="str">
        <f t="shared" si="72"/>
        <v>FOIL 12X1000</v>
      </c>
      <c r="HJ23" s="43">
        <f t="shared" si="100"/>
        <v>0</v>
      </c>
      <c r="HL23" s="43">
        <f t="shared" si="101"/>
        <v>11</v>
      </c>
      <c r="HM23" s="42" t="str">
        <f t="shared" si="73"/>
        <v>FOIL 12X1000</v>
      </c>
      <c r="HN23" s="45">
        <f t="shared" si="74"/>
        <v>0</v>
      </c>
      <c r="HO23" s="44">
        <f t="shared" si="75"/>
        <v>0</v>
      </c>
      <c r="HP23" s="45">
        <f t="shared" si="76"/>
        <v>0</v>
      </c>
      <c r="HQ23" s="44">
        <f t="shared" si="77"/>
        <v>0</v>
      </c>
      <c r="HR23" s="45">
        <f t="shared" si="78"/>
        <v>0</v>
      </c>
      <c r="HS23" s="44">
        <f t="shared" si="79"/>
        <v>0</v>
      </c>
      <c r="HT23" s="45">
        <f t="shared" si="80"/>
        <v>0</v>
      </c>
      <c r="HU23" s="44">
        <f t="shared" si="81"/>
        <v>0</v>
      </c>
      <c r="HV23" s="45">
        <f t="shared" si="82"/>
        <v>0</v>
      </c>
      <c r="HW23" s="44">
        <f t="shared" si="83"/>
        <v>0</v>
      </c>
      <c r="HX23" s="45">
        <f t="shared" si="84"/>
        <v>0</v>
      </c>
      <c r="HY23" s="44">
        <f t="shared" si="85"/>
        <v>0</v>
      </c>
      <c r="HZ23" s="42" t="str">
        <f t="shared" si="86"/>
        <v>FOIL 12X1000</v>
      </c>
      <c r="IA23" s="45">
        <f t="shared" si="87"/>
        <v>0</v>
      </c>
      <c r="IB23" s="44">
        <f t="shared" si="102"/>
        <v>0</v>
      </c>
      <c r="IC23" s="45">
        <f t="shared" si="103"/>
        <v>0</v>
      </c>
      <c r="ID23" s="44">
        <f t="shared" si="104"/>
        <v>0</v>
      </c>
      <c r="IE23" s="45">
        <f t="shared" si="105"/>
        <v>0</v>
      </c>
      <c r="IF23" s="44">
        <f t="shared" si="106"/>
        <v>7</v>
      </c>
      <c r="IG23" s="45">
        <f t="shared" si="107"/>
        <v>0</v>
      </c>
      <c r="IH23" s="44">
        <f t="shared" si="108"/>
        <v>0</v>
      </c>
      <c r="II23" s="45">
        <f t="shared" si="109"/>
        <v>4</v>
      </c>
      <c r="IJ23" s="44"/>
      <c r="IK23" s="45"/>
      <c r="IL23" s="44">
        <f t="shared" si="110"/>
        <v>11</v>
      </c>
      <c r="IM23" s="42" t="str">
        <f t="shared" si="88"/>
        <v>FOIL 12X1000</v>
      </c>
      <c r="IN23" s="43">
        <f t="shared" si="111"/>
        <v>0</v>
      </c>
      <c r="IP23" s="42" t="str">
        <f t="shared" si="112"/>
        <v>FOIL 12X1000</v>
      </c>
      <c r="IQ23" s="43">
        <f t="shared" si="113"/>
        <v>0</v>
      </c>
      <c r="IS23" s="42" t="str">
        <f t="shared" si="89"/>
        <v>FOIL 12X1000</v>
      </c>
      <c r="IT23" s="43">
        <f t="shared" si="114"/>
        <v>0</v>
      </c>
      <c r="IV23" s="43"/>
      <c r="IW23" s="42" t="str">
        <f t="shared" si="90"/>
        <v>FOIL 12X1000</v>
      </c>
      <c r="IX23" s="43">
        <f t="shared" si="115"/>
        <v>0</v>
      </c>
      <c r="IZ23" s="42" t="str">
        <f t="shared" si="116"/>
        <v>FOIL 12X1000</v>
      </c>
      <c r="JA23" s="43">
        <f t="shared" si="117"/>
        <v>0</v>
      </c>
      <c r="JC23" s="42" t="str">
        <f t="shared" si="91"/>
        <v>FOIL 12X1000</v>
      </c>
      <c r="JD23" s="43">
        <f t="shared" si="118"/>
        <v>0</v>
      </c>
      <c r="JF23" s="43"/>
      <c r="JG23" s="42" t="str">
        <f t="shared" si="92"/>
        <v>FOIL 12X1000</v>
      </c>
      <c r="JH23" s="43">
        <f t="shared" si="119"/>
        <v>4</v>
      </c>
      <c r="JJ23" s="42" t="str">
        <f t="shared" si="93"/>
        <v>FOIL 12X1000</v>
      </c>
      <c r="JK23" s="43">
        <f t="shared" si="120"/>
        <v>0</v>
      </c>
      <c r="JM23" s="42" t="str">
        <f t="shared" si="94"/>
        <v>FOIL 12X1000</v>
      </c>
      <c r="JN23" s="43">
        <f t="shared" si="121"/>
        <v>0</v>
      </c>
      <c r="JP23" s="44">
        <f t="shared" si="122"/>
        <v>4</v>
      </c>
      <c r="JQ23" s="42" t="str">
        <f t="shared" si="95"/>
        <v>FOIL 12X1000</v>
      </c>
      <c r="JR23" s="43">
        <f t="shared" si="123"/>
        <v>3</v>
      </c>
      <c r="JT23" s="42" t="str">
        <f t="shared" si="96"/>
        <v>FOIL 12X1000</v>
      </c>
      <c r="JU23" s="43">
        <f t="shared" si="124"/>
        <v>0</v>
      </c>
      <c r="JW23" s="42" t="str">
        <f t="shared" si="97"/>
        <v>FOIL 12X1000</v>
      </c>
      <c r="JX23" s="43">
        <f t="shared" si="125"/>
        <v>0</v>
      </c>
      <c r="JZ23" s="44">
        <f t="shared" si="126"/>
        <v>3</v>
      </c>
    </row>
    <row r="24" spans="1:286" s="7" customFormat="1" ht="54" customHeight="1" x14ac:dyDescent="0.65">
      <c r="A24" s="46" t="s">
        <v>54</v>
      </c>
      <c r="B24" s="43"/>
      <c r="D24" s="46"/>
      <c r="E24" s="43"/>
      <c r="G24" s="42" t="str">
        <f t="shared" si="0"/>
        <v>THREE COMP CONT</v>
      </c>
      <c r="H24" s="43"/>
      <c r="J24" s="43">
        <f t="shared" si="1"/>
        <v>0</v>
      </c>
      <c r="K24" s="42" t="str">
        <f t="shared" si="2"/>
        <v>THREE COMP CONT</v>
      </c>
      <c r="L24" s="43"/>
      <c r="N24" s="46"/>
      <c r="O24" s="43"/>
      <c r="Q24" s="42" t="str">
        <f t="shared" si="3"/>
        <v>THREE COMP CONT</v>
      </c>
      <c r="R24" s="43"/>
      <c r="T24" s="43">
        <f t="shared" si="4"/>
        <v>0</v>
      </c>
      <c r="U24" s="42" t="str">
        <f t="shared" si="5"/>
        <v>THREE COMP CONT</v>
      </c>
      <c r="V24" s="43"/>
      <c r="X24" s="46"/>
      <c r="Y24" s="43"/>
      <c r="AA24" s="42" t="str">
        <f t="shared" si="6"/>
        <v>THREE COMP CONT</v>
      </c>
      <c r="AB24" s="43"/>
      <c r="AD24" s="43">
        <f t="shared" si="7"/>
        <v>0</v>
      </c>
      <c r="AE24" s="42" t="str">
        <f t="shared" si="8"/>
        <v>THREE COMP CONT</v>
      </c>
      <c r="AF24" s="43"/>
      <c r="AH24" s="46"/>
      <c r="AI24" s="43"/>
      <c r="AK24" s="42" t="str">
        <f t="shared" si="9"/>
        <v>THREE COMP CONT</v>
      </c>
      <c r="AL24" s="43"/>
      <c r="AN24" s="43">
        <f t="shared" si="10"/>
        <v>0</v>
      </c>
      <c r="AO24" s="42" t="str">
        <f t="shared" si="11"/>
        <v>THREE COMP CONT</v>
      </c>
      <c r="AP24" s="43"/>
      <c r="AR24" s="46"/>
      <c r="AS24" s="43"/>
      <c r="AU24" s="42" t="str">
        <f t="shared" si="12"/>
        <v>THREE COMP CONT</v>
      </c>
      <c r="AV24" s="43"/>
      <c r="AX24" s="43">
        <f t="shared" si="13"/>
        <v>0</v>
      </c>
      <c r="AY24" s="42" t="str">
        <f t="shared" si="14"/>
        <v>THREE COMP CONT</v>
      </c>
      <c r="AZ24" s="43"/>
      <c r="BB24" s="46"/>
      <c r="BC24" s="43"/>
      <c r="BE24" s="42" t="str">
        <f t="shared" si="15"/>
        <v>THREE COMP CONT</v>
      </c>
      <c r="BF24" s="43"/>
      <c r="BH24" s="43">
        <f t="shared" si="16"/>
        <v>0</v>
      </c>
      <c r="BI24" s="42" t="str">
        <f t="shared" si="17"/>
        <v>THREE COMP CONT</v>
      </c>
      <c r="BJ24" s="43"/>
      <c r="BL24" s="46"/>
      <c r="BM24" s="43"/>
      <c r="BO24" s="42" t="str">
        <f t="shared" si="18"/>
        <v>THREE COMP CONT</v>
      </c>
      <c r="BP24" s="43"/>
      <c r="BR24" s="43">
        <f t="shared" si="19"/>
        <v>0</v>
      </c>
      <c r="BS24" s="42" t="str">
        <f t="shared" si="20"/>
        <v>THREE COMP CONT</v>
      </c>
      <c r="BT24" s="43"/>
      <c r="BV24" s="46"/>
      <c r="BW24" s="43"/>
      <c r="BY24" s="42" t="str">
        <f t="shared" si="21"/>
        <v>THREE COMP CONT</v>
      </c>
      <c r="BZ24" s="43"/>
      <c r="CB24" s="43">
        <f t="shared" si="22"/>
        <v>0</v>
      </c>
      <c r="CC24" s="42" t="str">
        <f t="shared" si="23"/>
        <v>THREE COMP CONT</v>
      </c>
      <c r="CD24" s="43"/>
      <c r="CF24" s="46"/>
      <c r="CG24" s="43"/>
      <c r="CI24" s="42" t="str">
        <f t="shared" si="24"/>
        <v>THREE COMP CONT</v>
      </c>
      <c r="CJ24" s="43"/>
      <c r="CL24" s="43">
        <f t="shared" si="25"/>
        <v>0</v>
      </c>
      <c r="CM24" s="42" t="str">
        <f t="shared" si="26"/>
        <v>THREE COMP CONT</v>
      </c>
      <c r="CN24" s="43"/>
      <c r="CP24" s="42"/>
      <c r="CQ24" s="43"/>
      <c r="CS24" s="42" t="str">
        <f t="shared" si="27"/>
        <v>THREE COMP CONT</v>
      </c>
      <c r="CT24" s="43"/>
      <c r="CV24" s="43">
        <f t="shared" si="28"/>
        <v>0</v>
      </c>
      <c r="CW24" s="42" t="str">
        <f t="shared" si="29"/>
        <v>THREE COMP CONT</v>
      </c>
      <c r="CX24" s="43"/>
      <c r="CZ24" s="42"/>
      <c r="DA24" s="43"/>
      <c r="DC24" s="42" t="str">
        <f t="shared" si="128"/>
        <v>THREE COMP CONT</v>
      </c>
      <c r="DD24" s="43"/>
      <c r="DF24" s="43">
        <f t="shared" si="31"/>
        <v>0</v>
      </c>
      <c r="DG24" s="42" t="str">
        <f t="shared" si="32"/>
        <v>THREE COMP CONT</v>
      </c>
      <c r="DH24" s="43"/>
      <c r="DJ24" s="49"/>
      <c r="DK24" s="43"/>
      <c r="DM24" s="42" t="str">
        <f t="shared" si="33"/>
        <v>THREE COMP CONT</v>
      </c>
      <c r="DN24" s="43"/>
      <c r="DP24" s="43">
        <f t="shared" si="34"/>
        <v>0</v>
      </c>
      <c r="DQ24" s="42" t="str">
        <f t="shared" si="35"/>
        <v>THREE COMP CONT</v>
      </c>
      <c r="DR24" s="43"/>
      <c r="DT24" s="42"/>
      <c r="DU24" s="43"/>
      <c r="DW24" s="42" t="str">
        <f t="shared" si="36"/>
        <v>THREE COMP CONT</v>
      </c>
      <c r="DX24" s="43"/>
      <c r="DZ24" s="43">
        <f t="shared" si="37"/>
        <v>0</v>
      </c>
      <c r="EA24" s="42" t="str">
        <f t="shared" si="38"/>
        <v>THREE COMP CONT</v>
      </c>
      <c r="EB24" s="43"/>
      <c r="ED24" s="42" t="str">
        <f t="shared" si="39"/>
        <v>THREE COMP CONT</v>
      </c>
      <c r="EE24" s="43"/>
      <c r="EG24" s="42" t="str">
        <f t="shared" si="40"/>
        <v>THREE COMP CONT</v>
      </c>
      <c r="EH24" s="43"/>
      <c r="EJ24" s="43">
        <f t="shared" si="41"/>
        <v>0</v>
      </c>
      <c r="EK24" s="42" t="str">
        <f t="shared" si="42"/>
        <v>THREE COMP CONT</v>
      </c>
      <c r="EL24" s="43"/>
      <c r="EN24" s="42" t="str">
        <f t="shared" si="43"/>
        <v>THREE COMP CONT</v>
      </c>
      <c r="EO24" s="43"/>
      <c r="EQ24" s="42" t="str">
        <f t="shared" si="44"/>
        <v>THREE COMP CONT</v>
      </c>
      <c r="ER24" s="43"/>
      <c r="ET24" s="43">
        <f t="shared" si="45"/>
        <v>0</v>
      </c>
      <c r="EU24" s="42" t="str">
        <f t="shared" si="46"/>
        <v>THREE COMP CONT</v>
      </c>
      <c r="EV24" s="43"/>
      <c r="EX24" s="42" t="str">
        <f t="shared" si="47"/>
        <v>THREE COMP CONT</v>
      </c>
      <c r="EY24" s="43"/>
      <c r="FA24" s="42" t="str">
        <f t="shared" si="48"/>
        <v>THREE COMP CONT</v>
      </c>
      <c r="FB24" s="43"/>
      <c r="FD24" s="43">
        <f t="shared" si="49"/>
        <v>0</v>
      </c>
      <c r="FE24" s="42" t="str">
        <f t="shared" si="50"/>
        <v>THREE COMP CONT</v>
      </c>
      <c r="FF24" s="43"/>
      <c r="FH24" s="42" t="str">
        <f t="shared" si="51"/>
        <v>THREE COMP CONT</v>
      </c>
      <c r="FI24" s="43"/>
      <c r="FK24" s="42" t="str">
        <f t="shared" si="52"/>
        <v>THREE COMP CONT</v>
      </c>
      <c r="FL24" s="43"/>
      <c r="FN24" s="43">
        <f t="shared" si="53"/>
        <v>0</v>
      </c>
      <c r="FO24" s="42" t="str">
        <f t="shared" si="54"/>
        <v>THREE COMP CONT</v>
      </c>
      <c r="FP24" s="43">
        <v>3</v>
      </c>
      <c r="FR24" s="42" t="str">
        <f t="shared" si="55"/>
        <v>THREE COMP CONT</v>
      </c>
      <c r="FS24" s="43">
        <v>3</v>
      </c>
      <c r="FU24" s="42" t="str">
        <f t="shared" si="56"/>
        <v>THREE COMP CONT</v>
      </c>
      <c r="FV24" s="43"/>
      <c r="FX24" s="43">
        <f t="shared" si="57"/>
        <v>6</v>
      </c>
      <c r="FY24" s="42" t="str">
        <f t="shared" si="58"/>
        <v>THREE COMP CONT</v>
      </c>
      <c r="FZ24" s="43">
        <v>2</v>
      </c>
      <c r="GB24" s="42" t="str">
        <f t="shared" si="59"/>
        <v>THREE COMP CONT</v>
      </c>
      <c r="GC24" s="43">
        <v>2</v>
      </c>
      <c r="GE24" s="42" t="str">
        <f t="shared" si="60"/>
        <v>THREE COMP CONT</v>
      </c>
      <c r="GF24" s="43"/>
      <c r="GH24" s="43">
        <f t="shared" si="61"/>
        <v>4</v>
      </c>
      <c r="GI24" s="42" t="str">
        <f t="shared" si="62"/>
        <v>THREE COMP CONT</v>
      </c>
      <c r="GJ24" s="43"/>
      <c r="GL24" s="42" t="str">
        <f t="shared" si="63"/>
        <v>THREE COMP CONT</v>
      </c>
      <c r="GM24" s="43"/>
      <c r="GO24" s="42" t="str">
        <f t="shared" si="64"/>
        <v>THREE COMP CONT</v>
      </c>
      <c r="GP24" s="43"/>
      <c r="GR24" s="43">
        <f t="shared" si="98"/>
        <v>0</v>
      </c>
      <c r="GS24" s="42" t="str">
        <f t="shared" si="65"/>
        <v>THREE COMP CONT</v>
      </c>
      <c r="GT24" s="43"/>
      <c r="GV24" s="42" t="str">
        <f t="shared" si="66"/>
        <v>THREE COMP CONT</v>
      </c>
      <c r="GW24" s="43">
        <v>4</v>
      </c>
      <c r="GY24" s="42" t="str">
        <f t="shared" si="67"/>
        <v>THREE COMP CONT</v>
      </c>
      <c r="GZ24" s="43"/>
      <c r="HB24" s="43">
        <f t="shared" si="68"/>
        <v>4</v>
      </c>
      <c r="HC24" s="42" t="str">
        <f t="shared" si="69"/>
        <v>THREE COMP CONT</v>
      </c>
      <c r="HD24" s="43">
        <f t="shared" si="127"/>
        <v>0</v>
      </c>
      <c r="HF24" s="42" t="str">
        <f t="shared" si="71"/>
        <v>THREE COMP CONT</v>
      </c>
      <c r="HG24" s="43">
        <f t="shared" si="99"/>
        <v>0</v>
      </c>
      <c r="HI24" s="42" t="str">
        <f t="shared" si="72"/>
        <v>THREE COMP CONT</v>
      </c>
      <c r="HJ24" s="43">
        <f t="shared" si="100"/>
        <v>0</v>
      </c>
      <c r="HL24" s="43">
        <f t="shared" si="101"/>
        <v>14</v>
      </c>
      <c r="HM24" s="42" t="str">
        <f t="shared" si="73"/>
        <v>THREE COMP CONT</v>
      </c>
      <c r="HN24" s="45">
        <f t="shared" si="74"/>
        <v>0</v>
      </c>
      <c r="HO24" s="44">
        <f t="shared" si="75"/>
        <v>0</v>
      </c>
      <c r="HP24" s="45">
        <f t="shared" si="76"/>
        <v>0</v>
      </c>
      <c r="HQ24" s="44">
        <f t="shared" si="77"/>
        <v>0</v>
      </c>
      <c r="HR24" s="45">
        <f t="shared" si="78"/>
        <v>0</v>
      </c>
      <c r="HS24" s="44">
        <f t="shared" si="79"/>
        <v>0</v>
      </c>
      <c r="HT24" s="45">
        <f t="shared" si="80"/>
        <v>0</v>
      </c>
      <c r="HU24" s="44">
        <f t="shared" si="81"/>
        <v>0</v>
      </c>
      <c r="HV24" s="45">
        <f t="shared" si="82"/>
        <v>0</v>
      </c>
      <c r="HW24" s="44">
        <f t="shared" si="83"/>
        <v>0</v>
      </c>
      <c r="HX24" s="45">
        <f t="shared" si="84"/>
        <v>0</v>
      </c>
      <c r="HY24" s="44">
        <f t="shared" si="85"/>
        <v>0</v>
      </c>
      <c r="HZ24" s="42" t="str">
        <f t="shared" si="86"/>
        <v>THREE COMP CONT</v>
      </c>
      <c r="IA24" s="45">
        <f t="shared" si="87"/>
        <v>0</v>
      </c>
      <c r="IB24" s="44">
        <f t="shared" si="102"/>
        <v>0</v>
      </c>
      <c r="IC24" s="45">
        <f t="shared" si="103"/>
        <v>0</v>
      </c>
      <c r="ID24" s="44">
        <f t="shared" si="104"/>
        <v>0</v>
      </c>
      <c r="IE24" s="45">
        <f t="shared" si="105"/>
        <v>0</v>
      </c>
      <c r="IF24" s="44">
        <f t="shared" si="106"/>
        <v>6</v>
      </c>
      <c r="IG24" s="45">
        <f t="shared" si="107"/>
        <v>4</v>
      </c>
      <c r="IH24" s="44">
        <f t="shared" si="108"/>
        <v>0</v>
      </c>
      <c r="II24" s="45">
        <f t="shared" si="109"/>
        <v>4</v>
      </c>
      <c r="IJ24" s="44"/>
      <c r="IK24" s="45"/>
      <c r="IL24" s="44">
        <f t="shared" si="110"/>
        <v>14</v>
      </c>
      <c r="IM24" s="42" t="str">
        <f t="shared" si="88"/>
        <v>THREE COMP CONT</v>
      </c>
      <c r="IN24" s="43">
        <f t="shared" si="111"/>
        <v>0</v>
      </c>
      <c r="IP24" s="42" t="str">
        <f t="shared" si="112"/>
        <v>THREE COMP CONT</v>
      </c>
      <c r="IQ24" s="43">
        <f t="shared" si="113"/>
        <v>0</v>
      </c>
      <c r="IS24" s="42" t="str">
        <f t="shared" si="89"/>
        <v>THREE COMP CONT</v>
      </c>
      <c r="IT24" s="43">
        <f t="shared" si="114"/>
        <v>0</v>
      </c>
      <c r="IV24" s="43"/>
      <c r="IW24" s="42" t="str">
        <f t="shared" si="90"/>
        <v>THREE COMP CONT</v>
      </c>
      <c r="IX24" s="43">
        <f t="shared" si="115"/>
        <v>0</v>
      </c>
      <c r="IZ24" s="42" t="str">
        <f t="shared" si="116"/>
        <v>THREE COMP CONT</v>
      </c>
      <c r="JA24" s="43">
        <f t="shared" si="117"/>
        <v>0</v>
      </c>
      <c r="JC24" s="42" t="str">
        <f t="shared" si="91"/>
        <v>THREE COMP CONT</v>
      </c>
      <c r="JD24" s="43">
        <f t="shared" si="118"/>
        <v>0</v>
      </c>
      <c r="JF24" s="43"/>
      <c r="JG24" s="42" t="str">
        <f t="shared" si="92"/>
        <v>THREE COMP CONT</v>
      </c>
      <c r="JH24" s="43">
        <f t="shared" si="119"/>
        <v>3</v>
      </c>
      <c r="JJ24" s="42" t="str">
        <f t="shared" si="93"/>
        <v>THREE COMP CONT</v>
      </c>
      <c r="JK24" s="43">
        <f t="shared" si="120"/>
        <v>2</v>
      </c>
      <c r="JM24" s="42" t="str">
        <f t="shared" si="94"/>
        <v>THREE COMP CONT</v>
      </c>
      <c r="JN24" s="43">
        <f t="shared" si="121"/>
        <v>0</v>
      </c>
      <c r="JP24" s="44">
        <f t="shared" si="122"/>
        <v>5</v>
      </c>
      <c r="JQ24" s="42" t="str">
        <f t="shared" si="95"/>
        <v>THREE COMP CONT</v>
      </c>
      <c r="JR24" s="43">
        <f t="shared" si="123"/>
        <v>3</v>
      </c>
      <c r="JT24" s="42" t="str">
        <f t="shared" si="96"/>
        <v>THREE COMP CONT</v>
      </c>
      <c r="JU24" s="43">
        <f t="shared" si="124"/>
        <v>2</v>
      </c>
      <c r="JW24" s="42" t="str">
        <f t="shared" si="97"/>
        <v>THREE COMP CONT</v>
      </c>
      <c r="JX24" s="43">
        <f t="shared" si="125"/>
        <v>0</v>
      </c>
      <c r="JZ24" s="44">
        <f t="shared" si="126"/>
        <v>5</v>
      </c>
    </row>
    <row r="25" spans="1:286" s="7" customFormat="1" ht="54" customHeight="1" x14ac:dyDescent="0.65">
      <c r="A25" s="46" t="s">
        <v>55</v>
      </c>
      <c r="B25" s="43"/>
      <c r="D25" s="46"/>
      <c r="E25" s="43"/>
      <c r="G25" s="42" t="str">
        <f t="shared" si="0"/>
        <v>ONE COMP CONT</v>
      </c>
      <c r="H25" s="43"/>
      <c r="J25" s="43">
        <f t="shared" si="1"/>
        <v>0</v>
      </c>
      <c r="K25" s="42" t="str">
        <f t="shared" si="2"/>
        <v>ONE COMP CONT</v>
      </c>
      <c r="L25" s="43"/>
      <c r="N25" s="46"/>
      <c r="O25" s="43"/>
      <c r="Q25" s="42" t="str">
        <f t="shared" si="3"/>
        <v>ONE COMP CONT</v>
      </c>
      <c r="R25" s="43"/>
      <c r="T25" s="43">
        <f t="shared" si="4"/>
        <v>0</v>
      </c>
      <c r="U25" s="42" t="str">
        <f t="shared" si="5"/>
        <v>ONE COMP CONT</v>
      </c>
      <c r="V25" s="43"/>
      <c r="X25" s="46"/>
      <c r="Y25" s="43"/>
      <c r="AA25" s="42" t="str">
        <f t="shared" si="6"/>
        <v>ONE COMP CONT</v>
      </c>
      <c r="AB25" s="43"/>
      <c r="AD25" s="43">
        <f t="shared" si="7"/>
        <v>0</v>
      </c>
      <c r="AE25" s="42" t="str">
        <f t="shared" si="8"/>
        <v>ONE COMP CONT</v>
      </c>
      <c r="AF25" s="43"/>
      <c r="AH25" s="46"/>
      <c r="AI25" s="43"/>
      <c r="AK25" s="42" t="str">
        <f t="shared" si="9"/>
        <v>ONE COMP CONT</v>
      </c>
      <c r="AL25" s="43"/>
      <c r="AN25" s="43">
        <f t="shared" si="10"/>
        <v>0</v>
      </c>
      <c r="AO25" s="42" t="str">
        <f t="shared" si="11"/>
        <v>ONE COMP CONT</v>
      </c>
      <c r="AP25" s="43"/>
      <c r="AR25" s="46"/>
      <c r="AS25" s="43"/>
      <c r="AU25" s="42" t="str">
        <f t="shared" si="12"/>
        <v>ONE COMP CONT</v>
      </c>
      <c r="AV25" s="43"/>
      <c r="AX25" s="43">
        <f t="shared" si="13"/>
        <v>0</v>
      </c>
      <c r="AY25" s="42" t="str">
        <f t="shared" si="14"/>
        <v>ONE COMP CONT</v>
      </c>
      <c r="AZ25" s="43"/>
      <c r="BB25" s="46"/>
      <c r="BC25" s="43"/>
      <c r="BE25" s="42" t="str">
        <f t="shared" si="15"/>
        <v>ONE COMP CONT</v>
      </c>
      <c r="BF25" s="43"/>
      <c r="BH25" s="43">
        <f t="shared" si="16"/>
        <v>0</v>
      </c>
      <c r="BI25" s="42" t="str">
        <f t="shared" si="17"/>
        <v>ONE COMP CONT</v>
      </c>
      <c r="BJ25" s="43"/>
      <c r="BL25" s="46"/>
      <c r="BM25" s="43"/>
      <c r="BO25" s="42" t="str">
        <f t="shared" si="18"/>
        <v>ONE COMP CONT</v>
      </c>
      <c r="BP25" s="43"/>
      <c r="BR25" s="43">
        <f t="shared" si="19"/>
        <v>0</v>
      </c>
      <c r="BS25" s="42" t="str">
        <f t="shared" si="20"/>
        <v>ONE COMP CONT</v>
      </c>
      <c r="BT25" s="43"/>
      <c r="BV25" s="46"/>
      <c r="BW25" s="43"/>
      <c r="BY25" s="42" t="str">
        <f t="shared" si="21"/>
        <v>ONE COMP CONT</v>
      </c>
      <c r="BZ25" s="43"/>
      <c r="CB25" s="43">
        <f t="shared" si="22"/>
        <v>0</v>
      </c>
      <c r="CC25" s="42" t="str">
        <f t="shared" si="23"/>
        <v>ONE COMP CONT</v>
      </c>
      <c r="CD25" s="43"/>
      <c r="CF25" s="46"/>
      <c r="CG25" s="43"/>
      <c r="CI25" s="42" t="str">
        <f t="shared" si="24"/>
        <v>ONE COMP CONT</v>
      </c>
      <c r="CJ25" s="43"/>
      <c r="CL25" s="43">
        <f t="shared" si="25"/>
        <v>0</v>
      </c>
      <c r="CM25" s="42" t="str">
        <f t="shared" si="26"/>
        <v>ONE COMP CONT</v>
      </c>
      <c r="CN25" s="43"/>
      <c r="CP25" s="42"/>
      <c r="CQ25" s="43"/>
      <c r="CS25" s="42" t="str">
        <f t="shared" si="27"/>
        <v>ONE COMP CONT</v>
      </c>
      <c r="CT25" s="43"/>
      <c r="CV25" s="43">
        <f t="shared" si="28"/>
        <v>0</v>
      </c>
      <c r="CW25" s="42" t="str">
        <f t="shared" si="29"/>
        <v>ONE COMP CONT</v>
      </c>
      <c r="CX25" s="43"/>
      <c r="CZ25" s="42"/>
      <c r="DA25" s="43"/>
      <c r="DC25" s="42" t="str">
        <f t="shared" si="128"/>
        <v>ONE COMP CONT</v>
      </c>
      <c r="DD25" s="43"/>
      <c r="DF25" s="43">
        <f t="shared" si="31"/>
        <v>0</v>
      </c>
      <c r="DG25" s="42" t="str">
        <f t="shared" si="32"/>
        <v>ONE COMP CONT</v>
      </c>
      <c r="DH25" s="43"/>
      <c r="DJ25" s="49"/>
      <c r="DK25" s="43"/>
      <c r="DM25" s="42" t="str">
        <f t="shared" si="33"/>
        <v>ONE COMP CONT</v>
      </c>
      <c r="DN25" s="43"/>
      <c r="DP25" s="43">
        <f t="shared" si="34"/>
        <v>0</v>
      </c>
      <c r="DQ25" s="42" t="str">
        <f t="shared" si="35"/>
        <v>ONE COMP CONT</v>
      </c>
      <c r="DR25" s="43"/>
      <c r="DT25" s="42"/>
      <c r="DU25" s="43"/>
      <c r="DW25" s="42" t="str">
        <f t="shared" si="36"/>
        <v>ONE COMP CONT</v>
      </c>
      <c r="DX25" s="43"/>
      <c r="DZ25" s="43">
        <f t="shared" si="37"/>
        <v>0</v>
      </c>
      <c r="EA25" s="42" t="str">
        <f t="shared" si="38"/>
        <v>ONE COMP CONT</v>
      </c>
      <c r="EB25" s="43"/>
      <c r="ED25" s="42" t="str">
        <f t="shared" si="39"/>
        <v>ONE COMP CONT</v>
      </c>
      <c r="EE25" s="43"/>
      <c r="EG25" s="42" t="str">
        <f t="shared" si="40"/>
        <v>ONE COMP CONT</v>
      </c>
      <c r="EH25" s="43"/>
      <c r="EJ25" s="43">
        <f t="shared" si="41"/>
        <v>0</v>
      </c>
      <c r="EK25" s="42" t="str">
        <f t="shared" si="42"/>
        <v>ONE COMP CONT</v>
      </c>
      <c r="EL25" s="43"/>
      <c r="EN25" s="42" t="str">
        <f t="shared" si="43"/>
        <v>ONE COMP CONT</v>
      </c>
      <c r="EO25" s="43"/>
      <c r="EQ25" s="42" t="str">
        <f t="shared" si="44"/>
        <v>ONE COMP CONT</v>
      </c>
      <c r="ER25" s="43"/>
      <c r="ET25" s="43">
        <f t="shared" si="45"/>
        <v>0</v>
      </c>
      <c r="EU25" s="42" t="str">
        <f t="shared" si="46"/>
        <v>ONE COMP CONT</v>
      </c>
      <c r="EV25" s="43"/>
      <c r="EX25" s="42" t="str">
        <f t="shared" si="47"/>
        <v>ONE COMP CONT</v>
      </c>
      <c r="EY25" s="43"/>
      <c r="FA25" s="42" t="str">
        <f t="shared" si="48"/>
        <v>ONE COMP CONT</v>
      </c>
      <c r="FB25" s="43"/>
      <c r="FD25" s="43">
        <f t="shared" si="49"/>
        <v>0</v>
      </c>
      <c r="FE25" s="42" t="str">
        <f t="shared" si="50"/>
        <v>ONE COMP CONT</v>
      </c>
      <c r="FF25" s="43"/>
      <c r="FH25" s="42" t="str">
        <f t="shared" si="51"/>
        <v>ONE COMP CONT</v>
      </c>
      <c r="FI25" s="43"/>
      <c r="FK25" s="42" t="str">
        <f t="shared" si="52"/>
        <v>ONE COMP CONT</v>
      </c>
      <c r="FL25" s="43"/>
      <c r="FN25" s="43">
        <f t="shared" si="53"/>
        <v>0</v>
      </c>
      <c r="FO25" s="42" t="str">
        <f t="shared" si="54"/>
        <v>ONE COMP CONT</v>
      </c>
      <c r="FP25" s="43"/>
      <c r="FR25" s="42" t="str">
        <f t="shared" si="55"/>
        <v>ONE COMP CONT</v>
      </c>
      <c r="FS25" s="43"/>
      <c r="FU25" s="42" t="str">
        <f t="shared" si="56"/>
        <v>ONE COMP CONT</v>
      </c>
      <c r="FV25" s="43"/>
      <c r="FX25" s="43">
        <f t="shared" si="57"/>
        <v>0</v>
      </c>
      <c r="FY25" s="42" t="str">
        <f t="shared" si="58"/>
        <v>ONE COMP CONT</v>
      </c>
      <c r="FZ25" s="43"/>
      <c r="GB25" s="42" t="str">
        <f t="shared" si="59"/>
        <v>ONE COMP CONT</v>
      </c>
      <c r="GC25" s="43"/>
      <c r="GE25" s="42" t="str">
        <f t="shared" si="60"/>
        <v>ONE COMP CONT</v>
      </c>
      <c r="GF25" s="43"/>
      <c r="GH25" s="43">
        <f t="shared" si="61"/>
        <v>0</v>
      </c>
      <c r="GI25" s="42" t="str">
        <f t="shared" si="62"/>
        <v>ONE COMP CONT</v>
      </c>
      <c r="GJ25" s="43"/>
      <c r="GL25" s="42" t="str">
        <f t="shared" si="63"/>
        <v>ONE COMP CONT</v>
      </c>
      <c r="GM25" s="43"/>
      <c r="GO25" s="42" t="str">
        <f t="shared" si="64"/>
        <v>ONE COMP CONT</v>
      </c>
      <c r="GP25" s="43"/>
      <c r="GR25" s="43">
        <f t="shared" si="98"/>
        <v>0</v>
      </c>
      <c r="GS25" s="42" t="str">
        <f t="shared" si="65"/>
        <v>ONE COMP CONT</v>
      </c>
      <c r="GT25" s="43"/>
      <c r="GV25" s="42" t="str">
        <f t="shared" si="66"/>
        <v>ONE COMP CONT</v>
      </c>
      <c r="GW25" s="43">
        <v>2</v>
      </c>
      <c r="GY25" s="42" t="str">
        <f t="shared" si="67"/>
        <v>ONE COMP CONT</v>
      </c>
      <c r="GZ25" s="43"/>
      <c r="HB25" s="43">
        <f t="shared" si="68"/>
        <v>2</v>
      </c>
      <c r="HC25" s="42" t="str">
        <f t="shared" si="69"/>
        <v>ONE COMP CONT</v>
      </c>
      <c r="HD25" s="43">
        <f t="shared" si="127"/>
        <v>0</v>
      </c>
      <c r="HF25" s="42" t="str">
        <f t="shared" si="71"/>
        <v>ONE COMP CONT</v>
      </c>
      <c r="HG25" s="43">
        <f t="shared" si="99"/>
        <v>0</v>
      </c>
      <c r="HI25" s="42" t="str">
        <f t="shared" si="72"/>
        <v>ONE COMP CONT</v>
      </c>
      <c r="HJ25" s="43">
        <f t="shared" si="100"/>
        <v>0</v>
      </c>
      <c r="HL25" s="43">
        <f t="shared" si="101"/>
        <v>2</v>
      </c>
      <c r="HM25" s="42" t="str">
        <f t="shared" si="73"/>
        <v>ONE COMP CONT</v>
      </c>
      <c r="HN25" s="45">
        <f t="shared" si="74"/>
        <v>0</v>
      </c>
      <c r="HO25" s="44">
        <f t="shared" si="75"/>
        <v>0</v>
      </c>
      <c r="HP25" s="45">
        <f t="shared" si="76"/>
        <v>0</v>
      </c>
      <c r="HQ25" s="44">
        <f t="shared" si="77"/>
        <v>0</v>
      </c>
      <c r="HR25" s="45">
        <f t="shared" si="78"/>
        <v>0</v>
      </c>
      <c r="HS25" s="44">
        <f t="shared" si="79"/>
        <v>0</v>
      </c>
      <c r="HT25" s="45">
        <f t="shared" si="80"/>
        <v>0</v>
      </c>
      <c r="HU25" s="44">
        <f t="shared" si="81"/>
        <v>0</v>
      </c>
      <c r="HV25" s="45">
        <f t="shared" si="82"/>
        <v>0</v>
      </c>
      <c r="HW25" s="44">
        <f t="shared" si="83"/>
        <v>0</v>
      </c>
      <c r="HX25" s="45">
        <f t="shared" si="84"/>
        <v>0</v>
      </c>
      <c r="HY25" s="44">
        <f t="shared" si="85"/>
        <v>0</v>
      </c>
      <c r="HZ25" s="42" t="str">
        <f t="shared" si="86"/>
        <v>ONE COMP CONT</v>
      </c>
      <c r="IA25" s="45">
        <f t="shared" si="87"/>
        <v>0</v>
      </c>
      <c r="IB25" s="44">
        <f t="shared" si="102"/>
        <v>0</v>
      </c>
      <c r="IC25" s="45">
        <f t="shared" si="103"/>
        <v>0</v>
      </c>
      <c r="ID25" s="44">
        <f t="shared" si="104"/>
        <v>0</v>
      </c>
      <c r="IE25" s="45">
        <f t="shared" si="105"/>
        <v>0</v>
      </c>
      <c r="IF25" s="44">
        <f t="shared" si="106"/>
        <v>0</v>
      </c>
      <c r="IG25" s="45">
        <f t="shared" si="107"/>
        <v>0</v>
      </c>
      <c r="IH25" s="44">
        <f t="shared" si="108"/>
        <v>0</v>
      </c>
      <c r="II25" s="45">
        <f t="shared" si="109"/>
        <v>2</v>
      </c>
      <c r="IJ25" s="44"/>
      <c r="IK25" s="45"/>
      <c r="IL25" s="44">
        <f t="shared" si="110"/>
        <v>2</v>
      </c>
      <c r="IM25" s="42" t="str">
        <f t="shared" si="88"/>
        <v>ONE COMP CONT</v>
      </c>
      <c r="IN25" s="43">
        <f t="shared" si="111"/>
        <v>0</v>
      </c>
      <c r="IP25" s="42" t="str">
        <f t="shared" si="112"/>
        <v>ONE COMP CONT</v>
      </c>
      <c r="IQ25" s="43">
        <f t="shared" si="113"/>
        <v>0</v>
      </c>
      <c r="IS25" s="42" t="str">
        <f t="shared" si="89"/>
        <v>ONE COMP CONT</v>
      </c>
      <c r="IT25" s="43">
        <f t="shared" si="114"/>
        <v>0</v>
      </c>
      <c r="IV25" s="43"/>
      <c r="IW25" s="42" t="str">
        <f t="shared" si="90"/>
        <v>ONE COMP CONT</v>
      </c>
      <c r="IX25" s="43">
        <f t="shared" si="115"/>
        <v>0</v>
      </c>
      <c r="IZ25" s="42" t="str">
        <f t="shared" si="116"/>
        <v>ONE COMP CONT</v>
      </c>
      <c r="JA25" s="43">
        <f t="shared" si="117"/>
        <v>0</v>
      </c>
      <c r="JC25" s="42" t="str">
        <f t="shared" si="91"/>
        <v>ONE COMP CONT</v>
      </c>
      <c r="JD25" s="43">
        <f t="shared" si="118"/>
        <v>0</v>
      </c>
      <c r="JF25" s="43"/>
      <c r="JG25" s="42" t="str">
        <f t="shared" si="92"/>
        <v>ONE COMP CONT</v>
      </c>
      <c r="JH25" s="43">
        <f t="shared" si="119"/>
        <v>0</v>
      </c>
      <c r="JJ25" s="42" t="str">
        <f t="shared" si="93"/>
        <v>ONE COMP CONT</v>
      </c>
      <c r="JK25" s="43">
        <f t="shared" si="120"/>
        <v>0</v>
      </c>
      <c r="JM25" s="42" t="str">
        <f t="shared" si="94"/>
        <v>ONE COMP CONT</v>
      </c>
      <c r="JN25" s="43">
        <f t="shared" si="121"/>
        <v>0</v>
      </c>
      <c r="JP25" s="44">
        <f t="shared" si="122"/>
        <v>0</v>
      </c>
      <c r="JQ25" s="42" t="str">
        <f t="shared" si="95"/>
        <v>ONE COMP CONT</v>
      </c>
      <c r="JR25" s="43">
        <f t="shared" si="123"/>
        <v>0</v>
      </c>
      <c r="JT25" s="42" t="str">
        <f t="shared" si="96"/>
        <v>ONE COMP CONT</v>
      </c>
      <c r="JU25" s="43">
        <f t="shared" si="124"/>
        <v>0</v>
      </c>
      <c r="JW25" s="42" t="str">
        <f t="shared" si="97"/>
        <v>ONE COMP CONT</v>
      </c>
      <c r="JX25" s="43">
        <f t="shared" si="125"/>
        <v>0</v>
      </c>
      <c r="JZ25" s="44">
        <f t="shared" si="126"/>
        <v>0</v>
      </c>
    </row>
    <row r="26" spans="1:286" s="7" customFormat="1" ht="54" customHeight="1" x14ac:dyDescent="0.65">
      <c r="A26" s="46" t="s">
        <v>56</v>
      </c>
      <c r="B26" s="43"/>
      <c r="D26" s="46"/>
      <c r="E26" s="43"/>
      <c r="G26" s="42" t="str">
        <f t="shared" si="0"/>
        <v>SUIZO CONT</v>
      </c>
      <c r="H26" s="43"/>
      <c r="J26" s="43">
        <f t="shared" si="1"/>
        <v>0</v>
      </c>
      <c r="K26" s="42" t="str">
        <f t="shared" si="2"/>
        <v>SUIZO CONT</v>
      </c>
      <c r="L26" s="43"/>
      <c r="N26" s="46"/>
      <c r="O26" s="43"/>
      <c r="Q26" s="42" t="str">
        <f t="shared" si="3"/>
        <v>SUIZO CONT</v>
      </c>
      <c r="R26" s="43"/>
      <c r="T26" s="43">
        <f t="shared" si="4"/>
        <v>0</v>
      </c>
      <c r="U26" s="42" t="str">
        <f t="shared" si="5"/>
        <v>SUIZO CONT</v>
      </c>
      <c r="V26" s="43"/>
      <c r="X26" s="46"/>
      <c r="Y26" s="43"/>
      <c r="AA26" s="42" t="str">
        <f t="shared" si="6"/>
        <v>SUIZO CONT</v>
      </c>
      <c r="AB26" s="43"/>
      <c r="AD26" s="43">
        <f t="shared" si="7"/>
        <v>0</v>
      </c>
      <c r="AE26" s="42" t="str">
        <f t="shared" si="8"/>
        <v>SUIZO CONT</v>
      </c>
      <c r="AF26" s="43"/>
      <c r="AH26" s="46"/>
      <c r="AI26" s="43"/>
      <c r="AK26" s="42" t="str">
        <f t="shared" si="9"/>
        <v>SUIZO CONT</v>
      </c>
      <c r="AL26" s="43"/>
      <c r="AN26" s="43">
        <f t="shared" si="10"/>
        <v>0</v>
      </c>
      <c r="AO26" s="42" t="str">
        <f t="shared" si="11"/>
        <v>SUIZO CONT</v>
      </c>
      <c r="AP26" s="43"/>
      <c r="AR26" s="46"/>
      <c r="AS26" s="43"/>
      <c r="AU26" s="42" t="str">
        <f t="shared" si="12"/>
        <v>SUIZO CONT</v>
      </c>
      <c r="AV26" s="43"/>
      <c r="AX26" s="43">
        <f t="shared" si="13"/>
        <v>0</v>
      </c>
      <c r="AY26" s="42" t="str">
        <f t="shared" si="14"/>
        <v>SUIZO CONT</v>
      </c>
      <c r="AZ26" s="43"/>
      <c r="BB26" s="46"/>
      <c r="BC26" s="43"/>
      <c r="BE26" s="42" t="str">
        <f t="shared" si="15"/>
        <v>SUIZO CONT</v>
      </c>
      <c r="BF26" s="43"/>
      <c r="BH26" s="43">
        <f t="shared" si="16"/>
        <v>0</v>
      </c>
      <c r="BI26" s="42" t="str">
        <f t="shared" si="17"/>
        <v>SUIZO CONT</v>
      </c>
      <c r="BJ26" s="43"/>
      <c r="BL26" s="46"/>
      <c r="BM26" s="43"/>
      <c r="BO26" s="42" t="str">
        <f t="shared" si="18"/>
        <v>SUIZO CONT</v>
      </c>
      <c r="BP26" s="43"/>
      <c r="BR26" s="43">
        <f t="shared" si="19"/>
        <v>0</v>
      </c>
      <c r="BS26" s="42" t="str">
        <f t="shared" si="20"/>
        <v>SUIZO CONT</v>
      </c>
      <c r="BT26" s="43"/>
      <c r="BV26" s="46"/>
      <c r="BW26" s="43"/>
      <c r="BY26" s="42" t="str">
        <f t="shared" si="21"/>
        <v>SUIZO CONT</v>
      </c>
      <c r="BZ26" s="43"/>
      <c r="CB26" s="43">
        <f t="shared" si="22"/>
        <v>0</v>
      </c>
      <c r="CC26" s="42" t="str">
        <f t="shared" si="23"/>
        <v>SUIZO CONT</v>
      </c>
      <c r="CD26" s="43"/>
      <c r="CF26" s="46"/>
      <c r="CG26" s="43"/>
      <c r="CI26" s="42" t="str">
        <f t="shared" si="24"/>
        <v>SUIZO CONT</v>
      </c>
      <c r="CJ26" s="43"/>
      <c r="CL26" s="43">
        <f t="shared" si="25"/>
        <v>0</v>
      </c>
      <c r="CM26" s="42" t="str">
        <f t="shared" si="26"/>
        <v>SUIZO CONT</v>
      </c>
      <c r="CN26" s="43"/>
      <c r="CP26" s="42"/>
      <c r="CQ26" s="43"/>
      <c r="CS26" s="42" t="str">
        <f t="shared" si="27"/>
        <v>SUIZO CONT</v>
      </c>
      <c r="CT26" s="43"/>
      <c r="CV26" s="43">
        <f t="shared" si="28"/>
        <v>0</v>
      </c>
      <c r="CW26" s="42" t="str">
        <f t="shared" si="29"/>
        <v>SUIZO CONT</v>
      </c>
      <c r="CX26" s="43"/>
      <c r="CZ26" s="42"/>
      <c r="DA26" s="43"/>
      <c r="DC26" s="42" t="str">
        <f t="shared" si="128"/>
        <v>SUIZO CONT</v>
      </c>
      <c r="DD26" s="43"/>
      <c r="DF26" s="43">
        <f t="shared" si="31"/>
        <v>0</v>
      </c>
      <c r="DG26" s="42" t="str">
        <f t="shared" si="32"/>
        <v>SUIZO CONT</v>
      </c>
      <c r="DH26" s="43"/>
      <c r="DJ26" s="49"/>
      <c r="DK26" s="43"/>
      <c r="DM26" s="42" t="str">
        <f t="shared" si="33"/>
        <v>SUIZO CONT</v>
      </c>
      <c r="DN26" s="43"/>
      <c r="DP26" s="43">
        <f t="shared" si="34"/>
        <v>0</v>
      </c>
      <c r="DQ26" s="42" t="str">
        <f t="shared" si="35"/>
        <v>SUIZO CONT</v>
      </c>
      <c r="DR26" s="43"/>
      <c r="DT26" s="42"/>
      <c r="DU26" s="43"/>
      <c r="DW26" s="42" t="str">
        <f t="shared" si="36"/>
        <v>SUIZO CONT</v>
      </c>
      <c r="DX26" s="43"/>
      <c r="DZ26" s="43">
        <f t="shared" si="37"/>
        <v>0</v>
      </c>
      <c r="EA26" s="42" t="str">
        <f t="shared" si="38"/>
        <v>SUIZO CONT</v>
      </c>
      <c r="EB26" s="43"/>
      <c r="ED26" s="42" t="str">
        <f t="shared" si="39"/>
        <v>SUIZO CONT</v>
      </c>
      <c r="EE26" s="43"/>
      <c r="EG26" s="42" t="str">
        <f t="shared" si="40"/>
        <v>SUIZO CONT</v>
      </c>
      <c r="EH26" s="43"/>
      <c r="EJ26" s="43">
        <f t="shared" si="41"/>
        <v>0</v>
      </c>
      <c r="EK26" s="42" t="str">
        <f t="shared" si="42"/>
        <v>SUIZO CONT</v>
      </c>
      <c r="EL26" s="43"/>
      <c r="EN26" s="42" t="str">
        <f t="shared" si="43"/>
        <v>SUIZO CONT</v>
      </c>
      <c r="EO26" s="43"/>
      <c r="EQ26" s="42" t="str">
        <f t="shared" si="44"/>
        <v>SUIZO CONT</v>
      </c>
      <c r="ER26" s="43"/>
      <c r="ET26" s="43">
        <f t="shared" si="45"/>
        <v>0</v>
      </c>
      <c r="EU26" s="42" t="str">
        <f t="shared" si="46"/>
        <v>SUIZO CONT</v>
      </c>
      <c r="EV26" s="43"/>
      <c r="EX26" s="42" t="str">
        <f t="shared" si="47"/>
        <v>SUIZO CONT</v>
      </c>
      <c r="EY26" s="43"/>
      <c r="FA26" s="42" t="str">
        <f t="shared" si="48"/>
        <v>SUIZO CONT</v>
      </c>
      <c r="FB26" s="43"/>
      <c r="FD26" s="43">
        <f t="shared" si="49"/>
        <v>0</v>
      </c>
      <c r="FE26" s="42" t="str">
        <f t="shared" si="50"/>
        <v>SUIZO CONT</v>
      </c>
      <c r="FF26" s="43"/>
      <c r="FH26" s="42" t="str">
        <f t="shared" si="51"/>
        <v>SUIZO CONT</v>
      </c>
      <c r="FI26" s="43"/>
      <c r="FK26" s="42" t="str">
        <f t="shared" si="52"/>
        <v>SUIZO CONT</v>
      </c>
      <c r="FL26" s="43"/>
      <c r="FN26" s="43">
        <f t="shared" si="53"/>
        <v>0</v>
      </c>
      <c r="FO26" s="42" t="str">
        <f t="shared" si="54"/>
        <v>SUIZO CONT</v>
      </c>
      <c r="FP26" s="43">
        <v>2</v>
      </c>
      <c r="FR26" s="42" t="str">
        <f t="shared" si="55"/>
        <v>SUIZO CONT</v>
      </c>
      <c r="FS26" s="43"/>
      <c r="FU26" s="42" t="str">
        <f t="shared" si="56"/>
        <v>SUIZO CONT</v>
      </c>
      <c r="FV26" s="43"/>
      <c r="FX26" s="43">
        <f t="shared" si="57"/>
        <v>2</v>
      </c>
      <c r="FY26" s="42" t="str">
        <f t="shared" si="58"/>
        <v>SUIZO CONT</v>
      </c>
      <c r="FZ26" s="43"/>
      <c r="GB26" s="42" t="str">
        <f t="shared" si="59"/>
        <v>SUIZO CONT</v>
      </c>
      <c r="GC26" s="43"/>
      <c r="GE26" s="42" t="str">
        <f t="shared" si="60"/>
        <v>SUIZO CONT</v>
      </c>
      <c r="GF26" s="43"/>
      <c r="GH26" s="43">
        <f t="shared" si="61"/>
        <v>0</v>
      </c>
      <c r="GI26" s="42" t="str">
        <f t="shared" si="62"/>
        <v>SUIZO CONT</v>
      </c>
      <c r="GJ26" s="43"/>
      <c r="GL26" s="42" t="str">
        <f t="shared" si="63"/>
        <v>SUIZO CONT</v>
      </c>
      <c r="GM26" s="43"/>
      <c r="GO26" s="42" t="str">
        <f t="shared" si="64"/>
        <v>SUIZO CONT</v>
      </c>
      <c r="GP26" s="43"/>
      <c r="GR26" s="43">
        <f t="shared" si="98"/>
        <v>0</v>
      </c>
      <c r="GS26" s="42" t="str">
        <f t="shared" si="65"/>
        <v>SUIZO CONT</v>
      </c>
      <c r="GT26" s="43"/>
      <c r="GV26" s="42" t="str">
        <f t="shared" si="66"/>
        <v>SUIZO CONT</v>
      </c>
      <c r="GW26" s="43">
        <v>2</v>
      </c>
      <c r="GY26" s="42" t="str">
        <f t="shared" si="67"/>
        <v>SUIZO CONT</v>
      </c>
      <c r="GZ26" s="43"/>
      <c r="HB26" s="43">
        <f t="shared" si="68"/>
        <v>2</v>
      </c>
      <c r="HC26" s="42" t="str">
        <f t="shared" si="69"/>
        <v>SUIZO CONT</v>
      </c>
      <c r="HD26" s="43">
        <f t="shared" si="127"/>
        <v>0</v>
      </c>
      <c r="HF26" s="42" t="str">
        <f t="shared" si="71"/>
        <v>SUIZO CONT</v>
      </c>
      <c r="HG26" s="43">
        <f t="shared" si="99"/>
        <v>0</v>
      </c>
      <c r="HI26" s="42" t="str">
        <f t="shared" si="72"/>
        <v>SUIZO CONT</v>
      </c>
      <c r="HJ26" s="43">
        <f t="shared" si="100"/>
        <v>0</v>
      </c>
      <c r="HL26" s="43">
        <f t="shared" si="101"/>
        <v>4</v>
      </c>
      <c r="HM26" s="42" t="str">
        <f t="shared" si="73"/>
        <v>SUIZO CONT</v>
      </c>
      <c r="HN26" s="45">
        <f t="shared" si="74"/>
        <v>0</v>
      </c>
      <c r="HO26" s="44">
        <f t="shared" si="75"/>
        <v>0</v>
      </c>
      <c r="HP26" s="45">
        <f t="shared" si="76"/>
        <v>0</v>
      </c>
      <c r="HQ26" s="44">
        <f t="shared" si="77"/>
        <v>0</v>
      </c>
      <c r="HR26" s="45">
        <f t="shared" si="78"/>
        <v>0</v>
      </c>
      <c r="HS26" s="44">
        <f t="shared" si="79"/>
        <v>0</v>
      </c>
      <c r="HT26" s="45">
        <f t="shared" si="80"/>
        <v>0</v>
      </c>
      <c r="HU26" s="44">
        <f t="shared" si="81"/>
        <v>0</v>
      </c>
      <c r="HV26" s="45">
        <f t="shared" si="82"/>
        <v>0</v>
      </c>
      <c r="HW26" s="44">
        <f t="shared" si="83"/>
        <v>0</v>
      </c>
      <c r="HX26" s="45">
        <f t="shared" si="84"/>
        <v>0</v>
      </c>
      <c r="HY26" s="44">
        <f t="shared" si="85"/>
        <v>0</v>
      </c>
      <c r="HZ26" s="42" t="str">
        <f t="shared" si="86"/>
        <v>SUIZO CONT</v>
      </c>
      <c r="IA26" s="45">
        <f t="shared" si="87"/>
        <v>0</v>
      </c>
      <c r="IB26" s="44">
        <f t="shared" si="102"/>
        <v>0</v>
      </c>
      <c r="IC26" s="45">
        <f t="shared" si="103"/>
        <v>0</v>
      </c>
      <c r="ID26" s="44">
        <f t="shared" si="104"/>
        <v>0</v>
      </c>
      <c r="IE26" s="45">
        <f t="shared" si="105"/>
        <v>0</v>
      </c>
      <c r="IF26" s="44">
        <f t="shared" si="106"/>
        <v>2</v>
      </c>
      <c r="IG26" s="45">
        <f t="shared" si="107"/>
        <v>0</v>
      </c>
      <c r="IH26" s="44">
        <f t="shared" si="108"/>
        <v>0</v>
      </c>
      <c r="II26" s="45">
        <f t="shared" si="109"/>
        <v>2</v>
      </c>
      <c r="IJ26" s="44"/>
      <c r="IK26" s="45"/>
      <c r="IL26" s="44">
        <f t="shared" si="110"/>
        <v>4</v>
      </c>
      <c r="IM26" s="42" t="str">
        <f t="shared" si="88"/>
        <v>SUIZO CONT</v>
      </c>
      <c r="IN26" s="43">
        <f t="shared" si="111"/>
        <v>0</v>
      </c>
      <c r="IP26" s="42" t="str">
        <f t="shared" si="112"/>
        <v>SUIZO CONT</v>
      </c>
      <c r="IQ26" s="43">
        <f t="shared" si="113"/>
        <v>0</v>
      </c>
      <c r="IS26" s="42" t="str">
        <f t="shared" si="89"/>
        <v>SUIZO CONT</v>
      </c>
      <c r="IT26" s="43">
        <f t="shared" si="114"/>
        <v>0</v>
      </c>
      <c r="IV26" s="43"/>
      <c r="IW26" s="42" t="str">
        <f t="shared" si="90"/>
        <v>SUIZO CONT</v>
      </c>
      <c r="IX26" s="43">
        <f t="shared" si="115"/>
        <v>0</v>
      </c>
      <c r="IZ26" s="42" t="str">
        <f t="shared" si="116"/>
        <v>SUIZO CONT</v>
      </c>
      <c r="JA26" s="43">
        <f t="shared" si="117"/>
        <v>0</v>
      </c>
      <c r="JC26" s="42" t="str">
        <f t="shared" si="91"/>
        <v>SUIZO CONT</v>
      </c>
      <c r="JD26" s="43">
        <f t="shared" si="118"/>
        <v>0</v>
      </c>
      <c r="JF26" s="43"/>
      <c r="JG26" s="42" t="str">
        <f t="shared" si="92"/>
        <v>SUIZO CONT</v>
      </c>
      <c r="JH26" s="43">
        <f t="shared" si="119"/>
        <v>2</v>
      </c>
      <c r="JJ26" s="42" t="str">
        <f t="shared" si="93"/>
        <v>SUIZO CONT</v>
      </c>
      <c r="JK26" s="43">
        <f t="shared" si="120"/>
        <v>0</v>
      </c>
      <c r="JM26" s="42" t="str">
        <f t="shared" si="94"/>
        <v>SUIZO CONT</v>
      </c>
      <c r="JN26" s="43">
        <f t="shared" si="121"/>
        <v>0</v>
      </c>
      <c r="JP26" s="44">
        <f t="shared" si="122"/>
        <v>2</v>
      </c>
      <c r="JQ26" s="42" t="str">
        <f t="shared" si="95"/>
        <v>SUIZO CONT</v>
      </c>
      <c r="JR26" s="43">
        <f t="shared" si="123"/>
        <v>0</v>
      </c>
      <c r="JT26" s="42" t="str">
        <f t="shared" si="96"/>
        <v>SUIZO CONT</v>
      </c>
      <c r="JU26" s="43">
        <f t="shared" si="124"/>
        <v>0</v>
      </c>
      <c r="JW26" s="42" t="str">
        <f t="shared" si="97"/>
        <v>SUIZO CONT</v>
      </c>
      <c r="JX26" s="43">
        <f t="shared" si="125"/>
        <v>0</v>
      </c>
      <c r="JZ26" s="44">
        <f t="shared" si="126"/>
        <v>0</v>
      </c>
    </row>
    <row r="27" spans="1:286" s="7" customFormat="1" ht="54" customHeight="1" x14ac:dyDescent="0.65">
      <c r="A27" s="46" t="s">
        <v>57</v>
      </c>
      <c r="B27" s="43"/>
      <c r="D27" s="46"/>
      <c r="E27" s="43"/>
      <c r="G27" s="42" t="str">
        <f t="shared" si="0"/>
        <v>THERMAL PAPER</v>
      </c>
      <c r="H27" s="43"/>
      <c r="J27" s="43">
        <f t="shared" si="1"/>
        <v>0</v>
      </c>
      <c r="K27" s="42" t="str">
        <f t="shared" si="2"/>
        <v>THERMAL PAPER</v>
      </c>
      <c r="L27" s="43"/>
      <c r="N27" s="46"/>
      <c r="O27" s="43"/>
      <c r="Q27" s="42" t="str">
        <f t="shared" si="3"/>
        <v>THERMAL PAPER</v>
      </c>
      <c r="R27" s="43"/>
      <c r="T27" s="43">
        <f t="shared" si="4"/>
        <v>0</v>
      </c>
      <c r="U27" s="42" t="str">
        <f t="shared" si="5"/>
        <v>THERMAL PAPER</v>
      </c>
      <c r="V27" s="43"/>
      <c r="X27" s="46"/>
      <c r="Y27" s="43"/>
      <c r="AA27" s="42" t="str">
        <f t="shared" si="6"/>
        <v>THERMAL PAPER</v>
      </c>
      <c r="AB27" s="43"/>
      <c r="AD27" s="43">
        <f t="shared" si="7"/>
        <v>0</v>
      </c>
      <c r="AE27" s="42" t="str">
        <f t="shared" si="8"/>
        <v>THERMAL PAPER</v>
      </c>
      <c r="AF27" s="43"/>
      <c r="AH27" s="46"/>
      <c r="AI27" s="43"/>
      <c r="AK27" s="42" t="str">
        <f t="shared" si="9"/>
        <v>THERMAL PAPER</v>
      </c>
      <c r="AL27" s="43"/>
      <c r="AN27" s="43">
        <f t="shared" si="10"/>
        <v>0</v>
      </c>
      <c r="AO27" s="42" t="str">
        <f t="shared" si="11"/>
        <v>THERMAL PAPER</v>
      </c>
      <c r="AP27" s="43"/>
      <c r="AR27" s="46"/>
      <c r="AS27" s="43"/>
      <c r="AU27" s="42" t="str">
        <f t="shared" si="12"/>
        <v>THERMAL PAPER</v>
      </c>
      <c r="AV27" s="43"/>
      <c r="AX27" s="43">
        <f t="shared" si="13"/>
        <v>0</v>
      </c>
      <c r="AY27" s="42" t="str">
        <f t="shared" si="14"/>
        <v>THERMAL PAPER</v>
      </c>
      <c r="AZ27" s="43"/>
      <c r="BB27" s="46"/>
      <c r="BC27" s="43"/>
      <c r="BE27" s="42" t="str">
        <f t="shared" si="15"/>
        <v>THERMAL PAPER</v>
      </c>
      <c r="BF27" s="43"/>
      <c r="BH27" s="43">
        <f t="shared" si="16"/>
        <v>0</v>
      </c>
      <c r="BI27" s="42" t="str">
        <f t="shared" si="17"/>
        <v>THERMAL PAPER</v>
      </c>
      <c r="BJ27" s="43"/>
      <c r="BL27" s="46"/>
      <c r="BM27" s="43"/>
      <c r="BO27" s="42" t="str">
        <f t="shared" si="18"/>
        <v>THERMAL PAPER</v>
      </c>
      <c r="BP27" s="43"/>
      <c r="BR27" s="43">
        <f t="shared" si="19"/>
        <v>0</v>
      </c>
      <c r="BS27" s="42" t="str">
        <f t="shared" si="20"/>
        <v>THERMAL PAPER</v>
      </c>
      <c r="BT27" s="43"/>
      <c r="BV27" s="46"/>
      <c r="BW27" s="43"/>
      <c r="BY27" s="42" t="str">
        <f t="shared" si="21"/>
        <v>THERMAL PAPER</v>
      </c>
      <c r="BZ27" s="43"/>
      <c r="CB27" s="43">
        <f t="shared" si="22"/>
        <v>0</v>
      </c>
      <c r="CC27" s="42" t="str">
        <f t="shared" si="23"/>
        <v>THERMAL PAPER</v>
      </c>
      <c r="CD27" s="43"/>
      <c r="CF27" s="46"/>
      <c r="CG27" s="43"/>
      <c r="CI27" s="42" t="str">
        <f t="shared" si="24"/>
        <v>THERMAL PAPER</v>
      </c>
      <c r="CJ27" s="43"/>
      <c r="CL27" s="43">
        <f t="shared" si="25"/>
        <v>0</v>
      </c>
      <c r="CM27" s="42" t="str">
        <f t="shared" si="26"/>
        <v>THERMAL PAPER</v>
      </c>
      <c r="CN27" s="43"/>
      <c r="CP27" s="42"/>
      <c r="CQ27" s="43"/>
      <c r="CS27" s="42" t="str">
        <f t="shared" si="27"/>
        <v>THERMAL PAPER</v>
      </c>
      <c r="CT27" s="43"/>
      <c r="CV27" s="43">
        <f t="shared" si="28"/>
        <v>0</v>
      </c>
      <c r="CW27" s="42" t="str">
        <f t="shared" si="29"/>
        <v>THERMAL PAPER</v>
      </c>
      <c r="CX27" s="43"/>
      <c r="CZ27" s="42"/>
      <c r="DA27" s="43"/>
      <c r="DC27" s="42" t="str">
        <f t="shared" si="128"/>
        <v>THERMAL PAPER</v>
      </c>
      <c r="DD27" s="43"/>
      <c r="DF27" s="43">
        <f t="shared" si="31"/>
        <v>0</v>
      </c>
      <c r="DG27" s="42" t="str">
        <f t="shared" si="32"/>
        <v>THERMAL PAPER</v>
      </c>
      <c r="DH27" s="43"/>
      <c r="DJ27" s="49"/>
      <c r="DK27" s="43"/>
      <c r="DM27" s="42" t="str">
        <f t="shared" si="33"/>
        <v>THERMAL PAPER</v>
      </c>
      <c r="DN27" s="43"/>
      <c r="DP27" s="43">
        <f t="shared" si="34"/>
        <v>0</v>
      </c>
      <c r="DQ27" s="42" t="str">
        <f t="shared" si="35"/>
        <v>THERMAL PAPER</v>
      </c>
      <c r="DR27" s="43"/>
      <c r="DT27" s="42"/>
      <c r="DU27" s="43"/>
      <c r="DW27" s="42" t="str">
        <f t="shared" si="36"/>
        <v>THERMAL PAPER</v>
      </c>
      <c r="DX27" s="43"/>
      <c r="DZ27" s="43">
        <f t="shared" si="37"/>
        <v>0</v>
      </c>
      <c r="EA27" s="42" t="str">
        <f t="shared" si="38"/>
        <v>THERMAL PAPER</v>
      </c>
      <c r="EB27" s="43"/>
      <c r="ED27" s="42" t="str">
        <f t="shared" si="39"/>
        <v>THERMAL PAPER</v>
      </c>
      <c r="EE27" s="43"/>
      <c r="EG27" s="42" t="str">
        <f t="shared" si="40"/>
        <v>THERMAL PAPER</v>
      </c>
      <c r="EH27" s="43"/>
      <c r="EJ27" s="43">
        <f t="shared" si="41"/>
        <v>0</v>
      </c>
      <c r="EK27" s="42" t="str">
        <f t="shared" si="42"/>
        <v>THERMAL PAPER</v>
      </c>
      <c r="EL27" s="43"/>
      <c r="EN27" s="42" t="str">
        <f t="shared" si="43"/>
        <v>THERMAL PAPER</v>
      </c>
      <c r="EO27" s="43"/>
      <c r="EQ27" s="42" t="str">
        <f t="shared" si="44"/>
        <v>THERMAL PAPER</v>
      </c>
      <c r="ER27" s="43"/>
      <c r="ET27" s="43">
        <f t="shared" si="45"/>
        <v>0</v>
      </c>
      <c r="EU27" s="42" t="str">
        <f t="shared" si="46"/>
        <v>THERMAL PAPER</v>
      </c>
      <c r="EV27" s="43"/>
      <c r="EX27" s="42" t="str">
        <f t="shared" si="47"/>
        <v>THERMAL PAPER</v>
      </c>
      <c r="EY27" s="43"/>
      <c r="FA27" s="42" t="str">
        <f t="shared" si="48"/>
        <v>THERMAL PAPER</v>
      </c>
      <c r="FB27" s="43"/>
      <c r="FD27" s="43">
        <f t="shared" si="49"/>
        <v>0</v>
      </c>
      <c r="FE27" s="42" t="str">
        <f t="shared" si="50"/>
        <v>THERMAL PAPER</v>
      </c>
      <c r="FF27" s="43"/>
      <c r="FH27" s="42" t="str">
        <f t="shared" si="51"/>
        <v>THERMAL PAPER</v>
      </c>
      <c r="FI27" s="43"/>
      <c r="FK27" s="42" t="str">
        <f t="shared" si="52"/>
        <v>THERMAL PAPER</v>
      </c>
      <c r="FL27" s="43"/>
      <c r="FN27" s="43">
        <f t="shared" si="53"/>
        <v>0</v>
      </c>
      <c r="FO27" s="42" t="str">
        <f t="shared" si="54"/>
        <v>THERMAL PAPER</v>
      </c>
      <c r="FP27" s="43"/>
      <c r="FR27" s="42" t="str">
        <f t="shared" si="55"/>
        <v>THERMAL PAPER</v>
      </c>
      <c r="FS27" s="43"/>
      <c r="FU27" s="42" t="str">
        <f t="shared" si="56"/>
        <v>THERMAL PAPER</v>
      </c>
      <c r="FV27" s="43"/>
      <c r="FX27" s="43">
        <f t="shared" si="57"/>
        <v>0</v>
      </c>
      <c r="FY27" s="42" t="str">
        <f t="shared" si="58"/>
        <v>THERMAL PAPER</v>
      </c>
      <c r="FZ27" s="43"/>
      <c r="GB27" s="42" t="str">
        <f t="shared" si="59"/>
        <v>THERMAL PAPER</v>
      </c>
      <c r="GC27" s="43"/>
      <c r="GE27" s="42" t="str">
        <f t="shared" si="60"/>
        <v>THERMAL PAPER</v>
      </c>
      <c r="GF27" s="43"/>
      <c r="GH27" s="43">
        <f t="shared" si="61"/>
        <v>0</v>
      </c>
      <c r="GI27" s="42" t="str">
        <f t="shared" si="62"/>
        <v>THERMAL PAPER</v>
      </c>
      <c r="GJ27" s="43">
        <v>2</v>
      </c>
      <c r="GL27" s="42" t="str">
        <f t="shared" si="63"/>
        <v>THERMAL PAPER</v>
      </c>
      <c r="GM27" s="43"/>
      <c r="GO27" s="42" t="str">
        <f t="shared" si="64"/>
        <v>THERMAL PAPER</v>
      </c>
      <c r="GP27" s="43"/>
      <c r="GR27" s="43">
        <f t="shared" si="98"/>
        <v>2</v>
      </c>
      <c r="GS27" s="42" t="str">
        <f t="shared" si="65"/>
        <v>THERMAL PAPER</v>
      </c>
      <c r="GT27" s="43"/>
      <c r="GV27" s="42" t="str">
        <f t="shared" si="66"/>
        <v>THERMAL PAPER</v>
      </c>
      <c r="GW27" s="43"/>
      <c r="GY27" s="42" t="str">
        <f t="shared" si="67"/>
        <v>THERMAL PAPER</v>
      </c>
      <c r="GZ27" s="43"/>
      <c r="HB27" s="43">
        <f t="shared" si="68"/>
        <v>0</v>
      </c>
      <c r="HC27" s="42" t="str">
        <f t="shared" si="69"/>
        <v>THERMAL PAPER</v>
      </c>
      <c r="HD27" s="43">
        <f t="shared" si="127"/>
        <v>0</v>
      </c>
      <c r="HF27" s="42" t="str">
        <f t="shared" si="71"/>
        <v>THERMAL PAPER</v>
      </c>
      <c r="HG27" s="43">
        <f t="shared" si="99"/>
        <v>0</v>
      </c>
      <c r="HI27" s="42" t="str">
        <f t="shared" si="72"/>
        <v>THERMAL PAPER</v>
      </c>
      <c r="HJ27" s="43">
        <f t="shared" si="100"/>
        <v>0</v>
      </c>
      <c r="HL27" s="43">
        <f t="shared" si="101"/>
        <v>2</v>
      </c>
      <c r="HM27" s="42" t="str">
        <f t="shared" si="73"/>
        <v>THERMAL PAPER</v>
      </c>
      <c r="HN27" s="45">
        <f t="shared" si="74"/>
        <v>0</v>
      </c>
      <c r="HO27" s="44">
        <f t="shared" si="75"/>
        <v>0</v>
      </c>
      <c r="HP27" s="45">
        <f t="shared" si="76"/>
        <v>0</v>
      </c>
      <c r="HQ27" s="44">
        <f t="shared" si="77"/>
        <v>0</v>
      </c>
      <c r="HR27" s="45">
        <f t="shared" si="78"/>
        <v>0</v>
      </c>
      <c r="HS27" s="44">
        <f t="shared" si="79"/>
        <v>0</v>
      </c>
      <c r="HT27" s="45">
        <f t="shared" si="80"/>
        <v>0</v>
      </c>
      <c r="HU27" s="44">
        <f t="shared" si="81"/>
        <v>0</v>
      </c>
      <c r="HV27" s="45">
        <f t="shared" si="82"/>
        <v>0</v>
      </c>
      <c r="HW27" s="44">
        <f t="shared" si="83"/>
        <v>0</v>
      </c>
      <c r="HX27" s="45">
        <f t="shared" si="84"/>
        <v>0</v>
      </c>
      <c r="HY27" s="44">
        <f t="shared" si="85"/>
        <v>0</v>
      </c>
      <c r="HZ27" s="42" t="str">
        <f t="shared" si="86"/>
        <v>THERMAL PAPER</v>
      </c>
      <c r="IA27" s="45">
        <f t="shared" si="87"/>
        <v>0</v>
      </c>
      <c r="IB27" s="44">
        <f t="shared" si="102"/>
        <v>0</v>
      </c>
      <c r="IC27" s="45">
        <f t="shared" si="103"/>
        <v>0</v>
      </c>
      <c r="ID27" s="44">
        <f t="shared" si="104"/>
        <v>0</v>
      </c>
      <c r="IE27" s="45">
        <f t="shared" si="105"/>
        <v>0</v>
      </c>
      <c r="IF27" s="44">
        <f t="shared" si="106"/>
        <v>0</v>
      </c>
      <c r="IG27" s="45">
        <f t="shared" si="107"/>
        <v>0</v>
      </c>
      <c r="IH27" s="44">
        <f t="shared" si="108"/>
        <v>2</v>
      </c>
      <c r="II27" s="45">
        <f t="shared" si="109"/>
        <v>0</v>
      </c>
      <c r="IJ27" s="44"/>
      <c r="IK27" s="45"/>
      <c r="IL27" s="44">
        <f t="shared" si="110"/>
        <v>2</v>
      </c>
      <c r="IM27" s="42" t="str">
        <f t="shared" si="88"/>
        <v>THERMAL PAPER</v>
      </c>
      <c r="IN27" s="43">
        <f t="shared" si="111"/>
        <v>0</v>
      </c>
      <c r="IP27" s="42" t="str">
        <f t="shared" si="112"/>
        <v>THERMAL PAPER</v>
      </c>
      <c r="IQ27" s="43">
        <f t="shared" si="113"/>
        <v>0</v>
      </c>
      <c r="IS27" s="42" t="str">
        <f t="shared" si="89"/>
        <v>THERMAL PAPER</v>
      </c>
      <c r="IT27" s="43">
        <f t="shared" si="114"/>
        <v>0</v>
      </c>
      <c r="IV27" s="43"/>
      <c r="IW27" s="42" t="str">
        <f t="shared" si="90"/>
        <v>THERMAL PAPER</v>
      </c>
      <c r="IX27" s="43">
        <f t="shared" si="115"/>
        <v>0</v>
      </c>
      <c r="IZ27" s="42" t="str">
        <f t="shared" si="116"/>
        <v>THERMAL PAPER</v>
      </c>
      <c r="JA27" s="43">
        <f t="shared" si="117"/>
        <v>0</v>
      </c>
      <c r="JC27" s="42" t="str">
        <f t="shared" si="91"/>
        <v>THERMAL PAPER</v>
      </c>
      <c r="JD27" s="43">
        <f t="shared" si="118"/>
        <v>0</v>
      </c>
      <c r="JF27" s="43"/>
      <c r="JG27" s="42" t="str">
        <f t="shared" si="92"/>
        <v>THERMAL PAPER</v>
      </c>
      <c r="JH27" s="43">
        <f t="shared" si="119"/>
        <v>0</v>
      </c>
      <c r="JJ27" s="42" t="str">
        <f t="shared" si="93"/>
        <v>THERMAL PAPER</v>
      </c>
      <c r="JK27" s="43">
        <f t="shared" si="120"/>
        <v>0</v>
      </c>
      <c r="JM27" s="42" t="str">
        <f t="shared" si="94"/>
        <v>THERMAL PAPER</v>
      </c>
      <c r="JN27" s="43">
        <f t="shared" si="121"/>
        <v>2</v>
      </c>
      <c r="JP27" s="44">
        <f t="shared" si="122"/>
        <v>2</v>
      </c>
      <c r="JQ27" s="42" t="str">
        <f t="shared" si="95"/>
        <v>THERMAL PAPER</v>
      </c>
      <c r="JR27" s="43">
        <f t="shared" si="123"/>
        <v>0</v>
      </c>
      <c r="JT27" s="42" t="str">
        <f t="shared" si="96"/>
        <v>THERMAL PAPER</v>
      </c>
      <c r="JU27" s="43">
        <f t="shared" si="124"/>
        <v>0</v>
      </c>
      <c r="JW27" s="42" t="str">
        <f t="shared" si="97"/>
        <v>THERMAL PAPER</v>
      </c>
      <c r="JX27" s="43">
        <f t="shared" si="125"/>
        <v>0</v>
      </c>
      <c r="JZ27" s="44">
        <f t="shared" si="126"/>
        <v>0</v>
      </c>
    </row>
    <row r="28" spans="1:286" s="7" customFormat="1" ht="54" customHeight="1" x14ac:dyDescent="0.65">
      <c r="A28" s="46" t="s">
        <v>58</v>
      </c>
      <c r="B28" s="43"/>
      <c r="D28" s="46"/>
      <c r="E28" s="43"/>
      <c r="G28" s="42" t="str">
        <f t="shared" si="0"/>
        <v>COCO LOPEZ</v>
      </c>
      <c r="H28" s="43"/>
      <c r="J28" s="43">
        <f t="shared" si="1"/>
        <v>0</v>
      </c>
      <c r="K28" s="42" t="str">
        <f t="shared" si="2"/>
        <v>COCO LOPEZ</v>
      </c>
      <c r="L28" s="43"/>
      <c r="N28" s="46"/>
      <c r="O28" s="43"/>
      <c r="Q28" s="42" t="str">
        <f t="shared" si="3"/>
        <v>COCO LOPEZ</v>
      </c>
      <c r="R28" s="43"/>
      <c r="T28" s="43">
        <f t="shared" si="4"/>
        <v>0</v>
      </c>
      <c r="U28" s="42" t="str">
        <f t="shared" si="5"/>
        <v>COCO LOPEZ</v>
      </c>
      <c r="V28" s="43"/>
      <c r="X28" s="46"/>
      <c r="Y28" s="43"/>
      <c r="AA28" s="42" t="str">
        <f t="shared" si="6"/>
        <v>COCO LOPEZ</v>
      </c>
      <c r="AB28" s="43"/>
      <c r="AD28" s="43">
        <f t="shared" si="7"/>
        <v>0</v>
      </c>
      <c r="AE28" s="42" t="str">
        <f t="shared" si="8"/>
        <v>COCO LOPEZ</v>
      </c>
      <c r="AF28" s="43"/>
      <c r="AH28" s="46"/>
      <c r="AI28" s="43"/>
      <c r="AK28" s="42" t="str">
        <f t="shared" si="9"/>
        <v>COCO LOPEZ</v>
      </c>
      <c r="AL28" s="43"/>
      <c r="AN28" s="43">
        <f t="shared" si="10"/>
        <v>0</v>
      </c>
      <c r="AO28" s="42" t="str">
        <f t="shared" si="11"/>
        <v>COCO LOPEZ</v>
      </c>
      <c r="AP28" s="43"/>
      <c r="AR28" s="46"/>
      <c r="AS28" s="43"/>
      <c r="AU28" s="42" t="str">
        <f t="shared" si="12"/>
        <v>COCO LOPEZ</v>
      </c>
      <c r="AV28" s="43"/>
      <c r="AX28" s="43">
        <f t="shared" si="13"/>
        <v>0</v>
      </c>
      <c r="AY28" s="42" t="str">
        <f t="shared" si="14"/>
        <v>COCO LOPEZ</v>
      </c>
      <c r="AZ28" s="43"/>
      <c r="BB28" s="46"/>
      <c r="BC28" s="43"/>
      <c r="BE28" s="42" t="str">
        <f t="shared" si="15"/>
        <v>COCO LOPEZ</v>
      </c>
      <c r="BF28" s="43"/>
      <c r="BH28" s="43">
        <f t="shared" si="16"/>
        <v>0</v>
      </c>
      <c r="BI28" s="42" t="str">
        <f t="shared" si="17"/>
        <v>COCO LOPEZ</v>
      </c>
      <c r="BJ28" s="43"/>
      <c r="BL28" s="46"/>
      <c r="BM28" s="43"/>
      <c r="BO28" s="42" t="str">
        <f t="shared" si="18"/>
        <v>COCO LOPEZ</v>
      </c>
      <c r="BP28" s="43"/>
      <c r="BR28" s="43">
        <f t="shared" si="19"/>
        <v>0</v>
      </c>
      <c r="BS28" s="42" t="str">
        <f t="shared" si="20"/>
        <v>COCO LOPEZ</v>
      </c>
      <c r="BT28" s="43"/>
      <c r="BV28" s="46"/>
      <c r="BW28" s="43"/>
      <c r="BY28" s="42" t="str">
        <f t="shared" si="21"/>
        <v>COCO LOPEZ</v>
      </c>
      <c r="BZ28" s="43"/>
      <c r="CB28" s="43">
        <f t="shared" si="22"/>
        <v>0</v>
      </c>
      <c r="CC28" s="42" t="str">
        <f t="shared" si="23"/>
        <v>COCO LOPEZ</v>
      </c>
      <c r="CD28" s="43"/>
      <c r="CF28" s="46"/>
      <c r="CG28" s="43"/>
      <c r="CI28" s="42" t="str">
        <f t="shared" si="24"/>
        <v>COCO LOPEZ</v>
      </c>
      <c r="CJ28" s="43"/>
      <c r="CL28" s="43">
        <f t="shared" si="25"/>
        <v>0</v>
      </c>
      <c r="CM28" s="42" t="str">
        <f t="shared" si="26"/>
        <v>COCO LOPEZ</v>
      </c>
      <c r="CN28" s="43"/>
      <c r="CP28" s="42"/>
      <c r="CQ28" s="43"/>
      <c r="CS28" s="42" t="str">
        <f t="shared" si="27"/>
        <v>COCO LOPEZ</v>
      </c>
      <c r="CT28" s="43"/>
      <c r="CV28" s="43">
        <f t="shared" si="28"/>
        <v>0</v>
      </c>
      <c r="CW28" s="42" t="str">
        <f t="shared" si="29"/>
        <v>COCO LOPEZ</v>
      </c>
      <c r="CX28" s="43"/>
      <c r="CZ28" s="42"/>
      <c r="DA28" s="43"/>
      <c r="DC28" s="42" t="str">
        <f t="shared" si="128"/>
        <v>COCO LOPEZ</v>
      </c>
      <c r="DD28" s="43"/>
      <c r="DF28" s="43">
        <f t="shared" si="31"/>
        <v>0</v>
      </c>
      <c r="DG28" s="42" t="str">
        <f t="shared" si="32"/>
        <v>COCO LOPEZ</v>
      </c>
      <c r="DH28" s="43"/>
      <c r="DJ28" s="49"/>
      <c r="DK28" s="43"/>
      <c r="DM28" s="42" t="str">
        <f t="shared" si="33"/>
        <v>COCO LOPEZ</v>
      </c>
      <c r="DN28" s="43"/>
      <c r="DP28" s="43">
        <f t="shared" si="34"/>
        <v>0</v>
      </c>
      <c r="DQ28" s="42" t="str">
        <f t="shared" si="35"/>
        <v>COCO LOPEZ</v>
      </c>
      <c r="DR28" s="43"/>
      <c r="DT28" s="42"/>
      <c r="DU28" s="43"/>
      <c r="DW28" s="42" t="str">
        <f t="shared" si="36"/>
        <v>COCO LOPEZ</v>
      </c>
      <c r="DX28" s="43"/>
      <c r="DZ28" s="43">
        <f t="shared" si="37"/>
        <v>0</v>
      </c>
      <c r="EA28" s="42" t="str">
        <f t="shared" si="38"/>
        <v>COCO LOPEZ</v>
      </c>
      <c r="EB28" s="43"/>
      <c r="ED28" s="42" t="str">
        <f t="shared" si="39"/>
        <v>COCO LOPEZ</v>
      </c>
      <c r="EE28" s="43"/>
      <c r="EG28" s="42" t="str">
        <f t="shared" si="40"/>
        <v>COCO LOPEZ</v>
      </c>
      <c r="EH28" s="43"/>
      <c r="EJ28" s="43">
        <f t="shared" si="41"/>
        <v>0</v>
      </c>
      <c r="EK28" s="42" t="str">
        <f t="shared" si="42"/>
        <v>COCO LOPEZ</v>
      </c>
      <c r="EL28" s="43"/>
      <c r="EN28" s="42" t="str">
        <f t="shared" si="43"/>
        <v>COCO LOPEZ</v>
      </c>
      <c r="EO28" s="43"/>
      <c r="EQ28" s="42" t="str">
        <f t="shared" si="44"/>
        <v>COCO LOPEZ</v>
      </c>
      <c r="ER28" s="43"/>
      <c r="ET28" s="43">
        <f t="shared" si="45"/>
        <v>0</v>
      </c>
      <c r="EU28" s="42" t="str">
        <f t="shared" si="46"/>
        <v>COCO LOPEZ</v>
      </c>
      <c r="EV28" s="43"/>
      <c r="EX28" s="42" t="str">
        <f t="shared" si="47"/>
        <v>COCO LOPEZ</v>
      </c>
      <c r="EY28" s="43"/>
      <c r="FA28" s="42" t="str">
        <f t="shared" si="48"/>
        <v>COCO LOPEZ</v>
      </c>
      <c r="FB28" s="43"/>
      <c r="FD28" s="43">
        <f t="shared" si="49"/>
        <v>0</v>
      </c>
      <c r="FE28" s="42" t="str">
        <f t="shared" si="50"/>
        <v>COCO LOPEZ</v>
      </c>
      <c r="FF28" s="43"/>
      <c r="FH28" s="42" t="str">
        <f t="shared" si="51"/>
        <v>COCO LOPEZ</v>
      </c>
      <c r="FI28" s="43"/>
      <c r="FK28" s="42" t="str">
        <f t="shared" si="52"/>
        <v>COCO LOPEZ</v>
      </c>
      <c r="FL28" s="43"/>
      <c r="FN28" s="43">
        <f t="shared" si="53"/>
        <v>0</v>
      </c>
      <c r="FO28" s="42" t="str">
        <f t="shared" si="54"/>
        <v>COCO LOPEZ</v>
      </c>
      <c r="FP28" s="43"/>
      <c r="FR28" s="42" t="str">
        <f t="shared" si="55"/>
        <v>COCO LOPEZ</v>
      </c>
      <c r="FS28" s="43"/>
      <c r="FU28" s="42" t="str">
        <f t="shared" si="56"/>
        <v>COCO LOPEZ</v>
      </c>
      <c r="FV28" s="43"/>
      <c r="FX28" s="43">
        <f t="shared" si="57"/>
        <v>0</v>
      </c>
      <c r="FY28" s="42" t="str">
        <f t="shared" si="58"/>
        <v>COCO LOPEZ</v>
      </c>
      <c r="FZ28" s="43"/>
      <c r="GB28" s="42" t="str">
        <f t="shared" si="59"/>
        <v>COCO LOPEZ</v>
      </c>
      <c r="GC28" s="43"/>
      <c r="GE28" s="42" t="str">
        <f t="shared" si="60"/>
        <v>COCO LOPEZ</v>
      </c>
      <c r="GF28" s="43"/>
      <c r="GH28" s="43">
        <f t="shared" si="61"/>
        <v>0</v>
      </c>
      <c r="GI28" s="42" t="str">
        <f t="shared" si="62"/>
        <v>COCO LOPEZ</v>
      </c>
      <c r="GJ28" s="43"/>
      <c r="GL28" s="42" t="str">
        <f t="shared" si="63"/>
        <v>COCO LOPEZ</v>
      </c>
      <c r="GM28" s="43"/>
      <c r="GO28" s="42" t="str">
        <f t="shared" si="64"/>
        <v>COCO LOPEZ</v>
      </c>
      <c r="GP28" s="43"/>
      <c r="GR28" s="43">
        <f t="shared" si="98"/>
        <v>0</v>
      </c>
      <c r="GS28" s="42" t="str">
        <f t="shared" si="65"/>
        <v>COCO LOPEZ</v>
      </c>
      <c r="GT28" s="43"/>
      <c r="GV28" s="42" t="str">
        <f t="shared" si="66"/>
        <v>COCO LOPEZ</v>
      </c>
      <c r="GW28" s="43"/>
      <c r="GY28" s="42" t="str">
        <f t="shared" si="67"/>
        <v>COCO LOPEZ</v>
      </c>
      <c r="GZ28" s="43"/>
      <c r="HB28" s="43">
        <f t="shared" si="68"/>
        <v>0</v>
      </c>
      <c r="HC28" s="42" t="str">
        <f t="shared" si="69"/>
        <v>COCO LOPEZ</v>
      </c>
      <c r="HD28" s="43">
        <f t="shared" si="127"/>
        <v>0</v>
      </c>
      <c r="HF28" s="42" t="str">
        <f t="shared" si="71"/>
        <v>COCO LOPEZ</v>
      </c>
      <c r="HG28" s="43">
        <f t="shared" si="99"/>
        <v>0</v>
      </c>
      <c r="HI28" s="42" t="str">
        <f t="shared" si="72"/>
        <v>COCO LOPEZ</v>
      </c>
      <c r="HJ28" s="43">
        <f t="shared" si="100"/>
        <v>0</v>
      </c>
      <c r="HL28" s="43">
        <f t="shared" si="101"/>
        <v>0</v>
      </c>
      <c r="HM28" s="42" t="str">
        <f t="shared" si="73"/>
        <v>COCO LOPEZ</v>
      </c>
      <c r="HN28" s="45">
        <f t="shared" si="74"/>
        <v>0</v>
      </c>
      <c r="HO28" s="44">
        <f t="shared" si="75"/>
        <v>0</v>
      </c>
      <c r="HP28" s="45">
        <f t="shared" si="76"/>
        <v>0</v>
      </c>
      <c r="HQ28" s="44">
        <f t="shared" si="77"/>
        <v>0</v>
      </c>
      <c r="HR28" s="45">
        <f t="shared" si="78"/>
        <v>0</v>
      </c>
      <c r="HS28" s="44">
        <f t="shared" si="79"/>
        <v>0</v>
      </c>
      <c r="HT28" s="45">
        <f t="shared" si="80"/>
        <v>0</v>
      </c>
      <c r="HU28" s="44">
        <f t="shared" si="81"/>
        <v>0</v>
      </c>
      <c r="HV28" s="45">
        <f t="shared" si="82"/>
        <v>0</v>
      </c>
      <c r="HW28" s="44">
        <f t="shared" si="83"/>
        <v>0</v>
      </c>
      <c r="HX28" s="45">
        <f t="shared" si="84"/>
        <v>0</v>
      </c>
      <c r="HY28" s="44">
        <f t="shared" si="85"/>
        <v>0</v>
      </c>
      <c r="HZ28" s="42" t="str">
        <f t="shared" si="86"/>
        <v>COCO LOPEZ</v>
      </c>
      <c r="IA28" s="45">
        <f t="shared" si="87"/>
        <v>0</v>
      </c>
      <c r="IB28" s="44">
        <f t="shared" si="102"/>
        <v>0</v>
      </c>
      <c r="IC28" s="45">
        <f t="shared" si="103"/>
        <v>0</v>
      </c>
      <c r="ID28" s="44">
        <f t="shared" si="104"/>
        <v>0</v>
      </c>
      <c r="IE28" s="45">
        <f t="shared" si="105"/>
        <v>0</v>
      </c>
      <c r="IF28" s="44">
        <f t="shared" si="106"/>
        <v>0</v>
      </c>
      <c r="IG28" s="45">
        <f t="shared" si="107"/>
        <v>0</v>
      </c>
      <c r="IH28" s="44">
        <f t="shared" si="108"/>
        <v>0</v>
      </c>
      <c r="II28" s="45">
        <f t="shared" si="109"/>
        <v>0</v>
      </c>
      <c r="IJ28" s="44"/>
      <c r="IK28" s="45"/>
      <c r="IL28" s="44">
        <f t="shared" si="110"/>
        <v>0</v>
      </c>
      <c r="IM28" s="42" t="str">
        <f t="shared" si="88"/>
        <v>COCO LOPEZ</v>
      </c>
      <c r="IN28" s="43">
        <f t="shared" si="111"/>
        <v>0</v>
      </c>
      <c r="IP28" s="42" t="str">
        <f t="shared" si="112"/>
        <v>COCO LOPEZ</v>
      </c>
      <c r="IQ28" s="43">
        <f t="shared" si="113"/>
        <v>0</v>
      </c>
      <c r="IS28" s="42" t="str">
        <f t="shared" si="89"/>
        <v>COCO LOPEZ</v>
      </c>
      <c r="IT28" s="43">
        <f t="shared" si="114"/>
        <v>0</v>
      </c>
      <c r="IV28" s="43"/>
      <c r="IW28" s="42" t="str">
        <f t="shared" si="90"/>
        <v>COCO LOPEZ</v>
      </c>
      <c r="IX28" s="43">
        <f t="shared" si="115"/>
        <v>0</v>
      </c>
      <c r="IZ28" s="42" t="str">
        <f t="shared" si="116"/>
        <v>COCO LOPEZ</v>
      </c>
      <c r="JA28" s="43">
        <f t="shared" si="117"/>
        <v>0</v>
      </c>
      <c r="JC28" s="42" t="str">
        <f t="shared" si="91"/>
        <v>COCO LOPEZ</v>
      </c>
      <c r="JD28" s="43">
        <f t="shared" si="118"/>
        <v>0</v>
      </c>
      <c r="JF28" s="43"/>
      <c r="JG28" s="42" t="str">
        <f t="shared" si="92"/>
        <v>COCO LOPEZ</v>
      </c>
      <c r="JH28" s="43">
        <f t="shared" si="119"/>
        <v>0</v>
      </c>
      <c r="JJ28" s="42" t="str">
        <f t="shared" si="93"/>
        <v>COCO LOPEZ</v>
      </c>
      <c r="JK28" s="43">
        <f t="shared" si="120"/>
        <v>0</v>
      </c>
      <c r="JM28" s="42" t="str">
        <f t="shared" si="94"/>
        <v>COCO LOPEZ</v>
      </c>
      <c r="JN28" s="43">
        <f t="shared" si="121"/>
        <v>0</v>
      </c>
      <c r="JP28" s="44">
        <f t="shared" si="122"/>
        <v>0</v>
      </c>
      <c r="JQ28" s="42" t="str">
        <f t="shared" si="95"/>
        <v>COCO LOPEZ</v>
      </c>
      <c r="JR28" s="43">
        <f t="shared" si="123"/>
        <v>0</v>
      </c>
      <c r="JT28" s="42" t="str">
        <f t="shared" si="96"/>
        <v>COCO LOPEZ</v>
      </c>
      <c r="JU28" s="43">
        <f t="shared" si="124"/>
        <v>0</v>
      </c>
      <c r="JW28" s="42" t="str">
        <f t="shared" si="97"/>
        <v>COCO LOPEZ</v>
      </c>
      <c r="JX28" s="43">
        <f t="shared" si="125"/>
        <v>0</v>
      </c>
      <c r="JZ28" s="44">
        <f t="shared" si="126"/>
        <v>0</v>
      </c>
    </row>
    <row r="29" spans="1:286" s="17" customFormat="1" ht="54" customHeight="1" x14ac:dyDescent="0.65">
      <c r="A29" s="22" t="s">
        <v>59</v>
      </c>
      <c r="B29" s="23"/>
      <c r="D29" s="22"/>
      <c r="E29" s="23"/>
      <c r="G29" s="24" t="str">
        <f t="shared" si="0"/>
        <v>TAPATIOS TACO M</v>
      </c>
      <c r="H29" s="23"/>
      <c r="J29" s="23">
        <f t="shared" si="1"/>
        <v>0</v>
      </c>
      <c r="K29" s="24" t="str">
        <f t="shared" si="2"/>
        <v>TAPATIOS TACO M</v>
      </c>
      <c r="L29" s="23"/>
      <c r="N29" s="22"/>
      <c r="O29" s="23"/>
      <c r="Q29" s="24" t="str">
        <f t="shared" si="3"/>
        <v>TAPATIOS TACO M</v>
      </c>
      <c r="R29" s="23"/>
      <c r="T29" s="23">
        <f t="shared" si="4"/>
        <v>0</v>
      </c>
      <c r="U29" s="24" t="str">
        <f t="shared" si="5"/>
        <v>TAPATIOS TACO M</v>
      </c>
      <c r="V29" s="23"/>
      <c r="X29" s="22"/>
      <c r="Y29" s="23"/>
      <c r="AA29" s="24" t="str">
        <f t="shared" si="6"/>
        <v>TAPATIOS TACO M</v>
      </c>
      <c r="AB29" s="23"/>
      <c r="AD29" s="23">
        <f t="shared" si="7"/>
        <v>0</v>
      </c>
      <c r="AE29" s="24" t="str">
        <f t="shared" si="8"/>
        <v>TAPATIOS TACO M</v>
      </c>
      <c r="AF29" s="23"/>
      <c r="AH29" s="22"/>
      <c r="AI29" s="23"/>
      <c r="AK29" s="24" t="str">
        <f t="shared" si="9"/>
        <v>TAPATIOS TACO M</v>
      </c>
      <c r="AL29" s="23"/>
      <c r="AN29" s="23">
        <f t="shared" si="10"/>
        <v>0</v>
      </c>
      <c r="AO29" s="24" t="str">
        <f t="shared" si="11"/>
        <v>TAPATIOS TACO M</v>
      </c>
      <c r="AP29" s="23"/>
      <c r="AR29" s="22"/>
      <c r="AS29" s="23"/>
      <c r="AU29" s="24" t="str">
        <f t="shared" si="12"/>
        <v>TAPATIOS TACO M</v>
      </c>
      <c r="AV29" s="23"/>
      <c r="AX29" s="23">
        <f t="shared" si="13"/>
        <v>0</v>
      </c>
      <c r="AY29" s="24" t="str">
        <f t="shared" si="14"/>
        <v>TAPATIOS TACO M</v>
      </c>
      <c r="AZ29" s="23"/>
      <c r="BB29" s="22"/>
      <c r="BC29" s="23"/>
      <c r="BE29" s="24" t="str">
        <f t="shared" si="15"/>
        <v>TAPATIOS TACO M</v>
      </c>
      <c r="BF29" s="23"/>
      <c r="BH29" s="23">
        <f t="shared" si="16"/>
        <v>0</v>
      </c>
      <c r="BI29" s="24" t="str">
        <f t="shared" si="17"/>
        <v>TAPATIOS TACO M</v>
      </c>
      <c r="BJ29" s="23"/>
      <c r="BL29" s="22"/>
      <c r="BM29" s="23"/>
      <c r="BO29" s="24" t="str">
        <f t="shared" si="18"/>
        <v>TAPATIOS TACO M</v>
      </c>
      <c r="BP29" s="23"/>
      <c r="BR29" s="23">
        <f t="shared" si="19"/>
        <v>0</v>
      </c>
      <c r="BS29" s="24" t="str">
        <f t="shared" si="20"/>
        <v>TAPATIOS TACO M</v>
      </c>
      <c r="BT29" s="23"/>
      <c r="BV29" s="22"/>
      <c r="BW29" s="23"/>
      <c r="BY29" s="24" t="str">
        <f t="shared" si="21"/>
        <v>TAPATIOS TACO M</v>
      </c>
      <c r="BZ29" s="23"/>
      <c r="CB29" s="23">
        <f t="shared" si="22"/>
        <v>0</v>
      </c>
      <c r="CC29" s="24" t="str">
        <f t="shared" si="23"/>
        <v>TAPATIOS TACO M</v>
      </c>
      <c r="CD29" s="23"/>
      <c r="CF29" s="22"/>
      <c r="CG29" s="23"/>
      <c r="CI29" s="24" t="str">
        <f t="shared" si="24"/>
        <v>TAPATIOS TACO M</v>
      </c>
      <c r="CJ29" s="23"/>
      <c r="CL29" s="23">
        <f t="shared" si="25"/>
        <v>0</v>
      </c>
      <c r="CM29" s="24" t="str">
        <f t="shared" si="26"/>
        <v>TAPATIOS TACO M</v>
      </c>
      <c r="CN29" s="23"/>
      <c r="CP29" s="22"/>
      <c r="CQ29" s="23"/>
      <c r="CS29" s="24" t="str">
        <f t="shared" si="27"/>
        <v>TAPATIOS TACO M</v>
      </c>
      <c r="CT29" s="23"/>
      <c r="CV29" s="23">
        <f t="shared" si="28"/>
        <v>0</v>
      </c>
      <c r="CW29" s="24" t="str">
        <f t="shared" si="29"/>
        <v>TAPATIOS TACO M</v>
      </c>
      <c r="CX29" s="23"/>
      <c r="CZ29" s="22"/>
      <c r="DA29" s="23"/>
      <c r="DC29" s="24" t="str">
        <f t="shared" si="128"/>
        <v>TAPATIOS TACO M</v>
      </c>
      <c r="DD29" s="23"/>
      <c r="DF29" s="23">
        <f t="shared" si="31"/>
        <v>0</v>
      </c>
      <c r="DG29" s="24" t="str">
        <f t="shared" si="32"/>
        <v>TAPATIOS TACO M</v>
      </c>
      <c r="DH29" s="23"/>
      <c r="DJ29" s="22"/>
      <c r="DK29" s="23"/>
      <c r="DM29" s="24" t="str">
        <f t="shared" si="33"/>
        <v>TAPATIOS TACO M</v>
      </c>
      <c r="DN29" s="23"/>
      <c r="DP29" s="23">
        <f t="shared" si="34"/>
        <v>0</v>
      </c>
      <c r="DQ29" s="24" t="str">
        <f t="shared" si="35"/>
        <v>TAPATIOS TACO M</v>
      </c>
      <c r="DR29" s="23"/>
      <c r="DT29" s="24"/>
      <c r="DU29" s="23"/>
      <c r="DW29" s="24" t="str">
        <f t="shared" si="36"/>
        <v>TAPATIOS TACO M</v>
      </c>
      <c r="DX29" s="23"/>
      <c r="DZ29" s="23">
        <f t="shared" si="37"/>
        <v>0</v>
      </c>
      <c r="EA29" s="24" t="str">
        <f t="shared" si="38"/>
        <v>TAPATIOS TACO M</v>
      </c>
      <c r="EB29" s="23"/>
      <c r="ED29" s="24" t="str">
        <f t="shared" si="39"/>
        <v>TAPATIOS TACO M</v>
      </c>
      <c r="EE29" s="23"/>
      <c r="EG29" s="24" t="str">
        <f t="shared" si="40"/>
        <v>TAPATIOS TACO M</v>
      </c>
      <c r="EH29" s="23"/>
      <c r="EJ29" s="23">
        <f t="shared" si="41"/>
        <v>0</v>
      </c>
      <c r="EK29" s="24" t="str">
        <f t="shared" si="42"/>
        <v>TAPATIOS TACO M</v>
      </c>
      <c r="EL29" s="23"/>
      <c r="EN29" s="24" t="str">
        <f t="shared" si="43"/>
        <v>TAPATIOS TACO M</v>
      </c>
      <c r="EO29" s="23"/>
      <c r="EQ29" s="24" t="str">
        <f t="shared" si="44"/>
        <v>TAPATIOS TACO M</v>
      </c>
      <c r="ER29" s="23"/>
      <c r="ET29" s="23">
        <f t="shared" si="45"/>
        <v>0</v>
      </c>
      <c r="EU29" s="24" t="str">
        <f t="shared" si="46"/>
        <v>TAPATIOS TACO M</v>
      </c>
      <c r="EV29" s="23"/>
      <c r="EX29" s="24" t="str">
        <f t="shared" si="47"/>
        <v>TAPATIOS TACO M</v>
      </c>
      <c r="EY29" s="23"/>
      <c r="FA29" s="24" t="str">
        <f t="shared" si="48"/>
        <v>TAPATIOS TACO M</v>
      </c>
      <c r="FB29" s="23"/>
      <c r="FD29" s="23">
        <f t="shared" si="49"/>
        <v>0</v>
      </c>
      <c r="FE29" s="24" t="str">
        <f t="shared" si="50"/>
        <v>TAPATIOS TACO M</v>
      </c>
      <c r="FF29" s="23"/>
      <c r="FH29" s="24" t="str">
        <f t="shared" si="51"/>
        <v>TAPATIOS TACO M</v>
      </c>
      <c r="FI29" s="23"/>
      <c r="FK29" s="24" t="str">
        <f t="shared" si="52"/>
        <v>TAPATIOS TACO M</v>
      </c>
      <c r="FL29" s="23"/>
      <c r="FN29" s="23">
        <f t="shared" si="53"/>
        <v>0</v>
      </c>
      <c r="FO29" s="24" t="str">
        <f t="shared" si="54"/>
        <v>TAPATIOS TACO M</v>
      </c>
      <c r="FP29" s="23">
        <v>6</v>
      </c>
      <c r="FR29" s="24" t="str">
        <f t="shared" si="55"/>
        <v>TAPATIOS TACO M</v>
      </c>
      <c r="FS29" s="23">
        <v>6</v>
      </c>
      <c r="FU29" s="24" t="str">
        <f t="shared" si="56"/>
        <v>TAPATIOS TACO M</v>
      </c>
      <c r="FV29" s="23"/>
      <c r="FX29" s="23">
        <f t="shared" si="57"/>
        <v>12</v>
      </c>
      <c r="FY29" s="24" t="str">
        <f t="shared" si="58"/>
        <v>TAPATIOS TACO M</v>
      </c>
      <c r="FZ29" s="23">
        <v>9</v>
      </c>
      <c r="GB29" s="24" t="str">
        <f t="shared" si="59"/>
        <v>TAPATIOS TACO M</v>
      </c>
      <c r="GC29" s="23">
        <v>12</v>
      </c>
      <c r="GE29" s="24" t="str">
        <f t="shared" si="60"/>
        <v>TAPATIOS TACO M</v>
      </c>
      <c r="GF29" s="23"/>
      <c r="GH29" s="23">
        <f t="shared" si="61"/>
        <v>21</v>
      </c>
      <c r="GI29" s="24" t="str">
        <f t="shared" si="62"/>
        <v>TAPATIOS TACO M</v>
      </c>
      <c r="GJ29" s="23"/>
      <c r="GL29" s="24" t="str">
        <f t="shared" si="63"/>
        <v>TAPATIOS TACO M</v>
      </c>
      <c r="GM29" s="23"/>
      <c r="GO29" s="24" t="str">
        <f t="shared" si="64"/>
        <v>TAPATIOS TACO M</v>
      </c>
      <c r="GP29" s="23"/>
      <c r="GR29" s="23">
        <f t="shared" si="98"/>
        <v>0</v>
      </c>
      <c r="GS29" s="24" t="str">
        <f t="shared" si="65"/>
        <v>TAPATIOS TACO M</v>
      </c>
      <c r="GT29" s="23"/>
      <c r="GV29" s="24" t="str">
        <f t="shared" si="66"/>
        <v>TAPATIOS TACO M</v>
      </c>
      <c r="GW29" s="23"/>
      <c r="GY29" s="24" t="str">
        <f t="shared" si="67"/>
        <v>TAPATIOS TACO M</v>
      </c>
      <c r="GZ29" s="23"/>
      <c r="HB29" s="23">
        <f t="shared" si="68"/>
        <v>0</v>
      </c>
      <c r="HC29" s="24" t="str">
        <f t="shared" si="69"/>
        <v>TAPATIOS TACO M</v>
      </c>
      <c r="HD29" s="43">
        <f t="shared" si="127"/>
        <v>0</v>
      </c>
      <c r="HF29" s="24" t="str">
        <f t="shared" si="71"/>
        <v>TAPATIOS TACO M</v>
      </c>
      <c r="HG29" s="43">
        <f t="shared" si="99"/>
        <v>0</v>
      </c>
      <c r="HI29" s="24" t="str">
        <f t="shared" si="72"/>
        <v>TAPATIOS TACO M</v>
      </c>
      <c r="HJ29" s="43">
        <f t="shared" si="100"/>
        <v>0</v>
      </c>
      <c r="HL29" s="23">
        <f t="shared" si="101"/>
        <v>33</v>
      </c>
      <c r="HM29" s="24" t="str">
        <f t="shared" si="73"/>
        <v>TAPATIOS TACO M</v>
      </c>
      <c r="HN29" s="38">
        <f t="shared" si="74"/>
        <v>0</v>
      </c>
      <c r="HO29" s="25">
        <f t="shared" si="75"/>
        <v>0</v>
      </c>
      <c r="HP29" s="38">
        <f t="shared" si="76"/>
        <v>0</v>
      </c>
      <c r="HQ29" s="25">
        <f t="shared" si="77"/>
        <v>0</v>
      </c>
      <c r="HR29" s="38">
        <f t="shared" si="78"/>
        <v>0</v>
      </c>
      <c r="HS29" s="25">
        <f t="shared" si="79"/>
        <v>0</v>
      </c>
      <c r="HT29" s="38">
        <f t="shared" si="80"/>
        <v>0</v>
      </c>
      <c r="HU29" s="25">
        <f t="shared" si="81"/>
        <v>0</v>
      </c>
      <c r="HV29" s="38">
        <f t="shared" si="82"/>
        <v>0</v>
      </c>
      <c r="HW29" s="25">
        <f t="shared" si="83"/>
        <v>0</v>
      </c>
      <c r="HX29" s="38">
        <f t="shared" si="84"/>
        <v>0</v>
      </c>
      <c r="HY29" s="25">
        <f t="shared" si="85"/>
        <v>0</v>
      </c>
      <c r="HZ29" s="24" t="str">
        <f t="shared" si="86"/>
        <v>TAPATIOS TACO M</v>
      </c>
      <c r="IA29" s="38">
        <f t="shared" si="87"/>
        <v>0</v>
      </c>
      <c r="IB29" s="25">
        <f t="shared" si="102"/>
        <v>0</v>
      </c>
      <c r="IC29" s="38">
        <f t="shared" si="103"/>
        <v>0</v>
      </c>
      <c r="ID29" s="25">
        <f t="shared" si="104"/>
        <v>0</v>
      </c>
      <c r="IE29" s="38">
        <f t="shared" si="105"/>
        <v>0</v>
      </c>
      <c r="IF29" s="25">
        <f t="shared" si="106"/>
        <v>12</v>
      </c>
      <c r="IG29" s="38">
        <f t="shared" si="107"/>
        <v>21</v>
      </c>
      <c r="IH29" s="25">
        <f t="shared" si="108"/>
        <v>0</v>
      </c>
      <c r="II29" s="38">
        <f t="shared" si="109"/>
        <v>0</v>
      </c>
      <c r="IJ29" s="23"/>
      <c r="IK29" s="37"/>
      <c r="IL29" s="23">
        <f t="shared" si="110"/>
        <v>33</v>
      </c>
      <c r="IM29" s="24" t="str">
        <f t="shared" si="88"/>
        <v>TAPATIOS TACO M</v>
      </c>
      <c r="IN29" s="43">
        <f t="shared" si="111"/>
        <v>0</v>
      </c>
      <c r="IP29" s="24" t="str">
        <f t="shared" si="112"/>
        <v>TAPATIOS TACO M</v>
      </c>
      <c r="IQ29" s="43">
        <f t="shared" si="113"/>
        <v>0</v>
      </c>
      <c r="IS29" s="24" t="str">
        <f t="shared" si="89"/>
        <v>TAPATIOS TACO M</v>
      </c>
      <c r="IT29" s="43">
        <f t="shared" si="114"/>
        <v>0</v>
      </c>
      <c r="IV29" s="23"/>
      <c r="IW29" s="24" t="str">
        <f t="shared" si="90"/>
        <v>TAPATIOS TACO M</v>
      </c>
      <c r="IX29" s="43">
        <f t="shared" si="115"/>
        <v>0</v>
      </c>
      <c r="IZ29" s="24" t="str">
        <f t="shared" si="116"/>
        <v>TAPATIOS TACO M</v>
      </c>
      <c r="JA29" s="23">
        <f t="shared" si="117"/>
        <v>0</v>
      </c>
      <c r="JC29" s="24" t="str">
        <f t="shared" si="91"/>
        <v>TAPATIOS TACO M</v>
      </c>
      <c r="JD29" s="23">
        <f t="shared" si="118"/>
        <v>0</v>
      </c>
      <c r="JF29" s="23"/>
      <c r="JG29" s="24" t="str">
        <f t="shared" si="92"/>
        <v>TAPATIOS TACO M</v>
      </c>
      <c r="JH29" s="23">
        <f t="shared" si="119"/>
        <v>6</v>
      </c>
      <c r="JJ29" s="24" t="str">
        <f t="shared" si="93"/>
        <v>TAPATIOS TACO M</v>
      </c>
      <c r="JK29" s="23">
        <f t="shared" si="120"/>
        <v>9</v>
      </c>
      <c r="JM29" s="24" t="str">
        <f t="shared" si="94"/>
        <v>TAPATIOS TACO M</v>
      </c>
      <c r="JN29" s="23">
        <f t="shared" si="121"/>
        <v>0</v>
      </c>
      <c r="JP29" s="25">
        <f t="shared" si="122"/>
        <v>15</v>
      </c>
      <c r="JQ29" s="24" t="str">
        <f t="shared" si="95"/>
        <v>TAPATIOS TACO M</v>
      </c>
      <c r="JR29" s="23">
        <f t="shared" si="123"/>
        <v>6</v>
      </c>
      <c r="JT29" s="24" t="str">
        <f t="shared" si="96"/>
        <v>TAPATIOS TACO M</v>
      </c>
      <c r="JU29" s="23">
        <f t="shared" si="124"/>
        <v>12</v>
      </c>
      <c r="JV29" s="26"/>
      <c r="JW29" s="24" t="str">
        <f t="shared" si="97"/>
        <v>TAPATIOS TACO M</v>
      </c>
      <c r="JX29" s="23">
        <f t="shared" si="125"/>
        <v>0</v>
      </c>
      <c r="JZ29" s="23">
        <f t="shared" si="126"/>
        <v>18</v>
      </c>
    </row>
    <row r="30" spans="1:286" s="7" customFormat="1" ht="15" customHeight="1" thickBot="1" x14ac:dyDescent="0.7">
      <c r="A30" s="67"/>
      <c r="B30" s="67"/>
      <c r="D30" s="67"/>
      <c r="E30" s="67"/>
      <c r="G30" s="67"/>
      <c r="H30" s="67"/>
      <c r="J30" s="27"/>
      <c r="K30" s="67"/>
      <c r="L30" s="67"/>
      <c r="N30" s="67"/>
      <c r="O30" s="67"/>
      <c r="Q30" s="67"/>
      <c r="R30" s="67"/>
      <c r="T30" s="27"/>
      <c r="U30" s="67"/>
      <c r="V30" s="67"/>
      <c r="X30" s="67"/>
      <c r="Y30" s="67"/>
      <c r="AA30" s="67"/>
      <c r="AB30" s="67"/>
      <c r="AD30" s="27"/>
      <c r="AE30" s="67"/>
      <c r="AF30" s="67"/>
      <c r="AH30" s="67"/>
      <c r="AI30" s="67"/>
      <c r="AK30" s="67"/>
      <c r="AL30" s="67"/>
      <c r="AN30" s="27"/>
      <c r="AO30" s="67"/>
      <c r="AP30" s="67"/>
      <c r="AR30" s="67"/>
      <c r="AS30" s="67"/>
      <c r="AU30" s="67"/>
      <c r="AV30" s="67"/>
      <c r="AX30" s="27"/>
      <c r="AY30" s="67"/>
      <c r="AZ30" s="67"/>
      <c r="BB30" s="67"/>
      <c r="BC30" s="67"/>
      <c r="BE30" s="67"/>
      <c r="BF30" s="67"/>
      <c r="BH30" s="27"/>
      <c r="BI30" s="67"/>
      <c r="BJ30" s="67"/>
      <c r="BL30" s="67"/>
      <c r="BM30" s="67"/>
      <c r="BO30" s="67"/>
      <c r="BP30" s="67"/>
      <c r="BR30" s="27"/>
      <c r="BS30" s="67"/>
      <c r="BT30" s="67"/>
      <c r="BV30" s="67"/>
      <c r="BW30" s="67"/>
      <c r="BY30" s="67"/>
      <c r="BZ30" s="67"/>
      <c r="CB30" s="27"/>
      <c r="CC30" s="67"/>
      <c r="CD30" s="67"/>
      <c r="CF30" s="67"/>
      <c r="CG30" s="67"/>
      <c r="CI30" s="67"/>
      <c r="CJ30" s="67"/>
      <c r="CL30" s="27"/>
      <c r="CM30" s="67"/>
      <c r="CN30" s="67"/>
      <c r="CP30" s="67"/>
      <c r="CQ30" s="67"/>
      <c r="CS30" s="67"/>
      <c r="CT30" s="67"/>
      <c r="CV30" s="27"/>
      <c r="CW30" s="67"/>
      <c r="CX30" s="67"/>
      <c r="CZ30" s="67"/>
      <c r="DA30" s="67"/>
      <c r="DC30" s="67"/>
      <c r="DD30" s="67"/>
      <c r="DF30" s="27"/>
      <c r="DG30" s="67"/>
      <c r="DH30" s="67"/>
      <c r="DJ30" s="67"/>
      <c r="DK30" s="67"/>
      <c r="DM30" s="67"/>
      <c r="DN30" s="67"/>
      <c r="DP30" s="27"/>
      <c r="DQ30" s="67"/>
      <c r="DR30" s="67"/>
      <c r="DT30" s="67"/>
      <c r="DU30" s="67"/>
      <c r="DW30" s="67"/>
      <c r="DX30" s="67"/>
      <c r="DZ30" s="27"/>
      <c r="EA30" s="67"/>
      <c r="EB30" s="67"/>
      <c r="ED30" s="67"/>
      <c r="EE30" s="67"/>
      <c r="EG30" s="67"/>
      <c r="EH30" s="67"/>
      <c r="EJ30" s="27"/>
      <c r="EK30" s="67"/>
      <c r="EL30" s="67"/>
      <c r="EN30" s="67"/>
      <c r="EO30" s="67"/>
      <c r="EQ30" s="67"/>
      <c r="ER30" s="67"/>
      <c r="ET30" s="27"/>
      <c r="EU30" s="67"/>
      <c r="EV30" s="67"/>
      <c r="EX30" s="67"/>
      <c r="EY30" s="67"/>
      <c r="FA30" s="67"/>
      <c r="FB30" s="67"/>
      <c r="FD30" s="27"/>
      <c r="FE30" s="67"/>
      <c r="FF30" s="67"/>
      <c r="FH30" s="67"/>
      <c r="FI30" s="67"/>
      <c r="FK30" s="67"/>
      <c r="FL30" s="67"/>
      <c r="FN30" s="27"/>
      <c r="FO30" s="67"/>
      <c r="FP30" s="67"/>
      <c r="FR30" s="67"/>
      <c r="FS30" s="67"/>
      <c r="FU30" s="67"/>
      <c r="FV30" s="67"/>
      <c r="FX30" s="27"/>
      <c r="FY30" s="67"/>
      <c r="FZ30" s="67"/>
      <c r="GB30" s="67"/>
      <c r="GC30" s="67"/>
      <c r="GE30" s="67"/>
      <c r="GF30" s="67"/>
      <c r="GH30" s="27"/>
      <c r="GI30" s="67"/>
      <c r="GJ30" s="67"/>
      <c r="GL30" s="67"/>
      <c r="GM30" s="67"/>
      <c r="GO30" s="67"/>
      <c r="GP30" s="67"/>
      <c r="GR30" s="27"/>
      <c r="GS30" s="67"/>
      <c r="GT30" s="67"/>
      <c r="GV30" s="67"/>
      <c r="GW30" s="67"/>
      <c r="GY30" s="67"/>
      <c r="GZ30" s="67"/>
      <c r="HB30" s="27"/>
      <c r="HC30" s="67"/>
      <c r="HD30" s="67"/>
      <c r="HF30" s="67"/>
      <c r="HG30" s="67"/>
      <c r="HI30" s="67"/>
      <c r="HJ30" s="67"/>
      <c r="HL30" s="27"/>
      <c r="HM30" s="27"/>
      <c r="HN30" s="39"/>
      <c r="HO30" s="28"/>
      <c r="HP30" s="39"/>
      <c r="HQ30" s="28"/>
      <c r="HR30" s="39"/>
      <c r="HS30" s="28"/>
      <c r="HT30" s="39"/>
      <c r="HU30" s="28"/>
      <c r="HV30" s="39"/>
      <c r="HW30" s="28"/>
      <c r="HX30" s="39"/>
      <c r="HY30" s="28"/>
      <c r="HZ30" s="27"/>
      <c r="IA30" s="39"/>
      <c r="IB30" s="28"/>
      <c r="IC30" s="39"/>
      <c r="ID30" s="28"/>
      <c r="IE30" s="39"/>
      <c r="IF30" s="28"/>
      <c r="IG30" s="39"/>
      <c r="IH30" s="28"/>
      <c r="II30" s="39"/>
      <c r="IJ30" s="28"/>
      <c r="IK30" s="39"/>
      <c r="IL30" s="28"/>
      <c r="IM30" s="67"/>
      <c r="IN30" s="67"/>
      <c r="IP30" s="67"/>
      <c r="IQ30" s="67"/>
      <c r="IS30" s="67"/>
      <c r="IT30" s="67"/>
      <c r="IV30" s="27"/>
      <c r="IW30" s="67"/>
      <c r="IX30" s="67"/>
      <c r="IZ30" s="67"/>
      <c r="JA30" s="67"/>
      <c r="JC30" s="67"/>
      <c r="JD30" s="67"/>
      <c r="JF30" s="27"/>
      <c r="JG30" s="67"/>
      <c r="JH30" s="67"/>
      <c r="JJ30" s="67"/>
      <c r="JK30" s="67"/>
      <c r="JM30" s="67"/>
      <c r="JN30" s="67"/>
      <c r="JP30" s="27"/>
      <c r="JQ30" s="67"/>
      <c r="JR30" s="67"/>
      <c r="JT30" s="67"/>
      <c r="JU30" s="67"/>
      <c r="JW30" s="67"/>
      <c r="JX30" s="67"/>
      <c r="JZ30" s="27"/>
    </row>
    <row r="31" spans="1:286" s="34" customFormat="1" ht="60" customHeight="1" thickTop="1" thickBot="1" x14ac:dyDescent="0.9">
      <c r="A31" s="29" t="s">
        <v>19</v>
      </c>
      <c r="B31" s="30">
        <f>SUM(B11:B30)</f>
        <v>18</v>
      </c>
      <c r="C31" s="7"/>
      <c r="D31" s="29" t="s">
        <v>19</v>
      </c>
      <c r="E31" s="30">
        <f t="shared" ref="E31" si="129">SUM(E11:E30)</f>
        <v>0</v>
      </c>
      <c r="F31" s="7"/>
      <c r="G31" s="29" t="s">
        <v>19</v>
      </c>
      <c r="H31" s="30">
        <f t="shared" ref="H31" si="130">SUM(H11:H30)</f>
        <v>19</v>
      </c>
      <c r="I31" s="7"/>
      <c r="J31" s="31">
        <f>SUM(J11:J30)</f>
        <v>37</v>
      </c>
      <c r="K31" s="29" t="s">
        <v>19</v>
      </c>
      <c r="L31" s="30">
        <f>SUM(L11:L30)</f>
        <v>51</v>
      </c>
      <c r="M31" s="32"/>
      <c r="N31" s="29" t="s">
        <v>19</v>
      </c>
      <c r="O31" s="30">
        <f t="shared" ref="O31" si="131">SUM(O11:O30)</f>
        <v>0</v>
      </c>
      <c r="P31" s="32"/>
      <c r="Q31" s="29" t="s">
        <v>19</v>
      </c>
      <c r="R31" s="30">
        <f t="shared" ref="R31" si="132">SUM(R11:R30)</f>
        <v>29</v>
      </c>
      <c r="S31" s="32"/>
      <c r="T31" s="31">
        <f>SUM(T11:T30)</f>
        <v>80</v>
      </c>
      <c r="U31" s="29" t="s">
        <v>19</v>
      </c>
      <c r="V31" s="30">
        <f>SUM(V11:V30)</f>
        <v>31</v>
      </c>
      <c r="W31" s="32"/>
      <c r="X31" s="29" t="s">
        <v>19</v>
      </c>
      <c r="Y31" s="30">
        <f t="shared" ref="Y31" si="133">SUM(Y11:Y30)</f>
        <v>0</v>
      </c>
      <c r="Z31" s="32"/>
      <c r="AA31" s="29" t="s">
        <v>19</v>
      </c>
      <c r="AB31" s="30">
        <f t="shared" ref="AB31" si="134">SUM(AB11:AB30)</f>
        <v>22</v>
      </c>
      <c r="AC31" s="32"/>
      <c r="AD31" s="31">
        <f>SUM(AD11:AD30)</f>
        <v>53</v>
      </c>
      <c r="AE31" s="29" t="s">
        <v>19</v>
      </c>
      <c r="AF31" s="30">
        <f>SUM(AF11:AF30)</f>
        <v>32</v>
      </c>
      <c r="AG31" s="32"/>
      <c r="AH31" s="29" t="s">
        <v>19</v>
      </c>
      <c r="AI31" s="30">
        <f t="shared" ref="AI31" si="135">SUM(AI11:AI30)</f>
        <v>0</v>
      </c>
      <c r="AJ31" s="32"/>
      <c r="AK31" s="29" t="s">
        <v>19</v>
      </c>
      <c r="AL31" s="30">
        <f t="shared" ref="AL31" si="136">SUM(AL11:AL30)</f>
        <v>27</v>
      </c>
      <c r="AM31" s="32"/>
      <c r="AN31" s="31">
        <f>SUM(AN11:AN30)</f>
        <v>59</v>
      </c>
      <c r="AO31" s="29" t="s">
        <v>19</v>
      </c>
      <c r="AP31" s="30">
        <f>SUM(AP11:AP30)</f>
        <v>15</v>
      </c>
      <c r="AQ31" s="32"/>
      <c r="AR31" s="29" t="s">
        <v>19</v>
      </c>
      <c r="AS31" s="30">
        <f t="shared" ref="AS31" si="137">SUM(AS11:AS30)</f>
        <v>0</v>
      </c>
      <c r="AT31" s="32"/>
      <c r="AU31" s="29" t="s">
        <v>19</v>
      </c>
      <c r="AV31" s="30">
        <f t="shared" ref="AV31" si="138">SUM(AV11:AV30)</f>
        <v>9.5</v>
      </c>
      <c r="AW31" s="32"/>
      <c r="AX31" s="31">
        <f>SUM(AX11:AX30)</f>
        <v>24.5</v>
      </c>
      <c r="AY31" s="29" t="s">
        <v>19</v>
      </c>
      <c r="AZ31" s="30">
        <f>SUM(AZ11:AZ30)</f>
        <v>26</v>
      </c>
      <c r="BA31" s="32"/>
      <c r="BB31" s="29" t="s">
        <v>19</v>
      </c>
      <c r="BC31" s="30">
        <f t="shared" ref="BC31" si="139">SUM(BC11:BC30)</f>
        <v>0</v>
      </c>
      <c r="BD31" s="32"/>
      <c r="BE31" s="29" t="s">
        <v>19</v>
      </c>
      <c r="BF31" s="30">
        <f t="shared" ref="BF31" si="140">SUM(BF11:BF30)</f>
        <v>13</v>
      </c>
      <c r="BG31" s="32"/>
      <c r="BH31" s="31">
        <f>SUM(BH11:BH30)</f>
        <v>39</v>
      </c>
      <c r="BI31" s="29" t="s">
        <v>19</v>
      </c>
      <c r="BJ31" s="30">
        <f>SUM(BJ11:BJ30)</f>
        <v>20</v>
      </c>
      <c r="BK31" s="32"/>
      <c r="BL31" s="29" t="s">
        <v>19</v>
      </c>
      <c r="BM31" s="30">
        <f t="shared" ref="BM31" si="141">SUM(BM11:BM30)</f>
        <v>0</v>
      </c>
      <c r="BN31" s="32"/>
      <c r="BO31" s="29" t="s">
        <v>19</v>
      </c>
      <c r="BP31" s="30">
        <f t="shared" ref="BP31" si="142">SUM(BP11:BP30)</f>
        <v>16.5</v>
      </c>
      <c r="BQ31" s="32"/>
      <c r="BR31" s="31">
        <f>SUM(BR11:BR30)</f>
        <v>36.5</v>
      </c>
      <c r="BS31" s="29" t="s">
        <v>19</v>
      </c>
      <c r="BT31" s="30">
        <f>SUM(BT11:BT30)</f>
        <v>29</v>
      </c>
      <c r="BU31" s="32"/>
      <c r="BV31" s="29" t="s">
        <v>19</v>
      </c>
      <c r="BW31" s="30">
        <f t="shared" ref="BW31" si="143">SUM(BW11:BW30)</f>
        <v>0</v>
      </c>
      <c r="BX31" s="32"/>
      <c r="BY31" s="29" t="s">
        <v>19</v>
      </c>
      <c r="BZ31" s="30">
        <f t="shared" ref="BZ31" si="144">SUM(BZ11:BZ30)</f>
        <v>34</v>
      </c>
      <c r="CA31" s="32"/>
      <c r="CB31" s="31">
        <f>SUM(CB11:CB30)</f>
        <v>63</v>
      </c>
      <c r="CC31" s="29" t="s">
        <v>19</v>
      </c>
      <c r="CD31" s="30">
        <f>SUM(CD11:CD30)</f>
        <v>22.5</v>
      </c>
      <c r="CE31" s="32"/>
      <c r="CF31" s="29" t="s">
        <v>19</v>
      </c>
      <c r="CG31" s="30">
        <f t="shared" ref="CG31" si="145">SUM(CG11:CG30)</f>
        <v>0</v>
      </c>
      <c r="CH31" s="32"/>
      <c r="CI31" s="29" t="s">
        <v>19</v>
      </c>
      <c r="CJ31" s="30">
        <f t="shared" ref="CJ31" si="146">SUM(CJ11:CJ30)</f>
        <v>25.5</v>
      </c>
      <c r="CK31" s="32"/>
      <c r="CL31" s="31">
        <f>SUM(CL11:CL30)</f>
        <v>48</v>
      </c>
      <c r="CM31" s="29" t="s">
        <v>19</v>
      </c>
      <c r="CN31" s="30">
        <f>SUM(CN11:CN30)</f>
        <v>16</v>
      </c>
      <c r="CO31" s="32"/>
      <c r="CP31" s="29" t="s">
        <v>19</v>
      </c>
      <c r="CQ31" s="30">
        <f t="shared" ref="CQ31" si="147">SUM(CQ11:CQ30)</f>
        <v>0</v>
      </c>
      <c r="CR31" s="32"/>
      <c r="CS31" s="29" t="s">
        <v>19</v>
      </c>
      <c r="CT31" s="30">
        <f t="shared" ref="CT31" si="148">SUM(CT11:CT30)</f>
        <v>13</v>
      </c>
      <c r="CU31" s="32"/>
      <c r="CV31" s="31">
        <f>SUM(CV11:CV30)</f>
        <v>29</v>
      </c>
      <c r="CW31" s="29" t="s">
        <v>19</v>
      </c>
      <c r="CX31" s="30">
        <f>SUM(CX11:CX30)</f>
        <v>22</v>
      </c>
      <c r="CY31" s="32"/>
      <c r="CZ31" s="29" t="s">
        <v>19</v>
      </c>
      <c r="DA31" s="30">
        <f t="shared" ref="DA31" si="149">SUM(DA11:DA30)</f>
        <v>0</v>
      </c>
      <c r="DB31" s="32"/>
      <c r="DC31" s="29" t="s">
        <v>19</v>
      </c>
      <c r="DD31" s="30">
        <f t="shared" ref="DD31" si="150">SUM(DD11:DD30)</f>
        <v>23</v>
      </c>
      <c r="DE31" s="32"/>
      <c r="DF31" s="31">
        <f>SUM(DF11:DF30)</f>
        <v>45</v>
      </c>
      <c r="DG31" s="29" t="s">
        <v>19</v>
      </c>
      <c r="DH31" s="30">
        <f>SUM(DH11:DH30)</f>
        <v>0</v>
      </c>
      <c r="DI31" s="32"/>
      <c r="DJ31" s="29" t="s">
        <v>19</v>
      </c>
      <c r="DK31" s="30">
        <f t="shared" ref="DK31" si="151">SUM(DK11:DK30)</f>
        <v>0</v>
      </c>
      <c r="DL31" s="32"/>
      <c r="DM31" s="29" t="s">
        <v>19</v>
      </c>
      <c r="DN31" s="30">
        <f t="shared" ref="DN31" si="152">SUM(DN11:DN30)</f>
        <v>0</v>
      </c>
      <c r="DO31" s="32"/>
      <c r="DP31" s="31">
        <f>SUM(DP11:DP30)</f>
        <v>0</v>
      </c>
      <c r="DQ31" s="29" t="s">
        <v>19</v>
      </c>
      <c r="DR31" s="30">
        <f>SUM(DR11:DR30)</f>
        <v>0</v>
      </c>
      <c r="DS31" s="32"/>
      <c r="DT31" s="29" t="s">
        <v>19</v>
      </c>
      <c r="DU31" s="30">
        <f t="shared" ref="DU31" si="153">SUM(DU11:DU30)</f>
        <v>0</v>
      </c>
      <c r="DV31" s="32"/>
      <c r="DW31" s="29" t="s">
        <v>19</v>
      </c>
      <c r="DX31" s="30">
        <f t="shared" ref="DX31" si="154">SUM(DX11:DX30)</f>
        <v>0</v>
      </c>
      <c r="DY31" s="32"/>
      <c r="DZ31" s="31">
        <f>SUM(DZ11:DZ30)</f>
        <v>0</v>
      </c>
      <c r="EA31" s="29" t="s">
        <v>19</v>
      </c>
      <c r="EB31" s="30">
        <f>SUM(EB11:EB30)</f>
        <v>0</v>
      </c>
      <c r="EC31" s="32"/>
      <c r="ED31" s="29" t="s">
        <v>19</v>
      </c>
      <c r="EE31" s="30">
        <f t="shared" ref="EE31" si="155">SUM(EE11:EE30)</f>
        <v>0</v>
      </c>
      <c r="EF31" s="32"/>
      <c r="EG31" s="29" t="s">
        <v>19</v>
      </c>
      <c r="EH31" s="30">
        <f t="shared" ref="EH31" si="156">SUM(EH11:EH30)</f>
        <v>0</v>
      </c>
      <c r="EI31" s="32"/>
      <c r="EJ31" s="31">
        <f>SUM(EJ11:EJ30)</f>
        <v>0</v>
      </c>
      <c r="EK31" s="29" t="s">
        <v>19</v>
      </c>
      <c r="EL31" s="30">
        <f>SUM(EL11:EL30)</f>
        <v>0</v>
      </c>
      <c r="EM31" s="32"/>
      <c r="EN31" s="29" t="s">
        <v>19</v>
      </c>
      <c r="EO31" s="30">
        <f t="shared" ref="EO31" si="157">SUM(EO11:EO30)</f>
        <v>0</v>
      </c>
      <c r="EP31" s="32"/>
      <c r="EQ31" s="29" t="s">
        <v>19</v>
      </c>
      <c r="ER31" s="30">
        <f t="shared" ref="ER31" si="158">SUM(ER11:ER30)</f>
        <v>0</v>
      </c>
      <c r="ES31" s="32"/>
      <c r="ET31" s="31">
        <f>SUM(ET11:ET30)</f>
        <v>0</v>
      </c>
      <c r="EU31" s="29" t="s">
        <v>19</v>
      </c>
      <c r="EV31" s="30">
        <f>SUM(EV11:EV30)</f>
        <v>10</v>
      </c>
      <c r="EW31" s="32"/>
      <c r="EX31" s="29" t="s">
        <v>19</v>
      </c>
      <c r="EY31" s="30">
        <f t="shared" ref="EY31" si="159">SUM(EY11:EY30)</f>
        <v>0</v>
      </c>
      <c r="EZ31" s="32"/>
      <c r="FA31" s="29" t="s">
        <v>19</v>
      </c>
      <c r="FB31" s="30">
        <f t="shared" ref="FB31" si="160">SUM(FB11:FB30)</f>
        <v>0</v>
      </c>
      <c r="FC31" s="32"/>
      <c r="FD31" s="31">
        <f>SUM(FD11:FD30)</f>
        <v>10</v>
      </c>
      <c r="FE31" s="29" t="s">
        <v>19</v>
      </c>
      <c r="FF31" s="30">
        <f>SUM(FF11:FF30)</f>
        <v>14</v>
      </c>
      <c r="FG31" s="32"/>
      <c r="FH31" s="29" t="s">
        <v>19</v>
      </c>
      <c r="FI31" s="30">
        <f t="shared" ref="FI31" si="161">SUM(FI11:FI30)</f>
        <v>0</v>
      </c>
      <c r="FJ31" s="32"/>
      <c r="FK31" s="29" t="s">
        <v>19</v>
      </c>
      <c r="FL31" s="30">
        <f t="shared" ref="FL31" si="162">SUM(FL11:FL30)</f>
        <v>1</v>
      </c>
      <c r="FM31" s="32"/>
      <c r="FN31" s="31">
        <f>SUM(FN11:FN30)</f>
        <v>15</v>
      </c>
      <c r="FO31" s="29" t="s">
        <v>19</v>
      </c>
      <c r="FP31" s="30">
        <f>SUM(FP11:FP30)</f>
        <v>23</v>
      </c>
      <c r="FQ31" s="32"/>
      <c r="FR31" s="29" t="s">
        <v>19</v>
      </c>
      <c r="FS31" s="30">
        <f t="shared" ref="FS31" si="163">SUM(FS11:FS30)</f>
        <v>22</v>
      </c>
      <c r="FT31" s="32"/>
      <c r="FU31" s="29" t="s">
        <v>19</v>
      </c>
      <c r="FV31" s="30">
        <f t="shared" ref="FV31" si="164">SUM(FV11:FV30)</f>
        <v>0</v>
      </c>
      <c r="FW31" s="32"/>
      <c r="FX31" s="31">
        <f>SUM(FX11:FX30)</f>
        <v>45</v>
      </c>
      <c r="FY31" s="29" t="s">
        <v>19</v>
      </c>
      <c r="FZ31" s="30">
        <f>SUM(FZ11:FZ30)</f>
        <v>16</v>
      </c>
      <c r="GA31" s="32"/>
      <c r="GB31" s="29" t="s">
        <v>19</v>
      </c>
      <c r="GC31" s="30">
        <f t="shared" ref="GC31" si="165">SUM(GC11:GC30)</f>
        <v>19</v>
      </c>
      <c r="GD31" s="32"/>
      <c r="GE31" s="29" t="s">
        <v>19</v>
      </c>
      <c r="GF31" s="30">
        <f t="shared" ref="GF31" si="166">SUM(GF11:GF30)</f>
        <v>0</v>
      </c>
      <c r="GG31" s="32"/>
      <c r="GH31" s="31">
        <f>SUM(GH11:GH30)</f>
        <v>35</v>
      </c>
      <c r="GI31" s="29" t="s">
        <v>19</v>
      </c>
      <c r="GJ31" s="30">
        <f>SUM(GJ11:GJ30)</f>
        <v>7</v>
      </c>
      <c r="GK31" s="32"/>
      <c r="GL31" s="29" t="s">
        <v>19</v>
      </c>
      <c r="GM31" s="30">
        <f t="shared" ref="GM31" si="167">SUM(GM11:GM30)</f>
        <v>7</v>
      </c>
      <c r="GN31" s="32"/>
      <c r="GO31" s="29" t="s">
        <v>19</v>
      </c>
      <c r="GP31" s="30">
        <f t="shared" ref="GP31" si="168">SUM(GP11:GP30)</f>
        <v>0</v>
      </c>
      <c r="GQ31" s="32"/>
      <c r="GR31" s="31">
        <f>SUM(GR11:GR30)</f>
        <v>14</v>
      </c>
      <c r="GS31" s="29" t="s">
        <v>19</v>
      </c>
      <c r="GT31" s="30">
        <f>SUM(GT11:GT30)</f>
        <v>0</v>
      </c>
      <c r="GU31" s="32"/>
      <c r="GV31" s="29" t="s">
        <v>19</v>
      </c>
      <c r="GW31" s="30">
        <f t="shared" ref="GW31" si="169">SUM(GW11:GW30)</f>
        <v>12</v>
      </c>
      <c r="GX31" s="32"/>
      <c r="GY31" s="29" t="s">
        <v>19</v>
      </c>
      <c r="GZ31" s="30">
        <f t="shared" ref="GZ31" si="170">SUM(GZ11:GZ30)</f>
        <v>0</v>
      </c>
      <c r="HA31" s="32"/>
      <c r="HB31" s="31">
        <f>SUM(HB11:HB30)</f>
        <v>12</v>
      </c>
      <c r="HC31" s="29" t="s">
        <v>19</v>
      </c>
      <c r="HD31" s="30">
        <f>SUM(HD11:HD30)</f>
        <v>306.5</v>
      </c>
      <c r="HE31" s="32"/>
      <c r="HF31" s="29" t="s">
        <v>19</v>
      </c>
      <c r="HG31" s="30">
        <f t="shared" ref="HG31" si="171">SUM(HG11:HG30)</f>
        <v>0</v>
      </c>
      <c r="HH31" s="32"/>
      <c r="HI31" s="29" t="s">
        <v>19</v>
      </c>
      <c r="HJ31" s="30">
        <f t="shared" ref="HJ31" si="172">SUM(HJ11:HJ30)</f>
        <v>232.5</v>
      </c>
      <c r="HK31" s="32"/>
      <c r="HL31" s="31">
        <f>SUM(HL11:HL30)</f>
        <v>645</v>
      </c>
      <c r="HM31" s="32" t="s">
        <v>19</v>
      </c>
      <c r="HN31" s="40">
        <f>J31</f>
        <v>37</v>
      </c>
      <c r="HO31" s="32">
        <f>T31</f>
        <v>80</v>
      </c>
      <c r="HP31" s="40">
        <f>AD31</f>
        <v>53</v>
      </c>
      <c r="HQ31" s="32">
        <f>AN31</f>
        <v>59</v>
      </c>
      <c r="HR31" s="40">
        <f>AX31</f>
        <v>24.5</v>
      </c>
      <c r="HS31" s="32">
        <f>BH31</f>
        <v>39</v>
      </c>
      <c r="HT31" s="40">
        <f>BR31</f>
        <v>36.5</v>
      </c>
      <c r="HU31" s="32">
        <f>CB31</f>
        <v>63</v>
      </c>
      <c r="HV31" s="40">
        <f>CL31</f>
        <v>48</v>
      </c>
      <c r="HW31" s="32">
        <f>CV31</f>
        <v>29</v>
      </c>
      <c r="HX31" s="40">
        <f>DF31</f>
        <v>45</v>
      </c>
      <c r="HY31" s="32">
        <f>DP31</f>
        <v>0</v>
      </c>
      <c r="HZ31" s="33" t="s">
        <v>19</v>
      </c>
      <c r="IA31" s="40">
        <f>DZ31</f>
        <v>0</v>
      </c>
      <c r="IB31" s="32">
        <f>ES31</f>
        <v>0</v>
      </c>
      <c r="IC31" s="40">
        <f>FC31</f>
        <v>0</v>
      </c>
      <c r="ID31" s="32">
        <f>FM31</f>
        <v>0</v>
      </c>
      <c r="IE31" s="40"/>
      <c r="IF31" s="32"/>
      <c r="IG31" s="40"/>
      <c r="IH31" s="32"/>
      <c r="II31" s="40"/>
      <c r="IJ31" s="32"/>
      <c r="IK31" s="40"/>
      <c r="IL31" s="32">
        <f>SUM(HN31:HY31)+SUM(IA31:IK31)</f>
        <v>514</v>
      </c>
      <c r="IM31" s="29" t="s">
        <v>19</v>
      </c>
      <c r="IN31" s="30">
        <f>SUM(IN11:IN30)</f>
        <v>224.5</v>
      </c>
      <c r="IO31" s="32"/>
      <c r="IP31" s="29" t="s">
        <v>19</v>
      </c>
      <c r="IQ31" s="30">
        <f t="shared" ref="IQ31" si="173">SUM(IQ11:IQ30)</f>
        <v>0</v>
      </c>
      <c r="IR31" s="32"/>
      <c r="IS31" s="29" t="s">
        <v>19</v>
      </c>
      <c r="IT31" s="30">
        <f t="shared" ref="IT31" si="174">SUM(IT11:IT30)</f>
        <v>153</v>
      </c>
      <c r="IU31" s="32"/>
      <c r="IV31" s="31">
        <f>SUM(IV11:IV30)</f>
        <v>0</v>
      </c>
      <c r="IW31" s="29" t="s">
        <v>19</v>
      </c>
      <c r="IX31" s="30">
        <f>SUM(IX11:IX30)</f>
        <v>44</v>
      </c>
      <c r="IY31" s="32"/>
      <c r="IZ31" s="29" t="s">
        <v>19</v>
      </c>
      <c r="JA31" s="30">
        <f t="shared" ref="JA31" si="175">SUM(JA11:JA30)</f>
        <v>0</v>
      </c>
      <c r="JB31" s="32"/>
      <c r="JC31" s="29" t="s">
        <v>19</v>
      </c>
      <c r="JD31" s="30">
        <f t="shared" ref="JD31" si="176">SUM(JD11:JD30)</f>
        <v>79.5</v>
      </c>
      <c r="JE31" s="32"/>
      <c r="JF31" s="31">
        <f>SUM(JF11:JF30)</f>
        <v>0</v>
      </c>
      <c r="JG31" s="29" t="s">
        <v>19</v>
      </c>
      <c r="JH31" s="30">
        <f>SUM(JH11:JH30)</f>
        <v>23</v>
      </c>
      <c r="JI31" s="32"/>
      <c r="JJ31" s="29" t="s">
        <v>19</v>
      </c>
      <c r="JK31" s="30">
        <f t="shared" ref="JK31" si="177">SUM(JK11:JK30)</f>
        <v>16</v>
      </c>
      <c r="JL31" s="32"/>
      <c r="JM31" s="29" t="s">
        <v>19</v>
      </c>
      <c r="JN31" s="30">
        <f t="shared" ref="JN31" si="178">SUM(JN11:JN30)</f>
        <v>7</v>
      </c>
      <c r="JO31" s="32"/>
      <c r="JP31" s="31">
        <f>SUM(JP11:JP30)</f>
        <v>46</v>
      </c>
      <c r="JQ31" s="29" t="s">
        <v>19</v>
      </c>
      <c r="JR31" s="30">
        <f>SUM(JR11:JR30)</f>
        <v>22</v>
      </c>
      <c r="JS31" s="32"/>
      <c r="JT31" s="29" t="s">
        <v>19</v>
      </c>
      <c r="JU31" s="30">
        <f t="shared" ref="JU31" si="179">SUM(JU11:JU30)</f>
        <v>19</v>
      </c>
      <c r="JV31" s="32"/>
      <c r="JW31" s="29" t="s">
        <v>19</v>
      </c>
      <c r="JX31" s="30">
        <f t="shared" ref="JX31" si="180">SUM(JX11:JX30)</f>
        <v>7</v>
      </c>
      <c r="JY31" s="32"/>
      <c r="JZ31" s="31">
        <f>SUM(JZ11:JZ30)</f>
        <v>48</v>
      </c>
    </row>
    <row r="32" spans="1:286" ht="34.200000000000003" thickTop="1" x14ac:dyDescent="0.65">
      <c r="F32" s="7"/>
      <c r="I32" s="7"/>
    </row>
    <row r="38" spans="125:281" x14ac:dyDescent="0.55000000000000004">
      <c r="DU38" s="36" t="s">
        <v>60</v>
      </c>
      <c r="EY38" s="36" t="s">
        <v>60</v>
      </c>
      <c r="FI38" s="36" t="s">
        <v>60</v>
      </c>
      <c r="FS38" s="36" t="s">
        <v>60</v>
      </c>
      <c r="GC38" s="36" t="s">
        <v>60</v>
      </c>
      <c r="GM38" s="36" t="s">
        <v>60</v>
      </c>
      <c r="GW38" s="36" t="s">
        <v>60</v>
      </c>
      <c r="IQ38" s="36" t="s">
        <v>60</v>
      </c>
      <c r="JA38" s="36" t="s">
        <v>60</v>
      </c>
      <c r="JK38" s="36" t="s">
        <v>60</v>
      </c>
      <c r="JU38" s="36" t="s">
        <v>60</v>
      </c>
    </row>
  </sheetData>
  <mergeCells count="532">
    <mergeCell ref="JG30:JH30"/>
    <mergeCell ref="JJ30:JK30"/>
    <mergeCell ref="JM30:JN30"/>
    <mergeCell ref="JQ30:JR30"/>
    <mergeCell ref="JT30:JU30"/>
    <mergeCell ref="JW30:JX30"/>
    <mergeCell ref="IM30:IN30"/>
    <mergeCell ref="IP30:IQ30"/>
    <mergeCell ref="IS30:IT30"/>
    <mergeCell ref="IW30:IX30"/>
    <mergeCell ref="IZ30:JA30"/>
    <mergeCell ref="JC30:JD30"/>
    <mergeCell ref="GS30:GT30"/>
    <mergeCell ref="GV30:GW30"/>
    <mergeCell ref="GY30:GZ30"/>
    <mergeCell ref="HC30:HD30"/>
    <mergeCell ref="HF30:HG30"/>
    <mergeCell ref="HI30:HJ30"/>
    <mergeCell ref="FY30:FZ30"/>
    <mergeCell ref="GB30:GC30"/>
    <mergeCell ref="GE30:GF30"/>
    <mergeCell ref="GI30:GJ30"/>
    <mergeCell ref="GL30:GM30"/>
    <mergeCell ref="GO30:GP30"/>
    <mergeCell ref="FE30:FF30"/>
    <mergeCell ref="FH30:FI30"/>
    <mergeCell ref="FK30:FL30"/>
    <mergeCell ref="FO30:FP30"/>
    <mergeCell ref="FR30:FS30"/>
    <mergeCell ref="FU30:FV30"/>
    <mergeCell ref="EK30:EL30"/>
    <mergeCell ref="EN30:EO30"/>
    <mergeCell ref="EQ30:ER30"/>
    <mergeCell ref="EU30:EV30"/>
    <mergeCell ref="EX30:EY30"/>
    <mergeCell ref="FA30:FB30"/>
    <mergeCell ref="DQ30:DR30"/>
    <mergeCell ref="DT30:DU30"/>
    <mergeCell ref="DW30:DX30"/>
    <mergeCell ref="EA30:EB30"/>
    <mergeCell ref="ED30:EE30"/>
    <mergeCell ref="EG30:EH30"/>
    <mergeCell ref="CW30:CX30"/>
    <mergeCell ref="CZ30:DA30"/>
    <mergeCell ref="DC30:DD30"/>
    <mergeCell ref="DG30:DH30"/>
    <mergeCell ref="DJ30:DK30"/>
    <mergeCell ref="DM30:DN30"/>
    <mergeCell ref="CC30:CD30"/>
    <mergeCell ref="CF30:CG30"/>
    <mergeCell ref="CI30:CJ30"/>
    <mergeCell ref="CM30:CN30"/>
    <mergeCell ref="CP30:CQ30"/>
    <mergeCell ref="CS30:CT30"/>
    <mergeCell ref="BI30:BJ30"/>
    <mergeCell ref="BL30:BM30"/>
    <mergeCell ref="BO30:BP30"/>
    <mergeCell ref="BS30:BT30"/>
    <mergeCell ref="BV30:BW30"/>
    <mergeCell ref="BY30:BZ30"/>
    <mergeCell ref="AO30:AP30"/>
    <mergeCell ref="AR30:AS30"/>
    <mergeCell ref="AU30:AV30"/>
    <mergeCell ref="AY30:AZ30"/>
    <mergeCell ref="BB30:BC30"/>
    <mergeCell ref="BE30:BF30"/>
    <mergeCell ref="U30:V30"/>
    <mergeCell ref="X30:Y30"/>
    <mergeCell ref="AA30:AB30"/>
    <mergeCell ref="AE30:AF30"/>
    <mergeCell ref="AH30:AI30"/>
    <mergeCell ref="AK30:AL30"/>
    <mergeCell ref="JM9:JN9"/>
    <mergeCell ref="JQ9:JR9"/>
    <mergeCell ref="JT9:JU9"/>
    <mergeCell ref="JW9:JX9"/>
    <mergeCell ref="A30:B30"/>
    <mergeCell ref="D30:E30"/>
    <mergeCell ref="G30:H30"/>
    <mergeCell ref="K30:L30"/>
    <mergeCell ref="N30:O30"/>
    <mergeCell ref="Q30:R30"/>
    <mergeCell ref="IS9:IT9"/>
    <mergeCell ref="IW9:IX9"/>
    <mergeCell ref="IZ9:JA9"/>
    <mergeCell ref="JC9:JD9"/>
    <mergeCell ref="JG9:JH9"/>
    <mergeCell ref="JJ9:JK9"/>
    <mergeCell ref="GY9:GZ9"/>
    <mergeCell ref="HC9:HD9"/>
    <mergeCell ref="HF9:HG9"/>
    <mergeCell ref="HI9:HJ9"/>
    <mergeCell ref="IM9:IN9"/>
    <mergeCell ref="IP9:IQ9"/>
    <mergeCell ref="GE9:GF9"/>
    <mergeCell ref="GI9:GJ9"/>
    <mergeCell ref="GL9:GM9"/>
    <mergeCell ref="GO9:GP9"/>
    <mergeCell ref="GS9:GT9"/>
    <mergeCell ref="GV9:GW9"/>
    <mergeCell ref="FK9:FL9"/>
    <mergeCell ref="FO9:FP9"/>
    <mergeCell ref="FR9:FS9"/>
    <mergeCell ref="FU9:FV9"/>
    <mergeCell ref="FY9:FZ9"/>
    <mergeCell ref="GB9:GC9"/>
    <mergeCell ref="EQ9:ER9"/>
    <mergeCell ref="EU9:EV9"/>
    <mergeCell ref="EX9:EY9"/>
    <mergeCell ref="FA9:FB9"/>
    <mergeCell ref="FE9:FF9"/>
    <mergeCell ref="FH9:FI9"/>
    <mergeCell ref="DW9:DX9"/>
    <mergeCell ref="EA9:EB9"/>
    <mergeCell ref="ED9:EE9"/>
    <mergeCell ref="EG9:EH9"/>
    <mergeCell ref="EK9:EL9"/>
    <mergeCell ref="EN9:EO9"/>
    <mergeCell ref="DC9:DD9"/>
    <mergeCell ref="DG9:DH9"/>
    <mergeCell ref="DJ9:DK9"/>
    <mergeCell ref="DM9:DN9"/>
    <mergeCell ref="DQ9:DR9"/>
    <mergeCell ref="DT9:DU9"/>
    <mergeCell ref="CI9:CJ9"/>
    <mergeCell ref="CM9:CN9"/>
    <mergeCell ref="CP9:CQ9"/>
    <mergeCell ref="CS9:CT9"/>
    <mergeCell ref="CW9:CX9"/>
    <mergeCell ref="CZ9:DA9"/>
    <mergeCell ref="BO9:BP9"/>
    <mergeCell ref="BS9:BT9"/>
    <mergeCell ref="BV9:BW9"/>
    <mergeCell ref="BY9:BZ9"/>
    <mergeCell ref="CC9:CD9"/>
    <mergeCell ref="CF9:CG9"/>
    <mergeCell ref="AU9:AV9"/>
    <mergeCell ref="AY9:AZ9"/>
    <mergeCell ref="BB9:BC9"/>
    <mergeCell ref="BE9:BF9"/>
    <mergeCell ref="BI9:BJ9"/>
    <mergeCell ref="BL9:BM9"/>
    <mergeCell ref="AA9:AB9"/>
    <mergeCell ref="AE9:AF9"/>
    <mergeCell ref="AH9:AI9"/>
    <mergeCell ref="AK9:AL9"/>
    <mergeCell ref="AO9:AP9"/>
    <mergeCell ref="AR9:AS9"/>
    <mergeCell ref="JT8:JU8"/>
    <mergeCell ref="JW8:JX8"/>
    <mergeCell ref="A9:B9"/>
    <mergeCell ref="D9:E9"/>
    <mergeCell ref="G9:H9"/>
    <mergeCell ref="K9:L9"/>
    <mergeCell ref="N9:O9"/>
    <mergeCell ref="Q9:R9"/>
    <mergeCell ref="U9:V9"/>
    <mergeCell ref="X9:Y9"/>
    <mergeCell ref="IZ8:JA8"/>
    <mergeCell ref="JC8:JD8"/>
    <mergeCell ref="JG8:JH8"/>
    <mergeCell ref="JJ8:JK8"/>
    <mergeCell ref="JM8:JN8"/>
    <mergeCell ref="JQ8:JR8"/>
    <mergeCell ref="HM8:HY8"/>
    <mergeCell ref="HZ8:IL8"/>
    <mergeCell ref="IM8:IN8"/>
    <mergeCell ref="IP8:IQ8"/>
    <mergeCell ref="IS8:IT8"/>
    <mergeCell ref="IW8:IX8"/>
    <mergeCell ref="GS8:GT8"/>
    <mergeCell ref="GV8:GW8"/>
    <mergeCell ref="GY8:GZ8"/>
    <mergeCell ref="HC8:HD8"/>
    <mergeCell ref="HF8:HG8"/>
    <mergeCell ref="HI8:HJ8"/>
    <mergeCell ref="FY8:FZ8"/>
    <mergeCell ref="GB8:GC8"/>
    <mergeCell ref="GE8:GF8"/>
    <mergeCell ref="GI8:GJ8"/>
    <mergeCell ref="GL8:GM8"/>
    <mergeCell ref="GO8:GP8"/>
    <mergeCell ref="FE8:FF8"/>
    <mergeCell ref="FH8:FI8"/>
    <mergeCell ref="FK8:FL8"/>
    <mergeCell ref="FO8:FP8"/>
    <mergeCell ref="FR8:FS8"/>
    <mergeCell ref="FU8:FV8"/>
    <mergeCell ref="EK8:EL8"/>
    <mergeCell ref="EN8:EO8"/>
    <mergeCell ref="EQ8:ER8"/>
    <mergeCell ref="EU8:EV8"/>
    <mergeCell ref="EX8:EY8"/>
    <mergeCell ref="FA8:FB8"/>
    <mergeCell ref="DQ8:DR8"/>
    <mergeCell ref="DT8:DU8"/>
    <mergeCell ref="DW8:DX8"/>
    <mergeCell ref="EA8:EB8"/>
    <mergeCell ref="ED8:EE8"/>
    <mergeCell ref="EG8:EH8"/>
    <mergeCell ref="DC8:DD8"/>
    <mergeCell ref="DG8:DH8"/>
    <mergeCell ref="DJ8:DK8"/>
    <mergeCell ref="DM8:DN8"/>
    <mergeCell ref="CC8:CD8"/>
    <mergeCell ref="CF8:CG8"/>
    <mergeCell ref="CI8:CJ8"/>
    <mergeCell ref="CM8:CN8"/>
    <mergeCell ref="CP8:CQ8"/>
    <mergeCell ref="CS8:CT8"/>
    <mergeCell ref="U8:V8"/>
    <mergeCell ref="X8:Y8"/>
    <mergeCell ref="AA8:AB8"/>
    <mergeCell ref="AE8:AF8"/>
    <mergeCell ref="AH8:AI8"/>
    <mergeCell ref="AK8:AL8"/>
    <mergeCell ref="IM7:IV7"/>
    <mergeCell ref="IW7:JF7"/>
    <mergeCell ref="JG7:JP7"/>
    <mergeCell ref="DG7:DP7"/>
    <mergeCell ref="BI8:BJ8"/>
    <mergeCell ref="BL8:BM8"/>
    <mergeCell ref="BO8:BP8"/>
    <mergeCell ref="BS8:BT8"/>
    <mergeCell ref="BV8:BW8"/>
    <mergeCell ref="BY8:BZ8"/>
    <mergeCell ref="AO8:AP8"/>
    <mergeCell ref="AR8:AS8"/>
    <mergeCell ref="AU8:AV8"/>
    <mergeCell ref="AY8:AZ8"/>
    <mergeCell ref="BB8:BC8"/>
    <mergeCell ref="BE8:BF8"/>
    <mergeCell ref="CW8:CX8"/>
    <mergeCell ref="CZ8:DA8"/>
    <mergeCell ref="JQ7:JZ7"/>
    <mergeCell ref="A8:B8"/>
    <mergeCell ref="D8:E8"/>
    <mergeCell ref="G8:H8"/>
    <mergeCell ref="K8:L8"/>
    <mergeCell ref="N8:O8"/>
    <mergeCell ref="Q8:R8"/>
    <mergeCell ref="FY7:GH7"/>
    <mergeCell ref="GI7:GR7"/>
    <mergeCell ref="GS7:HB7"/>
    <mergeCell ref="HC7:HL7"/>
    <mergeCell ref="HM7:HY7"/>
    <mergeCell ref="HZ7:IL7"/>
    <mergeCell ref="DQ7:DZ7"/>
    <mergeCell ref="EA7:EJ7"/>
    <mergeCell ref="EK7:ET7"/>
    <mergeCell ref="EU7:FD7"/>
    <mergeCell ref="FE7:FN7"/>
    <mergeCell ref="FO7:FX7"/>
    <mergeCell ref="BI7:BR7"/>
    <mergeCell ref="BS7:CB7"/>
    <mergeCell ref="CC7:CL7"/>
    <mergeCell ref="CM7:CV7"/>
    <mergeCell ref="CW7:DF7"/>
    <mergeCell ref="A7:J7"/>
    <mergeCell ref="K7:T7"/>
    <mergeCell ref="U7:AD7"/>
    <mergeCell ref="AE7:AN7"/>
    <mergeCell ref="AO7:AX7"/>
    <mergeCell ref="AY7:BH7"/>
    <mergeCell ref="JG6:JH6"/>
    <mergeCell ref="JJ6:JK6"/>
    <mergeCell ref="JM6:JN6"/>
    <mergeCell ref="GS6:GT6"/>
    <mergeCell ref="GV6:GW6"/>
    <mergeCell ref="GY6:GZ6"/>
    <mergeCell ref="HC6:HD6"/>
    <mergeCell ref="HF6:HG6"/>
    <mergeCell ref="HI6:HJ6"/>
    <mergeCell ref="FY6:FZ6"/>
    <mergeCell ref="GB6:GC6"/>
    <mergeCell ref="GE6:GF6"/>
    <mergeCell ref="GI6:GJ6"/>
    <mergeCell ref="GL6:GM6"/>
    <mergeCell ref="GO6:GP6"/>
    <mergeCell ref="FE6:FF6"/>
    <mergeCell ref="FH6:FI6"/>
    <mergeCell ref="FK6:FL6"/>
    <mergeCell ref="JQ6:JR6"/>
    <mergeCell ref="JT6:JU6"/>
    <mergeCell ref="JW6:JX6"/>
    <mergeCell ref="IM6:IN6"/>
    <mergeCell ref="IP6:IQ6"/>
    <mergeCell ref="IS6:IT6"/>
    <mergeCell ref="IW6:IX6"/>
    <mergeCell ref="IZ6:JA6"/>
    <mergeCell ref="JC6:JD6"/>
    <mergeCell ref="FO6:FP6"/>
    <mergeCell ref="FR6:FS6"/>
    <mergeCell ref="FU6:FV6"/>
    <mergeCell ref="EK6:EL6"/>
    <mergeCell ref="EN6:EO6"/>
    <mergeCell ref="EQ6:ER6"/>
    <mergeCell ref="EU6:EV6"/>
    <mergeCell ref="EX6:EY6"/>
    <mergeCell ref="FA6:FB6"/>
    <mergeCell ref="DQ6:DR6"/>
    <mergeCell ref="DT6:DU6"/>
    <mergeCell ref="DW6:DX6"/>
    <mergeCell ref="EA6:EB6"/>
    <mergeCell ref="ED6:EE6"/>
    <mergeCell ref="EG6:EH6"/>
    <mergeCell ref="CW6:CX6"/>
    <mergeCell ref="CZ6:DA6"/>
    <mergeCell ref="DC6:DD6"/>
    <mergeCell ref="DG6:DH6"/>
    <mergeCell ref="DJ6:DK6"/>
    <mergeCell ref="DM6:DN6"/>
    <mergeCell ref="CC6:CD6"/>
    <mergeCell ref="CF6:CG6"/>
    <mergeCell ref="CI6:CJ6"/>
    <mergeCell ref="CM6:CN6"/>
    <mergeCell ref="CP6:CQ6"/>
    <mergeCell ref="CS6:CT6"/>
    <mergeCell ref="BI6:BJ6"/>
    <mergeCell ref="BL6:BM6"/>
    <mergeCell ref="BO6:BP6"/>
    <mergeCell ref="BS6:BT6"/>
    <mergeCell ref="BV6:BW6"/>
    <mergeCell ref="BY6:BZ6"/>
    <mergeCell ref="AO6:AP6"/>
    <mergeCell ref="AR6:AS6"/>
    <mergeCell ref="AU6:AV6"/>
    <mergeCell ref="AY6:AZ6"/>
    <mergeCell ref="BB6:BC6"/>
    <mergeCell ref="BE6:BF6"/>
    <mergeCell ref="U6:V6"/>
    <mergeCell ref="X6:Y6"/>
    <mergeCell ref="AA6:AB6"/>
    <mergeCell ref="AE6:AF6"/>
    <mergeCell ref="AH6:AI6"/>
    <mergeCell ref="AK6:AL6"/>
    <mergeCell ref="IM5:IN5"/>
    <mergeCell ref="IW5:IX5"/>
    <mergeCell ref="JG5:JH5"/>
    <mergeCell ref="JQ5:JR5"/>
    <mergeCell ref="A6:B6"/>
    <mergeCell ref="D6:E6"/>
    <mergeCell ref="G6:H6"/>
    <mergeCell ref="K6:L6"/>
    <mergeCell ref="N6:O6"/>
    <mergeCell ref="Q6:R6"/>
    <mergeCell ref="FY5:FZ5"/>
    <mergeCell ref="GI5:GJ5"/>
    <mergeCell ref="GS5:GT5"/>
    <mergeCell ref="HC5:HD5"/>
    <mergeCell ref="HM5:HN5"/>
    <mergeCell ref="HZ5:IA5"/>
    <mergeCell ref="DQ5:DR5"/>
    <mergeCell ref="EA5:EB5"/>
    <mergeCell ref="EK5:EL5"/>
    <mergeCell ref="EU5:EV5"/>
    <mergeCell ref="FE5:FF5"/>
    <mergeCell ref="FO5:FP5"/>
    <mergeCell ref="BI5:BJ5"/>
    <mergeCell ref="BS5:BT5"/>
    <mergeCell ref="CC5:CD5"/>
    <mergeCell ref="CM5:CN5"/>
    <mergeCell ref="CW5:CX5"/>
    <mergeCell ref="DG5:DH5"/>
    <mergeCell ref="IM4:IN4"/>
    <mergeCell ref="IW4:IX4"/>
    <mergeCell ref="JG4:JH4"/>
    <mergeCell ref="JQ4:JR4"/>
    <mergeCell ref="A5:B5"/>
    <mergeCell ref="K5:L5"/>
    <mergeCell ref="U5:V5"/>
    <mergeCell ref="AE5:AF5"/>
    <mergeCell ref="AO5:AP5"/>
    <mergeCell ref="AY5:AZ5"/>
    <mergeCell ref="FY4:FZ4"/>
    <mergeCell ref="GI4:GJ4"/>
    <mergeCell ref="GS4:GT4"/>
    <mergeCell ref="HC4:HD4"/>
    <mergeCell ref="HM4:HN4"/>
    <mergeCell ref="HZ4:IA4"/>
    <mergeCell ref="DQ4:DR4"/>
    <mergeCell ref="EA4:EB4"/>
    <mergeCell ref="EK4:EL4"/>
    <mergeCell ref="EU4:EV4"/>
    <mergeCell ref="FE4:FF4"/>
    <mergeCell ref="FO4:FP4"/>
    <mergeCell ref="BI4:BJ4"/>
    <mergeCell ref="BS4:BT4"/>
    <mergeCell ref="CC4:CD4"/>
    <mergeCell ref="CM4:CN4"/>
    <mergeCell ref="CW4:CX4"/>
    <mergeCell ref="DG4:DH4"/>
    <mergeCell ref="IM3:IN3"/>
    <mergeCell ref="CM3:CN3"/>
    <mergeCell ref="CW3:CX3"/>
    <mergeCell ref="DG3:DH3"/>
    <mergeCell ref="IW3:IX3"/>
    <mergeCell ref="JG3:JH3"/>
    <mergeCell ref="JQ3:JR3"/>
    <mergeCell ref="A4:B4"/>
    <mergeCell ref="K4:L4"/>
    <mergeCell ref="U4:V4"/>
    <mergeCell ref="AE4:AF4"/>
    <mergeCell ref="AO4:AP4"/>
    <mergeCell ref="AY4:AZ4"/>
    <mergeCell ref="FY3:FZ3"/>
    <mergeCell ref="GI3:GJ3"/>
    <mergeCell ref="GS3:GT3"/>
    <mergeCell ref="HC3:HD3"/>
    <mergeCell ref="HM3:HN3"/>
    <mergeCell ref="HZ3:IA3"/>
    <mergeCell ref="DQ3:DR3"/>
    <mergeCell ref="EA3:EB3"/>
    <mergeCell ref="EK3:EL3"/>
    <mergeCell ref="EU3:EV3"/>
    <mergeCell ref="FE3:FF3"/>
    <mergeCell ref="FO3:FP3"/>
    <mergeCell ref="BI3:BJ3"/>
    <mergeCell ref="BS3:BT3"/>
    <mergeCell ref="CC3:CD3"/>
    <mergeCell ref="A3:B3"/>
    <mergeCell ref="K3:L3"/>
    <mergeCell ref="U3:V3"/>
    <mergeCell ref="AE3:AF3"/>
    <mergeCell ref="AO3:AP3"/>
    <mergeCell ref="AY3:AZ3"/>
    <mergeCell ref="JG2:JH2"/>
    <mergeCell ref="JJ2:JK2"/>
    <mergeCell ref="JM2:JN2"/>
    <mergeCell ref="GS2:GT2"/>
    <mergeCell ref="GV2:GW2"/>
    <mergeCell ref="GY2:GZ2"/>
    <mergeCell ref="HC2:HD2"/>
    <mergeCell ref="HF2:HG2"/>
    <mergeCell ref="HI2:HJ2"/>
    <mergeCell ref="FY2:FZ2"/>
    <mergeCell ref="GB2:GC2"/>
    <mergeCell ref="GE2:GF2"/>
    <mergeCell ref="GI2:GJ2"/>
    <mergeCell ref="GL2:GM2"/>
    <mergeCell ref="GO2:GP2"/>
    <mergeCell ref="FE2:FF2"/>
    <mergeCell ref="FH2:FI2"/>
    <mergeCell ref="FK2:FL2"/>
    <mergeCell ref="JQ2:JR2"/>
    <mergeCell ref="JT2:JU2"/>
    <mergeCell ref="JW2:JX2"/>
    <mergeCell ref="IM2:IN2"/>
    <mergeCell ref="IP2:IQ2"/>
    <mergeCell ref="IS2:IT2"/>
    <mergeCell ref="IW2:IX2"/>
    <mergeCell ref="IZ2:JA2"/>
    <mergeCell ref="JC2:JD2"/>
    <mergeCell ref="FO2:FP2"/>
    <mergeCell ref="FR2:FS2"/>
    <mergeCell ref="FU2:FV2"/>
    <mergeCell ref="EK2:EL2"/>
    <mergeCell ref="EN2:EO2"/>
    <mergeCell ref="EQ2:ER2"/>
    <mergeCell ref="EU2:EV2"/>
    <mergeCell ref="EX2:EY2"/>
    <mergeCell ref="FA2:FB2"/>
    <mergeCell ref="DQ2:DR2"/>
    <mergeCell ref="DT2:DU2"/>
    <mergeCell ref="DW2:DX2"/>
    <mergeCell ref="EA2:EB2"/>
    <mergeCell ref="ED2:EE2"/>
    <mergeCell ref="EG2:EH2"/>
    <mergeCell ref="CW2:CX2"/>
    <mergeCell ref="CZ2:DA2"/>
    <mergeCell ref="DC2:DD2"/>
    <mergeCell ref="DG2:DH2"/>
    <mergeCell ref="DJ2:DK2"/>
    <mergeCell ref="DM2:DN2"/>
    <mergeCell ref="CC2:CD2"/>
    <mergeCell ref="CF2:CG2"/>
    <mergeCell ref="CI2:CJ2"/>
    <mergeCell ref="CM2:CN2"/>
    <mergeCell ref="CP2:CQ2"/>
    <mergeCell ref="CS2:CT2"/>
    <mergeCell ref="BI2:BJ2"/>
    <mergeCell ref="BL2:BM2"/>
    <mergeCell ref="BO2:BP2"/>
    <mergeCell ref="BS2:BT2"/>
    <mergeCell ref="BV2:BW2"/>
    <mergeCell ref="BY2:BZ2"/>
    <mergeCell ref="AO2:AP2"/>
    <mergeCell ref="AR2:AS2"/>
    <mergeCell ref="AU2:AV2"/>
    <mergeCell ref="AY2:AZ2"/>
    <mergeCell ref="BB2:BC2"/>
    <mergeCell ref="BE2:BF2"/>
    <mergeCell ref="U2:V2"/>
    <mergeCell ref="X2:Y2"/>
    <mergeCell ref="AA2:AB2"/>
    <mergeCell ref="AE2:AF2"/>
    <mergeCell ref="AH2:AI2"/>
    <mergeCell ref="AK2:AL2"/>
    <mergeCell ref="IM1:IN1"/>
    <mergeCell ref="IW1:IX1"/>
    <mergeCell ref="JG1:JH1"/>
    <mergeCell ref="JQ1:JR1"/>
    <mergeCell ref="A2:B2"/>
    <mergeCell ref="D2:E2"/>
    <mergeCell ref="G2:H2"/>
    <mergeCell ref="K2:L2"/>
    <mergeCell ref="N2:O2"/>
    <mergeCell ref="Q2:R2"/>
    <mergeCell ref="FY1:FZ1"/>
    <mergeCell ref="GI1:GJ1"/>
    <mergeCell ref="GS1:GT1"/>
    <mergeCell ref="HC1:HD1"/>
    <mergeCell ref="HM1:HN1"/>
    <mergeCell ref="HZ1:IA1"/>
    <mergeCell ref="DQ1:DR1"/>
    <mergeCell ref="EA1:EB1"/>
    <mergeCell ref="EK1:EL1"/>
    <mergeCell ref="EU1:EV1"/>
    <mergeCell ref="FE1:FF1"/>
    <mergeCell ref="FO1:FP1"/>
    <mergeCell ref="BI1:BJ1"/>
    <mergeCell ref="BS1:BT1"/>
    <mergeCell ref="CC1:CD1"/>
    <mergeCell ref="CM1:CN1"/>
    <mergeCell ref="CW1:CX1"/>
    <mergeCell ref="DG1:DH1"/>
    <mergeCell ref="A1:B1"/>
    <mergeCell ref="K1:L1"/>
    <mergeCell ref="U1:V1"/>
    <mergeCell ref="AE1:AF1"/>
    <mergeCell ref="AO1:AP1"/>
    <mergeCell ref="AY1:AZ1"/>
  </mergeCells>
  <pageMargins left="0.7" right="0.7" top="0.75" bottom="0.75" header="0.3" footer="0.3"/>
  <pageSetup scale="41" fitToWidth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Sheet1</vt:lpstr>
      <vt:lpstr>Meat Order (32)</vt:lpstr>
      <vt:lpstr>Meat Order (31)</vt:lpstr>
      <vt:lpstr>Meat Order (30)</vt:lpstr>
      <vt:lpstr>Meat Order 29</vt:lpstr>
      <vt:lpstr>Meat Order (28)</vt:lpstr>
      <vt:lpstr>Meat Order 27</vt:lpstr>
      <vt:lpstr>'Meat Order (28)'!Print_Area</vt:lpstr>
      <vt:lpstr>'Meat Order (30)'!Print_Area</vt:lpstr>
      <vt:lpstr>'Meat Order (31)'!Print_Area</vt:lpstr>
      <vt:lpstr>'Meat Order (32)'!Print_Area</vt:lpstr>
      <vt:lpstr>'Meat Order 27'!Print_Area</vt:lpstr>
      <vt:lpstr>'Meat Order 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2026-07-16T15:15:19Z</cp:lastPrinted>
  <dcterms:created xsi:type="dcterms:W3CDTF">2025-12-06T19:45:16Z</dcterms:created>
  <dcterms:modified xsi:type="dcterms:W3CDTF">2026-07-16T15:15:24Z</dcterms:modified>
</cp:coreProperties>
</file>